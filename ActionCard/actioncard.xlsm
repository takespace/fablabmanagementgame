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take\Desktop\RwandaCard\ActionCard\"/>
    </mc:Choice>
  </mc:AlternateContent>
  <xr:revisionPtr revIDLastSave="0" documentId="13_ncr:1_{21DF4371-CEC8-4EBC-B3AD-9B759F44C059}" xr6:coauthVersionLast="44" xr6:coauthVersionMax="44" xr10:uidLastSave="{00000000-0000-0000-0000-000000000000}"/>
  <bookViews>
    <workbookView xWindow="330" yWindow="0" windowWidth="21270" windowHeight="12900" xr2:uid="{00000000-000D-0000-FFFF-FFFF00000000}"/>
  </bookViews>
  <sheets>
    <sheet name="actioncard" sheetId="3" r:id="rId1"/>
    <sheet name="actiondata" sheetId="2" r:id="rId2"/>
    <sheet name="Action Cards" sheetId="4" r:id="rId3"/>
  </sheets>
  <definedNames>
    <definedName name="_xlnm.Print_Area" localSheetId="0">actioncard!$A$1:$T$20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V203" i="4" l="1"/>
  <c r="IV202" i="4" s="1"/>
  <c r="IV201" i="4" s="1"/>
  <c r="IV200" i="4" s="1"/>
  <c r="IV199" i="4" s="1"/>
  <c r="IV198" i="4" s="1"/>
  <c r="IV197" i="4" s="1"/>
  <c r="IV196" i="4" s="1"/>
  <c r="IV195" i="4" s="1"/>
  <c r="IV194" i="4" s="1"/>
  <c r="IV193" i="4" s="1"/>
  <c r="IV192" i="4" s="1"/>
  <c r="IV191" i="4" s="1"/>
  <c r="IV190" i="4" s="1"/>
  <c r="IV189" i="4" s="1"/>
  <c r="IV188" i="4" s="1"/>
  <c r="IV187" i="4" s="1"/>
  <c r="IV186" i="4" s="1"/>
  <c r="IV185" i="4" s="1"/>
  <c r="IV184" i="4" s="1"/>
  <c r="IV183" i="4" s="1"/>
  <c r="IV182" i="4" s="1"/>
  <c r="IV181" i="4" s="1"/>
  <c r="IV180" i="4" s="1"/>
  <c r="IV179" i="4" s="1"/>
  <c r="IV178" i="4" s="1"/>
  <c r="IV177" i="4" s="1"/>
  <c r="IV176" i="4" s="1"/>
  <c r="IV175" i="4" s="1"/>
  <c r="IV174" i="4" s="1"/>
  <c r="IV173" i="4" s="1"/>
  <c r="IV172" i="4" s="1"/>
  <c r="IV171" i="4" s="1"/>
  <c r="IV170" i="4" s="1"/>
  <c r="IV169" i="4" s="1"/>
  <c r="IV168" i="4" s="1"/>
  <c r="IV167" i="4" s="1"/>
  <c r="IV166" i="4" s="1"/>
  <c r="IV165" i="4" s="1"/>
  <c r="IV164" i="4" s="1"/>
  <c r="IV163" i="4" s="1"/>
  <c r="IV162" i="4" s="1"/>
  <c r="IV161" i="4" s="1"/>
  <c r="IW203" i="4"/>
  <c r="IW202" i="4" s="1"/>
  <c r="IW201" i="4" s="1"/>
  <c r="IW200" i="4" s="1"/>
  <c r="IW199" i="4" s="1"/>
  <c r="IW198" i="4" s="1"/>
  <c r="IW197" i="4" s="1"/>
  <c r="IW196" i="4" s="1"/>
  <c r="IW195" i="4" s="1"/>
  <c r="IW194" i="4" s="1"/>
  <c r="IW193" i="4" s="1"/>
  <c r="IW192" i="4" s="1"/>
  <c r="IW191" i="4" s="1"/>
  <c r="IW190" i="4" s="1"/>
  <c r="IW189" i="4" s="1"/>
  <c r="IW188" i="4" s="1"/>
  <c r="IW187" i="4" s="1"/>
  <c r="IW186" i="4" s="1"/>
  <c r="IW185" i="4" s="1"/>
  <c r="IW184" i="4" s="1"/>
  <c r="IW183" i="4" s="1"/>
  <c r="IW182" i="4" s="1"/>
  <c r="IW181" i="4" s="1"/>
  <c r="IW180" i="4" s="1"/>
  <c r="IW179" i="4" s="1"/>
  <c r="IW178" i="4" s="1"/>
  <c r="IW177" i="4" s="1"/>
  <c r="IW176" i="4" s="1"/>
  <c r="IW175" i="4" s="1"/>
  <c r="IW174" i="4" s="1"/>
  <c r="IW173" i="4" s="1"/>
  <c r="IW172" i="4" s="1"/>
  <c r="IW171" i="4" s="1"/>
  <c r="IW170" i="4" s="1"/>
  <c r="IW169" i="4" s="1"/>
  <c r="IX203" i="4"/>
  <c r="IX202" i="4" s="1"/>
  <c r="IX201" i="4" s="1"/>
  <c r="IX200" i="4" s="1"/>
  <c r="IX199" i="4" s="1"/>
  <c r="IX198" i="4" s="1"/>
  <c r="IX197" i="4" s="1"/>
  <c r="IX196" i="4" s="1"/>
  <c r="IX195" i="4" s="1"/>
  <c r="IX194" i="4" s="1"/>
  <c r="IX193" i="4" s="1"/>
  <c r="IX192" i="4" s="1"/>
  <c r="IX191" i="4" s="1"/>
  <c r="IX190" i="4" s="1"/>
  <c r="IX189" i="4" s="1"/>
  <c r="IX188" i="4" s="1"/>
  <c r="IX187" i="4" s="1"/>
  <c r="IX186" i="4" s="1"/>
  <c r="IX185" i="4" s="1"/>
  <c r="IX184" i="4" s="1"/>
  <c r="IX183" i="4" s="1"/>
  <c r="IX182" i="4" s="1"/>
  <c r="IX181" i="4" s="1"/>
  <c r="IX180" i="4" s="1"/>
  <c r="IX179" i="4" s="1"/>
  <c r="IX178" i="4" s="1"/>
  <c r="IX177" i="4" s="1"/>
  <c r="IX176" i="4" s="1"/>
  <c r="IX175" i="4" s="1"/>
  <c r="IX174" i="4" s="1"/>
  <c r="IX173" i="4" s="1"/>
  <c r="IX172" i="4" s="1"/>
  <c r="IX171" i="4" s="1"/>
  <c r="IX170" i="4" s="1"/>
  <c r="IX169" i="4" s="1"/>
  <c r="IY203" i="4"/>
  <c r="IY202" i="4" s="1"/>
  <c r="IY201" i="4" s="1"/>
  <c r="IY200" i="4" s="1"/>
  <c r="IY199" i="4" s="1"/>
  <c r="IY198" i="4" s="1"/>
  <c r="IY197" i="4" s="1"/>
  <c r="IY196" i="4" s="1"/>
  <c r="IY195" i="4" s="1"/>
  <c r="IY194" i="4" s="1"/>
  <c r="IY193" i="4" s="1"/>
  <c r="IY192" i="4" s="1"/>
  <c r="IY191" i="4" s="1"/>
  <c r="IY190" i="4" s="1"/>
  <c r="IY189" i="4" s="1"/>
  <c r="IY188" i="4" s="1"/>
  <c r="IY187" i="4" s="1"/>
  <c r="IY186" i="4" s="1"/>
  <c r="IY185" i="4" s="1"/>
  <c r="IY184" i="4" s="1"/>
  <c r="IY183" i="4" s="1"/>
  <c r="IY182" i="4" s="1"/>
  <c r="IY181" i="4" s="1"/>
  <c r="IY180" i="4" s="1"/>
  <c r="IY179" i="4" s="1"/>
  <c r="IY178" i="4" s="1"/>
  <c r="IY177" i="4" s="1"/>
  <c r="IY176" i="4" s="1"/>
  <c r="IY175" i="4" s="1"/>
  <c r="IY174" i="4" s="1"/>
  <c r="IY173" i="4" s="1"/>
  <c r="IY172" i="4" s="1"/>
  <c r="IY171" i="4" s="1"/>
  <c r="IY170" i="4" s="1"/>
  <c r="IY169" i="4" s="1"/>
  <c r="IZ203" i="4"/>
  <c r="IZ202" i="4" s="1"/>
  <c r="IZ201" i="4" s="1"/>
  <c r="IZ200" i="4" s="1"/>
  <c r="IZ199" i="4" s="1"/>
  <c r="IZ198" i="4" s="1"/>
  <c r="IZ197" i="4" s="1"/>
  <c r="IZ196" i="4" s="1"/>
  <c r="IZ195" i="4" s="1"/>
  <c r="IZ194" i="4" s="1"/>
  <c r="IZ193" i="4" s="1"/>
  <c r="IZ192" i="4" s="1"/>
  <c r="IZ191" i="4" s="1"/>
  <c r="IZ190" i="4" s="1"/>
  <c r="IZ189" i="4" s="1"/>
  <c r="IZ188" i="4" s="1"/>
  <c r="IZ187" i="4" s="1"/>
  <c r="IZ186" i="4" s="1"/>
  <c r="IZ185" i="4" s="1"/>
  <c r="IZ184" i="4" s="1"/>
  <c r="IZ183" i="4" s="1"/>
  <c r="IZ182" i="4" s="1"/>
  <c r="IZ181" i="4" s="1"/>
  <c r="IZ180" i="4" s="1"/>
  <c r="IZ179" i="4" s="1"/>
  <c r="IZ178" i="4" s="1"/>
  <c r="IZ177" i="4" s="1"/>
  <c r="IZ176" i="4" s="1"/>
  <c r="IZ175" i="4" s="1"/>
  <c r="IZ174" i="4" s="1"/>
  <c r="IZ173" i="4" s="1"/>
  <c r="IZ172" i="4" s="1"/>
  <c r="IZ171" i="4" s="1"/>
  <c r="IZ170" i="4" s="1"/>
  <c r="IZ169" i="4" s="1"/>
  <c r="JA203" i="4"/>
  <c r="JA202" i="4" s="1"/>
  <c r="JA201" i="4" s="1"/>
  <c r="JA200" i="4" s="1"/>
  <c r="JA199" i="4" s="1"/>
  <c r="JA198" i="4" s="1"/>
  <c r="JA197" i="4" s="1"/>
  <c r="JA196" i="4" s="1"/>
  <c r="JA195" i="4" s="1"/>
  <c r="JA194" i="4" s="1"/>
  <c r="JA193" i="4" s="1"/>
  <c r="JA192" i="4" s="1"/>
  <c r="JA191" i="4" s="1"/>
  <c r="JA190" i="4" s="1"/>
  <c r="JA189" i="4" s="1"/>
  <c r="JA188" i="4" s="1"/>
  <c r="JA187" i="4" s="1"/>
  <c r="JA186" i="4" s="1"/>
  <c r="JA185" i="4" s="1"/>
  <c r="JA184" i="4" s="1"/>
  <c r="JA183" i="4" s="1"/>
  <c r="JA182" i="4" s="1"/>
  <c r="JA181" i="4" s="1"/>
  <c r="JA180" i="4" s="1"/>
  <c r="JA179" i="4" s="1"/>
  <c r="JA178" i="4" s="1"/>
  <c r="JA177" i="4" s="1"/>
  <c r="JA176" i="4" s="1"/>
  <c r="JA175" i="4" s="1"/>
  <c r="JA174" i="4" s="1"/>
  <c r="JA173" i="4" s="1"/>
  <c r="JA172" i="4" s="1"/>
  <c r="JA171" i="4" s="1"/>
  <c r="JA170" i="4" s="1"/>
  <c r="JA169" i="4" s="1"/>
  <c r="JB203" i="4"/>
  <c r="JB202" i="4" s="1"/>
  <c r="JB201" i="4" s="1"/>
  <c r="JB200" i="4" s="1"/>
  <c r="JB199" i="4" s="1"/>
  <c r="JB198" i="4" s="1"/>
  <c r="JB197" i="4" s="1"/>
  <c r="JB196" i="4" s="1"/>
  <c r="JB195" i="4" s="1"/>
  <c r="JB194" i="4" s="1"/>
  <c r="JB193" i="4" s="1"/>
  <c r="JB192" i="4" s="1"/>
  <c r="JB191" i="4" s="1"/>
  <c r="JB190" i="4" s="1"/>
  <c r="JB189" i="4" s="1"/>
  <c r="JB188" i="4" s="1"/>
  <c r="JB187" i="4" s="1"/>
  <c r="JB186" i="4" s="1"/>
  <c r="JB185" i="4" s="1"/>
  <c r="JB184" i="4" s="1"/>
  <c r="JB183" i="4" s="1"/>
  <c r="JB182" i="4" s="1"/>
  <c r="JB181" i="4" s="1"/>
  <c r="JB180" i="4" s="1"/>
  <c r="JB179" i="4" s="1"/>
  <c r="JB178" i="4" s="1"/>
  <c r="JB177" i="4" s="1"/>
  <c r="JB176" i="4" s="1"/>
  <c r="JB175" i="4" s="1"/>
  <c r="JB174" i="4" s="1"/>
  <c r="JB173" i="4" s="1"/>
  <c r="JB172" i="4" s="1"/>
  <c r="JB171" i="4" s="1"/>
  <c r="JB170" i="4" s="1"/>
  <c r="JB169" i="4" s="1"/>
  <c r="JB168" i="4" s="1"/>
  <c r="JB167" i="4" s="1"/>
  <c r="JB166" i="4" s="1"/>
  <c r="JB165" i="4" s="1"/>
  <c r="JB164" i="4" s="1"/>
  <c r="JB163" i="4" s="1"/>
  <c r="JB162" i="4" s="1"/>
  <c r="JB161" i="4" s="1"/>
  <c r="JB160" i="4" s="1"/>
  <c r="JB159" i="4" s="1"/>
  <c r="JB158" i="4" s="1"/>
  <c r="JB157" i="4" s="1"/>
  <c r="JB156" i="4" s="1"/>
  <c r="JB155" i="4" s="1"/>
  <c r="JB154" i="4" s="1"/>
  <c r="JB153" i="4" s="1"/>
  <c r="JB152" i="4" s="1"/>
  <c r="JB151" i="4" s="1"/>
  <c r="JB150" i="4" s="1"/>
  <c r="JB149" i="4" s="1"/>
  <c r="JB148" i="4" s="1"/>
  <c r="JB147" i="4" s="1"/>
  <c r="JB146" i="4" s="1"/>
  <c r="JB145" i="4" s="1"/>
  <c r="JB144" i="4" s="1"/>
  <c r="JB143" i="4" s="1"/>
  <c r="JB142" i="4" s="1"/>
  <c r="JB141" i="4" s="1"/>
  <c r="JB140" i="4" s="1"/>
  <c r="JB139" i="4" s="1"/>
  <c r="JB138" i="4" s="1"/>
  <c r="JB137" i="4" s="1"/>
  <c r="JB136" i="4" s="1"/>
  <c r="JB135" i="4" s="1"/>
  <c r="JB134" i="4" s="1"/>
  <c r="JB133" i="4" s="1"/>
  <c r="JB132" i="4" s="1"/>
  <c r="JC203" i="4"/>
  <c r="JC202" i="4" s="1"/>
  <c r="JC201" i="4" s="1"/>
  <c r="JC200" i="4" s="1"/>
  <c r="JC199" i="4" s="1"/>
  <c r="JC198" i="4" s="1"/>
  <c r="JC197" i="4" s="1"/>
  <c r="JC196" i="4" s="1"/>
  <c r="JC195" i="4" s="1"/>
  <c r="JC194" i="4" s="1"/>
  <c r="JC193" i="4" s="1"/>
  <c r="JC192" i="4" s="1"/>
  <c r="JC191" i="4" s="1"/>
  <c r="JC190" i="4" s="1"/>
  <c r="JC189" i="4" s="1"/>
  <c r="JC188" i="4" s="1"/>
  <c r="JC187" i="4" s="1"/>
  <c r="JC186" i="4" s="1"/>
  <c r="JC185" i="4" s="1"/>
  <c r="JC184" i="4" s="1"/>
  <c r="JC183" i="4" s="1"/>
  <c r="JC182" i="4" s="1"/>
  <c r="JC181" i="4" s="1"/>
  <c r="JC180" i="4" s="1"/>
  <c r="JC179" i="4" s="1"/>
  <c r="JC178" i="4" s="1"/>
  <c r="JC177" i="4" s="1"/>
  <c r="JC176" i="4" s="1"/>
  <c r="JC175" i="4" s="1"/>
  <c r="JC174" i="4" s="1"/>
  <c r="JC173" i="4" s="1"/>
  <c r="JC172" i="4" s="1"/>
  <c r="JC171" i="4" s="1"/>
  <c r="JC170" i="4" s="1"/>
  <c r="JC169" i="4" s="1"/>
  <c r="JC168" i="4" s="1"/>
  <c r="JC167" i="4" s="1"/>
  <c r="JC166" i="4" s="1"/>
  <c r="JC165" i="4" s="1"/>
  <c r="JC164" i="4" s="1"/>
  <c r="JC163" i="4" s="1"/>
  <c r="JC162" i="4" s="1"/>
  <c r="JC161" i="4" s="1"/>
  <c r="JC160" i="4" s="1"/>
  <c r="JC159" i="4" s="1"/>
  <c r="JC158" i="4" s="1"/>
  <c r="JC157" i="4" s="1"/>
  <c r="JC156" i="4" s="1"/>
  <c r="JC155" i="4" s="1"/>
  <c r="JC154" i="4" s="1"/>
  <c r="JC153" i="4" s="1"/>
  <c r="JC152" i="4" s="1"/>
  <c r="JC151" i="4" s="1"/>
  <c r="JC150" i="4" s="1"/>
  <c r="JC149" i="4" s="1"/>
  <c r="JC148" i="4" s="1"/>
  <c r="JC147" i="4" s="1"/>
  <c r="JC146" i="4" s="1"/>
  <c r="JC145" i="4" s="1"/>
  <c r="JC144" i="4" s="1"/>
  <c r="JC143" i="4" s="1"/>
  <c r="JC142" i="4" s="1"/>
  <c r="JC141" i="4" s="1"/>
  <c r="JC140" i="4" s="1"/>
  <c r="JC139" i="4" s="1"/>
  <c r="JC138" i="4" s="1"/>
  <c r="JC137" i="4" s="1"/>
  <c r="JC136" i="4" s="1"/>
  <c r="JC135" i="4" s="1"/>
  <c r="JC134" i="4" s="1"/>
  <c r="JC133" i="4" s="1"/>
  <c r="JC132" i="4" s="1"/>
  <c r="JC131" i="4" s="1"/>
  <c r="JC130" i="4" s="1"/>
  <c r="JC129" i="4" s="1"/>
  <c r="JC128" i="4" s="1"/>
  <c r="JC127" i="4" s="1"/>
  <c r="JC126" i="4" s="1"/>
  <c r="JC125" i="4" s="1"/>
  <c r="JC124" i="4" s="1"/>
  <c r="JD203" i="4"/>
  <c r="JD202" i="4" s="1"/>
  <c r="JD201" i="4" s="1"/>
  <c r="JD200" i="4" s="1"/>
  <c r="JD199" i="4" s="1"/>
  <c r="JD198" i="4" s="1"/>
  <c r="JD197" i="4" s="1"/>
  <c r="JD196" i="4" s="1"/>
  <c r="JD195" i="4" s="1"/>
  <c r="JD194" i="4" s="1"/>
  <c r="JD193" i="4" s="1"/>
  <c r="JD192" i="4" s="1"/>
  <c r="JD191" i="4" s="1"/>
  <c r="JD190" i="4" s="1"/>
  <c r="JD189" i="4" s="1"/>
  <c r="JD188" i="4" s="1"/>
  <c r="JD187" i="4" s="1"/>
  <c r="JD186" i="4" s="1"/>
  <c r="JD185" i="4" s="1"/>
  <c r="JD184" i="4" s="1"/>
  <c r="JD183" i="4" s="1"/>
  <c r="JD182" i="4" s="1"/>
  <c r="JD181" i="4" s="1"/>
  <c r="JD180" i="4" s="1"/>
  <c r="JD179" i="4" s="1"/>
  <c r="JD178" i="4" s="1"/>
  <c r="JD177" i="4" s="1"/>
  <c r="JD176" i="4" s="1"/>
  <c r="JD175" i="4" s="1"/>
  <c r="JD174" i="4" s="1"/>
  <c r="JD173" i="4" s="1"/>
  <c r="JD172" i="4" s="1"/>
  <c r="JD171" i="4" s="1"/>
  <c r="JD170" i="4" s="1"/>
  <c r="JD169" i="4" s="1"/>
  <c r="JD168" i="4" s="1"/>
  <c r="JD167" i="4" s="1"/>
  <c r="JD166" i="4" s="1"/>
  <c r="JD165" i="4" s="1"/>
  <c r="JD164" i="4" s="1"/>
  <c r="JD163" i="4" s="1"/>
  <c r="JD162" i="4" s="1"/>
  <c r="JD161" i="4" s="1"/>
  <c r="JD160" i="4" s="1"/>
  <c r="JD159" i="4" s="1"/>
  <c r="JD158" i="4" s="1"/>
  <c r="JD157" i="4" s="1"/>
  <c r="JD156" i="4" s="1"/>
  <c r="JD155" i="4" s="1"/>
  <c r="JD154" i="4" s="1"/>
  <c r="JD153" i="4" s="1"/>
  <c r="JD152" i="4" s="1"/>
  <c r="JD151" i="4" s="1"/>
  <c r="JD150" i="4" s="1"/>
  <c r="JD149" i="4" s="1"/>
  <c r="JD148" i="4" s="1"/>
  <c r="JD147" i="4" s="1"/>
  <c r="JD146" i="4" s="1"/>
  <c r="JD145" i="4" s="1"/>
  <c r="JD144" i="4" s="1"/>
  <c r="JD143" i="4" s="1"/>
  <c r="JD142" i="4" s="1"/>
  <c r="JD141" i="4" s="1"/>
  <c r="JD140" i="4" s="1"/>
  <c r="JD139" i="4" s="1"/>
  <c r="JD138" i="4" s="1"/>
  <c r="JD137" i="4" s="1"/>
  <c r="JD136" i="4" s="1"/>
  <c r="JD135" i="4" s="1"/>
  <c r="JD134" i="4" s="1"/>
  <c r="JD133" i="4" s="1"/>
  <c r="JD132" i="4" s="1"/>
  <c r="JD131" i="4" s="1"/>
  <c r="JD130" i="4" s="1"/>
  <c r="JD129" i="4" s="1"/>
  <c r="JD128" i="4" s="1"/>
  <c r="JD127" i="4" s="1"/>
  <c r="JD126" i="4" s="1"/>
  <c r="JD125" i="4" s="1"/>
  <c r="JD124" i="4" s="1"/>
  <c r="JE203" i="4"/>
  <c r="JE202" i="4" s="1"/>
  <c r="JE201" i="4" s="1"/>
  <c r="JE200" i="4" s="1"/>
  <c r="JE199" i="4" s="1"/>
  <c r="JE198" i="4" s="1"/>
  <c r="JE197" i="4" s="1"/>
  <c r="JE196" i="4" s="1"/>
  <c r="JE195" i="4" s="1"/>
  <c r="JE194" i="4" s="1"/>
  <c r="JE193" i="4" s="1"/>
  <c r="JE192" i="4" s="1"/>
  <c r="JE191" i="4" s="1"/>
  <c r="JE190" i="4" s="1"/>
  <c r="JE189" i="4" s="1"/>
  <c r="JE188" i="4" s="1"/>
  <c r="JE187" i="4" s="1"/>
  <c r="JE186" i="4" s="1"/>
  <c r="JE185" i="4" s="1"/>
  <c r="JE184" i="4" s="1"/>
  <c r="JE183" i="4" s="1"/>
  <c r="JE182" i="4" s="1"/>
  <c r="JE181" i="4" s="1"/>
  <c r="JE180" i="4" s="1"/>
  <c r="JE179" i="4" s="1"/>
  <c r="JE178" i="4" s="1"/>
  <c r="JE177" i="4" s="1"/>
  <c r="JE176" i="4" s="1"/>
  <c r="JE175" i="4" s="1"/>
  <c r="JE174" i="4" s="1"/>
  <c r="JE173" i="4" s="1"/>
  <c r="JE172" i="4" s="1"/>
  <c r="JE171" i="4" s="1"/>
  <c r="JE170" i="4" s="1"/>
  <c r="JE169" i="4" s="1"/>
  <c r="JE168" i="4" s="1"/>
  <c r="JE167" i="4" s="1"/>
  <c r="JE166" i="4" s="1"/>
  <c r="JE165" i="4" s="1"/>
  <c r="JE164" i="4" s="1"/>
  <c r="JE163" i="4" s="1"/>
  <c r="JE162" i="4" s="1"/>
  <c r="JF203" i="4"/>
  <c r="JF202" i="4" s="1"/>
  <c r="JF201" i="4" s="1"/>
  <c r="JF200" i="4" s="1"/>
  <c r="JF199" i="4" s="1"/>
  <c r="JF198" i="4" s="1"/>
  <c r="JF197" i="4" s="1"/>
  <c r="JF196" i="4" s="1"/>
  <c r="JF195" i="4" s="1"/>
  <c r="JF194" i="4" s="1"/>
  <c r="JF193" i="4" s="1"/>
  <c r="JF192" i="4" s="1"/>
  <c r="JF191" i="4" s="1"/>
  <c r="JG203" i="4"/>
  <c r="JG202" i="4" s="1"/>
  <c r="JG201" i="4" s="1"/>
  <c r="JG200" i="4" s="1"/>
  <c r="JG199" i="4" s="1"/>
  <c r="JG198" i="4" s="1"/>
  <c r="JG197" i="4" s="1"/>
  <c r="JG196" i="4" s="1"/>
  <c r="JG195" i="4" s="1"/>
  <c r="JG194" i="4" s="1"/>
  <c r="JG193" i="4" s="1"/>
  <c r="JG192" i="4" s="1"/>
  <c r="JG191" i="4" s="1"/>
  <c r="JH203" i="4"/>
  <c r="JH202" i="4" s="1"/>
  <c r="JH201" i="4" s="1"/>
  <c r="JH200" i="4" s="1"/>
  <c r="JH199" i="4" s="1"/>
  <c r="JH198" i="4" s="1"/>
  <c r="JH197" i="4" s="1"/>
  <c r="JH196" i="4" s="1"/>
  <c r="JH195" i="4" s="1"/>
  <c r="JH194" i="4" s="1"/>
  <c r="JH193" i="4" s="1"/>
  <c r="JH192" i="4" s="1"/>
  <c r="JH191" i="4" s="1"/>
  <c r="JH190" i="4" s="1"/>
  <c r="JH189" i="4" s="1"/>
  <c r="JH188" i="4" s="1"/>
  <c r="JH187" i="4" s="1"/>
  <c r="JH186" i="4" s="1"/>
  <c r="JH185" i="4" s="1"/>
  <c r="JH184" i="4" s="1"/>
  <c r="JH183" i="4" s="1"/>
  <c r="JH182" i="4" s="1"/>
  <c r="JH181" i="4" s="1"/>
  <c r="JH180" i="4" s="1"/>
  <c r="JH179" i="4" s="1"/>
  <c r="JH178" i="4" s="1"/>
  <c r="JH177" i="4" s="1"/>
  <c r="JH176" i="4" s="1"/>
  <c r="JH175" i="4" s="1"/>
  <c r="JH174" i="4" s="1"/>
  <c r="JH173" i="4" s="1"/>
  <c r="JH172" i="4" s="1"/>
  <c r="JH171" i="4" s="1"/>
  <c r="JH170" i="4" s="1"/>
  <c r="JH169" i="4" s="1"/>
  <c r="JH168" i="4" s="1"/>
  <c r="JH167" i="4" s="1"/>
  <c r="JH166" i="4" s="1"/>
  <c r="JH165" i="4" s="1"/>
  <c r="JH164" i="4" s="1"/>
  <c r="JH163" i="4" s="1"/>
  <c r="JH162" i="4" s="1"/>
  <c r="JH161" i="4" s="1"/>
  <c r="JI203" i="4"/>
  <c r="JI202" i="4" s="1"/>
  <c r="JI201" i="4" s="1"/>
  <c r="JI200" i="4" s="1"/>
  <c r="JI199" i="4" s="1"/>
  <c r="JI198" i="4" s="1"/>
  <c r="JI197" i="4" s="1"/>
  <c r="JI196" i="4" s="1"/>
  <c r="JI195" i="4" s="1"/>
  <c r="JI194" i="4" s="1"/>
  <c r="JI193" i="4" s="1"/>
  <c r="JI192" i="4" s="1"/>
  <c r="JI191" i="4" s="1"/>
  <c r="JI190" i="4" s="1"/>
  <c r="JI189" i="4" s="1"/>
  <c r="JI188" i="4" s="1"/>
  <c r="JI187" i="4" s="1"/>
  <c r="JI186" i="4" s="1"/>
  <c r="JI185" i="4" s="1"/>
  <c r="JI184" i="4" s="1"/>
  <c r="JI183" i="4" s="1"/>
  <c r="JI182" i="4" s="1"/>
  <c r="JI181" i="4" s="1"/>
  <c r="JI180" i="4" s="1"/>
  <c r="JI179" i="4" s="1"/>
  <c r="JI178" i="4" s="1"/>
  <c r="JI177" i="4" s="1"/>
  <c r="JI176" i="4" s="1"/>
  <c r="JI175" i="4" s="1"/>
  <c r="JI174" i="4" s="1"/>
  <c r="JI173" i="4" s="1"/>
  <c r="JI172" i="4" s="1"/>
  <c r="JI171" i="4" s="1"/>
  <c r="JI170" i="4" s="1"/>
  <c r="JI169" i="4" s="1"/>
  <c r="JI168" i="4" s="1"/>
  <c r="JI167" i="4" s="1"/>
  <c r="JI166" i="4" s="1"/>
  <c r="JI165" i="4" s="1"/>
  <c r="JI164" i="4" s="1"/>
  <c r="JI163" i="4" s="1"/>
  <c r="JI162" i="4" s="1"/>
  <c r="JI161" i="4" s="1"/>
  <c r="JI160" i="4" s="1"/>
  <c r="JI159" i="4" s="1"/>
  <c r="JI158" i="4" s="1"/>
  <c r="JI157" i="4" s="1"/>
  <c r="JI156" i="4" s="1"/>
  <c r="JI155" i="4" s="1"/>
  <c r="JI154" i="4" s="1"/>
  <c r="JI153" i="4" s="1"/>
  <c r="JI152" i="4" s="1"/>
  <c r="JI151" i="4" s="1"/>
  <c r="JI150" i="4" s="1"/>
  <c r="JI149" i="4" s="1"/>
  <c r="JI148" i="4" s="1"/>
  <c r="JI147" i="4" s="1"/>
  <c r="JI146" i="4" s="1"/>
  <c r="JI145" i="4" s="1"/>
  <c r="JI144" i="4" s="1"/>
  <c r="JI143" i="4" s="1"/>
  <c r="JI142" i="4" s="1"/>
  <c r="JI141" i="4" s="1"/>
  <c r="JI140" i="4" s="1"/>
  <c r="JI139" i="4" s="1"/>
  <c r="JI138" i="4" s="1"/>
  <c r="JI137" i="4" s="1"/>
  <c r="JI136" i="4" s="1"/>
  <c r="JI135" i="4" s="1"/>
  <c r="JI134" i="4" s="1"/>
  <c r="JI133" i="4" s="1"/>
  <c r="JI132" i="4" s="1"/>
  <c r="JI131" i="4" s="1"/>
  <c r="JI130" i="4" s="1"/>
  <c r="JI129" i="4" s="1"/>
  <c r="JI128" i="4" s="1"/>
  <c r="JI127" i="4" s="1"/>
  <c r="JI126" i="4" s="1"/>
  <c r="JI125" i="4" s="1"/>
  <c r="JI124" i="4" s="1"/>
  <c r="JI123" i="4" s="1"/>
  <c r="JI122" i="4" s="1"/>
  <c r="JI121" i="4" s="1"/>
  <c r="JI120" i="4" s="1"/>
  <c r="JI119" i="4" s="1"/>
  <c r="JI118" i="4" s="1"/>
  <c r="JI117" i="4" s="1"/>
  <c r="JI116" i="4" s="1"/>
  <c r="JI115" i="4" s="1"/>
  <c r="JI114" i="4" s="1"/>
  <c r="JI113" i="4" s="1"/>
  <c r="JI112" i="4" s="1"/>
  <c r="JI111" i="4" s="1"/>
  <c r="JI110" i="4" s="1"/>
  <c r="JI109" i="4" s="1"/>
  <c r="JJ203" i="4"/>
  <c r="JJ202" i="4" s="1"/>
  <c r="JJ201" i="4" s="1"/>
  <c r="JJ200" i="4" s="1"/>
  <c r="JJ199" i="4" s="1"/>
  <c r="JJ198" i="4" s="1"/>
  <c r="JJ197" i="4" s="1"/>
  <c r="JJ196" i="4" s="1"/>
  <c r="JJ195" i="4" s="1"/>
  <c r="JJ194" i="4" s="1"/>
  <c r="JJ193" i="4" s="1"/>
  <c r="JJ192" i="4" s="1"/>
  <c r="JJ191" i="4" s="1"/>
  <c r="JJ190" i="4" s="1"/>
  <c r="JJ189" i="4" s="1"/>
  <c r="JJ188" i="4" s="1"/>
  <c r="JJ187" i="4" s="1"/>
  <c r="JJ186" i="4" s="1"/>
  <c r="JJ185" i="4" s="1"/>
  <c r="JJ184" i="4" s="1"/>
  <c r="JJ183" i="4" s="1"/>
  <c r="JJ182" i="4" s="1"/>
  <c r="JJ181" i="4" s="1"/>
  <c r="JJ180" i="4" s="1"/>
  <c r="JJ179" i="4" s="1"/>
  <c r="JJ178" i="4" s="1"/>
  <c r="JJ177" i="4" s="1"/>
  <c r="JJ176" i="4" s="1"/>
  <c r="JJ175" i="4" s="1"/>
  <c r="JJ174" i="4" s="1"/>
  <c r="JJ173" i="4" s="1"/>
  <c r="JJ172" i="4" s="1"/>
  <c r="JJ171" i="4" s="1"/>
  <c r="JJ170" i="4" s="1"/>
  <c r="JJ169" i="4" s="1"/>
  <c r="JJ168" i="4" s="1"/>
  <c r="JJ167" i="4" s="1"/>
  <c r="JJ166" i="4" s="1"/>
  <c r="JJ165" i="4" s="1"/>
  <c r="JJ164" i="4" s="1"/>
  <c r="JJ163" i="4" s="1"/>
  <c r="JJ162" i="4" s="1"/>
  <c r="JJ161" i="4" s="1"/>
  <c r="JJ160" i="4" s="1"/>
  <c r="JJ159" i="4" s="1"/>
  <c r="JJ158" i="4" s="1"/>
  <c r="JJ157" i="4" s="1"/>
  <c r="JJ156" i="4" s="1"/>
  <c r="JJ155" i="4" s="1"/>
  <c r="JJ154" i="4" s="1"/>
  <c r="JJ153" i="4" s="1"/>
  <c r="JJ152" i="4" s="1"/>
  <c r="JJ151" i="4" s="1"/>
  <c r="JJ150" i="4" s="1"/>
  <c r="JJ149" i="4" s="1"/>
  <c r="JJ148" i="4" s="1"/>
  <c r="JJ147" i="4" s="1"/>
  <c r="JJ146" i="4" s="1"/>
  <c r="JJ145" i="4" s="1"/>
  <c r="JJ144" i="4" s="1"/>
  <c r="JJ143" i="4" s="1"/>
  <c r="JJ142" i="4" s="1"/>
  <c r="JJ141" i="4" s="1"/>
  <c r="JJ140" i="4" s="1"/>
  <c r="JJ139" i="4" s="1"/>
  <c r="JJ138" i="4" s="1"/>
  <c r="JJ137" i="4" s="1"/>
  <c r="JJ136" i="4" s="1"/>
  <c r="JJ135" i="4" s="1"/>
  <c r="JJ134" i="4" s="1"/>
  <c r="JJ133" i="4" s="1"/>
  <c r="JJ132" i="4" s="1"/>
  <c r="JJ131" i="4" s="1"/>
  <c r="JJ130" i="4" s="1"/>
  <c r="JJ129" i="4" s="1"/>
  <c r="JJ128" i="4" s="1"/>
  <c r="JJ127" i="4" s="1"/>
  <c r="JJ126" i="4" s="1"/>
  <c r="JJ125" i="4" s="1"/>
  <c r="JJ124" i="4" s="1"/>
  <c r="JJ123" i="4" s="1"/>
  <c r="JJ122" i="4" s="1"/>
  <c r="JJ121" i="4" s="1"/>
  <c r="JJ120" i="4" s="1"/>
  <c r="JJ119" i="4" s="1"/>
  <c r="JJ118" i="4" s="1"/>
  <c r="JJ117" i="4" s="1"/>
  <c r="JJ116" i="4" s="1"/>
  <c r="JJ115" i="4" s="1"/>
  <c r="JJ114" i="4" s="1"/>
  <c r="JJ113" i="4" s="1"/>
  <c r="JJ112" i="4" s="1"/>
  <c r="JJ111" i="4" s="1"/>
  <c r="JJ110" i="4" s="1"/>
  <c r="JJ109" i="4" s="1"/>
  <c r="JL203" i="4"/>
  <c r="JL202" i="4" s="1"/>
  <c r="JL201" i="4" s="1"/>
  <c r="JL200" i="4" s="1"/>
  <c r="JL199" i="4" s="1"/>
  <c r="JL198" i="4" s="1"/>
  <c r="JL197" i="4" s="1"/>
  <c r="JL196" i="4" s="1"/>
  <c r="JL195" i="4" s="1"/>
  <c r="JL194" i="4" s="1"/>
  <c r="JL193" i="4" s="1"/>
  <c r="JL192" i="4" s="1"/>
  <c r="JL191" i="4" s="1"/>
  <c r="JL190" i="4" s="1"/>
  <c r="JL189" i="4" s="1"/>
  <c r="JL188" i="4" s="1"/>
  <c r="JL187" i="4" s="1"/>
  <c r="JL186" i="4" s="1"/>
  <c r="JL185" i="4" s="1"/>
  <c r="JL184" i="4" s="1"/>
  <c r="JL183" i="4" s="1"/>
  <c r="JL182" i="4" s="1"/>
  <c r="JL181" i="4" s="1"/>
  <c r="JL180" i="4" s="1"/>
  <c r="JL179" i="4" s="1"/>
  <c r="JL178" i="4" s="1"/>
  <c r="JL177" i="4" s="1"/>
  <c r="JL176" i="4" s="1"/>
  <c r="JL175" i="4" s="1"/>
  <c r="JL174" i="4" s="1"/>
  <c r="JL173" i="4" s="1"/>
  <c r="JL172" i="4" s="1"/>
  <c r="JL171" i="4" s="1"/>
  <c r="JL170" i="4" s="1"/>
  <c r="JL169" i="4" s="1"/>
  <c r="JL168" i="4" s="1"/>
  <c r="JL167" i="4" s="1"/>
  <c r="JL166" i="4" s="1"/>
  <c r="JL165" i="4" s="1"/>
  <c r="JL164" i="4" s="1"/>
  <c r="JL163" i="4" s="1"/>
  <c r="JL162" i="4" s="1"/>
  <c r="JL161" i="4" s="1"/>
  <c r="JL160" i="4" s="1"/>
  <c r="JL159" i="4" s="1"/>
  <c r="JL158" i="4" s="1"/>
  <c r="JM203" i="4"/>
  <c r="JM202" i="4" s="1"/>
  <c r="JM201" i="4" s="1"/>
  <c r="JM200" i="4" s="1"/>
  <c r="JM199" i="4" s="1"/>
  <c r="JM198" i="4" s="1"/>
  <c r="JM197" i="4" s="1"/>
  <c r="JM196" i="4" s="1"/>
  <c r="JM195" i="4" s="1"/>
  <c r="JM194" i="4" s="1"/>
  <c r="JM193" i="4" s="1"/>
  <c r="JM192" i="4" s="1"/>
  <c r="JM191" i="4" s="1"/>
  <c r="JM190" i="4" s="1"/>
  <c r="JM189" i="4" s="1"/>
  <c r="JM188" i="4" s="1"/>
  <c r="JM187" i="4" s="1"/>
  <c r="JM186" i="4" s="1"/>
  <c r="JM185" i="4" s="1"/>
  <c r="JM184" i="4" s="1"/>
  <c r="JM183" i="4" s="1"/>
  <c r="JM182" i="4" s="1"/>
  <c r="JM181" i="4" s="1"/>
  <c r="JM180" i="4" s="1"/>
  <c r="JM179" i="4" s="1"/>
  <c r="JM178" i="4" s="1"/>
  <c r="JM177" i="4" s="1"/>
  <c r="JM176" i="4" s="1"/>
  <c r="JM175" i="4" s="1"/>
  <c r="JM174" i="4" s="1"/>
  <c r="JM173" i="4" s="1"/>
  <c r="JM172" i="4" s="1"/>
  <c r="JM171" i="4" s="1"/>
  <c r="JM170" i="4" s="1"/>
  <c r="JM169" i="4" s="1"/>
  <c r="JM168" i="4" s="1"/>
  <c r="JM167" i="4" s="1"/>
  <c r="JM166" i="4" s="1"/>
  <c r="JM165" i="4" s="1"/>
  <c r="JM164" i="4" s="1"/>
  <c r="JM163" i="4" s="1"/>
  <c r="JM162" i="4" s="1"/>
  <c r="JM161" i="4" s="1"/>
  <c r="JM160" i="4" s="1"/>
  <c r="JM159" i="4" s="1"/>
  <c r="JM158" i="4" s="1"/>
  <c r="JN203" i="4"/>
  <c r="JN202" i="4" s="1"/>
  <c r="JN201" i="4" s="1"/>
  <c r="JN200" i="4" s="1"/>
  <c r="JN199" i="4" s="1"/>
  <c r="JN198" i="4" s="1"/>
  <c r="JN197" i="4" s="1"/>
  <c r="JN196" i="4" s="1"/>
  <c r="JN195" i="4" s="1"/>
  <c r="JN194" i="4" s="1"/>
  <c r="JN193" i="4" s="1"/>
  <c r="JN192" i="4" s="1"/>
  <c r="JN191" i="4" s="1"/>
  <c r="JN190" i="4" s="1"/>
  <c r="JN189" i="4" s="1"/>
  <c r="JN188" i="4" s="1"/>
  <c r="JN187" i="4" s="1"/>
  <c r="JN186" i="4" s="1"/>
  <c r="JN185" i="4" s="1"/>
  <c r="JN184" i="4" s="1"/>
  <c r="JN183" i="4" s="1"/>
  <c r="JN182" i="4" s="1"/>
  <c r="JN181" i="4" s="1"/>
  <c r="JN180" i="4" s="1"/>
  <c r="JN179" i="4" s="1"/>
  <c r="JN178" i="4" s="1"/>
  <c r="JN177" i="4" s="1"/>
  <c r="JN176" i="4" s="1"/>
  <c r="JN175" i="4" s="1"/>
  <c r="JN174" i="4" s="1"/>
  <c r="JN173" i="4" s="1"/>
  <c r="JN172" i="4" s="1"/>
  <c r="JN171" i="4" s="1"/>
  <c r="JN170" i="4" s="1"/>
  <c r="JN169" i="4" s="1"/>
  <c r="JN168" i="4" s="1"/>
  <c r="JN167" i="4" s="1"/>
  <c r="JN166" i="4" s="1"/>
  <c r="JN165" i="4" s="1"/>
  <c r="JN164" i="4" s="1"/>
  <c r="JN163" i="4" s="1"/>
  <c r="JO203" i="4"/>
  <c r="JO202" i="4" s="1"/>
  <c r="JO201" i="4" s="1"/>
  <c r="JO200" i="4" s="1"/>
  <c r="JO199" i="4" s="1"/>
  <c r="JO198" i="4" s="1"/>
  <c r="JO197" i="4" s="1"/>
  <c r="JO196" i="4" s="1"/>
  <c r="JO195" i="4" s="1"/>
  <c r="JO194" i="4" s="1"/>
  <c r="JO193" i="4" s="1"/>
  <c r="JO192" i="4" s="1"/>
  <c r="JO191" i="4" s="1"/>
  <c r="JO190" i="4" s="1"/>
  <c r="JO189" i="4" s="1"/>
  <c r="JO188" i="4" s="1"/>
  <c r="JO187" i="4" s="1"/>
  <c r="JO186" i="4" s="1"/>
  <c r="JO185" i="4" s="1"/>
  <c r="JO184" i="4" s="1"/>
  <c r="JO183" i="4" s="1"/>
  <c r="JO182" i="4" s="1"/>
  <c r="JO181" i="4" s="1"/>
  <c r="JO180" i="4" s="1"/>
  <c r="JO179" i="4" s="1"/>
  <c r="JO178" i="4" s="1"/>
  <c r="JO177" i="4" s="1"/>
  <c r="JO176" i="4" s="1"/>
  <c r="JO175" i="4" s="1"/>
  <c r="JO174" i="4" s="1"/>
  <c r="JO173" i="4" s="1"/>
  <c r="JO172" i="4" s="1"/>
  <c r="JO171" i="4" s="1"/>
  <c r="JO170" i="4" s="1"/>
  <c r="JO169" i="4" s="1"/>
  <c r="JO168" i="4" s="1"/>
  <c r="JO167" i="4" s="1"/>
  <c r="JO166" i="4" s="1"/>
  <c r="JO165" i="4" s="1"/>
  <c r="JO164" i="4" s="1"/>
  <c r="JO163" i="4" s="1"/>
  <c r="JO162" i="4" s="1"/>
  <c r="JO161" i="4" s="1"/>
  <c r="JO160" i="4" s="1"/>
  <c r="JO159" i="4" s="1"/>
  <c r="JO158" i="4" s="1"/>
  <c r="JO157" i="4" s="1"/>
  <c r="JO156" i="4" s="1"/>
  <c r="JO155" i="4" s="1"/>
  <c r="JO154" i="4" s="1"/>
  <c r="JO153" i="4" s="1"/>
  <c r="JO152" i="4" s="1"/>
  <c r="JO151" i="4" s="1"/>
  <c r="JO150" i="4" s="1"/>
  <c r="JO149" i="4" s="1"/>
  <c r="JO148" i="4" s="1"/>
  <c r="JO147" i="4" s="1"/>
  <c r="JO146" i="4" s="1"/>
  <c r="JO145" i="4" s="1"/>
  <c r="JO144" i="4" s="1"/>
  <c r="JO143" i="4" s="1"/>
  <c r="JO142" i="4" s="1"/>
  <c r="JO141" i="4" s="1"/>
  <c r="JO140" i="4" s="1"/>
  <c r="JO139" i="4" s="1"/>
  <c r="JO138" i="4" s="1"/>
  <c r="JO137" i="4" s="1"/>
  <c r="JO136" i="4" s="1"/>
  <c r="JO135" i="4" s="1"/>
  <c r="JO134" i="4" s="1"/>
  <c r="JO133" i="4" s="1"/>
  <c r="JO132" i="4" s="1"/>
  <c r="JO131" i="4" s="1"/>
  <c r="JO130" i="4" s="1"/>
  <c r="JO129" i="4" s="1"/>
  <c r="JO128" i="4" s="1"/>
  <c r="JO127" i="4" s="1"/>
  <c r="JO126" i="4" s="1"/>
  <c r="JO125" i="4" s="1"/>
  <c r="JO124" i="4" s="1"/>
  <c r="JO123" i="4" s="1"/>
  <c r="JO122" i="4" s="1"/>
  <c r="JO121" i="4" s="1"/>
  <c r="JO120" i="4" s="1"/>
  <c r="JO119" i="4" s="1"/>
  <c r="JO118" i="4" s="1"/>
  <c r="JO117" i="4" s="1"/>
  <c r="JO116" i="4" s="1"/>
  <c r="JO115" i="4" s="1"/>
  <c r="JO114" i="4" s="1"/>
  <c r="JO113" i="4" s="1"/>
  <c r="JO112" i="4" s="1"/>
  <c r="JO111" i="4" s="1"/>
  <c r="JO110" i="4" s="1"/>
  <c r="JO109" i="4" s="1"/>
  <c r="JP203" i="4"/>
  <c r="JP202" i="4" s="1"/>
  <c r="JP201" i="4" s="1"/>
  <c r="JP200" i="4" s="1"/>
  <c r="JP199" i="4" s="1"/>
  <c r="JP198" i="4" s="1"/>
  <c r="JP197" i="4" s="1"/>
  <c r="JP196" i="4" s="1"/>
  <c r="JP195" i="4" s="1"/>
  <c r="JP194" i="4" s="1"/>
  <c r="JP193" i="4" s="1"/>
  <c r="JP192" i="4" s="1"/>
  <c r="JP191" i="4" s="1"/>
  <c r="JP190" i="4" s="1"/>
  <c r="JP189" i="4" s="1"/>
  <c r="JP188" i="4" s="1"/>
  <c r="JP187" i="4" s="1"/>
  <c r="JP186" i="4" s="1"/>
  <c r="JP185" i="4" s="1"/>
  <c r="JP184" i="4" s="1"/>
  <c r="JP183" i="4" s="1"/>
  <c r="JP182" i="4" s="1"/>
  <c r="JP181" i="4" s="1"/>
  <c r="JP180" i="4" s="1"/>
  <c r="JP179" i="4" s="1"/>
  <c r="JP178" i="4" s="1"/>
  <c r="JP177" i="4" s="1"/>
  <c r="JP176" i="4" s="1"/>
  <c r="JP175" i="4" s="1"/>
  <c r="JP174" i="4" s="1"/>
  <c r="JP173" i="4" s="1"/>
  <c r="JP172" i="4" s="1"/>
  <c r="JP171" i="4" s="1"/>
  <c r="JP170" i="4" s="1"/>
  <c r="JP169" i="4" s="1"/>
  <c r="JP168" i="4" s="1"/>
  <c r="JP167" i="4" s="1"/>
  <c r="JP166" i="4" s="1"/>
  <c r="JP165" i="4" s="1"/>
  <c r="JP164" i="4" s="1"/>
  <c r="JP163" i="4" s="1"/>
  <c r="JP162" i="4" s="1"/>
  <c r="JP161" i="4" s="1"/>
  <c r="JP160" i="4" s="1"/>
  <c r="JP159" i="4" s="1"/>
  <c r="JP158" i="4" s="1"/>
  <c r="JP157" i="4" s="1"/>
  <c r="JP156" i="4" s="1"/>
  <c r="JP155" i="4" s="1"/>
  <c r="JP154" i="4" s="1"/>
  <c r="JP153" i="4" s="1"/>
  <c r="JP152" i="4" s="1"/>
  <c r="JP151" i="4" s="1"/>
  <c r="JP150" i="4" s="1"/>
  <c r="JP149" i="4" s="1"/>
  <c r="JP148" i="4" s="1"/>
  <c r="JP147" i="4" s="1"/>
  <c r="JP146" i="4" s="1"/>
  <c r="JP145" i="4" s="1"/>
  <c r="JP144" i="4" s="1"/>
  <c r="JP143" i="4" s="1"/>
  <c r="JP142" i="4" s="1"/>
  <c r="JP141" i="4" s="1"/>
  <c r="JP140" i="4" s="1"/>
  <c r="JP139" i="4" s="1"/>
  <c r="JP138" i="4" s="1"/>
  <c r="JP137" i="4" s="1"/>
  <c r="JP136" i="4" s="1"/>
  <c r="JP135" i="4" s="1"/>
  <c r="JP134" i="4" s="1"/>
  <c r="JP133" i="4" s="1"/>
  <c r="JP132" i="4" s="1"/>
  <c r="JP131" i="4" s="1"/>
  <c r="JP130" i="4" s="1"/>
  <c r="JP129" i="4" s="1"/>
  <c r="JP128" i="4" s="1"/>
  <c r="JP127" i="4" s="1"/>
  <c r="JP126" i="4" s="1"/>
  <c r="JP125" i="4" s="1"/>
  <c r="JP124" i="4" s="1"/>
  <c r="JP123" i="4" s="1"/>
  <c r="JP122" i="4" s="1"/>
  <c r="JP121" i="4" s="1"/>
  <c r="JP120" i="4" s="1"/>
  <c r="JP119" i="4" s="1"/>
  <c r="JP118" i="4" s="1"/>
  <c r="JP117" i="4" s="1"/>
  <c r="JP116" i="4" s="1"/>
  <c r="JP115" i="4" s="1"/>
  <c r="JP114" i="4" s="1"/>
  <c r="JP113" i="4" s="1"/>
  <c r="JP112" i="4" s="1"/>
  <c r="JP111" i="4" s="1"/>
  <c r="JP110" i="4" s="1"/>
  <c r="JP109" i="4" s="1"/>
  <c r="JR203" i="4"/>
  <c r="JR202" i="4" s="1"/>
  <c r="JR201" i="4" s="1"/>
  <c r="JR200" i="4" s="1"/>
  <c r="JR199" i="4" s="1"/>
  <c r="JR198" i="4" s="1"/>
  <c r="JR197" i="4" s="1"/>
  <c r="JR196" i="4" s="1"/>
  <c r="JR195" i="4" s="1"/>
  <c r="JR194" i="4" s="1"/>
  <c r="JR193" i="4" s="1"/>
  <c r="JR192" i="4" s="1"/>
  <c r="JR191" i="4" s="1"/>
  <c r="JR190" i="4" s="1"/>
  <c r="JR189" i="4" s="1"/>
  <c r="JR188" i="4" s="1"/>
  <c r="JR187" i="4" s="1"/>
  <c r="JR186" i="4" s="1"/>
  <c r="JR185" i="4" s="1"/>
  <c r="JR184" i="4" s="1"/>
  <c r="JR183" i="4" s="1"/>
  <c r="JR182" i="4" s="1"/>
  <c r="JR181" i="4" s="1"/>
  <c r="JR180" i="4" s="1"/>
  <c r="JR179" i="4" s="1"/>
  <c r="JR178" i="4" s="1"/>
  <c r="JR177" i="4" s="1"/>
  <c r="JR176" i="4" s="1"/>
  <c r="JR175" i="4" s="1"/>
  <c r="JR174" i="4" s="1"/>
  <c r="JR173" i="4" s="1"/>
  <c r="JR172" i="4" s="1"/>
  <c r="JR171" i="4" s="1"/>
  <c r="JR170" i="4" s="1"/>
  <c r="JR169" i="4" s="1"/>
  <c r="JR168" i="4" s="1"/>
  <c r="JR167" i="4" s="1"/>
  <c r="JR166" i="4" s="1"/>
  <c r="JR165" i="4" s="1"/>
  <c r="JR164" i="4" s="1"/>
  <c r="JR163" i="4" s="1"/>
  <c r="JR162" i="4" s="1"/>
  <c r="JR161" i="4" s="1"/>
  <c r="JR160" i="4" s="1"/>
  <c r="JR159" i="4" s="1"/>
  <c r="JR158" i="4" s="1"/>
  <c r="JR157" i="4" s="1"/>
  <c r="JR156" i="4" s="1"/>
  <c r="JR155" i="4" s="1"/>
  <c r="JR154" i="4" s="1"/>
  <c r="JR153" i="4" s="1"/>
  <c r="JR152" i="4" s="1"/>
  <c r="JR151" i="4" s="1"/>
  <c r="JR150" i="4" s="1"/>
  <c r="JR149" i="4" s="1"/>
  <c r="JR148" i="4" s="1"/>
  <c r="JR147" i="4" s="1"/>
  <c r="JR146" i="4" s="1"/>
  <c r="JR145" i="4" s="1"/>
  <c r="JR144" i="4" s="1"/>
  <c r="JR143" i="4" s="1"/>
  <c r="JR142" i="4" s="1"/>
  <c r="JR141" i="4" s="1"/>
  <c r="JR140" i="4" s="1"/>
  <c r="JR139" i="4" s="1"/>
  <c r="JR138" i="4" s="1"/>
  <c r="JR137" i="4" s="1"/>
  <c r="JR136" i="4" s="1"/>
  <c r="JR135" i="4" s="1"/>
  <c r="JR134" i="4" s="1"/>
  <c r="JR133" i="4" s="1"/>
  <c r="JR132" i="4" s="1"/>
  <c r="JR131" i="4" s="1"/>
  <c r="JR130" i="4" s="1"/>
  <c r="JR129" i="4" s="1"/>
  <c r="JR128" i="4" s="1"/>
  <c r="JR127" i="4" s="1"/>
  <c r="JR126" i="4" s="1"/>
  <c r="JR125" i="4" s="1"/>
  <c r="JR124" i="4" s="1"/>
  <c r="JR123" i="4" s="1"/>
  <c r="JR122" i="4" s="1"/>
  <c r="JR121" i="4" s="1"/>
  <c r="JR120" i="4" s="1"/>
  <c r="JR119" i="4" s="1"/>
  <c r="JR118" i="4" s="1"/>
  <c r="JR117" i="4" s="1"/>
  <c r="JR116" i="4" s="1"/>
  <c r="JR115" i="4" s="1"/>
  <c r="JR114" i="4" s="1"/>
  <c r="JR113" i="4" s="1"/>
  <c r="JR112" i="4" s="1"/>
  <c r="JR111" i="4" s="1"/>
  <c r="JR110" i="4" s="1"/>
  <c r="JR109" i="4" s="1"/>
  <c r="JS203" i="4"/>
  <c r="JS202" i="4" s="1"/>
  <c r="JS201" i="4" s="1"/>
  <c r="JS200" i="4" s="1"/>
  <c r="JS199" i="4" s="1"/>
  <c r="JS198" i="4" s="1"/>
  <c r="JS197" i="4" s="1"/>
  <c r="JS196" i="4" s="1"/>
  <c r="JS195" i="4" s="1"/>
  <c r="JS194" i="4" s="1"/>
  <c r="JS193" i="4" s="1"/>
  <c r="JS192" i="4" s="1"/>
  <c r="JS191" i="4" s="1"/>
  <c r="JS190" i="4" s="1"/>
  <c r="JS189" i="4" s="1"/>
  <c r="JS188" i="4" s="1"/>
  <c r="JS187" i="4" s="1"/>
  <c r="JS186" i="4" s="1"/>
  <c r="JS185" i="4" s="1"/>
  <c r="JS184" i="4" s="1"/>
  <c r="JS183" i="4" s="1"/>
  <c r="JS182" i="4" s="1"/>
  <c r="JS181" i="4" s="1"/>
  <c r="JS180" i="4" s="1"/>
  <c r="JS179" i="4" s="1"/>
  <c r="JS178" i="4" s="1"/>
  <c r="JS177" i="4" s="1"/>
  <c r="JS176" i="4" s="1"/>
  <c r="JS175" i="4" s="1"/>
  <c r="JS174" i="4" s="1"/>
  <c r="JS173" i="4" s="1"/>
  <c r="JS172" i="4" s="1"/>
  <c r="JS171" i="4" s="1"/>
  <c r="JS170" i="4" s="1"/>
  <c r="JS169" i="4" s="1"/>
  <c r="JS168" i="4" s="1"/>
  <c r="JS167" i="4" s="1"/>
  <c r="JS166" i="4" s="1"/>
  <c r="JS165" i="4" s="1"/>
  <c r="JS164" i="4" s="1"/>
  <c r="JS163" i="4" s="1"/>
  <c r="JS162" i="4" s="1"/>
  <c r="JS161" i="4" s="1"/>
  <c r="JS160" i="4" s="1"/>
  <c r="JS159" i="4" s="1"/>
  <c r="JS158" i="4" s="1"/>
  <c r="JS157" i="4" s="1"/>
  <c r="JS156" i="4" s="1"/>
  <c r="JS155" i="4" s="1"/>
  <c r="JS154" i="4" s="1"/>
  <c r="JS153" i="4" s="1"/>
  <c r="JS152" i="4" s="1"/>
  <c r="JS151" i="4" s="1"/>
  <c r="JS150" i="4" s="1"/>
  <c r="JS149" i="4" s="1"/>
  <c r="JS148" i="4" s="1"/>
  <c r="JS147" i="4" s="1"/>
  <c r="JS146" i="4" s="1"/>
  <c r="JS145" i="4" s="1"/>
  <c r="JS144" i="4" s="1"/>
  <c r="JS143" i="4" s="1"/>
  <c r="JS142" i="4" s="1"/>
  <c r="JS141" i="4" s="1"/>
  <c r="JS140" i="4" s="1"/>
  <c r="JS139" i="4" s="1"/>
  <c r="JS138" i="4" s="1"/>
  <c r="JS137" i="4" s="1"/>
  <c r="JS136" i="4" s="1"/>
  <c r="JS135" i="4" s="1"/>
  <c r="JS134" i="4" s="1"/>
  <c r="JS133" i="4" s="1"/>
  <c r="JS132" i="4" s="1"/>
  <c r="JS131" i="4" s="1"/>
  <c r="JS130" i="4" s="1"/>
  <c r="JS129" i="4" s="1"/>
  <c r="JS128" i="4" s="1"/>
  <c r="JS127" i="4" s="1"/>
  <c r="JS126" i="4" s="1"/>
  <c r="JS125" i="4" s="1"/>
  <c r="JS124" i="4" s="1"/>
  <c r="JS123" i="4" s="1"/>
  <c r="JS122" i="4" s="1"/>
  <c r="JS121" i="4" s="1"/>
  <c r="JS120" i="4" s="1"/>
  <c r="JS119" i="4" s="1"/>
  <c r="JS118" i="4" s="1"/>
  <c r="JS117" i="4" s="1"/>
  <c r="JS116" i="4" s="1"/>
  <c r="JS115" i="4" s="1"/>
  <c r="JS114" i="4" s="1"/>
  <c r="JS113" i="4" s="1"/>
  <c r="JS112" i="4" s="1"/>
  <c r="JS111" i="4" s="1"/>
  <c r="JS110" i="4" s="1"/>
  <c r="JS109" i="4" s="1"/>
  <c r="JT203" i="4"/>
  <c r="JT202" i="4" s="1"/>
  <c r="JT201" i="4" s="1"/>
  <c r="JT200" i="4" s="1"/>
  <c r="JT199" i="4" s="1"/>
  <c r="JT198" i="4" s="1"/>
  <c r="JT197" i="4" s="1"/>
  <c r="JT196" i="4" s="1"/>
  <c r="JT195" i="4" s="1"/>
  <c r="JT194" i="4" s="1"/>
  <c r="JT193" i="4" s="1"/>
  <c r="JT192" i="4" s="1"/>
  <c r="JT191" i="4" s="1"/>
  <c r="JT190" i="4" s="1"/>
  <c r="JT189" i="4" s="1"/>
  <c r="JT188" i="4" s="1"/>
  <c r="JT187" i="4" s="1"/>
  <c r="JT186" i="4" s="1"/>
  <c r="JT185" i="4" s="1"/>
  <c r="JT184" i="4" s="1"/>
  <c r="JT183" i="4" s="1"/>
  <c r="JT182" i="4" s="1"/>
  <c r="JT181" i="4" s="1"/>
  <c r="JT180" i="4" s="1"/>
  <c r="JT179" i="4" s="1"/>
  <c r="JT178" i="4" s="1"/>
  <c r="JT177" i="4" s="1"/>
  <c r="JT176" i="4" s="1"/>
  <c r="JT175" i="4" s="1"/>
  <c r="JT174" i="4" s="1"/>
  <c r="JT173" i="4" s="1"/>
  <c r="JT172" i="4" s="1"/>
  <c r="JT171" i="4" s="1"/>
  <c r="JT170" i="4" s="1"/>
  <c r="JT169" i="4" s="1"/>
  <c r="JT168" i="4" s="1"/>
  <c r="JT167" i="4" s="1"/>
  <c r="JT166" i="4" s="1"/>
  <c r="JT165" i="4" s="1"/>
  <c r="JT164" i="4" s="1"/>
  <c r="JT163" i="4" s="1"/>
  <c r="JU203" i="4"/>
  <c r="JU202" i="4" s="1"/>
  <c r="JU201" i="4" s="1"/>
  <c r="JU200" i="4" s="1"/>
  <c r="JU199" i="4" s="1"/>
  <c r="JU198" i="4" s="1"/>
  <c r="JU197" i="4" s="1"/>
  <c r="JU196" i="4" s="1"/>
  <c r="JU195" i="4" s="1"/>
  <c r="JU194" i="4" s="1"/>
  <c r="JU193" i="4" s="1"/>
  <c r="JU192" i="4" s="1"/>
  <c r="JU191" i="4" s="1"/>
  <c r="JU190" i="4" s="1"/>
  <c r="JU189" i="4" s="1"/>
  <c r="JU188" i="4" s="1"/>
  <c r="JU187" i="4" s="1"/>
  <c r="JU186" i="4" s="1"/>
  <c r="JU185" i="4" s="1"/>
  <c r="JU184" i="4" s="1"/>
  <c r="JU183" i="4" s="1"/>
  <c r="JU182" i="4" s="1"/>
  <c r="JU181" i="4" s="1"/>
  <c r="JU180" i="4" s="1"/>
  <c r="JU179" i="4" s="1"/>
  <c r="JU178" i="4" s="1"/>
  <c r="JU177" i="4" s="1"/>
  <c r="JU176" i="4" s="1"/>
  <c r="JU175" i="4" s="1"/>
  <c r="JU174" i="4" s="1"/>
  <c r="JU173" i="4" s="1"/>
  <c r="JU172" i="4" s="1"/>
  <c r="JU171" i="4" s="1"/>
  <c r="JU170" i="4" s="1"/>
  <c r="JU169" i="4" s="1"/>
  <c r="JU168" i="4" s="1"/>
  <c r="JU167" i="4" s="1"/>
  <c r="JU166" i="4" s="1"/>
  <c r="JU165" i="4" s="1"/>
  <c r="JU164" i="4" s="1"/>
  <c r="JU163" i="4" s="1"/>
  <c r="JU162" i="4" s="1"/>
  <c r="JU161" i="4" s="1"/>
  <c r="JU160" i="4" s="1"/>
  <c r="JU159" i="4" s="1"/>
  <c r="JU158" i="4" s="1"/>
  <c r="JU157" i="4" s="1"/>
  <c r="JU156" i="4" s="1"/>
  <c r="JU155" i="4" s="1"/>
  <c r="JU154" i="4" s="1"/>
  <c r="JU153" i="4" s="1"/>
  <c r="JU152" i="4" s="1"/>
  <c r="JU151" i="4" s="1"/>
  <c r="JU150" i="4" s="1"/>
  <c r="JU149" i="4" s="1"/>
  <c r="JU148" i="4" s="1"/>
  <c r="JU147" i="4" s="1"/>
  <c r="JU146" i="4" s="1"/>
  <c r="JU145" i="4" s="1"/>
  <c r="JU144" i="4" s="1"/>
  <c r="JU143" i="4" s="1"/>
  <c r="JU142" i="4" s="1"/>
  <c r="JU141" i="4" s="1"/>
  <c r="JU140" i="4" s="1"/>
  <c r="JU139" i="4" s="1"/>
  <c r="JU138" i="4" s="1"/>
  <c r="JU137" i="4" s="1"/>
  <c r="JU136" i="4" s="1"/>
  <c r="JU135" i="4" s="1"/>
  <c r="JU134" i="4" s="1"/>
  <c r="JU133" i="4" s="1"/>
  <c r="JU132" i="4" s="1"/>
  <c r="JU131" i="4" s="1"/>
  <c r="JU130" i="4" s="1"/>
  <c r="JU129" i="4" s="1"/>
  <c r="JU128" i="4" s="1"/>
  <c r="JU127" i="4" s="1"/>
  <c r="JU126" i="4" s="1"/>
  <c r="JU125" i="4" s="1"/>
  <c r="JU124" i="4" s="1"/>
  <c r="JU123" i="4" s="1"/>
  <c r="JU122" i="4" s="1"/>
  <c r="JU121" i="4" s="1"/>
  <c r="JU120" i="4" s="1"/>
  <c r="JU119" i="4" s="1"/>
  <c r="JU118" i="4" s="1"/>
  <c r="JU117" i="4" s="1"/>
  <c r="JU116" i="4" s="1"/>
  <c r="JU115" i="4" s="1"/>
  <c r="JU114" i="4" s="1"/>
  <c r="JU113" i="4" s="1"/>
  <c r="JU112" i="4" s="1"/>
  <c r="JU111" i="4" s="1"/>
  <c r="JU110" i="4" s="1"/>
  <c r="JU109" i="4" s="1"/>
  <c r="JV203" i="4"/>
  <c r="JV202" i="4" s="1"/>
  <c r="JV201" i="4" s="1"/>
  <c r="JV200" i="4" s="1"/>
  <c r="JV199" i="4" s="1"/>
  <c r="JV198" i="4" s="1"/>
  <c r="JV197" i="4" s="1"/>
  <c r="JV196" i="4" s="1"/>
  <c r="JV195" i="4" s="1"/>
  <c r="JV194" i="4" s="1"/>
  <c r="JV193" i="4" s="1"/>
  <c r="JV192" i="4" s="1"/>
  <c r="JV191" i="4" s="1"/>
  <c r="JV190" i="4" s="1"/>
  <c r="JV189" i="4" s="1"/>
  <c r="JV188" i="4" s="1"/>
  <c r="JV187" i="4" s="1"/>
  <c r="JV186" i="4" s="1"/>
  <c r="JV185" i="4" s="1"/>
  <c r="JV184" i="4" s="1"/>
  <c r="JV183" i="4" s="1"/>
  <c r="JV182" i="4" s="1"/>
  <c r="JV181" i="4" s="1"/>
  <c r="JV180" i="4" s="1"/>
  <c r="JV179" i="4" s="1"/>
  <c r="JV178" i="4" s="1"/>
  <c r="JV177" i="4" s="1"/>
  <c r="JV176" i="4" s="1"/>
  <c r="JV175" i="4" s="1"/>
  <c r="JV174" i="4" s="1"/>
  <c r="JV173" i="4" s="1"/>
  <c r="JV172" i="4" s="1"/>
  <c r="JV171" i="4" s="1"/>
  <c r="JV170" i="4" s="1"/>
  <c r="JV169" i="4" s="1"/>
  <c r="JV168" i="4" s="1"/>
  <c r="JV167" i="4" s="1"/>
  <c r="JV166" i="4" s="1"/>
  <c r="JV165" i="4" s="1"/>
  <c r="JV164" i="4" s="1"/>
  <c r="JV163" i="4" s="1"/>
  <c r="JV162" i="4" s="1"/>
  <c r="JV161" i="4" s="1"/>
  <c r="JV160" i="4" s="1"/>
  <c r="JV159" i="4" s="1"/>
  <c r="JV158" i="4" s="1"/>
  <c r="JV157" i="4" s="1"/>
  <c r="JV156" i="4" s="1"/>
  <c r="JV155" i="4" s="1"/>
  <c r="JV154" i="4" s="1"/>
  <c r="JV153" i="4" s="1"/>
  <c r="JV152" i="4" s="1"/>
  <c r="JV151" i="4" s="1"/>
  <c r="JV150" i="4" s="1"/>
  <c r="JV149" i="4" s="1"/>
  <c r="JV148" i="4" s="1"/>
  <c r="JV147" i="4" s="1"/>
  <c r="JV146" i="4" s="1"/>
  <c r="JV145" i="4" s="1"/>
  <c r="JV144" i="4" s="1"/>
  <c r="JV143" i="4" s="1"/>
  <c r="JV142" i="4" s="1"/>
  <c r="JV141" i="4" s="1"/>
  <c r="JV140" i="4" s="1"/>
  <c r="JV139" i="4" s="1"/>
  <c r="JV138" i="4" s="1"/>
  <c r="JV137" i="4" s="1"/>
  <c r="JV136" i="4" s="1"/>
  <c r="JV135" i="4" s="1"/>
  <c r="JV134" i="4" s="1"/>
  <c r="JV133" i="4" s="1"/>
  <c r="JV132" i="4" s="1"/>
  <c r="JV131" i="4" s="1"/>
  <c r="JV130" i="4" s="1"/>
  <c r="JV129" i="4" s="1"/>
  <c r="JV128" i="4" s="1"/>
  <c r="JV127" i="4" s="1"/>
  <c r="JV126" i="4" s="1"/>
  <c r="JV125" i="4" s="1"/>
  <c r="JV124" i="4" s="1"/>
  <c r="JV123" i="4" s="1"/>
  <c r="JV122" i="4" s="1"/>
  <c r="JV121" i="4" s="1"/>
  <c r="JV120" i="4" s="1"/>
  <c r="JV119" i="4" s="1"/>
  <c r="JV118" i="4" s="1"/>
  <c r="JV117" i="4" s="1"/>
  <c r="JV116" i="4" s="1"/>
  <c r="JV115" i="4" s="1"/>
  <c r="JV114" i="4" s="1"/>
  <c r="JV113" i="4" s="1"/>
  <c r="JV112" i="4" s="1"/>
  <c r="JV111" i="4" s="1"/>
  <c r="JV110" i="4" s="1"/>
  <c r="JV109" i="4" s="1"/>
  <c r="JX203" i="4"/>
  <c r="JX202" i="4" s="1"/>
  <c r="JX201" i="4" s="1"/>
  <c r="JX200" i="4" s="1"/>
  <c r="JX199" i="4" s="1"/>
  <c r="JX198" i="4" s="1"/>
  <c r="JX197" i="4" s="1"/>
  <c r="JX196" i="4" s="1"/>
  <c r="JX195" i="4" s="1"/>
  <c r="JX194" i="4" s="1"/>
  <c r="JX193" i="4" s="1"/>
  <c r="JX192" i="4" s="1"/>
  <c r="JX191" i="4" s="1"/>
  <c r="JX190" i="4" s="1"/>
  <c r="JX189" i="4" s="1"/>
  <c r="JX188" i="4" s="1"/>
  <c r="JX187" i="4" s="1"/>
  <c r="JX186" i="4" s="1"/>
  <c r="JX185" i="4" s="1"/>
  <c r="JX184" i="4" s="1"/>
  <c r="JX183" i="4" s="1"/>
  <c r="JX182" i="4" s="1"/>
  <c r="JX181" i="4" s="1"/>
  <c r="JX180" i="4" s="1"/>
  <c r="JX179" i="4" s="1"/>
  <c r="JX178" i="4" s="1"/>
  <c r="JX177" i="4" s="1"/>
  <c r="JX176" i="4" s="1"/>
  <c r="JX175" i="4" s="1"/>
  <c r="JX174" i="4" s="1"/>
  <c r="JX173" i="4" s="1"/>
  <c r="JX172" i="4" s="1"/>
  <c r="JX171" i="4" s="1"/>
  <c r="JX170" i="4" s="1"/>
  <c r="JX169" i="4" s="1"/>
  <c r="JX168" i="4" s="1"/>
  <c r="JX167" i="4" s="1"/>
  <c r="JX166" i="4" s="1"/>
  <c r="JX165" i="4" s="1"/>
  <c r="JX164" i="4" s="1"/>
  <c r="JX163" i="4" s="1"/>
  <c r="JX162" i="4" s="1"/>
  <c r="JX161" i="4" s="1"/>
  <c r="JX160" i="4" s="1"/>
  <c r="JX159" i="4" s="1"/>
  <c r="JX158" i="4" s="1"/>
  <c r="JX157" i="4" s="1"/>
  <c r="JX156" i="4" s="1"/>
  <c r="JX155" i="4" s="1"/>
  <c r="JX154" i="4" s="1"/>
  <c r="JX153" i="4" s="1"/>
  <c r="JX152" i="4" s="1"/>
  <c r="JX151" i="4" s="1"/>
  <c r="JX150" i="4" s="1"/>
  <c r="JX149" i="4" s="1"/>
  <c r="JX148" i="4" s="1"/>
  <c r="JX147" i="4" s="1"/>
  <c r="JX146" i="4" s="1"/>
  <c r="JX145" i="4" s="1"/>
  <c r="JX144" i="4" s="1"/>
  <c r="JX143" i="4" s="1"/>
  <c r="JX142" i="4" s="1"/>
  <c r="JX141" i="4" s="1"/>
  <c r="JX140" i="4" s="1"/>
  <c r="JX139" i="4" s="1"/>
  <c r="JX138" i="4" s="1"/>
  <c r="JX137" i="4" s="1"/>
  <c r="JX136" i="4" s="1"/>
  <c r="JX135" i="4" s="1"/>
  <c r="JX134" i="4" s="1"/>
  <c r="JX133" i="4" s="1"/>
  <c r="JX132" i="4" s="1"/>
  <c r="JX131" i="4" s="1"/>
  <c r="JX130" i="4" s="1"/>
  <c r="JX129" i="4" s="1"/>
  <c r="JX128" i="4" s="1"/>
  <c r="JX127" i="4" s="1"/>
  <c r="JX126" i="4" s="1"/>
  <c r="JX125" i="4" s="1"/>
  <c r="JX124" i="4" s="1"/>
  <c r="JX123" i="4" s="1"/>
  <c r="JX122" i="4" s="1"/>
  <c r="JX121" i="4" s="1"/>
  <c r="JX120" i="4" s="1"/>
  <c r="JX119" i="4" s="1"/>
  <c r="JX118" i="4" s="1"/>
  <c r="JX117" i="4" s="1"/>
  <c r="JX116" i="4" s="1"/>
  <c r="JX115" i="4" s="1"/>
  <c r="JX114" i="4" s="1"/>
  <c r="JX113" i="4" s="1"/>
  <c r="JX112" i="4" s="1"/>
  <c r="JX111" i="4" s="1"/>
  <c r="JX110" i="4" s="1"/>
  <c r="JX109" i="4" s="1"/>
  <c r="JX108" i="4" s="1"/>
  <c r="JY203" i="4"/>
  <c r="JY202" i="4" s="1"/>
  <c r="JY201" i="4" s="1"/>
  <c r="JY200" i="4" s="1"/>
  <c r="JY199" i="4" s="1"/>
  <c r="JY198" i="4" s="1"/>
  <c r="JY197" i="4" s="1"/>
  <c r="JY196" i="4" s="1"/>
  <c r="JY195" i="4" s="1"/>
  <c r="JY194" i="4" s="1"/>
  <c r="JY193" i="4" s="1"/>
  <c r="JY192" i="4" s="1"/>
  <c r="JY191" i="4" s="1"/>
  <c r="JY190" i="4" s="1"/>
  <c r="JY189" i="4" s="1"/>
  <c r="JY188" i="4" s="1"/>
  <c r="JY187" i="4" s="1"/>
  <c r="JY186" i="4" s="1"/>
  <c r="JY185" i="4" s="1"/>
  <c r="JY184" i="4" s="1"/>
  <c r="JY183" i="4" s="1"/>
  <c r="JY182" i="4" s="1"/>
  <c r="JY181" i="4" s="1"/>
  <c r="JY180" i="4" s="1"/>
  <c r="JY179" i="4" s="1"/>
  <c r="JY178" i="4" s="1"/>
  <c r="JY177" i="4" s="1"/>
  <c r="JY176" i="4" s="1"/>
  <c r="JY175" i="4" s="1"/>
  <c r="JY174" i="4" s="1"/>
  <c r="JY173" i="4" s="1"/>
  <c r="JY172" i="4" s="1"/>
  <c r="JY171" i="4" s="1"/>
  <c r="JY170" i="4" s="1"/>
  <c r="JY169" i="4" s="1"/>
  <c r="JY168" i="4" s="1"/>
  <c r="JY167" i="4" s="1"/>
  <c r="JY166" i="4" s="1"/>
  <c r="JY165" i="4" s="1"/>
  <c r="JY164" i="4" s="1"/>
  <c r="JY163" i="4" s="1"/>
  <c r="JY162" i="4" s="1"/>
  <c r="JY161" i="4" s="1"/>
  <c r="JY160" i="4" s="1"/>
  <c r="JY159" i="4" s="1"/>
  <c r="JY158" i="4" s="1"/>
  <c r="JY157" i="4" s="1"/>
  <c r="JY156" i="4" s="1"/>
  <c r="JY155" i="4" s="1"/>
  <c r="JY154" i="4" s="1"/>
  <c r="JY153" i="4" s="1"/>
  <c r="JY152" i="4" s="1"/>
  <c r="JY151" i="4" s="1"/>
  <c r="JY150" i="4" s="1"/>
  <c r="JY149" i="4" s="1"/>
  <c r="JY148" i="4" s="1"/>
  <c r="JY147" i="4" s="1"/>
  <c r="JY146" i="4" s="1"/>
  <c r="JY145" i="4" s="1"/>
  <c r="JY144" i="4" s="1"/>
  <c r="JY143" i="4" s="1"/>
  <c r="JY142" i="4" s="1"/>
  <c r="JY141" i="4" s="1"/>
  <c r="JY140" i="4" s="1"/>
  <c r="JY139" i="4" s="1"/>
  <c r="JY138" i="4" s="1"/>
  <c r="JY137" i="4" s="1"/>
  <c r="JY136" i="4" s="1"/>
  <c r="JY135" i="4" s="1"/>
  <c r="JY134" i="4" s="1"/>
  <c r="JY133" i="4" s="1"/>
  <c r="JY132" i="4" s="1"/>
  <c r="JY131" i="4" s="1"/>
  <c r="JY130" i="4" s="1"/>
  <c r="JY129" i="4" s="1"/>
  <c r="JY128" i="4" s="1"/>
  <c r="JY127" i="4" s="1"/>
  <c r="JY126" i="4" s="1"/>
  <c r="JY125" i="4" s="1"/>
  <c r="JY124" i="4" s="1"/>
  <c r="JY123" i="4" s="1"/>
  <c r="JY122" i="4" s="1"/>
  <c r="JY121" i="4" s="1"/>
  <c r="JY120" i="4" s="1"/>
  <c r="JY119" i="4" s="1"/>
  <c r="JY118" i="4" s="1"/>
  <c r="JY117" i="4" s="1"/>
  <c r="JY116" i="4" s="1"/>
  <c r="JY115" i="4" s="1"/>
  <c r="JY114" i="4" s="1"/>
  <c r="JY113" i="4" s="1"/>
  <c r="JY112" i="4" s="1"/>
  <c r="JY111" i="4" s="1"/>
  <c r="JY110" i="4" s="1"/>
  <c r="JY109" i="4" s="1"/>
  <c r="JY108" i="4" s="1"/>
  <c r="JZ203" i="4"/>
  <c r="JZ202" i="4" s="1"/>
  <c r="JZ201" i="4" s="1"/>
  <c r="JZ200" i="4" s="1"/>
  <c r="JZ199" i="4" s="1"/>
  <c r="JZ198" i="4" s="1"/>
  <c r="JZ197" i="4" s="1"/>
  <c r="JZ196" i="4" s="1"/>
  <c r="JZ195" i="4" s="1"/>
  <c r="JZ194" i="4" s="1"/>
  <c r="JZ193" i="4" s="1"/>
  <c r="JZ192" i="4" s="1"/>
  <c r="KA203" i="4"/>
  <c r="KA202" i="4" s="1"/>
  <c r="KA201" i="4" s="1"/>
  <c r="KA200" i="4" s="1"/>
  <c r="KA199" i="4" s="1"/>
  <c r="KA198" i="4" s="1"/>
  <c r="KA197" i="4" s="1"/>
  <c r="KA196" i="4" s="1"/>
  <c r="KA195" i="4" s="1"/>
  <c r="KA194" i="4" s="1"/>
  <c r="KA193" i="4" s="1"/>
  <c r="KA192" i="4" s="1"/>
  <c r="KA191" i="4" s="1"/>
  <c r="KA190" i="4" s="1"/>
  <c r="KA189" i="4" s="1"/>
  <c r="KA188" i="4" s="1"/>
  <c r="KA187" i="4" s="1"/>
  <c r="KA186" i="4" s="1"/>
  <c r="KA185" i="4" s="1"/>
  <c r="KA184" i="4" s="1"/>
  <c r="KA183" i="4" s="1"/>
  <c r="KA182" i="4" s="1"/>
  <c r="KA181" i="4" s="1"/>
  <c r="KA180" i="4" s="1"/>
  <c r="KA179" i="4" s="1"/>
  <c r="KA178" i="4" s="1"/>
  <c r="KA177" i="4" s="1"/>
  <c r="KA176" i="4" s="1"/>
  <c r="KA175" i="4" s="1"/>
  <c r="KA174" i="4" s="1"/>
  <c r="KA173" i="4" s="1"/>
  <c r="KA172" i="4" s="1"/>
  <c r="KA171" i="4" s="1"/>
  <c r="KA170" i="4" s="1"/>
  <c r="KA169" i="4" s="1"/>
  <c r="KA168" i="4" s="1"/>
  <c r="KA167" i="4" s="1"/>
  <c r="KA166" i="4" s="1"/>
  <c r="KA165" i="4" s="1"/>
  <c r="KA164" i="4" s="1"/>
  <c r="KA163" i="4" s="1"/>
  <c r="KA162" i="4" s="1"/>
  <c r="KA161" i="4" s="1"/>
  <c r="KA160" i="4" s="1"/>
  <c r="KA159" i="4" s="1"/>
  <c r="KA158" i="4" s="1"/>
  <c r="KB203" i="4"/>
  <c r="KB202" i="4" s="1"/>
  <c r="KB201" i="4" s="1"/>
  <c r="KB200" i="4" s="1"/>
  <c r="KB199" i="4" s="1"/>
  <c r="KB198" i="4" s="1"/>
  <c r="KB197" i="4" s="1"/>
  <c r="KB196" i="4" s="1"/>
  <c r="KB195" i="4" s="1"/>
  <c r="KB194" i="4" s="1"/>
  <c r="KB193" i="4" s="1"/>
  <c r="KB192" i="4" s="1"/>
  <c r="KB191" i="4" s="1"/>
  <c r="KB190" i="4" s="1"/>
  <c r="KB189" i="4" s="1"/>
  <c r="KB188" i="4" s="1"/>
  <c r="KB187" i="4" s="1"/>
  <c r="KB186" i="4" s="1"/>
  <c r="KB185" i="4" s="1"/>
  <c r="KB184" i="4" s="1"/>
  <c r="KB183" i="4" s="1"/>
  <c r="KB182" i="4" s="1"/>
  <c r="KB181" i="4" s="1"/>
  <c r="KB180" i="4" s="1"/>
  <c r="KB179" i="4" s="1"/>
  <c r="KB178" i="4" s="1"/>
  <c r="KB177" i="4" s="1"/>
  <c r="KB176" i="4" s="1"/>
  <c r="KB175" i="4" s="1"/>
  <c r="KB174" i="4" s="1"/>
  <c r="KB173" i="4" s="1"/>
  <c r="KB172" i="4" s="1"/>
  <c r="KB171" i="4" s="1"/>
  <c r="KB170" i="4" s="1"/>
  <c r="KB169" i="4" s="1"/>
  <c r="KB168" i="4" s="1"/>
  <c r="KB167" i="4" s="1"/>
  <c r="KB166" i="4" s="1"/>
  <c r="KB165" i="4" s="1"/>
  <c r="KB164" i="4" s="1"/>
  <c r="KB163" i="4" s="1"/>
  <c r="KB162" i="4" s="1"/>
  <c r="KB161" i="4" s="1"/>
  <c r="KB160" i="4" s="1"/>
  <c r="KB159" i="4" s="1"/>
  <c r="KB158" i="4" s="1"/>
  <c r="KD203" i="4"/>
  <c r="KD202" i="4" s="1"/>
  <c r="KD201" i="4" s="1"/>
  <c r="KD200" i="4" s="1"/>
  <c r="KD199" i="4" s="1"/>
  <c r="KD198" i="4" s="1"/>
  <c r="KD197" i="4" s="1"/>
  <c r="KD196" i="4" s="1"/>
  <c r="KD195" i="4" s="1"/>
  <c r="KD194" i="4" s="1"/>
  <c r="KD193" i="4" s="1"/>
  <c r="KD192" i="4" s="1"/>
  <c r="KD191" i="4" s="1"/>
  <c r="KD190" i="4" s="1"/>
  <c r="KD189" i="4" s="1"/>
  <c r="KD188" i="4" s="1"/>
  <c r="KD187" i="4" s="1"/>
  <c r="KD186" i="4" s="1"/>
  <c r="KD185" i="4" s="1"/>
  <c r="KD184" i="4" s="1"/>
  <c r="KD183" i="4" s="1"/>
  <c r="KD182" i="4" s="1"/>
  <c r="KD181" i="4" s="1"/>
  <c r="KD180" i="4" s="1"/>
  <c r="KD179" i="4" s="1"/>
  <c r="KD178" i="4" s="1"/>
  <c r="KD177" i="4" s="1"/>
  <c r="KD176" i="4" s="1"/>
  <c r="KD175" i="4" s="1"/>
  <c r="KD174" i="4" s="1"/>
  <c r="KD173" i="4" s="1"/>
  <c r="KD172" i="4" s="1"/>
  <c r="KD171" i="4" s="1"/>
  <c r="KD170" i="4" s="1"/>
  <c r="KD169" i="4" s="1"/>
  <c r="KD168" i="4" s="1"/>
  <c r="KD167" i="4" s="1"/>
  <c r="KD166" i="4" s="1"/>
  <c r="KD165" i="4" s="1"/>
  <c r="KD164" i="4" s="1"/>
  <c r="KD163" i="4" s="1"/>
  <c r="KD162" i="4" s="1"/>
  <c r="KD161" i="4" s="1"/>
  <c r="KD160" i="4" s="1"/>
  <c r="KD159" i="4" s="1"/>
  <c r="KD158" i="4" s="1"/>
  <c r="KE203" i="4"/>
  <c r="KE202" i="4" s="1"/>
  <c r="KE201" i="4" s="1"/>
  <c r="KE200" i="4" s="1"/>
  <c r="KE199" i="4" s="1"/>
  <c r="KE198" i="4" s="1"/>
  <c r="KE197" i="4" s="1"/>
  <c r="KE196" i="4" s="1"/>
  <c r="KE195" i="4" s="1"/>
  <c r="KE194" i="4" s="1"/>
  <c r="KE193" i="4" s="1"/>
  <c r="KE192" i="4" s="1"/>
  <c r="KE191" i="4" s="1"/>
  <c r="KE190" i="4" s="1"/>
  <c r="KE189" i="4" s="1"/>
  <c r="KE188" i="4" s="1"/>
  <c r="KE187" i="4" s="1"/>
  <c r="KE186" i="4" s="1"/>
  <c r="KE185" i="4" s="1"/>
  <c r="KE184" i="4" s="1"/>
  <c r="KE183" i="4" s="1"/>
  <c r="KE182" i="4" s="1"/>
  <c r="KE181" i="4" s="1"/>
  <c r="KE180" i="4" s="1"/>
  <c r="KE179" i="4" s="1"/>
  <c r="KE178" i="4" s="1"/>
  <c r="KE177" i="4" s="1"/>
  <c r="KE176" i="4" s="1"/>
  <c r="KE175" i="4" s="1"/>
  <c r="KE174" i="4" s="1"/>
  <c r="KE173" i="4" s="1"/>
  <c r="KE172" i="4" s="1"/>
  <c r="KE171" i="4" s="1"/>
  <c r="KE170" i="4" s="1"/>
  <c r="KE169" i="4" s="1"/>
  <c r="KE168" i="4" s="1"/>
  <c r="KE167" i="4" s="1"/>
  <c r="KE166" i="4" s="1"/>
  <c r="KE165" i="4" s="1"/>
  <c r="KE164" i="4" s="1"/>
  <c r="KE163" i="4" s="1"/>
  <c r="KE162" i="4" s="1"/>
  <c r="KE161" i="4" s="1"/>
  <c r="KE160" i="4" s="1"/>
  <c r="KE159" i="4" s="1"/>
  <c r="KE158" i="4" s="1"/>
  <c r="KF203" i="4"/>
  <c r="KF202" i="4" s="1"/>
  <c r="KF201" i="4" s="1"/>
  <c r="KF200" i="4" s="1"/>
  <c r="KF199" i="4" s="1"/>
  <c r="KF198" i="4" s="1"/>
  <c r="KF197" i="4" s="1"/>
  <c r="KF196" i="4" s="1"/>
  <c r="KF195" i="4" s="1"/>
  <c r="KF194" i="4" s="1"/>
  <c r="KF193" i="4" s="1"/>
  <c r="KF192" i="4" s="1"/>
  <c r="KF191" i="4" s="1"/>
  <c r="KF190" i="4" s="1"/>
  <c r="KF189" i="4" s="1"/>
  <c r="KF188" i="4" s="1"/>
  <c r="KF187" i="4" s="1"/>
  <c r="KF186" i="4" s="1"/>
  <c r="KF185" i="4" s="1"/>
  <c r="KF184" i="4" s="1"/>
  <c r="KF183" i="4" s="1"/>
  <c r="KF182" i="4" s="1"/>
  <c r="KF181" i="4" s="1"/>
  <c r="KF180" i="4" s="1"/>
  <c r="KF179" i="4" s="1"/>
  <c r="KF178" i="4" s="1"/>
  <c r="KF177" i="4" s="1"/>
  <c r="KF176" i="4" s="1"/>
  <c r="KF175" i="4" s="1"/>
  <c r="KF174" i="4" s="1"/>
  <c r="KF173" i="4" s="1"/>
  <c r="KF172" i="4" s="1"/>
  <c r="KF171" i="4" s="1"/>
  <c r="KF170" i="4" s="1"/>
  <c r="KF169" i="4" s="1"/>
  <c r="KF168" i="4" s="1"/>
  <c r="KF167" i="4" s="1"/>
  <c r="KF166" i="4" s="1"/>
  <c r="KF165" i="4" s="1"/>
  <c r="KF164" i="4" s="1"/>
  <c r="KF163" i="4" s="1"/>
  <c r="KF162" i="4" s="1"/>
  <c r="KF161" i="4" s="1"/>
  <c r="KF160" i="4" s="1"/>
  <c r="KF159" i="4" s="1"/>
  <c r="KF158" i="4" s="1"/>
  <c r="KF157" i="4" s="1"/>
  <c r="KF156" i="4" s="1"/>
  <c r="KF155" i="4" s="1"/>
  <c r="KF154" i="4" s="1"/>
  <c r="KF153" i="4" s="1"/>
  <c r="KF152" i="4" s="1"/>
  <c r="KF151" i="4" s="1"/>
  <c r="KF150" i="4" s="1"/>
  <c r="KF149" i="4" s="1"/>
  <c r="KF148" i="4" s="1"/>
  <c r="KF147" i="4" s="1"/>
  <c r="KF146" i="4" s="1"/>
  <c r="KF145" i="4" s="1"/>
  <c r="KF144" i="4" s="1"/>
  <c r="KF143" i="4" s="1"/>
  <c r="KF142" i="4" s="1"/>
  <c r="KF141" i="4" s="1"/>
  <c r="KF140" i="4" s="1"/>
  <c r="KF139" i="4" s="1"/>
  <c r="KF138" i="4" s="1"/>
  <c r="KF137" i="4" s="1"/>
  <c r="KF136" i="4" s="1"/>
  <c r="KF135" i="4" s="1"/>
  <c r="KF134" i="4" s="1"/>
  <c r="KF133" i="4" s="1"/>
  <c r="KF132" i="4" s="1"/>
  <c r="KF131" i="4" s="1"/>
  <c r="KF130" i="4" s="1"/>
  <c r="KF129" i="4" s="1"/>
  <c r="KF128" i="4" s="1"/>
  <c r="KF127" i="4" s="1"/>
  <c r="KF126" i="4" s="1"/>
  <c r="KF125" i="4" s="1"/>
  <c r="KF124" i="4" s="1"/>
  <c r="KF123" i="4" s="1"/>
  <c r="KF122" i="4" s="1"/>
  <c r="KF121" i="4" s="1"/>
  <c r="KF120" i="4" s="1"/>
  <c r="KF119" i="4" s="1"/>
  <c r="KF118" i="4" s="1"/>
  <c r="KF117" i="4" s="1"/>
  <c r="KF116" i="4" s="1"/>
  <c r="KF115" i="4" s="1"/>
  <c r="KF114" i="4" s="1"/>
  <c r="KF113" i="4" s="1"/>
  <c r="KF112" i="4" s="1"/>
  <c r="KF111" i="4" s="1"/>
  <c r="KF110" i="4" s="1"/>
  <c r="KF109" i="4" s="1"/>
  <c r="KG203" i="4"/>
  <c r="KG202" i="4" s="1"/>
  <c r="KG201" i="4" s="1"/>
  <c r="KG200" i="4" s="1"/>
  <c r="KG199" i="4" s="1"/>
  <c r="KG198" i="4" s="1"/>
  <c r="KG197" i="4" s="1"/>
  <c r="KG196" i="4" s="1"/>
  <c r="KG195" i="4" s="1"/>
  <c r="KG194" i="4" s="1"/>
  <c r="KG193" i="4" s="1"/>
  <c r="KG192" i="4" s="1"/>
  <c r="KG191" i="4" s="1"/>
  <c r="KG190" i="4" s="1"/>
  <c r="KG189" i="4" s="1"/>
  <c r="KG188" i="4" s="1"/>
  <c r="KG187" i="4" s="1"/>
  <c r="KG186" i="4" s="1"/>
  <c r="KG185" i="4" s="1"/>
  <c r="KG184" i="4" s="1"/>
  <c r="KG183" i="4" s="1"/>
  <c r="KG182" i="4" s="1"/>
  <c r="KG181" i="4" s="1"/>
  <c r="KG180" i="4" s="1"/>
  <c r="KG179" i="4" s="1"/>
  <c r="KG178" i="4" s="1"/>
  <c r="KG177" i="4" s="1"/>
  <c r="KG176" i="4" s="1"/>
  <c r="KG175" i="4" s="1"/>
  <c r="KG174" i="4" s="1"/>
  <c r="KG173" i="4" s="1"/>
  <c r="KG172" i="4" s="1"/>
  <c r="KG171" i="4" s="1"/>
  <c r="KG170" i="4" s="1"/>
  <c r="KG169" i="4" s="1"/>
  <c r="KG168" i="4" s="1"/>
  <c r="KG167" i="4" s="1"/>
  <c r="KG166" i="4" s="1"/>
  <c r="KG165" i="4" s="1"/>
  <c r="KG164" i="4" s="1"/>
  <c r="KG163" i="4" s="1"/>
  <c r="KG162" i="4" s="1"/>
  <c r="KG161" i="4" s="1"/>
  <c r="KG160" i="4" s="1"/>
  <c r="KG159" i="4" s="1"/>
  <c r="KG158" i="4" s="1"/>
  <c r="KG157" i="4" s="1"/>
  <c r="KG156" i="4" s="1"/>
  <c r="KG155" i="4" s="1"/>
  <c r="KG154" i="4" s="1"/>
  <c r="KG153" i="4" s="1"/>
  <c r="KG152" i="4" s="1"/>
  <c r="KG151" i="4" s="1"/>
  <c r="KG150" i="4" s="1"/>
  <c r="KG149" i="4" s="1"/>
  <c r="KG148" i="4" s="1"/>
  <c r="KG147" i="4" s="1"/>
  <c r="KG146" i="4" s="1"/>
  <c r="KG145" i="4" s="1"/>
  <c r="KG144" i="4" s="1"/>
  <c r="KG143" i="4" s="1"/>
  <c r="KG142" i="4" s="1"/>
  <c r="KG141" i="4" s="1"/>
  <c r="KG140" i="4" s="1"/>
  <c r="KG139" i="4" s="1"/>
  <c r="KG138" i="4" s="1"/>
  <c r="KG137" i="4" s="1"/>
  <c r="KG136" i="4" s="1"/>
  <c r="KG135" i="4" s="1"/>
  <c r="KG134" i="4" s="1"/>
  <c r="KG133" i="4" s="1"/>
  <c r="KG132" i="4" s="1"/>
  <c r="KG131" i="4" s="1"/>
  <c r="KG130" i="4" s="1"/>
  <c r="KG129" i="4" s="1"/>
  <c r="KG128" i="4" s="1"/>
  <c r="KG127" i="4" s="1"/>
  <c r="KG126" i="4" s="1"/>
  <c r="KG125" i="4" s="1"/>
  <c r="KG124" i="4" s="1"/>
  <c r="KG123" i="4" s="1"/>
  <c r="KG122" i="4" s="1"/>
  <c r="KG121" i="4" s="1"/>
  <c r="KG120" i="4" s="1"/>
  <c r="KG119" i="4" s="1"/>
  <c r="KG118" i="4" s="1"/>
  <c r="KG117" i="4" s="1"/>
  <c r="KG116" i="4" s="1"/>
  <c r="KG115" i="4" s="1"/>
  <c r="KG114" i="4" s="1"/>
  <c r="KG113" i="4" s="1"/>
  <c r="KG112" i="4" s="1"/>
  <c r="KG111" i="4" s="1"/>
  <c r="KG110" i="4" s="1"/>
  <c r="KG109" i="4" s="1"/>
  <c r="KG108" i="4" s="1"/>
  <c r="KG107" i="4" s="1"/>
  <c r="KH203" i="4"/>
  <c r="KH202" i="4" s="1"/>
  <c r="KH201" i="4" s="1"/>
  <c r="KH200" i="4" s="1"/>
  <c r="KH199" i="4" s="1"/>
  <c r="KH198" i="4" s="1"/>
  <c r="KH197" i="4" s="1"/>
  <c r="KH196" i="4" s="1"/>
  <c r="KH195" i="4" s="1"/>
  <c r="KH194" i="4" s="1"/>
  <c r="KH193" i="4" s="1"/>
  <c r="KH192" i="4" s="1"/>
  <c r="KH191" i="4" s="1"/>
  <c r="KH190" i="4" s="1"/>
  <c r="KH189" i="4" s="1"/>
  <c r="KH188" i="4" s="1"/>
  <c r="KH187" i="4" s="1"/>
  <c r="KH186" i="4" s="1"/>
  <c r="KH185" i="4" s="1"/>
  <c r="KH184" i="4" s="1"/>
  <c r="KH183" i="4" s="1"/>
  <c r="KH182" i="4" s="1"/>
  <c r="KH181" i="4" s="1"/>
  <c r="KH180" i="4" s="1"/>
  <c r="KH179" i="4" s="1"/>
  <c r="KH178" i="4" s="1"/>
  <c r="KH177" i="4" s="1"/>
  <c r="KH176" i="4" s="1"/>
  <c r="KH175" i="4" s="1"/>
  <c r="KH174" i="4" s="1"/>
  <c r="KH173" i="4" s="1"/>
  <c r="KH172" i="4" s="1"/>
  <c r="KH171" i="4" s="1"/>
  <c r="KH170" i="4" s="1"/>
  <c r="KH169" i="4" s="1"/>
  <c r="KH168" i="4" s="1"/>
  <c r="KH167" i="4" s="1"/>
  <c r="KH166" i="4" s="1"/>
  <c r="KH165" i="4" s="1"/>
  <c r="KH164" i="4" s="1"/>
  <c r="KH163" i="4" s="1"/>
  <c r="KH162" i="4" s="1"/>
  <c r="KH161" i="4" s="1"/>
  <c r="KH160" i="4" s="1"/>
  <c r="KH159" i="4" s="1"/>
  <c r="KH158" i="4" s="1"/>
  <c r="KH157" i="4" s="1"/>
  <c r="KH156" i="4" s="1"/>
  <c r="KH155" i="4" s="1"/>
  <c r="KH154" i="4" s="1"/>
  <c r="KH153" i="4" s="1"/>
  <c r="KH152" i="4" s="1"/>
  <c r="KH151" i="4" s="1"/>
  <c r="KH150" i="4" s="1"/>
  <c r="KH149" i="4" s="1"/>
  <c r="KH148" i="4" s="1"/>
  <c r="KH147" i="4" s="1"/>
  <c r="KH146" i="4" s="1"/>
  <c r="KH145" i="4" s="1"/>
  <c r="KH144" i="4" s="1"/>
  <c r="KH143" i="4" s="1"/>
  <c r="KH142" i="4" s="1"/>
  <c r="KH141" i="4" s="1"/>
  <c r="KH140" i="4" s="1"/>
  <c r="KH139" i="4" s="1"/>
  <c r="KH138" i="4" s="1"/>
  <c r="KH137" i="4" s="1"/>
  <c r="KH136" i="4" s="1"/>
  <c r="KH135" i="4" s="1"/>
  <c r="KH134" i="4" s="1"/>
  <c r="KH133" i="4" s="1"/>
  <c r="KH132" i="4" s="1"/>
  <c r="KH131" i="4" s="1"/>
  <c r="KH130" i="4" s="1"/>
  <c r="KH129" i="4" s="1"/>
  <c r="KH128" i="4" s="1"/>
  <c r="KH127" i="4" s="1"/>
  <c r="KH126" i="4" s="1"/>
  <c r="KH125" i="4" s="1"/>
  <c r="KH124" i="4" s="1"/>
  <c r="KH123" i="4" s="1"/>
  <c r="KH122" i="4" s="1"/>
  <c r="KH121" i="4" s="1"/>
  <c r="KH120" i="4" s="1"/>
  <c r="KH119" i="4" s="1"/>
  <c r="KH118" i="4" s="1"/>
  <c r="KH117" i="4" s="1"/>
  <c r="KH116" i="4" s="1"/>
  <c r="KH115" i="4" s="1"/>
  <c r="KH114" i="4" s="1"/>
  <c r="KH113" i="4" s="1"/>
  <c r="KH112" i="4" s="1"/>
  <c r="KH111" i="4" s="1"/>
  <c r="KH110" i="4" s="1"/>
  <c r="KH109" i="4" s="1"/>
  <c r="KH108" i="4" s="1"/>
  <c r="KH107" i="4" s="1"/>
  <c r="KI203" i="4"/>
  <c r="KI202" i="4" s="1"/>
  <c r="KI201" i="4" s="1"/>
  <c r="KI200" i="4" s="1"/>
  <c r="KI199" i="4" s="1"/>
  <c r="KI198" i="4" s="1"/>
  <c r="KI197" i="4" s="1"/>
  <c r="KI196" i="4" s="1"/>
  <c r="KI195" i="4" s="1"/>
  <c r="KI194" i="4" s="1"/>
  <c r="KI193" i="4" s="1"/>
  <c r="KI192" i="4" s="1"/>
  <c r="KI191" i="4" s="1"/>
  <c r="KI190" i="4" s="1"/>
  <c r="KI189" i="4" s="1"/>
  <c r="KI188" i="4" s="1"/>
  <c r="KI187" i="4" s="1"/>
  <c r="KI186" i="4" s="1"/>
  <c r="KI185" i="4" s="1"/>
  <c r="KI184" i="4" s="1"/>
  <c r="KI183" i="4" s="1"/>
  <c r="KI182" i="4" s="1"/>
  <c r="KI181" i="4" s="1"/>
  <c r="KI180" i="4" s="1"/>
  <c r="KI179" i="4" s="1"/>
  <c r="KI178" i="4" s="1"/>
  <c r="KI177" i="4" s="1"/>
  <c r="KI176" i="4" s="1"/>
  <c r="KI175" i="4" s="1"/>
  <c r="KI174" i="4" s="1"/>
  <c r="KI173" i="4" s="1"/>
  <c r="KI172" i="4" s="1"/>
  <c r="KI171" i="4" s="1"/>
  <c r="KI170" i="4" s="1"/>
  <c r="KI169" i="4" s="1"/>
  <c r="KI168" i="4" s="1"/>
  <c r="KI167" i="4" s="1"/>
  <c r="KI166" i="4" s="1"/>
  <c r="KI165" i="4" s="1"/>
  <c r="KI164" i="4" s="1"/>
  <c r="KI163" i="4" s="1"/>
  <c r="KI162" i="4" s="1"/>
  <c r="KI161" i="4" s="1"/>
  <c r="KI160" i="4" s="1"/>
  <c r="KI159" i="4" s="1"/>
  <c r="KI158" i="4" s="1"/>
  <c r="KI157" i="4" s="1"/>
  <c r="KI156" i="4" s="1"/>
  <c r="KI155" i="4" s="1"/>
  <c r="KI154" i="4" s="1"/>
  <c r="KI153" i="4" s="1"/>
  <c r="KI152" i="4" s="1"/>
  <c r="KI151" i="4" s="1"/>
  <c r="KI150" i="4" s="1"/>
  <c r="KI149" i="4" s="1"/>
  <c r="KI148" i="4" s="1"/>
  <c r="KI147" i="4" s="1"/>
  <c r="KI146" i="4" s="1"/>
  <c r="KI145" i="4" s="1"/>
  <c r="KI144" i="4" s="1"/>
  <c r="KI143" i="4" s="1"/>
  <c r="KI142" i="4" s="1"/>
  <c r="KI141" i="4" s="1"/>
  <c r="KI140" i="4" s="1"/>
  <c r="KI139" i="4" s="1"/>
  <c r="KI138" i="4" s="1"/>
  <c r="KI137" i="4" s="1"/>
  <c r="KI136" i="4" s="1"/>
  <c r="KI135" i="4" s="1"/>
  <c r="KI134" i="4" s="1"/>
  <c r="KI133" i="4" s="1"/>
  <c r="KI132" i="4" s="1"/>
  <c r="KI131" i="4" s="1"/>
  <c r="KI130" i="4" s="1"/>
  <c r="KI129" i="4" s="1"/>
  <c r="KI128" i="4" s="1"/>
  <c r="KI127" i="4" s="1"/>
  <c r="KI126" i="4" s="1"/>
  <c r="KI125" i="4" s="1"/>
  <c r="KI124" i="4" s="1"/>
  <c r="KI123" i="4" s="1"/>
  <c r="KI122" i="4" s="1"/>
  <c r="KI121" i="4" s="1"/>
  <c r="KI120" i="4" s="1"/>
  <c r="KI119" i="4" s="1"/>
  <c r="KI118" i="4" s="1"/>
  <c r="KI117" i="4" s="1"/>
  <c r="KI116" i="4" s="1"/>
  <c r="KI115" i="4" s="1"/>
  <c r="KI114" i="4" s="1"/>
  <c r="KI113" i="4" s="1"/>
  <c r="KI112" i="4" s="1"/>
  <c r="KI111" i="4" s="1"/>
  <c r="KI110" i="4" s="1"/>
  <c r="KI109" i="4" s="1"/>
  <c r="KI108" i="4" s="1"/>
  <c r="KI107" i="4" s="1"/>
  <c r="KJ203" i="4"/>
  <c r="KJ202" i="4" s="1"/>
  <c r="KJ201" i="4" s="1"/>
  <c r="KJ200" i="4" s="1"/>
  <c r="KJ199" i="4" s="1"/>
  <c r="KJ198" i="4" s="1"/>
  <c r="KJ197" i="4" s="1"/>
  <c r="KJ196" i="4" s="1"/>
  <c r="KJ195" i="4" s="1"/>
  <c r="KJ194" i="4" s="1"/>
  <c r="KJ193" i="4" s="1"/>
  <c r="KJ192" i="4" s="1"/>
  <c r="KJ191" i="4" s="1"/>
  <c r="KJ190" i="4" s="1"/>
  <c r="KJ189" i="4" s="1"/>
  <c r="KJ188" i="4" s="1"/>
  <c r="KJ187" i="4" s="1"/>
  <c r="KJ186" i="4" s="1"/>
  <c r="KJ185" i="4" s="1"/>
  <c r="KJ184" i="4" s="1"/>
  <c r="KJ183" i="4" s="1"/>
  <c r="KJ182" i="4" s="1"/>
  <c r="KJ181" i="4" s="1"/>
  <c r="KJ180" i="4" s="1"/>
  <c r="KJ179" i="4" s="1"/>
  <c r="KJ178" i="4" s="1"/>
  <c r="KJ177" i="4" s="1"/>
  <c r="KJ176" i="4" s="1"/>
  <c r="KJ175" i="4" s="1"/>
  <c r="KJ174" i="4" s="1"/>
  <c r="KJ173" i="4" s="1"/>
  <c r="KJ172" i="4" s="1"/>
  <c r="KJ171" i="4" s="1"/>
  <c r="KJ170" i="4" s="1"/>
  <c r="KJ169" i="4" s="1"/>
  <c r="KJ168" i="4" s="1"/>
  <c r="KJ167" i="4" s="1"/>
  <c r="KJ166" i="4" s="1"/>
  <c r="KJ165" i="4" s="1"/>
  <c r="KJ164" i="4" s="1"/>
  <c r="KJ163" i="4" s="1"/>
  <c r="KJ162" i="4" s="1"/>
  <c r="KJ161" i="4" s="1"/>
  <c r="KJ160" i="4" s="1"/>
  <c r="KJ159" i="4" s="1"/>
  <c r="KJ158" i="4" s="1"/>
  <c r="KJ157" i="4" s="1"/>
  <c r="KJ156" i="4" s="1"/>
  <c r="KJ155" i="4" s="1"/>
  <c r="KJ154" i="4" s="1"/>
  <c r="KJ153" i="4" s="1"/>
  <c r="KJ152" i="4" s="1"/>
  <c r="KJ151" i="4" s="1"/>
  <c r="KJ150" i="4" s="1"/>
  <c r="KJ149" i="4" s="1"/>
  <c r="KJ148" i="4" s="1"/>
  <c r="KJ147" i="4" s="1"/>
  <c r="KJ146" i="4" s="1"/>
  <c r="KJ145" i="4" s="1"/>
  <c r="KJ144" i="4" s="1"/>
  <c r="KJ143" i="4" s="1"/>
  <c r="KJ142" i="4" s="1"/>
  <c r="KJ141" i="4" s="1"/>
  <c r="KJ140" i="4" s="1"/>
  <c r="KJ139" i="4" s="1"/>
  <c r="KJ138" i="4" s="1"/>
  <c r="KJ137" i="4" s="1"/>
  <c r="KJ136" i="4" s="1"/>
  <c r="KJ135" i="4" s="1"/>
  <c r="KJ134" i="4" s="1"/>
  <c r="KJ133" i="4" s="1"/>
  <c r="KJ132" i="4" s="1"/>
  <c r="KJ131" i="4" s="1"/>
  <c r="KJ130" i="4" s="1"/>
  <c r="KJ129" i="4" s="1"/>
  <c r="KJ128" i="4" s="1"/>
  <c r="KJ127" i="4" s="1"/>
  <c r="KJ126" i="4" s="1"/>
  <c r="KJ125" i="4" s="1"/>
  <c r="KJ124" i="4" s="1"/>
  <c r="KJ123" i="4" s="1"/>
  <c r="KJ122" i="4" s="1"/>
  <c r="KJ121" i="4" s="1"/>
  <c r="KJ120" i="4" s="1"/>
  <c r="KJ119" i="4" s="1"/>
  <c r="KJ118" i="4" s="1"/>
  <c r="KJ117" i="4" s="1"/>
  <c r="KJ116" i="4" s="1"/>
  <c r="KJ115" i="4" s="1"/>
  <c r="KJ114" i="4" s="1"/>
  <c r="KJ113" i="4" s="1"/>
  <c r="KJ112" i="4" s="1"/>
  <c r="KJ111" i="4" s="1"/>
  <c r="KJ110" i="4" s="1"/>
  <c r="KJ109" i="4" s="1"/>
  <c r="KJ108" i="4" s="1"/>
  <c r="KJ107" i="4" s="1"/>
  <c r="KK203" i="4"/>
  <c r="KK202" i="4" s="1"/>
  <c r="KK201" i="4" s="1"/>
  <c r="KK200" i="4" s="1"/>
  <c r="KK199" i="4" s="1"/>
  <c r="KK198" i="4" s="1"/>
  <c r="KK197" i="4" s="1"/>
  <c r="KK196" i="4" s="1"/>
  <c r="KK195" i="4" s="1"/>
  <c r="KK194" i="4" s="1"/>
  <c r="KK193" i="4" s="1"/>
  <c r="KK192" i="4" s="1"/>
  <c r="KK191" i="4" s="1"/>
  <c r="KK190" i="4" s="1"/>
  <c r="KK189" i="4" s="1"/>
  <c r="KK188" i="4" s="1"/>
  <c r="KK187" i="4" s="1"/>
  <c r="KK186" i="4" s="1"/>
  <c r="KK185" i="4" s="1"/>
  <c r="KK184" i="4" s="1"/>
  <c r="KK183" i="4" s="1"/>
  <c r="KK182" i="4" s="1"/>
  <c r="KK181" i="4" s="1"/>
  <c r="KK180" i="4" s="1"/>
  <c r="KK179" i="4" s="1"/>
  <c r="KK178" i="4" s="1"/>
  <c r="KK177" i="4" s="1"/>
  <c r="KK176" i="4" s="1"/>
  <c r="KK175" i="4" s="1"/>
  <c r="KK174" i="4" s="1"/>
  <c r="KK173" i="4" s="1"/>
  <c r="KK172" i="4" s="1"/>
  <c r="KK171" i="4" s="1"/>
  <c r="KK170" i="4" s="1"/>
  <c r="KK169" i="4" s="1"/>
  <c r="KK168" i="4" s="1"/>
  <c r="KK167" i="4" s="1"/>
  <c r="KK166" i="4" s="1"/>
  <c r="KK165" i="4" s="1"/>
  <c r="KK164" i="4" s="1"/>
  <c r="KK163" i="4" s="1"/>
  <c r="KK162" i="4" s="1"/>
  <c r="KK161" i="4" s="1"/>
  <c r="KK160" i="4" s="1"/>
  <c r="KK159" i="4" s="1"/>
  <c r="KK158" i="4" s="1"/>
  <c r="KK157" i="4" s="1"/>
  <c r="KK156" i="4" s="1"/>
  <c r="KK155" i="4" s="1"/>
  <c r="KK154" i="4" s="1"/>
  <c r="KK153" i="4" s="1"/>
  <c r="KK152" i="4" s="1"/>
  <c r="KK151" i="4" s="1"/>
  <c r="KK150" i="4" s="1"/>
  <c r="KK149" i="4" s="1"/>
  <c r="KK148" i="4" s="1"/>
  <c r="KK147" i="4" s="1"/>
  <c r="KK146" i="4" s="1"/>
  <c r="KK145" i="4" s="1"/>
  <c r="KK144" i="4" s="1"/>
  <c r="KK143" i="4" s="1"/>
  <c r="KK142" i="4" s="1"/>
  <c r="KK141" i="4" s="1"/>
  <c r="KK140" i="4" s="1"/>
  <c r="KK139" i="4" s="1"/>
  <c r="KK138" i="4" s="1"/>
  <c r="KK137" i="4" s="1"/>
  <c r="KK136" i="4" s="1"/>
  <c r="KK135" i="4" s="1"/>
  <c r="KK134" i="4" s="1"/>
  <c r="KK133" i="4" s="1"/>
  <c r="KK132" i="4" s="1"/>
  <c r="KK131" i="4" s="1"/>
  <c r="KK130" i="4" s="1"/>
  <c r="KK129" i="4" s="1"/>
  <c r="KK128" i="4" s="1"/>
  <c r="KK127" i="4" s="1"/>
  <c r="KK126" i="4" s="1"/>
  <c r="KK125" i="4" s="1"/>
  <c r="KK124" i="4" s="1"/>
  <c r="KK123" i="4" s="1"/>
  <c r="KK122" i="4" s="1"/>
  <c r="KK121" i="4" s="1"/>
  <c r="KK120" i="4" s="1"/>
  <c r="KK119" i="4" s="1"/>
  <c r="KK118" i="4" s="1"/>
  <c r="KK117" i="4" s="1"/>
  <c r="KK116" i="4" s="1"/>
  <c r="KK115" i="4" s="1"/>
  <c r="KK114" i="4" s="1"/>
  <c r="KK113" i="4" s="1"/>
  <c r="KK112" i="4" s="1"/>
  <c r="KK111" i="4" s="1"/>
  <c r="KK110" i="4" s="1"/>
  <c r="KK109" i="4" s="1"/>
  <c r="KK108" i="4" s="1"/>
  <c r="KK107" i="4" s="1"/>
  <c r="KL203" i="4"/>
  <c r="KL202" i="4" s="1"/>
  <c r="KL201" i="4" s="1"/>
  <c r="KL200" i="4" s="1"/>
  <c r="KL199" i="4" s="1"/>
  <c r="KL198" i="4" s="1"/>
  <c r="KL197" i="4" s="1"/>
  <c r="KL196" i="4" s="1"/>
  <c r="KL195" i="4" s="1"/>
  <c r="KL194" i="4" s="1"/>
  <c r="KL193" i="4" s="1"/>
  <c r="KL192" i="4" s="1"/>
  <c r="KL191" i="4" s="1"/>
  <c r="KL190" i="4" s="1"/>
  <c r="KL189" i="4" s="1"/>
  <c r="KL188" i="4" s="1"/>
  <c r="KL187" i="4" s="1"/>
  <c r="KL186" i="4" s="1"/>
  <c r="KL185" i="4" s="1"/>
  <c r="KL184" i="4" s="1"/>
  <c r="KL183" i="4" s="1"/>
  <c r="KL182" i="4" s="1"/>
  <c r="KL181" i="4" s="1"/>
  <c r="KL180" i="4" s="1"/>
  <c r="KL179" i="4" s="1"/>
  <c r="KL178" i="4" s="1"/>
  <c r="KL177" i="4" s="1"/>
  <c r="KL176" i="4" s="1"/>
  <c r="KL175" i="4" s="1"/>
  <c r="KL174" i="4" s="1"/>
  <c r="KL173" i="4" s="1"/>
  <c r="KL172" i="4" s="1"/>
  <c r="KL171" i="4" s="1"/>
  <c r="KL170" i="4" s="1"/>
  <c r="KL169" i="4" s="1"/>
  <c r="KL168" i="4" s="1"/>
  <c r="KL167" i="4" s="1"/>
  <c r="KL166" i="4" s="1"/>
  <c r="KL165" i="4" s="1"/>
  <c r="KL164" i="4" s="1"/>
  <c r="KL163" i="4" s="1"/>
  <c r="KL162" i="4" s="1"/>
  <c r="KL161" i="4" s="1"/>
  <c r="KL160" i="4" s="1"/>
  <c r="KL159" i="4" s="1"/>
  <c r="KL158" i="4" s="1"/>
  <c r="KL157" i="4" s="1"/>
  <c r="KL156" i="4" s="1"/>
  <c r="KL155" i="4" s="1"/>
  <c r="KL154" i="4" s="1"/>
  <c r="KL153" i="4" s="1"/>
  <c r="KL152" i="4" s="1"/>
  <c r="KL151" i="4" s="1"/>
  <c r="KL150" i="4" s="1"/>
  <c r="KL149" i="4" s="1"/>
  <c r="KL148" i="4" s="1"/>
  <c r="KL147" i="4" s="1"/>
  <c r="KL146" i="4" s="1"/>
  <c r="KL145" i="4" s="1"/>
  <c r="KL144" i="4" s="1"/>
  <c r="KL143" i="4" s="1"/>
  <c r="KL142" i="4" s="1"/>
  <c r="KL141" i="4" s="1"/>
  <c r="KL140" i="4" s="1"/>
  <c r="KL139" i="4" s="1"/>
  <c r="KL138" i="4" s="1"/>
  <c r="KL137" i="4" s="1"/>
  <c r="KL136" i="4" s="1"/>
  <c r="KL135" i="4" s="1"/>
  <c r="KL134" i="4" s="1"/>
  <c r="KL133" i="4" s="1"/>
  <c r="KL132" i="4" s="1"/>
  <c r="KL131" i="4" s="1"/>
  <c r="KL130" i="4" s="1"/>
  <c r="KL129" i="4" s="1"/>
  <c r="KL128" i="4" s="1"/>
  <c r="KL127" i="4" s="1"/>
  <c r="KL126" i="4" s="1"/>
  <c r="KL125" i="4" s="1"/>
  <c r="KL124" i="4" s="1"/>
  <c r="KL123" i="4" s="1"/>
  <c r="KL122" i="4" s="1"/>
  <c r="KL121" i="4" s="1"/>
  <c r="KL120" i="4" s="1"/>
  <c r="KL119" i="4" s="1"/>
  <c r="KL118" i="4" s="1"/>
  <c r="KL117" i="4" s="1"/>
  <c r="KL116" i="4" s="1"/>
  <c r="KL115" i="4" s="1"/>
  <c r="KL114" i="4" s="1"/>
  <c r="KL113" i="4" s="1"/>
  <c r="KL112" i="4" s="1"/>
  <c r="KL111" i="4" s="1"/>
  <c r="KL110" i="4" s="1"/>
  <c r="KL109" i="4" s="1"/>
  <c r="KL108" i="4" s="1"/>
  <c r="KL107" i="4" s="1"/>
  <c r="KM203" i="4"/>
  <c r="KM202" i="4" s="1"/>
  <c r="KM201" i="4" s="1"/>
  <c r="KM200" i="4" s="1"/>
  <c r="KM199" i="4" s="1"/>
  <c r="KM198" i="4" s="1"/>
  <c r="KM197" i="4" s="1"/>
  <c r="KM196" i="4" s="1"/>
  <c r="KM195" i="4" s="1"/>
  <c r="KM194" i="4" s="1"/>
  <c r="KM193" i="4" s="1"/>
  <c r="KM192" i="4" s="1"/>
  <c r="KM191" i="4" s="1"/>
  <c r="KM190" i="4" s="1"/>
  <c r="KM189" i="4" s="1"/>
  <c r="KM188" i="4" s="1"/>
  <c r="KM187" i="4" s="1"/>
  <c r="KM186" i="4" s="1"/>
  <c r="KM185" i="4" s="1"/>
  <c r="KM184" i="4" s="1"/>
  <c r="KM183" i="4" s="1"/>
  <c r="KM182" i="4" s="1"/>
  <c r="KM181" i="4" s="1"/>
  <c r="KM180" i="4" s="1"/>
  <c r="KM179" i="4" s="1"/>
  <c r="KM178" i="4" s="1"/>
  <c r="KM177" i="4" s="1"/>
  <c r="KM176" i="4" s="1"/>
  <c r="KM175" i="4" s="1"/>
  <c r="KM174" i="4" s="1"/>
  <c r="KM173" i="4" s="1"/>
  <c r="KM172" i="4" s="1"/>
  <c r="KM171" i="4" s="1"/>
  <c r="KM170" i="4" s="1"/>
  <c r="KM169" i="4" s="1"/>
  <c r="KM168" i="4" s="1"/>
  <c r="KM167" i="4" s="1"/>
  <c r="KM166" i="4" s="1"/>
  <c r="KM165" i="4" s="1"/>
  <c r="KM164" i="4" s="1"/>
  <c r="KM163" i="4" s="1"/>
  <c r="KM162" i="4" s="1"/>
  <c r="KM161" i="4" s="1"/>
  <c r="KM160" i="4" s="1"/>
  <c r="KM159" i="4" s="1"/>
  <c r="KM158" i="4" s="1"/>
  <c r="KM157" i="4" s="1"/>
  <c r="KM156" i="4" s="1"/>
  <c r="KM155" i="4" s="1"/>
  <c r="KM154" i="4" s="1"/>
  <c r="KM153" i="4" s="1"/>
  <c r="KM152" i="4" s="1"/>
  <c r="KM151" i="4" s="1"/>
  <c r="KM150" i="4" s="1"/>
  <c r="KM149" i="4" s="1"/>
  <c r="KM148" i="4" s="1"/>
  <c r="KM147" i="4" s="1"/>
  <c r="KM146" i="4" s="1"/>
  <c r="KM145" i="4" s="1"/>
  <c r="KM144" i="4" s="1"/>
  <c r="KM143" i="4" s="1"/>
  <c r="KM142" i="4" s="1"/>
  <c r="KM141" i="4" s="1"/>
  <c r="KM140" i="4" s="1"/>
  <c r="KM139" i="4" s="1"/>
  <c r="KM138" i="4" s="1"/>
  <c r="KM137" i="4" s="1"/>
  <c r="KM136" i="4" s="1"/>
  <c r="KM135" i="4" s="1"/>
  <c r="KM134" i="4" s="1"/>
  <c r="KM133" i="4" s="1"/>
  <c r="KM132" i="4" s="1"/>
  <c r="KM131" i="4" s="1"/>
  <c r="KM130" i="4" s="1"/>
  <c r="KM129" i="4" s="1"/>
  <c r="KM128" i="4" s="1"/>
  <c r="KM127" i="4" s="1"/>
  <c r="KM126" i="4" s="1"/>
  <c r="KM125" i="4" s="1"/>
  <c r="KM124" i="4" s="1"/>
  <c r="KM123" i="4" s="1"/>
  <c r="KM122" i="4" s="1"/>
  <c r="KM121" i="4" s="1"/>
  <c r="KM120" i="4" s="1"/>
  <c r="KM119" i="4" s="1"/>
  <c r="KM118" i="4" s="1"/>
  <c r="KM117" i="4" s="1"/>
  <c r="KM116" i="4" s="1"/>
  <c r="KM115" i="4" s="1"/>
  <c r="KM114" i="4" s="1"/>
  <c r="KM113" i="4" s="1"/>
  <c r="KM112" i="4" s="1"/>
  <c r="KM111" i="4" s="1"/>
  <c r="KM110" i="4" s="1"/>
  <c r="KM109" i="4" s="1"/>
  <c r="KM108" i="4" s="1"/>
  <c r="KM107" i="4" s="1"/>
  <c r="KN203" i="4"/>
  <c r="KN202" i="4" s="1"/>
  <c r="KN201" i="4" s="1"/>
  <c r="KN200" i="4" s="1"/>
  <c r="KN199" i="4" s="1"/>
  <c r="KN198" i="4" s="1"/>
  <c r="KN197" i="4" s="1"/>
  <c r="KN196" i="4" s="1"/>
  <c r="KN195" i="4" s="1"/>
  <c r="KN194" i="4" s="1"/>
  <c r="KN193" i="4" s="1"/>
  <c r="KN192" i="4" s="1"/>
  <c r="KN191" i="4" s="1"/>
  <c r="KN190" i="4" s="1"/>
  <c r="KN189" i="4" s="1"/>
  <c r="KN188" i="4" s="1"/>
  <c r="KN187" i="4" s="1"/>
  <c r="KN186" i="4" s="1"/>
  <c r="KN185" i="4" s="1"/>
  <c r="KN184" i="4" s="1"/>
  <c r="KN183" i="4" s="1"/>
  <c r="KN182" i="4" s="1"/>
  <c r="KN181" i="4" s="1"/>
  <c r="KN180" i="4" s="1"/>
  <c r="KN179" i="4" s="1"/>
  <c r="KN178" i="4" s="1"/>
  <c r="KN177" i="4" s="1"/>
  <c r="KN176" i="4" s="1"/>
  <c r="KN175" i="4" s="1"/>
  <c r="KN174" i="4" s="1"/>
  <c r="KN173" i="4" s="1"/>
  <c r="KN172" i="4" s="1"/>
  <c r="KN171" i="4" s="1"/>
  <c r="KN170" i="4" s="1"/>
  <c r="KN169" i="4" s="1"/>
  <c r="KN168" i="4" s="1"/>
  <c r="KN167" i="4" s="1"/>
  <c r="KN166" i="4" s="1"/>
  <c r="KN165" i="4" s="1"/>
  <c r="KN164" i="4" s="1"/>
  <c r="KN163" i="4" s="1"/>
  <c r="KN162" i="4" s="1"/>
  <c r="KN161" i="4" s="1"/>
  <c r="KN160" i="4" s="1"/>
  <c r="KN159" i="4" s="1"/>
  <c r="KN158" i="4" s="1"/>
  <c r="KN157" i="4" s="1"/>
  <c r="KN156" i="4" s="1"/>
  <c r="KN155" i="4" s="1"/>
  <c r="KN154" i="4" s="1"/>
  <c r="KN153" i="4" s="1"/>
  <c r="KN152" i="4" s="1"/>
  <c r="KN151" i="4" s="1"/>
  <c r="KN150" i="4" s="1"/>
  <c r="KN149" i="4" s="1"/>
  <c r="KN148" i="4" s="1"/>
  <c r="KN147" i="4" s="1"/>
  <c r="KN146" i="4" s="1"/>
  <c r="KN145" i="4" s="1"/>
  <c r="KN144" i="4" s="1"/>
  <c r="KN143" i="4" s="1"/>
  <c r="KN142" i="4" s="1"/>
  <c r="KN141" i="4" s="1"/>
  <c r="KN140" i="4" s="1"/>
  <c r="KN139" i="4" s="1"/>
  <c r="KN138" i="4" s="1"/>
  <c r="KN137" i="4" s="1"/>
  <c r="KN136" i="4" s="1"/>
  <c r="KN135" i="4" s="1"/>
  <c r="KN134" i="4" s="1"/>
  <c r="KN133" i="4" s="1"/>
  <c r="KN132" i="4" s="1"/>
  <c r="KN131" i="4" s="1"/>
  <c r="KN130" i="4" s="1"/>
  <c r="KN129" i="4" s="1"/>
  <c r="KN128" i="4" s="1"/>
  <c r="KN127" i="4" s="1"/>
  <c r="KN126" i="4" s="1"/>
  <c r="KN125" i="4" s="1"/>
  <c r="KN124" i="4" s="1"/>
  <c r="KN123" i="4" s="1"/>
  <c r="KN122" i="4" s="1"/>
  <c r="KN121" i="4" s="1"/>
  <c r="KN120" i="4" s="1"/>
  <c r="KN119" i="4" s="1"/>
  <c r="KN118" i="4" s="1"/>
  <c r="KN117" i="4" s="1"/>
  <c r="KN116" i="4" s="1"/>
  <c r="KN115" i="4" s="1"/>
  <c r="KN114" i="4" s="1"/>
  <c r="KN113" i="4" s="1"/>
  <c r="KN112" i="4" s="1"/>
  <c r="KN111" i="4" s="1"/>
  <c r="KN110" i="4" s="1"/>
  <c r="KN109" i="4" s="1"/>
  <c r="KN108" i="4" s="1"/>
  <c r="KN107" i="4" s="1"/>
  <c r="KO203" i="4"/>
  <c r="KO202" i="4" s="1"/>
  <c r="KO201" i="4" s="1"/>
  <c r="KO200" i="4" s="1"/>
  <c r="KO199" i="4" s="1"/>
  <c r="KO198" i="4" s="1"/>
  <c r="KO197" i="4" s="1"/>
  <c r="KO196" i="4" s="1"/>
  <c r="KO195" i="4" s="1"/>
  <c r="KO194" i="4" s="1"/>
  <c r="KO193" i="4" s="1"/>
  <c r="KO192" i="4" s="1"/>
  <c r="KO191" i="4" s="1"/>
  <c r="KO190" i="4" s="1"/>
  <c r="KO189" i="4" s="1"/>
  <c r="KO188" i="4" s="1"/>
  <c r="KO187" i="4" s="1"/>
  <c r="KO186" i="4" s="1"/>
  <c r="KO185" i="4" s="1"/>
  <c r="KO184" i="4" s="1"/>
  <c r="KO183" i="4" s="1"/>
  <c r="KO182" i="4" s="1"/>
  <c r="KO181" i="4" s="1"/>
  <c r="KO180" i="4" s="1"/>
  <c r="KO179" i="4" s="1"/>
  <c r="KO178" i="4" s="1"/>
  <c r="KO177" i="4" s="1"/>
  <c r="KO176" i="4" s="1"/>
  <c r="KO175" i="4" s="1"/>
  <c r="KO174" i="4" s="1"/>
  <c r="KO173" i="4" s="1"/>
  <c r="KO172" i="4" s="1"/>
  <c r="KO171" i="4" s="1"/>
  <c r="KO170" i="4" s="1"/>
  <c r="KO169" i="4" s="1"/>
  <c r="KO168" i="4" s="1"/>
  <c r="KO167" i="4" s="1"/>
  <c r="KO166" i="4" s="1"/>
  <c r="KO165" i="4" s="1"/>
  <c r="KO164" i="4" s="1"/>
  <c r="KO163" i="4" s="1"/>
  <c r="KO162" i="4" s="1"/>
  <c r="KO161" i="4" s="1"/>
  <c r="KO160" i="4" s="1"/>
  <c r="KO159" i="4" s="1"/>
  <c r="KO158" i="4" s="1"/>
  <c r="KO157" i="4" s="1"/>
  <c r="KO156" i="4" s="1"/>
  <c r="KO155" i="4" s="1"/>
  <c r="KO154" i="4" s="1"/>
  <c r="KO153" i="4" s="1"/>
  <c r="KO152" i="4" s="1"/>
  <c r="KO151" i="4" s="1"/>
  <c r="KO150" i="4" s="1"/>
  <c r="KO149" i="4" s="1"/>
  <c r="KO148" i="4" s="1"/>
  <c r="KO147" i="4" s="1"/>
  <c r="KO146" i="4" s="1"/>
  <c r="KO145" i="4" s="1"/>
  <c r="KO144" i="4" s="1"/>
  <c r="KO143" i="4" s="1"/>
  <c r="KO142" i="4" s="1"/>
  <c r="KO141" i="4" s="1"/>
  <c r="KO140" i="4" s="1"/>
  <c r="KO139" i="4" s="1"/>
  <c r="KO138" i="4" s="1"/>
  <c r="KO137" i="4" s="1"/>
  <c r="KO136" i="4" s="1"/>
  <c r="KO135" i="4" s="1"/>
  <c r="KO134" i="4" s="1"/>
  <c r="KO133" i="4" s="1"/>
  <c r="KO132" i="4" s="1"/>
  <c r="KO131" i="4" s="1"/>
  <c r="KO130" i="4" s="1"/>
  <c r="KO129" i="4" s="1"/>
  <c r="KO128" i="4" s="1"/>
  <c r="KO127" i="4" s="1"/>
  <c r="KO126" i="4" s="1"/>
  <c r="KO125" i="4" s="1"/>
  <c r="KO124" i="4" s="1"/>
  <c r="KO123" i="4" s="1"/>
  <c r="KO122" i="4" s="1"/>
  <c r="KO121" i="4" s="1"/>
  <c r="KO120" i="4" s="1"/>
  <c r="KO119" i="4" s="1"/>
  <c r="KO118" i="4" s="1"/>
  <c r="KO117" i="4" s="1"/>
  <c r="KO116" i="4" s="1"/>
  <c r="KO115" i="4" s="1"/>
  <c r="KO114" i="4" s="1"/>
  <c r="KO113" i="4" s="1"/>
  <c r="KO112" i="4" s="1"/>
  <c r="KO111" i="4" s="1"/>
  <c r="KO110" i="4" s="1"/>
  <c r="KO109" i="4" s="1"/>
  <c r="KO108" i="4" s="1"/>
  <c r="KO107" i="4" s="1"/>
  <c r="KP203" i="4"/>
  <c r="KP202" i="4" s="1"/>
  <c r="KP201" i="4" s="1"/>
  <c r="KP200" i="4" s="1"/>
  <c r="KP199" i="4" s="1"/>
  <c r="KP198" i="4" s="1"/>
  <c r="KP197" i="4" s="1"/>
  <c r="KP196" i="4" s="1"/>
  <c r="KP195" i="4" s="1"/>
  <c r="KP194" i="4" s="1"/>
  <c r="KP193" i="4" s="1"/>
  <c r="KP192" i="4" s="1"/>
  <c r="KP191" i="4" s="1"/>
  <c r="KP190" i="4" s="1"/>
  <c r="KP189" i="4" s="1"/>
  <c r="KP188" i="4" s="1"/>
  <c r="KP187" i="4" s="1"/>
  <c r="KP186" i="4" s="1"/>
  <c r="KP185" i="4" s="1"/>
  <c r="KP184" i="4" s="1"/>
  <c r="KP183" i="4" s="1"/>
  <c r="KP182" i="4" s="1"/>
  <c r="KP181" i="4" s="1"/>
  <c r="KP180" i="4" s="1"/>
  <c r="KP179" i="4" s="1"/>
  <c r="KP178" i="4" s="1"/>
  <c r="KP177" i="4" s="1"/>
  <c r="KP176" i="4" s="1"/>
  <c r="KP175" i="4" s="1"/>
  <c r="KP174" i="4" s="1"/>
  <c r="KP173" i="4" s="1"/>
  <c r="KP172" i="4" s="1"/>
  <c r="KP171" i="4" s="1"/>
  <c r="KP170" i="4" s="1"/>
  <c r="KP169" i="4" s="1"/>
  <c r="KP168" i="4" s="1"/>
  <c r="KP167" i="4" s="1"/>
  <c r="KP166" i="4" s="1"/>
  <c r="KP165" i="4" s="1"/>
  <c r="KP164" i="4" s="1"/>
  <c r="KP163" i="4" s="1"/>
  <c r="KP162" i="4" s="1"/>
  <c r="KP161" i="4" s="1"/>
  <c r="KP160" i="4" s="1"/>
  <c r="KP159" i="4" s="1"/>
  <c r="KP158" i="4" s="1"/>
  <c r="KP157" i="4" s="1"/>
  <c r="KP156" i="4" s="1"/>
  <c r="KP155" i="4" s="1"/>
  <c r="KP154" i="4" s="1"/>
  <c r="KP153" i="4" s="1"/>
  <c r="KP152" i="4" s="1"/>
  <c r="KP151" i="4" s="1"/>
  <c r="KP150" i="4" s="1"/>
  <c r="KP149" i="4" s="1"/>
  <c r="KP148" i="4" s="1"/>
  <c r="KP147" i="4" s="1"/>
  <c r="KP146" i="4" s="1"/>
  <c r="KP145" i="4" s="1"/>
  <c r="KP144" i="4" s="1"/>
  <c r="KP143" i="4" s="1"/>
  <c r="KP142" i="4" s="1"/>
  <c r="KP141" i="4" s="1"/>
  <c r="KP140" i="4" s="1"/>
  <c r="KP139" i="4" s="1"/>
  <c r="KP138" i="4" s="1"/>
  <c r="KP137" i="4" s="1"/>
  <c r="KP136" i="4" s="1"/>
  <c r="KP135" i="4" s="1"/>
  <c r="KP134" i="4" s="1"/>
  <c r="KP133" i="4" s="1"/>
  <c r="KP132" i="4" s="1"/>
  <c r="KP131" i="4" s="1"/>
  <c r="KP130" i="4" s="1"/>
  <c r="KP129" i="4" s="1"/>
  <c r="KP128" i="4" s="1"/>
  <c r="KP127" i="4" s="1"/>
  <c r="KP126" i="4" s="1"/>
  <c r="KP125" i="4" s="1"/>
  <c r="KP124" i="4" s="1"/>
  <c r="KP123" i="4" s="1"/>
  <c r="KP122" i="4" s="1"/>
  <c r="KP121" i="4" s="1"/>
  <c r="KP120" i="4" s="1"/>
  <c r="KP119" i="4" s="1"/>
  <c r="KP118" i="4" s="1"/>
  <c r="KP117" i="4" s="1"/>
  <c r="KP116" i="4" s="1"/>
  <c r="KP115" i="4" s="1"/>
  <c r="KP114" i="4" s="1"/>
  <c r="KP113" i="4" s="1"/>
  <c r="KP112" i="4" s="1"/>
  <c r="KP111" i="4" s="1"/>
  <c r="KP110" i="4" s="1"/>
  <c r="KP109" i="4" s="1"/>
  <c r="KP108" i="4" s="1"/>
  <c r="KP107" i="4" s="1"/>
  <c r="KQ203" i="4"/>
  <c r="KQ202" i="4" s="1"/>
  <c r="KQ201" i="4" s="1"/>
  <c r="KQ200" i="4" s="1"/>
  <c r="KQ199" i="4" s="1"/>
  <c r="KQ198" i="4" s="1"/>
  <c r="KQ197" i="4" s="1"/>
  <c r="KQ196" i="4" s="1"/>
  <c r="KQ195" i="4" s="1"/>
  <c r="KQ194" i="4" s="1"/>
  <c r="KQ193" i="4" s="1"/>
  <c r="KQ192" i="4" s="1"/>
  <c r="KQ191" i="4" s="1"/>
  <c r="KQ190" i="4" s="1"/>
  <c r="KQ189" i="4" s="1"/>
  <c r="KQ188" i="4" s="1"/>
  <c r="KQ187" i="4" s="1"/>
  <c r="KQ186" i="4" s="1"/>
  <c r="KQ185" i="4" s="1"/>
  <c r="KQ184" i="4" s="1"/>
  <c r="KQ183" i="4" s="1"/>
  <c r="KQ182" i="4" s="1"/>
  <c r="KQ181" i="4" s="1"/>
  <c r="KQ180" i="4" s="1"/>
  <c r="KQ179" i="4" s="1"/>
  <c r="KQ178" i="4" s="1"/>
  <c r="KQ177" i="4" s="1"/>
  <c r="KQ176" i="4" s="1"/>
  <c r="KQ175" i="4" s="1"/>
  <c r="KQ174" i="4" s="1"/>
  <c r="KQ173" i="4" s="1"/>
  <c r="KQ172" i="4" s="1"/>
  <c r="KQ171" i="4" s="1"/>
  <c r="KQ170" i="4" s="1"/>
  <c r="KQ169" i="4" s="1"/>
  <c r="KQ168" i="4" s="1"/>
  <c r="KQ167" i="4" s="1"/>
  <c r="KQ166" i="4" s="1"/>
  <c r="KQ165" i="4" s="1"/>
  <c r="KQ164" i="4" s="1"/>
  <c r="KQ163" i="4" s="1"/>
  <c r="KQ162" i="4" s="1"/>
  <c r="KQ161" i="4" s="1"/>
  <c r="KQ160" i="4" s="1"/>
  <c r="KQ159" i="4" s="1"/>
  <c r="KQ158" i="4" s="1"/>
  <c r="KQ157" i="4" s="1"/>
  <c r="KQ156" i="4" s="1"/>
  <c r="KQ155" i="4" s="1"/>
  <c r="KQ154" i="4" s="1"/>
  <c r="KQ153" i="4" s="1"/>
  <c r="KQ152" i="4" s="1"/>
  <c r="KQ151" i="4" s="1"/>
  <c r="KQ150" i="4" s="1"/>
  <c r="KQ149" i="4" s="1"/>
  <c r="KQ148" i="4" s="1"/>
  <c r="KQ147" i="4" s="1"/>
  <c r="KQ146" i="4" s="1"/>
  <c r="KQ145" i="4" s="1"/>
  <c r="KQ144" i="4" s="1"/>
  <c r="KQ143" i="4" s="1"/>
  <c r="KQ142" i="4" s="1"/>
  <c r="KQ141" i="4" s="1"/>
  <c r="KQ140" i="4" s="1"/>
  <c r="KQ139" i="4" s="1"/>
  <c r="KQ138" i="4" s="1"/>
  <c r="KQ137" i="4" s="1"/>
  <c r="KQ136" i="4" s="1"/>
  <c r="KQ135" i="4" s="1"/>
  <c r="KQ134" i="4" s="1"/>
  <c r="KQ133" i="4" s="1"/>
  <c r="KQ132" i="4" s="1"/>
  <c r="KQ131" i="4" s="1"/>
  <c r="KQ130" i="4" s="1"/>
  <c r="KQ129" i="4" s="1"/>
  <c r="KQ128" i="4" s="1"/>
  <c r="KQ127" i="4" s="1"/>
  <c r="KQ126" i="4" s="1"/>
  <c r="KQ125" i="4" s="1"/>
  <c r="KQ124" i="4" s="1"/>
  <c r="KQ123" i="4" s="1"/>
  <c r="KQ122" i="4" s="1"/>
  <c r="KQ121" i="4" s="1"/>
  <c r="KQ120" i="4" s="1"/>
  <c r="KQ119" i="4" s="1"/>
  <c r="KQ118" i="4" s="1"/>
  <c r="KQ117" i="4" s="1"/>
  <c r="KQ116" i="4" s="1"/>
  <c r="KQ115" i="4" s="1"/>
  <c r="KQ114" i="4" s="1"/>
  <c r="KQ113" i="4" s="1"/>
  <c r="KQ112" i="4" s="1"/>
  <c r="KQ111" i="4" s="1"/>
  <c r="KQ110" i="4" s="1"/>
  <c r="KQ109" i="4" s="1"/>
  <c r="KQ108" i="4" s="1"/>
  <c r="KQ107" i="4" s="1"/>
  <c r="KR203" i="4"/>
  <c r="KR202" i="4" s="1"/>
  <c r="KR201" i="4" s="1"/>
  <c r="KR200" i="4" s="1"/>
  <c r="KR199" i="4" s="1"/>
  <c r="KR198" i="4" s="1"/>
  <c r="KR197" i="4" s="1"/>
  <c r="KR196" i="4" s="1"/>
  <c r="KR195" i="4" s="1"/>
  <c r="KR194" i="4" s="1"/>
  <c r="KR193" i="4" s="1"/>
  <c r="KR192" i="4" s="1"/>
  <c r="KR191" i="4" s="1"/>
  <c r="KR190" i="4" s="1"/>
  <c r="KR189" i="4" s="1"/>
  <c r="KR188" i="4" s="1"/>
  <c r="KR187" i="4" s="1"/>
  <c r="KR186" i="4" s="1"/>
  <c r="KR185" i="4" s="1"/>
  <c r="KR184" i="4" s="1"/>
  <c r="KR183" i="4" s="1"/>
  <c r="KR182" i="4" s="1"/>
  <c r="KR181" i="4" s="1"/>
  <c r="KR180" i="4" s="1"/>
  <c r="KR179" i="4" s="1"/>
  <c r="KR178" i="4" s="1"/>
  <c r="KR177" i="4" s="1"/>
  <c r="KR176" i="4" s="1"/>
  <c r="KR175" i="4" s="1"/>
  <c r="KR174" i="4" s="1"/>
  <c r="KR173" i="4" s="1"/>
  <c r="KR172" i="4" s="1"/>
  <c r="KR171" i="4" s="1"/>
  <c r="KR170" i="4" s="1"/>
  <c r="KR169" i="4" s="1"/>
  <c r="KR168" i="4" s="1"/>
  <c r="KR167" i="4" s="1"/>
  <c r="KR166" i="4" s="1"/>
  <c r="KR165" i="4" s="1"/>
  <c r="KR164" i="4" s="1"/>
  <c r="KR163" i="4" s="1"/>
  <c r="KR162" i="4" s="1"/>
  <c r="KR161" i="4" s="1"/>
  <c r="KR160" i="4" s="1"/>
  <c r="KR159" i="4" s="1"/>
  <c r="KR158" i="4" s="1"/>
  <c r="KR157" i="4" s="1"/>
  <c r="KR156" i="4" s="1"/>
  <c r="KR155" i="4" s="1"/>
  <c r="KR154" i="4" s="1"/>
  <c r="KR153" i="4" s="1"/>
  <c r="KR152" i="4" s="1"/>
  <c r="KR151" i="4" s="1"/>
  <c r="KR150" i="4" s="1"/>
  <c r="KR149" i="4" s="1"/>
  <c r="KR148" i="4" s="1"/>
  <c r="KR147" i="4" s="1"/>
  <c r="KR146" i="4" s="1"/>
  <c r="KR145" i="4" s="1"/>
  <c r="KR144" i="4" s="1"/>
  <c r="KR143" i="4" s="1"/>
  <c r="KR142" i="4" s="1"/>
  <c r="KR141" i="4" s="1"/>
  <c r="KR140" i="4" s="1"/>
  <c r="KR139" i="4" s="1"/>
  <c r="KR138" i="4" s="1"/>
  <c r="KR137" i="4" s="1"/>
  <c r="KR136" i="4" s="1"/>
  <c r="KR135" i="4" s="1"/>
  <c r="KR134" i="4" s="1"/>
  <c r="KR133" i="4" s="1"/>
  <c r="KR132" i="4" s="1"/>
  <c r="KR131" i="4" s="1"/>
  <c r="KR130" i="4" s="1"/>
  <c r="KR129" i="4" s="1"/>
  <c r="KR128" i="4" s="1"/>
  <c r="KR127" i="4" s="1"/>
  <c r="KR126" i="4" s="1"/>
  <c r="KR125" i="4" s="1"/>
  <c r="KR124" i="4" s="1"/>
  <c r="KR123" i="4" s="1"/>
  <c r="KR122" i="4" s="1"/>
  <c r="KR121" i="4" s="1"/>
  <c r="KR120" i="4" s="1"/>
  <c r="KR119" i="4" s="1"/>
  <c r="KR118" i="4" s="1"/>
  <c r="KR117" i="4" s="1"/>
  <c r="KR116" i="4" s="1"/>
  <c r="KR115" i="4" s="1"/>
  <c r="KR114" i="4" s="1"/>
  <c r="KR113" i="4" s="1"/>
  <c r="KR112" i="4" s="1"/>
  <c r="KR111" i="4" s="1"/>
  <c r="KR110" i="4" s="1"/>
  <c r="KR109" i="4" s="1"/>
  <c r="KR108" i="4" s="1"/>
  <c r="KR107" i="4" s="1"/>
  <c r="KS203" i="4"/>
  <c r="KS202" i="4" s="1"/>
  <c r="KS201" i="4" s="1"/>
  <c r="KS200" i="4" s="1"/>
  <c r="KS199" i="4" s="1"/>
  <c r="KS198" i="4" s="1"/>
  <c r="KS197" i="4" s="1"/>
  <c r="KS196" i="4" s="1"/>
  <c r="KS195" i="4" s="1"/>
  <c r="KS194" i="4" s="1"/>
  <c r="KS193" i="4" s="1"/>
  <c r="KS192" i="4" s="1"/>
  <c r="KS191" i="4" s="1"/>
  <c r="KS190" i="4" s="1"/>
  <c r="KS189" i="4" s="1"/>
  <c r="KS188" i="4" s="1"/>
  <c r="KS187" i="4" s="1"/>
  <c r="KS186" i="4" s="1"/>
  <c r="KS185" i="4" s="1"/>
  <c r="KS184" i="4" s="1"/>
  <c r="KS183" i="4" s="1"/>
  <c r="KS182" i="4" s="1"/>
  <c r="KS181" i="4" s="1"/>
  <c r="KS180" i="4" s="1"/>
  <c r="KS179" i="4" s="1"/>
  <c r="KS178" i="4" s="1"/>
  <c r="KS177" i="4" s="1"/>
  <c r="KS176" i="4" s="1"/>
  <c r="KS175" i="4" s="1"/>
  <c r="KS174" i="4" s="1"/>
  <c r="KS173" i="4" s="1"/>
  <c r="KS172" i="4" s="1"/>
  <c r="KS171" i="4" s="1"/>
  <c r="KS170" i="4" s="1"/>
  <c r="KS169" i="4" s="1"/>
  <c r="KS168" i="4" s="1"/>
  <c r="KS167" i="4" s="1"/>
  <c r="KS166" i="4" s="1"/>
  <c r="KS165" i="4" s="1"/>
  <c r="KS164" i="4" s="1"/>
  <c r="KS163" i="4" s="1"/>
  <c r="KS162" i="4" s="1"/>
  <c r="KS161" i="4" s="1"/>
  <c r="KS160" i="4" s="1"/>
  <c r="KS159" i="4" s="1"/>
  <c r="KS158" i="4" s="1"/>
  <c r="KS157" i="4" s="1"/>
  <c r="KS156" i="4" s="1"/>
  <c r="KS155" i="4" s="1"/>
  <c r="KS154" i="4" s="1"/>
  <c r="KS153" i="4" s="1"/>
  <c r="KS152" i="4" s="1"/>
  <c r="KS151" i="4" s="1"/>
  <c r="KS150" i="4" s="1"/>
  <c r="KS149" i="4" s="1"/>
  <c r="KS148" i="4" s="1"/>
  <c r="KS147" i="4" s="1"/>
  <c r="KS146" i="4" s="1"/>
  <c r="KS145" i="4" s="1"/>
  <c r="KS144" i="4" s="1"/>
  <c r="KS143" i="4" s="1"/>
  <c r="KS142" i="4" s="1"/>
  <c r="KS141" i="4" s="1"/>
  <c r="KS140" i="4" s="1"/>
  <c r="KS139" i="4" s="1"/>
  <c r="KS138" i="4" s="1"/>
  <c r="KS137" i="4" s="1"/>
  <c r="KS136" i="4" s="1"/>
  <c r="KS135" i="4" s="1"/>
  <c r="KS134" i="4" s="1"/>
  <c r="KS133" i="4" s="1"/>
  <c r="KS132" i="4" s="1"/>
  <c r="KS131" i="4" s="1"/>
  <c r="KS130" i="4" s="1"/>
  <c r="KS129" i="4" s="1"/>
  <c r="KS128" i="4" s="1"/>
  <c r="KS127" i="4" s="1"/>
  <c r="KS126" i="4" s="1"/>
  <c r="KS125" i="4" s="1"/>
  <c r="KS124" i="4" s="1"/>
  <c r="KS123" i="4" s="1"/>
  <c r="KS122" i="4" s="1"/>
  <c r="KS121" i="4" s="1"/>
  <c r="KS120" i="4" s="1"/>
  <c r="KS119" i="4" s="1"/>
  <c r="KS118" i="4" s="1"/>
  <c r="KS117" i="4" s="1"/>
  <c r="KS116" i="4" s="1"/>
  <c r="KS115" i="4" s="1"/>
  <c r="KS114" i="4" s="1"/>
  <c r="KS113" i="4" s="1"/>
  <c r="KS112" i="4" s="1"/>
  <c r="KS111" i="4" s="1"/>
  <c r="KS110" i="4" s="1"/>
  <c r="KS109" i="4" s="1"/>
  <c r="KS108" i="4" s="1"/>
  <c r="KS107" i="4" s="1"/>
  <c r="KT203" i="4"/>
  <c r="KT202" i="4" s="1"/>
  <c r="KT201" i="4" s="1"/>
  <c r="KT200" i="4" s="1"/>
  <c r="KT199" i="4" s="1"/>
  <c r="KT198" i="4" s="1"/>
  <c r="KT197" i="4" s="1"/>
  <c r="KT196" i="4" s="1"/>
  <c r="KT195" i="4" s="1"/>
  <c r="KT194" i="4" s="1"/>
  <c r="KT193" i="4" s="1"/>
  <c r="KT192" i="4" s="1"/>
  <c r="KT191" i="4" s="1"/>
  <c r="KT190" i="4" s="1"/>
  <c r="KT189" i="4" s="1"/>
  <c r="KT188" i="4" s="1"/>
  <c r="KT187" i="4" s="1"/>
  <c r="KT186" i="4" s="1"/>
  <c r="KT185" i="4" s="1"/>
  <c r="KT184" i="4" s="1"/>
  <c r="KT183" i="4" s="1"/>
  <c r="KT182" i="4" s="1"/>
  <c r="KT181" i="4" s="1"/>
  <c r="KT180" i="4" s="1"/>
  <c r="KT179" i="4" s="1"/>
  <c r="KT178" i="4" s="1"/>
  <c r="KT177" i="4" s="1"/>
  <c r="KT176" i="4" s="1"/>
  <c r="KT175" i="4" s="1"/>
  <c r="KT174" i="4" s="1"/>
  <c r="KT173" i="4" s="1"/>
  <c r="KT172" i="4" s="1"/>
  <c r="KT171" i="4" s="1"/>
  <c r="KT170" i="4" s="1"/>
  <c r="KT169" i="4" s="1"/>
  <c r="KT168" i="4" s="1"/>
  <c r="KT167" i="4" s="1"/>
  <c r="KT166" i="4" s="1"/>
  <c r="KT165" i="4" s="1"/>
  <c r="KT164" i="4" s="1"/>
  <c r="KT163" i="4" s="1"/>
  <c r="KT162" i="4" s="1"/>
  <c r="KT161" i="4" s="1"/>
  <c r="KT160" i="4" s="1"/>
  <c r="KT159" i="4" s="1"/>
  <c r="KT158" i="4" s="1"/>
  <c r="KT157" i="4" s="1"/>
  <c r="KT156" i="4" s="1"/>
  <c r="KT155" i="4" s="1"/>
  <c r="KT154" i="4" s="1"/>
  <c r="KT153" i="4" s="1"/>
  <c r="KT152" i="4" s="1"/>
  <c r="KT151" i="4" s="1"/>
  <c r="KT150" i="4" s="1"/>
  <c r="KT149" i="4" s="1"/>
  <c r="KT148" i="4" s="1"/>
  <c r="KT147" i="4" s="1"/>
  <c r="KT146" i="4" s="1"/>
  <c r="KT145" i="4" s="1"/>
  <c r="KT144" i="4" s="1"/>
  <c r="KT143" i="4" s="1"/>
  <c r="KT142" i="4" s="1"/>
  <c r="KT141" i="4" s="1"/>
  <c r="KT140" i="4" s="1"/>
  <c r="KT139" i="4" s="1"/>
  <c r="KT138" i="4" s="1"/>
  <c r="KT137" i="4" s="1"/>
  <c r="KT136" i="4" s="1"/>
  <c r="KT135" i="4" s="1"/>
  <c r="KT134" i="4" s="1"/>
  <c r="KT133" i="4" s="1"/>
  <c r="KT132" i="4" s="1"/>
  <c r="KT131" i="4" s="1"/>
  <c r="KT130" i="4" s="1"/>
  <c r="KT129" i="4" s="1"/>
  <c r="KT128" i="4" s="1"/>
  <c r="KT127" i="4" s="1"/>
  <c r="KT126" i="4" s="1"/>
  <c r="KT125" i="4" s="1"/>
  <c r="KT124" i="4" s="1"/>
  <c r="KT123" i="4" s="1"/>
  <c r="KT122" i="4" s="1"/>
  <c r="KT121" i="4" s="1"/>
  <c r="KT120" i="4" s="1"/>
  <c r="KT119" i="4" s="1"/>
  <c r="KT118" i="4" s="1"/>
  <c r="KT117" i="4" s="1"/>
  <c r="KT116" i="4" s="1"/>
  <c r="KT115" i="4" s="1"/>
  <c r="KT114" i="4" s="1"/>
  <c r="KT113" i="4" s="1"/>
  <c r="KT112" i="4" s="1"/>
  <c r="KT111" i="4" s="1"/>
  <c r="KT110" i="4" s="1"/>
  <c r="KT109" i="4" s="1"/>
  <c r="KT108" i="4" s="1"/>
  <c r="KT107" i="4" s="1"/>
  <c r="KU203" i="4"/>
  <c r="KU202" i="4" s="1"/>
  <c r="KU201" i="4" s="1"/>
  <c r="KU200" i="4" s="1"/>
  <c r="KU199" i="4" s="1"/>
  <c r="KU198" i="4" s="1"/>
  <c r="KU197" i="4" s="1"/>
  <c r="KU196" i="4" s="1"/>
  <c r="KU195" i="4" s="1"/>
  <c r="KU194" i="4" s="1"/>
  <c r="KU193" i="4" s="1"/>
  <c r="KU192" i="4" s="1"/>
  <c r="KU191" i="4" s="1"/>
  <c r="KU190" i="4" s="1"/>
  <c r="KU189" i="4" s="1"/>
  <c r="KU188" i="4" s="1"/>
  <c r="KU187" i="4" s="1"/>
  <c r="KU186" i="4" s="1"/>
  <c r="KU185" i="4" s="1"/>
  <c r="KU184" i="4" s="1"/>
  <c r="KU183" i="4" s="1"/>
  <c r="KU182" i="4" s="1"/>
  <c r="KU181" i="4" s="1"/>
  <c r="KU180" i="4" s="1"/>
  <c r="KU179" i="4" s="1"/>
  <c r="KU178" i="4" s="1"/>
  <c r="KU177" i="4" s="1"/>
  <c r="KU176" i="4" s="1"/>
  <c r="KU175" i="4" s="1"/>
  <c r="KU174" i="4" s="1"/>
  <c r="KU173" i="4" s="1"/>
  <c r="KU172" i="4" s="1"/>
  <c r="KU171" i="4" s="1"/>
  <c r="KU170" i="4" s="1"/>
  <c r="KU169" i="4" s="1"/>
  <c r="KU168" i="4" s="1"/>
  <c r="KU167" i="4" s="1"/>
  <c r="KU166" i="4" s="1"/>
  <c r="KU165" i="4" s="1"/>
  <c r="KU164" i="4" s="1"/>
  <c r="KU163" i="4" s="1"/>
  <c r="KU162" i="4" s="1"/>
  <c r="KU161" i="4" s="1"/>
  <c r="KU160" i="4" s="1"/>
  <c r="KU159" i="4" s="1"/>
  <c r="KU158" i="4" s="1"/>
  <c r="KU157" i="4" s="1"/>
  <c r="KU156" i="4" s="1"/>
  <c r="KU155" i="4" s="1"/>
  <c r="KU154" i="4" s="1"/>
  <c r="KU153" i="4" s="1"/>
  <c r="KU152" i="4" s="1"/>
  <c r="KU151" i="4" s="1"/>
  <c r="KU150" i="4" s="1"/>
  <c r="KU149" i="4" s="1"/>
  <c r="KU148" i="4" s="1"/>
  <c r="KU147" i="4" s="1"/>
  <c r="KU146" i="4" s="1"/>
  <c r="KU145" i="4" s="1"/>
  <c r="KU144" i="4" s="1"/>
  <c r="KU143" i="4" s="1"/>
  <c r="KU142" i="4" s="1"/>
  <c r="KU141" i="4" s="1"/>
  <c r="KU140" i="4" s="1"/>
  <c r="KU139" i="4" s="1"/>
  <c r="KU138" i="4" s="1"/>
  <c r="KU137" i="4" s="1"/>
  <c r="KU136" i="4" s="1"/>
  <c r="KU135" i="4" s="1"/>
  <c r="KU134" i="4" s="1"/>
  <c r="KU133" i="4" s="1"/>
  <c r="KU132" i="4" s="1"/>
  <c r="KU131" i="4" s="1"/>
  <c r="KU130" i="4" s="1"/>
  <c r="KU129" i="4" s="1"/>
  <c r="KU128" i="4" s="1"/>
  <c r="KU127" i="4" s="1"/>
  <c r="KU126" i="4" s="1"/>
  <c r="KU125" i="4" s="1"/>
  <c r="KU124" i="4" s="1"/>
  <c r="KU123" i="4" s="1"/>
  <c r="KU122" i="4" s="1"/>
  <c r="KU121" i="4" s="1"/>
  <c r="KU120" i="4" s="1"/>
  <c r="KU119" i="4" s="1"/>
  <c r="KU118" i="4" s="1"/>
  <c r="KU117" i="4" s="1"/>
  <c r="KU116" i="4" s="1"/>
  <c r="KU115" i="4" s="1"/>
  <c r="KU114" i="4" s="1"/>
  <c r="KU113" i="4" s="1"/>
  <c r="KU112" i="4" s="1"/>
  <c r="KU111" i="4" s="1"/>
  <c r="KU110" i="4" s="1"/>
  <c r="KU109" i="4" s="1"/>
  <c r="KU108" i="4" s="1"/>
  <c r="KU107" i="4" s="1"/>
  <c r="KV203" i="4"/>
  <c r="KV202" i="4" s="1"/>
  <c r="KV201" i="4" s="1"/>
  <c r="KV200" i="4" s="1"/>
  <c r="KV199" i="4" s="1"/>
  <c r="KV198" i="4" s="1"/>
  <c r="KV197" i="4" s="1"/>
  <c r="KV196" i="4" s="1"/>
  <c r="KV195" i="4" s="1"/>
  <c r="KV194" i="4" s="1"/>
  <c r="KV193" i="4" s="1"/>
  <c r="KV192" i="4" s="1"/>
  <c r="KV191" i="4" s="1"/>
  <c r="KV190" i="4" s="1"/>
  <c r="KV189" i="4" s="1"/>
  <c r="KV188" i="4" s="1"/>
  <c r="KV187" i="4" s="1"/>
  <c r="KV186" i="4" s="1"/>
  <c r="KV185" i="4" s="1"/>
  <c r="KV184" i="4" s="1"/>
  <c r="KV183" i="4" s="1"/>
  <c r="KV182" i="4" s="1"/>
  <c r="KV181" i="4" s="1"/>
  <c r="KV180" i="4" s="1"/>
  <c r="KV179" i="4" s="1"/>
  <c r="KV178" i="4" s="1"/>
  <c r="KV177" i="4" s="1"/>
  <c r="KV176" i="4" s="1"/>
  <c r="KV175" i="4" s="1"/>
  <c r="KV174" i="4" s="1"/>
  <c r="KV173" i="4" s="1"/>
  <c r="KV172" i="4" s="1"/>
  <c r="KV171" i="4" s="1"/>
  <c r="KV170" i="4" s="1"/>
  <c r="KV169" i="4" s="1"/>
  <c r="KV168" i="4" s="1"/>
  <c r="KV167" i="4" s="1"/>
  <c r="KV166" i="4" s="1"/>
  <c r="KV165" i="4" s="1"/>
  <c r="KV164" i="4" s="1"/>
  <c r="KV163" i="4" s="1"/>
  <c r="KV162" i="4" s="1"/>
  <c r="KV161" i="4" s="1"/>
  <c r="KV160" i="4" s="1"/>
  <c r="KV159" i="4" s="1"/>
  <c r="KV158" i="4" s="1"/>
  <c r="KV157" i="4" s="1"/>
  <c r="KV156" i="4" s="1"/>
  <c r="KV155" i="4" s="1"/>
  <c r="KV154" i="4" s="1"/>
  <c r="KV153" i="4" s="1"/>
  <c r="KV152" i="4" s="1"/>
  <c r="KV151" i="4" s="1"/>
  <c r="KV150" i="4" s="1"/>
  <c r="KV149" i="4" s="1"/>
  <c r="KV148" i="4" s="1"/>
  <c r="KV147" i="4" s="1"/>
  <c r="KV146" i="4" s="1"/>
  <c r="KV145" i="4" s="1"/>
  <c r="KV144" i="4" s="1"/>
  <c r="KV143" i="4" s="1"/>
  <c r="KV142" i="4" s="1"/>
  <c r="KV141" i="4" s="1"/>
  <c r="KV140" i="4" s="1"/>
  <c r="KV139" i="4" s="1"/>
  <c r="KV138" i="4" s="1"/>
  <c r="KV137" i="4" s="1"/>
  <c r="KV136" i="4" s="1"/>
  <c r="KV135" i="4" s="1"/>
  <c r="KV134" i="4" s="1"/>
  <c r="KV133" i="4" s="1"/>
  <c r="KV132" i="4" s="1"/>
  <c r="KV131" i="4" s="1"/>
  <c r="KV130" i="4" s="1"/>
  <c r="KV129" i="4" s="1"/>
  <c r="KV128" i="4" s="1"/>
  <c r="KV127" i="4" s="1"/>
  <c r="KV126" i="4" s="1"/>
  <c r="KV125" i="4" s="1"/>
  <c r="KV124" i="4" s="1"/>
  <c r="KV123" i="4" s="1"/>
  <c r="KV122" i="4" s="1"/>
  <c r="KV121" i="4" s="1"/>
  <c r="KV120" i="4" s="1"/>
  <c r="KV119" i="4" s="1"/>
  <c r="KV118" i="4" s="1"/>
  <c r="KV117" i="4" s="1"/>
  <c r="KV116" i="4" s="1"/>
  <c r="KV115" i="4" s="1"/>
  <c r="KV114" i="4" s="1"/>
  <c r="KV113" i="4" s="1"/>
  <c r="KV112" i="4" s="1"/>
  <c r="KV111" i="4" s="1"/>
  <c r="KV110" i="4" s="1"/>
  <c r="KV109" i="4" s="1"/>
  <c r="KV108" i="4" s="1"/>
  <c r="KV107" i="4" s="1"/>
  <c r="KW203" i="4"/>
  <c r="KW202" i="4" s="1"/>
  <c r="KW201" i="4" s="1"/>
  <c r="KW200" i="4" s="1"/>
  <c r="KW199" i="4" s="1"/>
  <c r="KW198" i="4" s="1"/>
  <c r="KW197" i="4" s="1"/>
  <c r="KW196" i="4" s="1"/>
  <c r="KW195" i="4" s="1"/>
  <c r="KW194" i="4" s="1"/>
  <c r="KW193" i="4" s="1"/>
  <c r="KW192" i="4" s="1"/>
  <c r="KW191" i="4" s="1"/>
  <c r="KW190" i="4" s="1"/>
  <c r="KW189" i="4" s="1"/>
  <c r="KW188" i="4" s="1"/>
  <c r="KW187" i="4" s="1"/>
  <c r="KW186" i="4" s="1"/>
  <c r="KW185" i="4" s="1"/>
  <c r="KW184" i="4" s="1"/>
  <c r="KW183" i="4" s="1"/>
  <c r="KW182" i="4" s="1"/>
  <c r="KW181" i="4" s="1"/>
  <c r="KW180" i="4" s="1"/>
  <c r="KW179" i="4" s="1"/>
  <c r="KW178" i="4" s="1"/>
  <c r="KW177" i="4" s="1"/>
  <c r="KW176" i="4" s="1"/>
  <c r="KW175" i="4" s="1"/>
  <c r="KW174" i="4" s="1"/>
  <c r="KW173" i="4" s="1"/>
  <c r="KW172" i="4" s="1"/>
  <c r="KW171" i="4" s="1"/>
  <c r="KW170" i="4" s="1"/>
  <c r="KW169" i="4" s="1"/>
  <c r="KW168" i="4" s="1"/>
  <c r="KW167" i="4" s="1"/>
  <c r="KW166" i="4" s="1"/>
  <c r="KW165" i="4" s="1"/>
  <c r="KW164" i="4" s="1"/>
  <c r="KW163" i="4" s="1"/>
  <c r="KW162" i="4" s="1"/>
  <c r="KW161" i="4" s="1"/>
  <c r="KW160" i="4" s="1"/>
  <c r="KW159" i="4" s="1"/>
  <c r="KW158" i="4" s="1"/>
  <c r="KW157" i="4" s="1"/>
  <c r="KW156" i="4" s="1"/>
  <c r="KW155" i="4" s="1"/>
  <c r="KW154" i="4" s="1"/>
  <c r="KW153" i="4" s="1"/>
  <c r="KW152" i="4" s="1"/>
  <c r="KW151" i="4" s="1"/>
  <c r="KW150" i="4" s="1"/>
  <c r="KW149" i="4" s="1"/>
  <c r="KW148" i="4" s="1"/>
  <c r="KW147" i="4" s="1"/>
  <c r="KW146" i="4" s="1"/>
  <c r="KW145" i="4" s="1"/>
  <c r="KW144" i="4" s="1"/>
  <c r="KW143" i="4" s="1"/>
  <c r="KW142" i="4" s="1"/>
  <c r="KW141" i="4" s="1"/>
  <c r="KW140" i="4" s="1"/>
  <c r="KW139" i="4" s="1"/>
  <c r="KW138" i="4" s="1"/>
  <c r="KW137" i="4" s="1"/>
  <c r="KW136" i="4" s="1"/>
  <c r="KW135" i="4" s="1"/>
  <c r="KW134" i="4" s="1"/>
  <c r="KW133" i="4" s="1"/>
  <c r="KW132" i="4" s="1"/>
  <c r="KW131" i="4" s="1"/>
  <c r="KW130" i="4" s="1"/>
  <c r="KW129" i="4" s="1"/>
  <c r="KW128" i="4" s="1"/>
  <c r="KW127" i="4" s="1"/>
  <c r="KW126" i="4" s="1"/>
  <c r="KW125" i="4" s="1"/>
  <c r="KW124" i="4" s="1"/>
  <c r="KW123" i="4" s="1"/>
  <c r="KW122" i="4" s="1"/>
  <c r="KW121" i="4" s="1"/>
  <c r="KW120" i="4" s="1"/>
  <c r="KW119" i="4" s="1"/>
  <c r="KW118" i="4" s="1"/>
  <c r="KW117" i="4" s="1"/>
  <c r="KW116" i="4" s="1"/>
  <c r="KW115" i="4" s="1"/>
  <c r="KW114" i="4" s="1"/>
  <c r="KW113" i="4" s="1"/>
  <c r="KW112" i="4" s="1"/>
  <c r="KW111" i="4" s="1"/>
  <c r="KW110" i="4" s="1"/>
  <c r="KW109" i="4" s="1"/>
  <c r="KW108" i="4" s="1"/>
  <c r="KW107" i="4" s="1"/>
  <c r="KX203" i="4"/>
  <c r="KX202" i="4" s="1"/>
  <c r="KX201" i="4" s="1"/>
  <c r="KX200" i="4" s="1"/>
  <c r="KX199" i="4" s="1"/>
  <c r="KX198" i="4" s="1"/>
  <c r="KX197" i="4" s="1"/>
  <c r="KX196" i="4" s="1"/>
  <c r="KX195" i="4" s="1"/>
  <c r="KX194" i="4" s="1"/>
  <c r="KX193" i="4" s="1"/>
  <c r="KX192" i="4" s="1"/>
  <c r="KX191" i="4" s="1"/>
  <c r="KX190" i="4" s="1"/>
  <c r="KX189" i="4" s="1"/>
  <c r="KX188" i="4" s="1"/>
  <c r="KX187" i="4" s="1"/>
  <c r="KX186" i="4" s="1"/>
  <c r="KX185" i="4" s="1"/>
  <c r="KX184" i="4" s="1"/>
  <c r="KX183" i="4" s="1"/>
  <c r="KX182" i="4" s="1"/>
  <c r="KX181" i="4" s="1"/>
  <c r="KX180" i="4" s="1"/>
  <c r="KX179" i="4" s="1"/>
  <c r="KX178" i="4" s="1"/>
  <c r="KX177" i="4" s="1"/>
  <c r="KX176" i="4" s="1"/>
  <c r="KX175" i="4" s="1"/>
  <c r="KX174" i="4" s="1"/>
  <c r="KX173" i="4" s="1"/>
  <c r="KX172" i="4" s="1"/>
  <c r="KX171" i="4" s="1"/>
  <c r="KX170" i="4" s="1"/>
  <c r="KX169" i="4" s="1"/>
  <c r="KX168" i="4" s="1"/>
  <c r="KX167" i="4" s="1"/>
  <c r="KX166" i="4" s="1"/>
  <c r="KX165" i="4" s="1"/>
  <c r="KX164" i="4" s="1"/>
  <c r="KX163" i="4" s="1"/>
  <c r="KX162" i="4" s="1"/>
  <c r="KX161" i="4" s="1"/>
  <c r="KX160" i="4" s="1"/>
  <c r="KX159" i="4" s="1"/>
  <c r="KX158" i="4" s="1"/>
  <c r="KX157" i="4" s="1"/>
  <c r="KX156" i="4" s="1"/>
  <c r="KX155" i="4" s="1"/>
  <c r="KX154" i="4" s="1"/>
  <c r="KX153" i="4" s="1"/>
  <c r="KX152" i="4" s="1"/>
  <c r="KX151" i="4" s="1"/>
  <c r="KX150" i="4" s="1"/>
  <c r="KX149" i="4" s="1"/>
  <c r="KX148" i="4" s="1"/>
  <c r="KX147" i="4" s="1"/>
  <c r="KX146" i="4" s="1"/>
  <c r="KX145" i="4" s="1"/>
  <c r="KX144" i="4" s="1"/>
  <c r="KX143" i="4" s="1"/>
  <c r="KX142" i="4" s="1"/>
  <c r="KX141" i="4" s="1"/>
  <c r="KX140" i="4" s="1"/>
  <c r="KX139" i="4" s="1"/>
  <c r="KX138" i="4" s="1"/>
  <c r="KX137" i="4" s="1"/>
  <c r="KX136" i="4" s="1"/>
  <c r="KX135" i="4" s="1"/>
  <c r="KX134" i="4" s="1"/>
  <c r="KX133" i="4" s="1"/>
  <c r="KX132" i="4" s="1"/>
  <c r="KX131" i="4" s="1"/>
  <c r="KX130" i="4" s="1"/>
  <c r="KX129" i="4" s="1"/>
  <c r="KX128" i="4" s="1"/>
  <c r="KX127" i="4" s="1"/>
  <c r="KX126" i="4" s="1"/>
  <c r="KX125" i="4" s="1"/>
  <c r="KX124" i="4" s="1"/>
  <c r="KX123" i="4" s="1"/>
  <c r="KX122" i="4" s="1"/>
  <c r="KX121" i="4" s="1"/>
  <c r="KX120" i="4" s="1"/>
  <c r="KX119" i="4" s="1"/>
  <c r="KX118" i="4" s="1"/>
  <c r="KX117" i="4" s="1"/>
  <c r="KX116" i="4" s="1"/>
  <c r="KX115" i="4" s="1"/>
  <c r="KX114" i="4" s="1"/>
  <c r="KX113" i="4" s="1"/>
  <c r="KX112" i="4" s="1"/>
  <c r="KX111" i="4" s="1"/>
  <c r="KX110" i="4" s="1"/>
  <c r="KX109" i="4" s="1"/>
  <c r="KX108" i="4" s="1"/>
  <c r="KX107" i="4" s="1"/>
  <c r="KY203" i="4"/>
  <c r="KY202" i="4" s="1"/>
  <c r="KY201" i="4" s="1"/>
  <c r="KY200" i="4" s="1"/>
  <c r="KY199" i="4" s="1"/>
  <c r="KY198" i="4" s="1"/>
  <c r="KY197" i="4" s="1"/>
  <c r="KY196" i="4" s="1"/>
  <c r="KY195" i="4" s="1"/>
  <c r="KY194" i="4" s="1"/>
  <c r="KY193" i="4" s="1"/>
  <c r="KY192" i="4" s="1"/>
  <c r="KY191" i="4" s="1"/>
  <c r="KY190" i="4" s="1"/>
  <c r="KY189" i="4" s="1"/>
  <c r="KY188" i="4" s="1"/>
  <c r="KY187" i="4" s="1"/>
  <c r="KY186" i="4" s="1"/>
  <c r="KY185" i="4" s="1"/>
  <c r="KY184" i="4" s="1"/>
  <c r="KY183" i="4" s="1"/>
  <c r="KY182" i="4" s="1"/>
  <c r="KY181" i="4" s="1"/>
  <c r="KY180" i="4" s="1"/>
  <c r="KY179" i="4" s="1"/>
  <c r="KY178" i="4" s="1"/>
  <c r="KY177" i="4" s="1"/>
  <c r="KY176" i="4" s="1"/>
  <c r="KY175" i="4" s="1"/>
  <c r="KY174" i="4" s="1"/>
  <c r="KY173" i="4" s="1"/>
  <c r="KY172" i="4" s="1"/>
  <c r="KY171" i="4" s="1"/>
  <c r="KY170" i="4" s="1"/>
  <c r="KY169" i="4" s="1"/>
  <c r="KY168" i="4" s="1"/>
  <c r="KY167" i="4" s="1"/>
  <c r="KY166" i="4" s="1"/>
  <c r="KY165" i="4" s="1"/>
  <c r="KY164" i="4" s="1"/>
  <c r="KY163" i="4" s="1"/>
  <c r="KY162" i="4" s="1"/>
  <c r="KY161" i="4" s="1"/>
  <c r="KY160" i="4" s="1"/>
  <c r="KY159" i="4" s="1"/>
  <c r="KY158" i="4" s="1"/>
  <c r="KY157" i="4" s="1"/>
  <c r="KY156" i="4" s="1"/>
  <c r="KY155" i="4" s="1"/>
  <c r="KY154" i="4" s="1"/>
  <c r="KY153" i="4" s="1"/>
  <c r="KY152" i="4" s="1"/>
  <c r="KY151" i="4" s="1"/>
  <c r="KY150" i="4" s="1"/>
  <c r="KY149" i="4" s="1"/>
  <c r="KY148" i="4" s="1"/>
  <c r="KY147" i="4" s="1"/>
  <c r="KY146" i="4" s="1"/>
  <c r="KY145" i="4" s="1"/>
  <c r="KY144" i="4" s="1"/>
  <c r="KY143" i="4" s="1"/>
  <c r="KY142" i="4" s="1"/>
  <c r="KY141" i="4" s="1"/>
  <c r="KY140" i="4" s="1"/>
  <c r="KY139" i="4" s="1"/>
  <c r="KY138" i="4" s="1"/>
  <c r="KY137" i="4" s="1"/>
  <c r="KY136" i="4" s="1"/>
  <c r="KY135" i="4" s="1"/>
  <c r="KY134" i="4" s="1"/>
  <c r="KY133" i="4" s="1"/>
  <c r="KY132" i="4" s="1"/>
  <c r="KY131" i="4" s="1"/>
  <c r="KY130" i="4" s="1"/>
  <c r="KY129" i="4" s="1"/>
  <c r="KY128" i="4" s="1"/>
  <c r="KY127" i="4" s="1"/>
  <c r="KY126" i="4" s="1"/>
  <c r="KY125" i="4" s="1"/>
  <c r="KY124" i="4" s="1"/>
  <c r="KY123" i="4" s="1"/>
  <c r="KY122" i="4" s="1"/>
  <c r="KY121" i="4" s="1"/>
  <c r="KY120" i="4" s="1"/>
  <c r="KY119" i="4" s="1"/>
  <c r="KY118" i="4" s="1"/>
  <c r="KY117" i="4" s="1"/>
  <c r="KY116" i="4" s="1"/>
  <c r="KY115" i="4" s="1"/>
  <c r="KY114" i="4" s="1"/>
  <c r="KY113" i="4" s="1"/>
  <c r="KY112" i="4" s="1"/>
  <c r="KY111" i="4" s="1"/>
  <c r="KY110" i="4" s="1"/>
  <c r="KY109" i="4" s="1"/>
  <c r="KY108" i="4" s="1"/>
  <c r="KY107" i="4" s="1"/>
  <c r="KZ203" i="4"/>
  <c r="KZ202" i="4" s="1"/>
  <c r="KZ201" i="4" s="1"/>
  <c r="KZ200" i="4" s="1"/>
  <c r="KZ199" i="4" s="1"/>
  <c r="KZ198" i="4" s="1"/>
  <c r="KZ197" i="4" s="1"/>
  <c r="KZ196" i="4" s="1"/>
  <c r="KZ195" i="4" s="1"/>
  <c r="KZ194" i="4" s="1"/>
  <c r="KZ193" i="4" s="1"/>
  <c r="KZ192" i="4" s="1"/>
  <c r="KZ191" i="4" s="1"/>
  <c r="KZ190" i="4" s="1"/>
  <c r="KZ189" i="4" s="1"/>
  <c r="KZ188" i="4" s="1"/>
  <c r="KZ187" i="4" s="1"/>
  <c r="KZ186" i="4" s="1"/>
  <c r="KZ185" i="4" s="1"/>
  <c r="KZ184" i="4" s="1"/>
  <c r="KZ183" i="4" s="1"/>
  <c r="KZ182" i="4" s="1"/>
  <c r="KZ181" i="4" s="1"/>
  <c r="KZ180" i="4" s="1"/>
  <c r="KZ179" i="4" s="1"/>
  <c r="KZ178" i="4" s="1"/>
  <c r="KZ177" i="4" s="1"/>
  <c r="KZ176" i="4" s="1"/>
  <c r="KZ175" i="4" s="1"/>
  <c r="KZ174" i="4" s="1"/>
  <c r="KZ173" i="4" s="1"/>
  <c r="KZ172" i="4" s="1"/>
  <c r="KZ171" i="4" s="1"/>
  <c r="KZ170" i="4" s="1"/>
  <c r="KZ169" i="4" s="1"/>
  <c r="KZ168" i="4" s="1"/>
  <c r="KZ167" i="4" s="1"/>
  <c r="KZ166" i="4" s="1"/>
  <c r="KZ165" i="4" s="1"/>
  <c r="KZ164" i="4" s="1"/>
  <c r="KZ163" i="4" s="1"/>
  <c r="KZ162" i="4" s="1"/>
  <c r="KZ161" i="4" s="1"/>
  <c r="KZ160" i="4" s="1"/>
  <c r="KZ159" i="4" s="1"/>
  <c r="KZ158" i="4" s="1"/>
  <c r="KZ157" i="4" s="1"/>
  <c r="KZ156" i="4" s="1"/>
  <c r="KZ155" i="4" s="1"/>
  <c r="KZ154" i="4" s="1"/>
  <c r="KZ153" i="4" s="1"/>
  <c r="KZ152" i="4" s="1"/>
  <c r="KZ151" i="4" s="1"/>
  <c r="KZ150" i="4" s="1"/>
  <c r="KZ149" i="4" s="1"/>
  <c r="KZ148" i="4" s="1"/>
  <c r="KZ147" i="4" s="1"/>
  <c r="KZ146" i="4" s="1"/>
  <c r="KZ145" i="4" s="1"/>
  <c r="KZ144" i="4" s="1"/>
  <c r="KZ143" i="4" s="1"/>
  <c r="KZ142" i="4" s="1"/>
  <c r="KZ141" i="4" s="1"/>
  <c r="KZ140" i="4" s="1"/>
  <c r="KZ139" i="4" s="1"/>
  <c r="KZ138" i="4" s="1"/>
  <c r="KZ137" i="4" s="1"/>
  <c r="KZ136" i="4" s="1"/>
  <c r="KZ135" i="4" s="1"/>
  <c r="KZ134" i="4" s="1"/>
  <c r="KZ133" i="4" s="1"/>
  <c r="KZ132" i="4" s="1"/>
  <c r="KZ131" i="4" s="1"/>
  <c r="KZ130" i="4" s="1"/>
  <c r="KZ129" i="4" s="1"/>
  <c r="KZ128" i="4" s="1"/>
  <c r="KZ127" i="4" s="1"/>
  <c r="KZ126" i="4" s="1"/>
  <c r="KZ125" i="4" s="1"/>
  <c r="KZ124" i="4" s="1"/>
  <c r="KZ123" i="4" s="1"/>
  <c r="KZ122" i="4" s="1"/>
  <c r="KZ121" i="4" s="1"/>
  <c r="KZ120" i="4" s="1"/>
  <c r="KZ119" i="4" s="1"/>
  <c r="KZ118" i="4" s="1"/>
  <c r="KZ117" i="4" s="1"/>
  <c r="KZ116" i="4" s="1"/>
  <c r="KZ115" i="4" s="1"/>
  <c r="KZ114" i="4" s="1"/>
  <c r="KZ113" i="4" s="1"/>
  <c r="KZ112" i="4" s="1"/>
  <c r="KZ111" i="4" s="1"/>
  <c r="KZ110" i="4" s="1"/>
  <c r="KZ109" i="4" s="1"/>
  <c r="KZ108" i="4" s="1"/>
  <c r="KZ107" i="4" s="1"/>
  <c r="LA203" i="4"/>
  <c r="LA202" i="4" s="1"/>
  <c r="LA201" i="4" s="1"/>
  <c r="LA200" i="4" s="1"/>
  <c r="LA199" i="4" s="1"/>
  <c r="LA198" i="4" s="1"/>
  <c r="LA197" i="4" s="1"/>
  <c r="LA196" i="4" s="1"/>
  <c r="LA195" i="4" s="1"/>
  <c r="LA194" i="4" s="1"/>
  <c r="LA193" i="4" s="1"/>
  <c r="LA192" i="4" s="1"/>
  <c r="LA191" i="4" s="1"/>
  <c r="LA190" i="4" s="1"/>
  <c r="LA189" i="4" s="1"/>
  <c r="LA188" i="4" s="1"/>
  <c r="LA187" i="4" s="1"/>
  <c r="LA186" i="4" s="1"/>
  <c r="LA185" i="4" s="1"/>
  <c r="LA184" i="4" s="1"/>
  <c r="LA183" i="4" s="1"/>
  <c r="LA182" i="4" s="1"/>
  <c r="LA181" i="4" s="1"/>
  <c r="LA180" i="4" s="1"/>
  <c r="LA179" i="4" s="1"/>
  <c r="LA178" i="4" s="1"/>
  <c r="LA177" i="4" s="1"/>
  <c r="LA176" i="4" s="1"/>
  <c r="LA175" i="4" s="1"/>
  <c r="LA174" i="4" s="1"/>
  <c r="LA173" i="4" s="1"/>
  <c r="LA172" i="4" s="1"/>
  <c r="LA171" i="4" s="1"/>
  <c r="LA170" i="4" s="1"/>
  <c r="LA169" i="4" s="1"/>
  <c r="LA168" i="4" s="1"/>
  <c r="LA167" i="4" s="1"/>
  <c r="LA166" i="4" s="1"/>
  <c r="LA165" i="4" s="1"/>
  <c r="LA164" i="4" s="1"/>
  <c r="LA163" i="4" s="1"/>
  <c r="LA162" i="4" s="1"/>
  <c r="LA161" i="4" s="1"/>
  <c r="LA160" i="4" s="1"/>
  <c r="LA159" i="4" s="1"/>
  <c r="LA158" i="4" s="1"/>
  <c r="LA157" i="4" s="1"/>
  <c r="LA156" i="4" s="1"/>
  <c r="LA155" i="4" s="1"/>
  <c r="LA154" i="4" s="1"/>
  <c r="LA153" i="4" s="1"/>
  <c r="LA152" i="4" s="1"/>
  <c r="LA151" i="4" s="1"/>
  <c r="LA150" i="4" s="1"/>
  <c r="LA149" i="4" s="1"/>
  <c r="LA148" i="4" s="1"/>
  <c r="LA147" i="4" s="1"/>
  <c r="LA146" i="4" s="1"/>
  <c r="LA145" i="4" s="1"/>
  <c r="LA144" i="4" s="1"/>
  <c r="LA143" i="4" s="1"/>
  <c r="LA142" i="4" s="1"/>
  <c r="LA141" i="4" s="1"/>
  <c r="LA140" i="4" s="1"/>
  <c r="LA139" i="4" s="1"/>
  <c r="LA138" i="4" s="1"/>
  <c r="LA137" i="4" s="1"/>
  <c r="LA136" i="4" s="1"/>
  <c r="LA135" i="4" s="1"/>
  <c r="LA134" i="4" s="1"/>
  <c r="LA133" i="4" s="1"/>
  <c r="LA132" i="4" s="1"/>
  <c r="LA131" i="4" s="1"/>
  <c r="LA130" i="4" s="1"/>
  <c r="LA129" i="4" s="1"/>
  <c r="LA128" i="4" s="1"/>
  <c r="LA127" i="4" s="1"/>
  <c r="LA126" i="4" s="1"/>
  <c r="LA125" i="4" s="1"/>
  <c r="LA124" i="4" s="1"/>
  <c r="LA123" i="4" s="1"/>
  <c r="LA122" i="4" s="1"/>
  <c r="LA121" i="4" s="1"/>
  <c r="LA120" i="4" s="1"/>
  <c r="LA119" i="4" s="1"/>
  <c r="LA118" i="4" s="1"/>
  <c r="LA117" i="4" s="1"/>
  <c r="LA116" i="4" s="1"/>
  <c r="LA115" i="4" s="1"/>
  <c r="LA114" i="4" s="1"/>
  <c r="LA113" i="4" s="1"/>
  <c r="LA112" i="4" s="1"/>
  <c r="LA111" i="4" s="1"/>
  <c r="LA110" i="4" s="1"/>
  <c r="LA109" i="4" s="1"/>
  <c r="LA108" i="4" s="1"/>
  <c r="LA107" i="4" s="1"/>
  <c r="LB203" i="4"/>
  <c r="LB202" i="4" s="1"/>
  <c r="LB201" i="4" s="1"/>
  <c r="LB200" i="4" s="1"/>
  <c r="LB199" i="4" s="1"/>
  <c r="LB198" i="4" s="1"/>
  <c r="LB197" i="4" s="1"/>
  <c r="LB196" i="4" s="1"/>
  <c r="LB195" i="4" s="1"/>
  <c r="LB194" i="4" s="1"/>
  <c r="LB193" i="4" s="1"/>
  <c r="LB192" i="4" s="1"/>
  <c r="LB191" i="4" s="1"/>
  <c r="LB190" i="4" s="1"/>
  <c r="LB189" i="4" s="1"/>
  <c r="LB188" i="4" s="1"/>
  <c r="LB187" i="4" s="1"/>
  <c r="LB186" i="4" s="1"/>
  <c r="LB185" i="4" s="1"/>
  <c r="LB184" i="4" s="1"/>
  <c r="LB183" i="4" s="1"/>
  <c r="LB182" i="4" s="1"/>
  <c r="LB181" i="4" s="1"/>
  <c r="LB180" i="4" s="1"/>
  <c r="LB179" i="4" s="1"/>
  <c r="LB178" i="4" s="1"/>
  <c r="LB177" i="4" s="1"/>
  <c r="LB176" i="4" s="1"/>
  <c r="LB175" i="4" s="1"/>
  <c r="LB174" i="4" s="1"/>
  <c r="LB173" i="4" s="1"/>
  <c r="LB172" i="4" s="1"/>
  <c r="LB171" i="4" s="1"/>
  <c r="LB170" i="4" s="1"/>
  <c r="LB169" i="4" s="1"/>
  <c r="LB168" i="4" s="1"/>
  <c r="LB167" i="4" s="1"/>
  <c r="LB166" i="4" s="1"/>
  <c r="LB165" i="4" s="1"/>
  <c r="LB164" i="4" s="1"/>
  <c r="LB163" i="4" s="1"/>
  <c r="LB162" i="4" s="1"/>
  <c r="LB161" i="4" s="1"/>
  <c r="LB160" i="4" s="1"/>
  <c r="LB159" i="4" s="1"/>
  <c r="LB158" i="4" s="1"/>
  <c r="LB157" i="4" s="1"/>
  <c r="LB156" i="4" s="1"/>
  <c r="LB155" i="4" s="1"/>
  <c r="LB154" i="4" s="1"/>
  <c r="LB153" i="4" s="1"/>
  <c r="LB152" i="4" s="1"/>
  <c r="LB151" i="4" s="1"/>
  <c r="LB150" i="4" s="1"/>
  <c r="LB149" i="4" s="1"/>
  <c r="LB148" i="4" s="1"/>
  <c r="LB147" i="4" s="1"/>
  <c r="LB146" i="4" s="1"/>
  <c r="LB145" i="4" s="1"/>
  <c r="LB144" i="4" s="1"/>
  <c r="LB143" i="4" s="1"/>
  <c r="LB142" i="4" s="1"/>
  <c r="LB141" i="4" s="1"/>
  <c r="LB140" i="4" s="1"/>
  <c r="LB139" i="4" s="1"/>
  <c r="LB138" i="4" s="1"/>
  <c r="LB137" i="4" s="1"/>
  <c r="LB136" i="4" s="1"/>
  <c r="LB135" i="4" s="1"/>
  <c r="LB134" i="4" s="1"/>
  <c r="LB133" i="4" s="1"/>
  <c r="LB132" i="4" s="1"/>
  <c r="LB131" i="4" s="1"/>
  <c r="LB130" i="4" s="1"/>
  <c r="LB129" i="4" s="1"/>
  <c r="LB128" i="4" s="1"/>
  <c r="LB127" i="4" s="1"/>
  <c r="LB126" i="4" s="1"/>
  <c r="LB125" i="4" s="1"/>
  <c r="LB124" i="4" s="1"/>
  <c r="LB123" i="4" s="1"/>
  <c r="LB122" i="4" s="1"/>
  <c r="LB121" i="4" s="1"/>
  <c r="LB120" i="4" s="1"/>
  <c r="LB119" i="4" s="1"/>
  <c r="LB118" i="4" s="1"/>
  <c r="LB117" i="4" s="1"/>
  <c r="LB116" i="4" s="1"/>
  <c r="LB115" i="4" s="1"/>
  <c r="LB114" i="4" s="1"/>
  <c r="LB113" i="4" s="1"/>
  <c r="LB112" i="4" s="1"/>
  <c r="LB111" i="4" s="1"/>
  <c r="LB110" i="4" s="1"/>
  <c r="LB109" i="4" s="1"/>
  <c r="LB108" i="4" s="1"/>
  <c r="LB107" i="4" s="1"/>
  <c r="LC203" i="4"/>
  <c r="LC202" i="4" s="1"/>
  <c r="LC201" i="4" s="1"/>
  <c r="LC200" i="4" s="1"/>
  <c r="LC199" i="4" s="1"/>
  <c r="LC198" i="4" s="1"/>
  <c r="LC197" i="4" s="1"/>
  <c r="LC196" i="4" s="1"/>
  <c r="LC195" i="4" s="1"/>
  <c r="LC194" i="4" s="1"/>
  <c r="LC193" i="4" s="1"/>
  <c r="LC192" i="4" s="1"/>
  <c r="LC191" i="4" s="1"/>
  <c r="LC190" i="4" s="1"/>
  <c r="LC189" i="4" s="1"/>
  <c r="LC188" i="4" s="1"/>
  <c r="LC187" i="4" s="1"/>
  <c r="LC186" i="4" s="1"/>
  <c r="LC185" i="4" s="1"/>
  <c r="LC184" i="4" s="1"/>
  <c r="LC183" i="4" s="1"/>
  <c r="LC182" i="4" s="1"/>
  <c r="LC181" i="4" s="1"/>
  <c r="LC180" i="4" s="1"/>
  <c r="LC179" i="4" s="1"/>
  <c r="LC178" i="4" s="1"/>
  <c r="LC177" i="4" s="1"/>
  <c r="LC176" i="4" s="1"/>
  <c r="LC175" i="4" s="1"/>
  <c r="LC174" i="4" s="1"/>
  <c r="LC173" i="4" s="1"/>
  <c r="LC172" i="4" s="1"/>
  <c r="LC171" i="4" s="1"/>
  <c r="LC170" i="4" s="1"/>
  <c r="LC169" i="4" s="1"/>
  <c r="LC168" i="4" s="1"/>
  <c r="LC167" i="4" s="1"/>
  <c r="LC166" i="4" s="1"/>
  <c r="LC165" i="4" s="1"/>
  <c r="LC164" i="4" s="1"/>
  <c r="LC163" i="4" s="1"/>
  <c r="LC162" i="4" s="1"/>
  <c r="LC161" i="4" s="1"/>
  <c r="LC160" i="4" s="1"/>
  <c r="LC159" i="4" s="1"/>
  <c r="LC158" i="4" s="1"/>
  <c r="LC157" i="4" s="1"/>
  <c r="LC156" i="4" s="1"/>
  <c r="LC155" i="4" s="1"/>
  <c r="LC154" i="4" s="1"/>
  <c r="LC153" i="4" s="1"/>
  <c r="LC152" i="4" s="1"/>
  <c r="LC151" i="4" s="1"/>
  <c r="LC150" i="4" s="1"/>
  <c r="LC149" i="4" s="1"/>
  <c r="LC148" i="4" s="1"/>
  <c r="LC147" i="4" s="1"/>
  <c r="LC146" i="4" s="1"/>
  <c r="LC145" i="4" s="1"/>
  <c r="LC144" i="4" s="1"/>
  <c r="LC143" i="4" s="1"/>
  <c r="LC142" i="4" s="1"/>
  <c r="LC141" i="4" s="1"/>
  <c r="LC140" i="4" s="1"/>
  <c r="LC139" i="4" s="1"/>
  <c r="LC138" i="4" s="1"/>
  <c r="LC137" i="4" s="1"/>
  <c r="LC136" i="4" s="1"/>
  <c r="LC135" i="4" s="1"/>
  <c r="LC134" i="4" s="1"/>
  <c r="LC133" i="4" s="1"/>
  <c r="LC132" i="4" s="1"/>
  <c r="LC131" i="4" s="1"/>
  <c r="LC130" i="4" s="1"/>
  <c r="LC129" i="4" s="1"/>
  <c r="LC128" i="4" s="1"/>
  <c r="LC127" i="4" s="1"/>
  <c r="LC126" i="4" s="1"/>
  <c r="LC125" i="4" s="1"/>
  <c r="LC124" i="4" s="1"/>
  <c r="LC123" i="4" s="1"/>
  <c r="LC122" i="4" s="1"/>
  <c r="LC121" i="4" s="1"/>
  <c r="LC120" i="4" s="1"/>
  <c r="LC119" i="4" s="1"/>
  <c r="LC118" i="4" s="1"/>
  <c r="LC117" i="4" s="1"/>
  <c r="LC116" i="4" s="1"/>
  <c r="LC115" i="4" s="1"/>
  <c r="LC114" i="4" s="1"/>
  <c r="LC113" i="4" s="1"/>
  <c r="LC112" i="4" s="1"/>
  <c r="LC111" i="4" s="1"/>
  <c r="LC110" i="4" s="1"/>
  <c r="LC109" i="4" s="1"/>
  <c r="LC108" i="4" s="1"/>
  <c r="LC107" i="4" s="1"/>
  <c r="LD203" i="4"/>
  <c r="LD202" i="4" s="1"/>
  <c r="LD201" i="4" s="1"/>
  <c r="LD200" i="4" s="1"/>
  <c r="LD199" i="4" s="1"/>
  <c r="LD198" i="4" s="1"/>
  <c r="LD197" i="4" s="1"/>
  <c r="LD196" i="4" s="1"/>
  <c r="LD195" i="4" s="1"/>
  <c r="LD194" i="4" s="1"/>
  <c r="LD193" i="4" s="1"/>
  <c r="LD192" i="4" s="1"/>
  <c r="LD191" i="4" s="1"/>
  <c r="LD190" i="4" s="1"/>
  <c r="LD189" i="4" s="1"/>
  <c r="LD188" i="4" s="1"/>
  <c r="LD187" i="4" s="1"/>
  <c r="LD186" i="4" s="1"/>
  <c r="LD185" i="4" s="1"/>
  <c r="LD184" i="4" s="1"/>
  <c r="LD183" i="4" s="1"/>
  <c r="LD182" i="4" s="1"/>
  <c r="LD181" i="4" s="1"/>
  <c r="LD180" i="4" s="1"/>
  <c r="LD179" i="4" s="1"/>
  <c r="LD178" i="4" s="1"/>
  <c r="LD177" i="4" s="1"/>
  <c r="LD176" i="4" s="1"/>
  <c r="LD175" i="4" s="1"/>
  <c r="LD174" i="4" s="1"/>
  <c r="LD173" i="4" s="1"/>
  <c r="LD172" i="4" s="1"/>
  <c r="LD171" i="4" s="1"/>
  <c r="LD170" i="4" s="1"/>
  <c r="LD169" i="4" s="1"/>
  <c r="LD168" i="4" s="1"/>
  <c r="LD167" i="4" s="1"/>
  <c r="LD166" i="4" s="1"/>
  <c r="LD165" i="4" s="1"/>
  <c r="LD164" i="4" s="1"/>
  <c r="LD163" i="4" s="1"/>
  <c r="LD162" i="4" s="1"/>
  <c r="LD161" i="4" s="1"/>
  <c r="LD160" i="4" s="1"/>
  <c r="LD159" i="4" s="1"/>
  <c r="LD158" i="4" s="1"/>
  <c r="LD157" i="4" s="1"/>
  <c r="LD156" i="4" s="1"/>
  <c r="LD155" i="4" s="1"/>
  <c r="LD154" i="4" s="1"/>
  <c r="LD153" i="4" s="1"/>
  <c r="LD152" i="4" s="1"/>
  <c r="LD151" i="4" s="1"/>
  <c r="LD150" i="4" s="1"/>
  <c r="LD149" i="4" s="1"/>
  <c r="LD148" i="4" s="1"/>
  <c r="LD147" i="4" s="1"/>
  <c r="LD146" i="4" s="1"/>
  <c r="LD145" i="4" s="1"/>
  <c r="LD144" i="4" s="1"/>
  <c r="LD143" i="4" s="1"/>
  <c r="LD142" i="4" s="1"/>
  <c r="LD141" i="4" s="1"/>
  <c r="LD140" i="4" s="1"/>
  <c r="LD139" i="4" s="1"/>
  <c r="LD138" i="4" s="1"/>
  <c r="LD137" i="4" s="1"/>
  <c r="LD136" i="4" s="1"/>
  <c r="LD135" i="4" s="1"/>
  <c r="LD134" i="4" s="1"/>
  <c r="LD133" i="4" s="1"/>
  <c r="LD132" i="4" s="1"/>
  <c r="LD131" i="4" s="1"/>
  <c r="LD130" i="4" s="1"/>
  <c r="LD129" i="4" s="1"/>
  <c r="LD128" i="4" s="1"/>
  <c r="LD127" i="4" s="1"/>
  <c r="LD126" i="4" s="1"/>
  <c r="LD125" i="4" s="1"/>
  <c r="LD124" i="4" s="1"/>
  <c r="LD123" i="4" s="1"/>
  <c r="LD122" i="4" s="1"/>
  <c r="LD121" i="4" s="1"/>
  <c r="LD120" i="4" s="1"/>
  <c r="LD119" i="4" s="1"/>
  <c r="LD118" i="4" s="1"/>
  <c r="LD117" i="4" s="1"/>
  <c r="LD116" i="4" s="1"/>
  <c r="LD115" i="4" s="1"/>
  <c r="LD114" i="4" s="1"/>
  <c r="LD113" i="4" s="1"/>
  <c r="LD112" i="4" s="1"/>
  <c r="LD111" i="4" s="1"/>
  <c r="LD110" i="4" s="1"/>
  <c r="LD109" i="4" s="1"/>
  <c r="LD108" i="4" s="1"/>
  <c r="LD107" i="4" s="1"/>
  <c r="LE203" i="4"/>
  <c r="LE202" i="4" s="1"/>
  <c r="LE201" i="4" s="1"/>
  <c r="LE200" i="4" s="1"/>
  <c r="LE199" i="4" s="1"/>
  <c r="LE198" i="4" s="1"/>
  <c r="LE197" i="4" s="1"/>
  <c r="LE196" i="4" s="1"/>
  <c r="LE195" i="4" s="1"/>
  <c r="LE194" i="4" s="1"/>
  <c r="LE193" i="4" s="1"/>
  <c r="LE192" i="4" s="1"/>
  <c r="LE191" i="4" s="1"/>
  <c r="LE190" i="4" s="1"/>
  <c r="LE189" i="4" s="1"/>
  <c r="LE188" i="4" s="1"/>
  <c r="LE187" i="4" s="1"/>
  <c r="LE186" i="4" s="1"/>
  <c r="LE185" i="4" s="1"/>
  <c r="LE184" i="4" s="1"/>
  <c r="LE183" i="4" s="1"/>
  <c r="LE182" i="4" s="1"/>
  <c r="LE181" i="4" s="1"/>
  <c r="LE180" i="4" s="1"/>
  <c r="LE179" i="4" s="1"/>
  <c r="LE178" i="4" s="1"/>
  <c r="LE177" i="4" s="1"/>
  <c r="LE176" i="4" s="1"/>
  <c r="LE175" i="4" s="1"/>
  <c r="LE174" i="4" s="1"/>
  <c r="LE173" i="4" s="1"/>
  <c r="LE172" i="4" s="1"/>
  <c r="LE171" i="4" s="1"/>
  <c r="LE170" i="4" s="1"/>
  <c r="LE169" i="4" s="1"/>
  <c r="LE168" i="4" s="1"/>
  <c r="LE167" i="4" s="1"/>
  <c r="LE166" i="4" s="1"/>
  <c r="LE165" i="4" s="1"/>
  <c r="LE164" i="4" s="1"/>
  <c r="LE163" i="4" s="1"/>
  <c r="LE162" i="4" s="1"/>
  <c r="LE161" i="4" s="1"/>
  <c r="LE160" i="4" s="1"/>
  <c r="LE159" i="4" s="1"/>
  <c r="LE158" i="4" s="1"/>
  <c r="LE157" i="4" s="1"/>
  <c r="LE156" i="4" s="1"/>
  <c r="LE155" i="4" s="1"/>
  <c r="LE154" i="4" s="1"/>
  <c r="LE153" i="4" s="1"/>
  <c r="LE152" i="4" s="1"/>
  <c r="LE151" i="4" s="1"/>
  <c r="LE150" i="4" s="1"/>
  <c r="LE149" i="4" s="1"/>
  <c r="LE148" i="4" s="1"/>
  <c r="LE147" i="4" s="1"/>
  <c r="LE146" i="4" s="1"/>
  <c r="LE145" i="4" s="1"/>
  <c r="LE144" i="4" s="1"/>
  <c r="LE143" i="4" s="1"/>
  <c r="LE142" i="4" s="1"/>
  <c r="LE141" i="4" s="1"/>
  <c r="LE140" i="4" s="1"/>
  <c r="LE139" i="4" s="1"/>
  <c r="LE138" i="4" s="1"/>
  <c r="LE137" i="4" s="1"/>
  <c r="LE136" i="4" s="1"/>
  <c r="LE135" i="4" s="1"/>
  <c r="LE134" i="4" s="1"/>
  <c r="LE133" i="4" s="1"/>
  <c r="LE132" i="4" s="1"/>
  <c r="LE131" i="4" s="1"/>
  <c r="LE130" i="4" s="1"/>
  <c r="LE129" i="4" s="1"/>
  <c r="LE128" i="4" s="1"/>
  <c r="LE127" i="4" s="1"/>
  <c r="LE126" i="4" s="1"/>
  <c r="LE125" i="4" s="1"/>
  <c r="LE124" i="4" s="1"/>
  <c r="LE123" i="4" s="1"/>
  <c r="LE122" i="4" s="1"/>
  <c r="LE121" i="4" s="1"/>
  <c r="LE120" i="4" s="1"/>
  <c r="LE119" i="4" s="1"/>
  <c r="LE118" i="4" s="1"/>
  <c r="LE117" i="4" s="1"/>
  <c r="LE116" i="4" s="1"/>
  <c r="LE115" i="4" s="1"/>
  <c r="LE114" i="4" s="1"/>
  <c r="LE113" i="4" s="1"/>
  <c r="LE112" i="4" s="1"/>
  <c r="LE111" i="4" s="1"/>
  <c r="LE110" i="4" s="1"/>
  <c r="LE109" i="4" s="1"/>
  <c r="LE108" i="4" s="1"/>
  <c r="LE107" i="4" s="1"/>
  <c r="LF203" i="4"/>
  <c r="LF202" i="4" s="1"/>
  <c r="LF201" i="4" s="1"/>
  <c r="LF200" i="4" s="1"/>
  <c r="LF199" i="4" s="1"/>
  <c r="LF198" i="4" s="1"/>
  <c r="LF197" i="4" s="1"/>
  <c r="LF196" i="4" s="1"/>
  <c r="LF195" i="4" s="1"/>
  <c r="LF194" i="4" s="1"/>
  <c r="LF193" i="4" s="1"/>
  <c r="LF192" i="4" s="1"/>
  <c r="LF191" i="4" s="1"/>
  <c r="LF190" i="4" s="1"/>
  <c r="LF189" i="4" s="1"/>
  <c r="LF188" i="4" s="1"/>
  <c r="LF187" i="4" s="1"/>
  <c r="LF186" i="4" s="1"/>
  <c r="LF185" i="4" s="1"/>
  <c r="LF184" i="4" s="1"/>
  <c r="LF183" i="4" s="1"/>
  <c r="LF182" i="4" s="1"/>
  <c r="LF181" i="4" s="1"/>
  <c r="LF180" i="4" s="1"/>
  <c r="LF179" i="4" s="1"/>
  <c r="LF178" i="4" s="1"/>
  <c r="LF177" i="4" s="1"/>
  <c r="LF176" i="4" s="1"/>
  <c r="LF175" i="4" s="1"/>
  <c r="LF174" i="4" s="1"/>
  <c r="LF173" i="4" s="1"/>
  <c r="LF172" i="4" s="1"/>
  <c r="LF171" i="4" s="1"/>
  <c r="LF170" i="4" s="1"/>
  <c r="LF169" i="4" s="1"/>
  <c r="LF168" i="4" s="1"/>
  <c r="LF167" i="4" s="1"/>
  <c r="LF166" i="4" s="1"/>
  <c r="LF165" i="4" s="1"/>
  <c r="LF164" i="4" s="1"/>
  <c r="LF163" i="4" s="1"/>
  <c r="LF162" i="4" s="1"/>
  <c r="LF161" i="4" s="1"/>
  <c r="LF160" i="4" s="1"/>
  <c r="LF159" i="4" s="1"/>
  <c r="LF158" i="4" s="1"/>
  <c r="LF157" i="4" s="1"/>
  <c r="LF156" i="4" s="1"/>
  <c r="LF155" i="4" s="1"/>
  <c r="LF154" i="4" s="1"/>
  <c r="LF153" i="4" s="1"/>
  <c r="LF152" i="4" s="1"/>
  <c r="LF151" i="4" s="1"/>
  <c r="LF150" i="4" s="1"/>
  <c r="LF149" i="4" s="1"/>
  <c r="LF148" i="4" s="1"/>
  <c r="LF147" i="4" s="1"/>
  <c r="LF146" i="4" s="1"/>
  <c r="LF145" i="4" s="1"/>
  <c r="LF144" i="4" s="1"/>
  <c r="LF143" i="4" s="1"/>
  <c r="LF142" i="4" s="1"/>
  <c r="LF141" i="4" s="1"/>
  <c r="LF140" i="4" s="1"/>
  <c r="LF139" i="4" s="1"/>
  <c r="LF138" i="4" s="1"/>
  <c r="LF137" i="4" s="1"/>
  <c r="LF136" i="4" s="1"/>
  <c r="LF135" i="4" s="1"/>
  <c r="LF134" i="4" s="1"/>
  <c r="LF133" i="4" s="1"/>
  <c r="LF132" i="4" s="1"/>
  <c r="LF131" i="4" s="1"/>
  <c r="LF130" i="4" s="1"/>
  <c r="LF129" i="4" s="1"/>
  <c r="LF128" i="4" s="1"/>
  <c r="LF127" i="4" s="1"/>
  <c r="LF126" i="4" s="1"/>
  <c r="LF125" i="4" s="1"/>
  <c r="LF124" i="4" s="1"/>
  <c r="LF123" i="4" s="1"/>
  <c r="LF122" i="4" s="1"/>
  <c r="LF121" i="4" s="1"/>
  <c r="LF120" i="4" s="1"/>
  <c r="LF119" i="4" s="1"/>
  <c r="LF118" i="4" s="1"/>
  <c r="LF117" i="4" s="1"/>
  <c r="LF116" i="4" s="1"/>
  <c r="LF115" i="4" s="1"/>
  <c r="LF114" i="4" s="1"/>
  <c r="LF113" i="4" s="1"/>
  <c r="LF112" i="4" s="1"/>
  <c r="LF111" i="4" s="1"/>
  <c r="LF110" i="4" s="1"/>
  <c r="LF109" i="4" s="1"/>
  <c r="LF108" i="4" s="1"/>
  <c r="LF107" i="4" s="1"/>
  <c r="LG203" i="4"/>
  <c r="LG202" i="4" s="1"/>
  <c r="LG201" i="4" s="1"/>
  <c r="LG200" i="4" s="1"/>
  <c r="LG199" i="4" s="1"/>
  <c r="LG198" i="4" s="1"/>
  <c r="LG197" i="4" s="1"/>
  <c r="LG196" i="4" s="1"/>
  <c r="LG195" i="4" s="1"/>
  <c r="LG194" i="4" s="1"/>
  <c r="LG193" i="4" s="1"/>
  <c r="LG192" i="4" s="1"/>
  <c r="LG191" i="4" s="1"/>
  <c r="LG190" i="4" s="1"/>
  <c r="LG189" i="4" s="1"/>
  <c r="LG188" i="4" s="1"/>
  <c r="LG187" i="4" s="1"/>
  <c r="LG186" i="4" s="1"/>
  <c r="LG185" i="4" s="1"/>
  <c r="LG184" i="4" s="1"/>
  <c r="LG183" i="4" s="1"/>
  <c r="LG182" i="4" s="1"/>
  <c r="LG181" i="4" s="1"/>
  <c r="LG180" i="4" s="1"/>
  <c r="LG179" i="4" s="1"/>
  <c r="LG178" i="4" s="1"/>
  <c r="LG177" i="4" s="1"/>
  <c r="LG176" i="4" s="1"/>
  <c r="LG175" i="4" s="1"/>
  <c r="LG174" i="4" s="1"/>
  <c r="LG173" i="4" s="1"/>
  <c r="LG172" i="4" s="1"/>
  <c r="LG171" i="4" s="1"/>
  <c r="LG170" i="4" s="1"/>
  <c r="LG169" i="4" s="1"/>
  <c r="LG168" i="4" s="1"/>
  <c r="LG167" i="4" s="1"/>
  <c r="LG166" i="4" s="1"/>
  <c r="LG165" i="4" s="1"/>
  <c r="LG164" i="4" s="1"/>
  <c r="LG163" i="4" s="1"/>
  <c r="LG162" i="4" s="1"/>
  <c r="LG161" i="4" s="1"/>
  <c r="LG160" i="4" s="1"/>
  <c r="LG159" i="4" s="1"/>
  <c r="LG158" i="4" s="1"/>
  <c r="LG157" i="4" s="1"/>
  <c r="LG156" i="4" s="1"/>
  <c r="LG155" i="4" s="1"/>
  <c r="LG154" i="4" s="1"/>
  <c r="LG153" i="4" s="1"/>
  <c r="LG152" i="4" s="1"/>
  <c r="LG151" i="4" s="1"/>
  <c r="LG150" i="4" s="1"/>
  <c r="LG149" i="4" s="1"/>
  <c r="LG148" i="4" s="1"/>
  <c r="LG147" i="4" s="1"/>
  <c r="LG146" i="4" s="1"/>
  <c r="LG145" i="4" s="1"/>
  <c r="LG144" i="4" s="1"/>
  <c r="LG143" i="4" s="1"/>
  <c r="LG142" i="4" s="1"/>
  <c r="LG141" i="4" s="1"/>
  <c r="LG140" i="4" s="1"/>
  <c r="LG139" i="4" s="1"/>
  <c r="LG138" i="4" s="1"/>
  <c r="LG137" i="4" s="1"/>
  <c r="LG136" i="4" s="1"/>
  <c r="LG135" i="4" s="1"/>
  <c r="LG134" i="4" s="1"/>
  <c r="LG133" i="4" s="1"/>
  <c r="LG132" i="4" s="1"/>
  <c r="LG131" i="4" s="1"/>
  <c r="LG130" i="4" s="1"/>
  <c r="LG129" i="4" s="1"/>
  <c r="LG128" i="4" s="1"/>
  <c r="LG127" i="4" s="1"/>
  <c r="LG126" i="4" s="1"/>
  <c r="LG125" i="4" s="1"/>
  <c r="LG124" i="4" s="1"/>
  <c r="LG123" i="4" s="1"/>
  <c r="LG122" i="4" s="1"/>
  <c r="LG121" i="4" s="1"/>
  <c r="LG120" i="4" s="1"/>
  <c r="LG119" i="4" s="1"/>
  <c r="LG118" i="4" s="1"/>
  <c r="LG117" i="4" s="1"/>
  <c r="LG116" i="4" s="1"/>
  <c r="LG115" i="4" s="1"/>
  <c r="LG114" i="4" s="1"/>
  <c r="LG113" i="4" s="1"/>
  <c r="LG112" i="4" s="1"/>
  <c r="LG111" i="4" s="1"/>
  <c r="LG110" i="4" s="1"/>
  <c r="LG109" i="4" s="1"/>
  <c r="LG108" i="4" s="1"/>
  <c r="LG107" i="4" s="1"/>
  <c r="LH203" i="4"/>
  <c r="LH202" i="4" s="1"/>
  <c r="LH201" i="4" s="1"/>
  <c r="LH200" i="4" s="1"/>
  <c r="LH199" i="4" s="1"/>
  <c r="LH198" i="4" s="1"/>
  <c r="LH197" i="4" s="1"/>
  <c r="LH196" i="4" s="1"/>
  <c r="LH195" i="4" s="1"/>
  <c r="LH194" i="4" s="1"/>
  <c r="LH193" i="4" s="1"/>
  <c r="LH192" i="4" s="1"/>
  <c r="LH191" i="4" s="1"/>
  <c r="LH190" i="4" s="1"/>
  <c r="LH189" i="4" s="1"/>
  <c r="LH188" i="4" s="1"/>
  <c r="LH187" i="4" s="1"/>
  <c r="LH186" i="4" s="1"/>
  <c r="LH185" i="4" s="1"/>
  <c r="LH184" i="4" s="1"/>
  <c r="LH183" i="4" s="1"/>
  <c r="LH182" i="4" s="1"/>
  <c r="LH181" i="4" s="1"/>
  <c r="LH180" i="4" s="1"/>
  <c r="LH179" i="4" s="1"/>
  <c r="LH178" i="4" s="1"/>
  <c r="LH177" i="4" s="1"/>
  <c r="LH176" i="4" s="1"/>
  <c r="LH175" i="4" s="1"/>
  <c r="LH174" i="4" s="1"/>
  <c r="LH173" i="4" s="1"/>
  <c r="LH172" i="4" s="1"/>
  <c r="LH171" i="4" s="1"/>
  <c r="LH170" i="4" s="1"/>
  <c r="LH169" i="4" s="1"/>
  <c r="LH168" i="4" s="1"/>
  <c r="LH167" i="4" s="1"/>
  <c r="LH166" i="4" s="1"/>
  <c r="LH165" i="4" s="1"/>
  <c r="LH164" i="4" s="1"/>
  <c r="LH163" i="4" s="1"/>
  <c r="LH162" i="4" s="1"/>
  <c r="LH161" i="4" s="1"/>
  <c r="LH160" i="4" s="1"/>
  <c r="LH159" i="4" s="1"/>
  <c r="LH158" i="4" s="1"/>
  <c r="LH157" i="4" s="1"/>
  <c r="LH156" i="4" s="1"/>
  <c r="LH155" i="4" s="1"/>
  <c r="LH154" i="4" s="1"/>
  <c r="LH153" i="4" s="1"/>
  <c r="LH152" i="4" s="1"/>
  <c r="LH151" i="4" s="1"/>
  <c r="LH150" i="4" s="1"/>
  <c r="LH149" i="4" s="1"/>
  <c r="LH148" i="4" s="1"/>
  <c r="LH147" i="4" s="1"/>
  <c r="LH146" i="4" s="1"/>
  <c r="LH145" i="4" s="1"/>
  <c r="LH144" i="4" s="1"/>
  <c r="LH143" i="4" s="1"/>
  <c r="LH142" i="4" s="1"/>
  <c r="LH141" i="4" s="1"/>
  <c r="LH140" i="4" s="1"/>
  <c r="LH139" i="4" s="1"/>
  <c r="LH138" i="4" s="1"/>
  <c r="LH137" i="4" s="1"/>
  <c r="LH136" i="4" s="1"/>
  <c r="LH135" i="4" s="1"/>
  <c r="LH134" i="4" s="1"/>
  <c r="LH133" i="4" s="1"/>
  <c r="LH132" i="4" s="1"/>
  <c r="LH131" i="4" s="1"/>
  <c r="LH130" i="4" s="1"/>
  <c r="LH129" i="4" s="1"/>
  <c r="LH128" i="4" s="1"/>
  <c r="LH127" i="4" s="1"/>
  <c r="LH126" i="4" s="1"/>
  <c r="LH125" i="4" s="1"/>
  <c r="LH124" i="4" s="1"/>
  <c r="LH123" i="4" s="1"/>
  <c r="LH122" i="4" s="1"/>
  <c r="LH121" i="4" s="1"/>
  <c r="LH120" i="4" s="1"/>
  <c r="LH119" i="4" s="1"/>
  <c r="LH118" i="4" s="1"/>
  <c r="LH117" i="4" s="1"/>
  <c r="LH116" i="4" s="1"/>
  <c r="LH115" i="4" s="1"/>
  <c r="LH114" i="4" s="1"/>
  <c r="LH113" i="4" s="1"/>
  <c r="LH112" i="4" s="1"/>
  <c r="LH111" i="4" s="1"/>
  <c r="LH110" i="4" s="1"/>
  <c r="LH109" i="4" s="1"/>
  <c r="LH108" i="4" s="1"/>
  <c r="LH107" i="4" s="1"/>
  <c r="LI203" i="4"/>
  <c r="LI202" i="4" s="1"/>
  <c r="LI201" i="4" s="1"/>
  <c r="LI200" i="4" s="1"/>
  <c r="LI199" i="4" s="1"/>
  <c r="LI198" i="4" s="1"/>
  <c r="LI197" i="4" s="1"/>
  <c r="LI196" i="4" s="1"/>
  <c r="LI195" i="4" s="1"/>
  <c r="LI194" i="4" s="1"/>
  <c r="LI193" i="4" s="1"/>
  <c r="LI192" i="4" s="1"/>
  <c r="LI191" i="4" s="1"/>
  <c r="LI190" i="4" s="1"/>
  <c r="LI189" i="4" s="1"/>
  <c r="LI188" i="4" s="1"/>
  <c r="LI187" i="4" s="1"/>
  <c r="LI186" i="4" s="1"/>
  <c r="LI185" i="4" s="1"/>
  <c r="LI184" i="4" s="1"/>
  <c r="LI183" i="4" s="1"/>
  <c r="LI182" i="4" s="1"/>
  <c r="LI181" i="4" s="1"/>
  <c r="LI180" i="4" s="1"/>
  <c r="LI179" i="4" s="1"/>
  <c r="LI178" i="4" s="1"/>
  <c r="LI177" i="4" s="1"/>
  <c r="LI176" i="4" s="1"/>
  <c r="LI175" i="4" s="1"/>
  <c r="LI174" i="4" s="1"/>
  <c r="LI173" i="4" s="1"/>
  <c r="LI172" i="4" s="1"/>
  <c r="LI171" i="4" s="1"/>
  <c r="LI170" i="4" s="1"/>
  <c r="LI169" i="4" s="1"/>
  <c r="LI168" i="4" s="1"/>
  <c r="LI167" i="4" s="1"/>
  <c r="LI166" i="4" s="1"/>
  <c r="LI165" i="4" s="1"/>
  <c r="LI164" i="4" s="1"/>
  <c r="LI163" i="4" s="1"/>
  <c r="LI162" i="4" s="1"/>
  <c r="LI161" i="4" s="1"/>
  <c r="LI160" i="4" s="1"/>
  <c r="LI159" i="4" s="1"/>
  <c r="LI158" i="4" s="1"/>
  <c r="LI157" i="4" s="1"/>
  <c r="LI156" i="4" s="1"/>
  <c r="LI155" i="4" s="1"/>
  <c r="LI154" i="4" s="1"/>
  <c r="LI153" i="4" s="1"/>
  <c r="LI152" i="4" s="1"/>
  <c r="LI151" i="4" s="1"/>
  <c r="LI150" i="4" s="1"/>
  <c r="LI149" i="4" s="1"/>
  <c r="LI148" i="4" s="1"/>
  <c r="LI147" i="4" s="1"/>
  <c r="LI146" i="4" s="1"/>
  <c r="LI145" i="4" s="1"/>
  <c r="LI144" i="4" s="1"/>
  <c r="LI143" i="4" s="1"/>
  <c r="LI142" i="4" s="1"/>
  <c r="LI141" i="4" s="1"/>
  <c r="LI140" i="4" s="1"/>
  <c r="LI139" i="4" s="1"/>
  <c r="LI138" i="4" s="1"/>
  <c r="LI137" i="4" s="1"/>
  <c r="LI136" i="4" s="1"/>
  <c r="LI135" i="4" s="1"/>
  <c r="LI134" i="4" s="1"/>
  <c r="LI133" i="4" s="1"/>
  <c r="LI132" i="4" s="1"/>
  <c r="LI131" i="4" s="1"/>
  <c r="LI130" i="4" s="1"/>
  <c r="LI129" i="4" s="1"/>
  <c r="LI128" i="4" s="1"/>
  <c r="LI127" i="4" s="1"/>
  <c r="LI126" i="4" s="1"/>
  <c r="LI125" i="4" s="1"/>
  <c r="LI124" i="4" s="1"/>
  <c r="LI123" i="4" s="1"/>
  <c r="LI122" i="4" s="1"/>
  <c r="LI121" i="4" s="1"/>
  <c r="LI120" i="4" s="1"/>
  <c r="LI119" i="4" s="1"/>
  <c r="LI118" i="4" s="1"/>
  <c r="LI117" i="4" s="1"/>
  <c r="LI116" i="4" s="1"/>
  <c r="LI115" i="4" s="1"/>
  <c r="LI114" i="4" s="1"/>
  <c r="LI113" i="4" s="1"/>
  <c r="LI112" i="4" s="1"/>
  <c r="LI111" i="4" s="1"/>
  <c r="LI110" i="4" s="1"/>
  <c r="LI109" i="4" s="1"/>
  <c r="LI108" i="4" s="1"/>
  <c r="LI107" i="4" s="1"/>
  <c r="LJ203" i="4"/>
  <c r="LJ202" i="4" s="1"/>
  <c r="LJ201" i="4" s="1"/>
  <c r="LJ200" i="4" s="1"/>
  <c r="LJ199" i="4" s="1"/>
  <c r="LJ198" i="4" s="1"/>
  <c r="LJ197" i="4" s="1"/>
  <c r="LJ196" i="4" s="1"/>
  <c r="LJ195" i="4" s="1"/>
  <c r="LJ194" i="4" s="1"/>
  <c r="LJ193" i="4" s="1"/>
  <c r="LJ192" i="4" s="1"/>
  <c r="LJ191" i="4" s="1"/>
  <c r="LJ190" i="4" s="1"/>
  <c r="LJ189" i="4" s="1"/>
  <c r="LJ188" i="4" s="1"/>
  <c r="LJ187" i="4" s="1"/>
  <c r="LJ186" i="4" s="1"/>
  <c r="LJ185" i="4" s="1"/>
  <c r="LJ184" i="4" s="1"/>
  <c r="LJ183" i="4" s="1"/>
  <c r="LJ182" i="4" s="1"/>
  <c r="LJ181" i="4" s="1"/>
  <c r="LJ180" i="4" s="1"/>
  <c r="LJ179" i="4" s="1"/>
  <c r="LJ178" i="4" s="1"/>
  <c r="LJ177" i="4" s="1"/>
  <c r="LJ176" i="4" s="1"/>
  <c r="LJ175" i="4" s="1"/>
  <c r="LJ174" i="4" s="1"/>
  <c r="LJ173" i="4" s="1"/>
  <c r="LJ172" i="4" s="1"/>
  <c r="LJ171" i="4" s="1"/>
  <c r="LJ170" i="4" s="1"/>
  <c r="LJ169" i="4" s="1"/>
  <c r="LJ168" i="4" s="1"/>
  <c r="LJ167" i="4" s="1"/>
  <c r="LJ166" i="4" s="1"/>
  <c r="LJ165" i="4" s="1"/>
  <c r="LJ164" i="4" s="1"/>
  <c r="LJ163" i="4" s="1"/>
  <c r="LJ162" i="4" s="1"/>
  <c r="LJ161" i="4" s="1"/>
  <c r="LJ160" i="4" s="1"/>
  <c r="LJ159" i="4" s="1"/>
  <c r="LJ158" i="4" s="1"/>
  <c r="LJ157" i="4" s="1"/>
  <c r="LJ156" i="4" s="1"/>
  <c r="LJ155" i="4" s="1"/>
  <c r="LJ154" i="4" s="1"/>
  <c r="LJ153" i="4" s="1"/>
  <c r="LJ152" i="4" s="1"/>
  <c r="LJ151" i="4" s="1"/>
  <c r="LJ150" i="4" s="1"/>
  <c r="LJ149" i="4" s="1"/>
  <c r="LJ148" i="4" s="1"/>
  <c r="LJ147" i="4" s="1"/>
  <c r="LJ146" i="4" s="1"/>
  <c r="LJ145" i="4" s="1"/>
  <c r="LJ144" i="4" s="1"/>
  <c r="LJ143" i="4" s="1"/>
  <c r="LJ142" i="4" s="1"/>
  <c r="LJ141" i="4" s="1"/>
  <c r="LJ140" i="4" s="1"/>
  <c r="LJ139" i="4" s="1"/>
  <c r="LJ138" i="4" s="1"/>
  <c r="LJ137" i="4" s="1"/>
  <c r="LJ136" i="4" s="1"/>
  <c r="LJ135" i="4" s="1"/>
  <c r="LJ134" i="4" s="1"/>
  <c r="LJ133" i="4" s="1"/>
  <c r="LJ132" i="4" s="1"/>
  <c r="LJ131" i="4" s="1"/>
  <c r="LJ130" i="4" s="1"/>
  <c r="LJ129" i="4" s="1"/>
  <c r="LJ128" i="4" s="1"/>
  <c r="LJ127" i="4" s="1"/>
  <c r="LJ126" i="4" s="1"/>
  <c r="LJ125" i="4" s="1"/>
  <c r="LJ124" i="4" s="1"/>
  <c r="LJ123" i="4" s="1"/>
  <c r="LJ122" i="4" s="1"/>
  <c r="LJ121" i="4" s="1"/>
  <c r="LJ120" i="4" s="1"/>
  <c r="LJ119" i="4" s="1"/>
  <c r="LJ118" i="4" s="1"/>
  <c r="LJ117" i="4" s="1"/>
  <c r="LJ116" i="4" s="1"/>
  <c r="LJ115" i="4" s="1"/>
  <c r="LJ114" i="4" s="1"/>
  <c r="LJ113" i="4" s="1"/>
  <c r="LJ112" i="4" s="1"/>
  <c r="LJ111" i="4" s="1"/>
  <c r="LJ110" i="4" s="1"/>
  <c r="LJ109" i="4" s="1"/>
  <c r="LJ108" i="4" s="1"/>
  <c r="LJ107" i="4" s="1"/>
  <c r="LK203" i="4"/>
  <c r="LK202" i="4" s="1"/>
  <c r="LK201" i="4" s="1"/>
  <c r="LK200" i="4" s="1"/>
  <c r="LK199" i="4" s="1"/>
  <c r="LK198" i="4" s="1"/>
  <c r="LK197" i="4" s="1"/>
  <c r="LK196" i="4" s="1"/>
  <c r="LK195" i="4" s="1"/>
  <c r="LK194" i="4" s="1"/>
  <c r="LK193" i="4" s="1"/>
  <c r="LK192" i="4" s="1"/>
  <c r="LK191" i="4" s="1"/>
  <c r="LK190" i="4" s="1"/>
  <c r="LK189" i="4" s="1"/>
  <c r="LK188" i="4" s="1"/>
  <c r="LK187" i="4" s="1"/>
  <c r="LK186" i="4" s="1"/>
  <c r="LK185" i="4" s="1"/>
  <c r="LK184" i="4" s="1"/>
  <c r="LK183" i="4" s="1"/>
  <c r="LK182" i="4" s="1"/>
  <c r="LK181" i="4" s="1"/>
  <c r="LK180" i="4" s="1"/>
  <c r="LK179" i="4" s="1"/>
  <c r="LK178" i="4" s="1"/>
  <c r="LK177" i="4" s="1"/>
  <c r="LK176" i="4" s="1"/>
  <c r="LK175" i="4" s="1"/>
  <c r="LK174" i="4" s="1"/>
  <c r="LK173" i="4" s="1"/>
  <c r="LK172" i="4" s="1"/>
  <c r="LK171" i="4" s="1"/>
  <c r="LK170" i="4" s="1"/>
  <c r="LK169" i="4" s="1"/>
  <c r="LK168" i="4" s="1"/>
  <c r="LK167" i="4" s="1"/>
  <c r="LK166" i="4" s="1"/>
  <c r="LK165" i="4" s="1"/>
  <c r="LK164" i="4" s="1"/>
  <c r="LK163" i="4" s="1"/>
  <c r="LK162" i="4" s="1"/>
  <c r="LK161" i="4" s="1"/>
  <c r="LK160" i="4" s="1"/>
  <c r="LK159" i="4" s="1"/>
  <c r="LK158" i="4" s="1"/>
  <c r="LK157" i="4" s="1"/>
  <c r="LK156" i="4" s="1"/>
  <c r="LK155" i="4" s="1"/>
  <c r="LK154" i="4" s="1"/>
  <c r="LK153" i="4" s="1"/>
  <c r="LK152" i="4" s="1"/>
  <c r="LK151" i="4" s="1"/>
  <c r="LK150" i="4" s="1"/>
  <c r="LK149" i="4" s="1"/>
  <c r="LK148" i="4" s="1"/>
  <c r="LK147" i="4" s="1"/>
  <c r="LK146" i="4" s="1"/>
  <c r="LK145" i="4" s="1"/>
  <c r="LK144" i="4" s="1"/>
  <c r="LK143" i="4" s="1"/>
  <c r="LK142" i="4" s="1"/>
  <c r="LK141" i="4" s="1"/>
  <c r="LK140" i="4" s="1"/>
  <c r="LK139" i="4" s="1"/>
  <c r="LK138" i="4" s="1"/>
  <c r="LK137" i="4" s="1"/>
  <c r="LK136" i="4" s="1"/>
  <c r="LK135" i="4" s="1"/>
  <c r="LK134" i="4" s="1"/>
  <c r="LK133" i="4" s="1"/>
  <c r="LK132" i="4" s="1"/>
  <c r="LK131" i="4" s="1"/>
  <c r="LK130" i="4" s="1"/>
  <c r="LK129" i="4" s="1"/>
  <c r="LK128" i="4" s="1"/>
  <c r="LK127" i="4" s="1"/>
  <c r="LK126" i="4" s="1"/>
  <c r="LK125" i="4" s="1"/>
  <c r="LK124" i="4" s="1"/>
  <c r="LK123" i="4" s="1"/>
  <c r="LK122" i="4" s="1"/>
  <c r="LK121" i="4" s="1"/>
  <c r="LK120" i="4" s="1"/>
  <c r="LK119" i="4" s="1"/>
  <c r="LK118" i="4" s="1"/>
  <c r="LK117" i="4" s="1"/>
  <c r="LK116" i="4" s="1"/>
  <c r="LK115" i="4" s="1"/>
  <c r="LK114" i="4" s="1"/>
  <c r="LK113" i="4" s="1"/>
  <c r="LK112" i="4" s="1"/>
  <c r="LK111" i="4" s="1"/>
  <c r="LK110" i="4" s="1"/>
  <c r="LK109" i="4" s="1"/>
  <c r="LK108" i="4" s="1"/>
  <c r="LK107" i="4" s="1"/>
  <c r="LL203" i="4"/>
  <c r="LL202" i="4" s="1"/>
  <c r="LL201" i="4" s="1"/>
  <c r="LL200" i="4" s="1"/>
  <c r="LL199" i="4" s="1"/>
  <c r="LL198" i="4" s="1"/>
  <c r="LL197" i="4" s="1"/>
  <c r="LL196" i="4" s="1"/>
  <c r="LL195" i="4" s="1"/>
  <c r="LL194" i="4" s="1"/>
  <c r="LL193" i="4" s="1"/>
  <c r="LL192" i="4" s="1"/>
  <c r="LL191" i="4" s="1"/>
  <c r="LL190" i="4" s="1"/>
  <c r="LL189" i="4" s="1"/>
  <c r="LL188" i="4" s="1"/>
  <c r="LL187" i="4" s="1"/>
  <c r="LL186" i="4" s="1"/>
  <c r="LL185" i="4" s="1"/>
  <c r="LL184" i="4" s="1"/>
  <c r="LL183" i="4" s="1"/>
  <c r="LL182" i="4" s="1"/>
  <c r="LL181" i="4" s="1"/>
  <c r="LL180" i="4" s="1"/>
  <c r="LL179" i="4" s="1"/>
  <c r="LL178" i="4" s="1"/>
  <c r="LL177" i="4" s="1"/>
  <c r="LL176" i="4" s="1"/>
  <c r="LL175" i="4" s="1"/>
  <c r="LL174" i="4" s="1"/>
  <c r="LL173" i="4" s="1"/>
  <c r="LL172" i="4" s="1"/>
  <c r="LL171" i="4" s="1"/>
  <c r="LL170" i="4" s="1"/>
  <c r="LL169" i="4" s="1"/>
  <c r="LL168" i="4" s="1"/>
  <c r="LL167" i="4" s="1"/>
  <c r="LL166" i="4" s="1"/>
  <c r="LL165" i="4" s="1"/>
  <c r="LL164" i="4" s="1"/>
  <c r="LL163" i="4" s="1"/>
  <c r="LL162" i="4" s="1"/>
  <c r="LL161" i="4" s="1"/>
  <c r="LL160" i="4" s="1"/>
  <c r="LL159" i="4" s="1"/>
  <c r="LL158" i="4" s="1"/>
  <c r="LL157" i="4" s="1"/>
  <c r="LL156" i="4" s="1"/>
  <c r="LL155" i="4" s="1"/>
  <c r="LL154" i="4" s="1"/>
  <c r="LL153" i="4" s="1"/>
  <c r="LL152" i="4" s="1"/>
  <c r="LL151" i="4" s="1"/>
  <c r="LL150" i="4" s="1"/>
  <c r="LL149" i="4" s="1"/>
  <c r="LL148" i="4" s="1"/>
  <c r="LL147" i="4" s="1"/>
  <c r="LL146" i="4" s="1"/>
  <c r="LL145" i="4" s="1"/>
  <c r="LL144" i="4" s="1"/>
  <c r="LL143" i="4" s="1"/>
  <c r="LL142" i="4" s="1"/>
  <c r="LL141" i="4" s="1"/>
  <c r="LL140" i="4" s="1"/>
  <c r="LL139" i="4" s="1"/>
  <c r="LL138" i="4" s="1"/>
  <c r="LL137" i="4" s="1"/>
  <c r="LL136" i="4" s="1"/>
  <c r="LL135" i="4" s="1"/>
  <c r="LL134" i="4" s="1"/>
  <c r="LL133" i="4" s="1"/>
  <c r="LL132" i="4" s="1"/>
  <c r="LL131" i="4" s="1"/>
  <c r="LL130" i="4" s="1"/>
  <c r="LL129" i="4" s="1"/>
  <c r="LL128" i="4" s="1"/>
  <c r="LL127" i="4" s="1"/>
  <c r="LL126" i="4" s="1"/>
  <c r="LL125" i="4" s="1"/>
  <c r="LL124" i="4" s="1"/>
  <c r="LL123" i="4" s="1"/>
  <c r="LL122" i="4" s="1"/>
  <c r="LL121" i="4" s="1"/>
  <c r="LL120" i="4" s="1"/>
  <c r="LL119" i="4" s="1"/>
  <c r="LL118" i="4" s="1"/>
  <c r="LL117" i="4" s="1"/>
  <c r="LL116" i="4" s="1"/>
  <c r="LL115" i="4" s="1"/>
  <c r="LL114" i="4" s="1"/>
  <c r="LL113" i="4" s="1"/>
  <c r="LL112" i="4" s="1"/>
  <c r="LL111" i="4" s="1"/>
  <c r="LL110" i="4" s="1"/>
  <c r="LL109" i="4" s="1"/>
  <c r="LL108" i="4" s="1"/>
  <c r="LL107" i="4" s="1"/>
  <c r="LM203" i="4"/>
  <c r="LM202" i="4" s="1"/>
  <c r="LM201" i="4" s="1"/>
  <c r="LM200" i="4" s="1"/>
  <c r="LM199" i="4" s="1"/>
  <c r="LM198" i="4" s="1"/>
  <c r="LM197" i="4" s="1"/>
  <c r="LM196" i="4" s="1"/>
  <c r="LM195" i="4" s="1"/>
  <c r="LM194" i="4" s="1"/>
  <c r="LM193" i="4" s="1"/>
  <c r="LM192" i="4" s="1"/>
  <c r="LM191" i="4" s="1"/>
  <c r="LM190" i="4" s="1"/>
  <c r="LM189" i="4" s="1"/>
  <c r="LM188" i="4" s="1"/>
  <c r="LM187" i="4" s="1"/>
  <c r="LM186" i="4" s="1"/>
  <c r="LM185" i="4" s="1"/>
  <c r="LM184" i="4" s="1"/>
  <c r="LM183" i="4" s="1"/>
  <c r="LM182" i="4" s="1"/>
  <c r="LM181" i="4" s="1"/>
  <c r="LM180" i="4" s="1"/>
  <c r="LM179" i="4" s="1"/>
  <c r="LM178" i="4" s="1"/>
  <c r="LM177" i="4" s="1"/>
  <c r="LM176" i="4" s="1"/>
  <c r="LM175" i="4" s="1"/>
  <c r="LM174" i="4" s="1"/>
  <c r="LM173" i="4" s="1"/>
  <c r="LM172" i="4" s="1"/>
  <c r="LM171" i="4" s="1"/>
  <c r="LM170" i="4" s="1"/>
  <c r="LM169" i="4" s="1"/>
  <c r="LM168" i="4" s="1"/>
  <c r="LM167" i="4" s="1"/>
  <c r="LM166" i="4" s="1"/>
  <c r="LM165" i="4" s="1"/>
  <c r="LM164" i="4" s="1"/>
  <c r="LM163" i="4" s="1"/>
  <c r="LM162" i="4" s="1"/>
  <c r="LM161" i="4" s="1"/>
  <c r="LM160" i="4" s="1"/>
  <c r="LM159" i="4" s="1"/>
  <c r="LM158" i="4" s="1"/>
  <c r="LM157" i="4" s="1"/>
  <c r="LM156" i="4" s="1"/>
  <c r="LM155" i="4" s="1"/>
  <c r="LM154" i="4" s="1"/>
  <c r="LM153" i="4" s="1"/>
  <c r="LM152" i="4" s="1"/>
  <c r="LM151" i="4" s="1"/>
  <c r="LM150" i="4" s="1"/>
  <c r="LM149" i="4" s="1"/>
  <c r="LM148" i="4" s="1"/>
  <c r="LM147" i="4" s="1"/>
  <c r="LM146" i="4" s="1"/>
  <c r="LM145" i="4" s="1"/>
  <c r="LM144" i="4" s="1"/>
  <c r="LM143" i="4" s="1"/>
  <c r="LM142" i="4" s="1"/>
  <c r="LM141" i="4" s="1"/>
  <c r="LM140" i="4" s="1"/>
  <c r="LM139" i="4" s="1"/>
  <c r="LM138" i="4" s="1"/>
  <c r="LM137" i="4" s="1"/>
  <c r="LM136" i="4" s="1"/>
  <c r="LM135" i="4" s="1"/>
  <c r="LM134" i="4" s="1"/>
  <c r="LM133" i="4" s="1"/>
  <c r="LM132" i="4" s="1"/>
  <c r="LM131" i="4" s="1"/>
  <c r="LM130" i="4" s="1"/>
  <c r="LM129" i="4" s="1"/>
  <c r="LM128" i="4" s="1"/>
  <c r="LM127" i="4" s="1"/>
  <c r="LM126" i="4" s="1"/>
  <c r="LM125" i="4" s="1"/>
  <c r="LM124" i="4" s="1"/>
  <c r="LM123" i="4" s="1"/>
  <c r="LM122" i="4" s="1"/>
  <c r="LM121" i="4" s="1"/>
  <c r="LM120" i="4" s="1"/>
  <c r="LM119" i="4" s="1"/>
  <c r="LM118" i="4" s="1"/>
  <c r="LM117" i="4" s="1"/>
  <c r="LM116" i="4" s="1"/>
  <c r="LM115" i="4" s="1"/>
  <c r="LM114" i="4" s="1"/>
  <c r="LM113" i="4" s="1"/>
  <c r="LM112" i="4" s="1"/>
  <c r="LM111" i="4" s="1"/>
  <c r="LM110" i="4" s="1"/>
  <c r="LM109" i="4" s="1"/>
  <c r="LM108" i="4" s="1"/>
  <c r="LM107" i="4" s="1"/>
  <c r="LN203" i="4"/>
  <c r="LN202" i="4" s="1"/>
  <c r="LN201" i="4" s="1"/>
  <c r="LN200" i="4" s="1"/>
  <c r="LN199" i="4" s="1"/>
  <c r="LN198" i="4" s="1"/>
  <c r="LN197" i="4" s="1"/>
  <c r="LN196" i="4" s="1"/>
  <c r="LN195" i="4" s="1"/>
  <c r="LN194" i="4" s="1"/>
  <c r="LN193" i="4" s="1"/>
  <c r="LN192" i="4" s="1"/>
  <c r="LN191" i="4" s="1"/>
  <c r="LN190" i="4" s="1"/>
  <c r="LN189" i="4" s="1"/>
  <c r="LN188" i="4" s="1"/>
  <c r="LN187" i="4" s="1"/>
  <c r="LN186" i="4" s="1"/>
  <c r="LN185" i="4" s="1"/>
  <c r="LN184" i="4" s="1"/>
  <c r="LN183" i="4" s="1"/>
  <c r="LN182" i="4" s="1"/>
  <c r="LN181" i="4" s="1"/>
  <c r="LN180" i="4" s="1"/>
  <c r="LN179" i="4" s="1"/>
  <c r="LN178" i="4" s="1"/>
  <c r="LN177" i="4" s="1"/>
  <c r="LN176" i="4" s="1"/>
  <c r="LN175" i="4" s="1"/>
  <c r="LN174" i="4" s="1"/>
  <c r="LN173" i="4" s="1"/>
  <c r="LN172" i="4" s="1"/>
  <c r="LN171" i="4" s="1"/>
  <c r="LN170" i="4" s="1"/>
  <c r="LN169" i="4" s="1"/>
  <c r="LN168" i="4" s="1"/>
  <c r="LN167" i="4" s="1"/>
  <c r="LN166" i="4" s="1"/>
  <c r="LN165" i="4" s="1"/>
  <c r="LN164" i="4" s="1"/>
  <c r="LN163" i="4" s="1"/>
  <c r="LN162" i="4" s="1"/>
  <c r="LN161" i="4" s="1"/>
  <c r="LN160" i="4" s="1"/>
  <c r="LN159" i="4" s="1"/>
  <c r="LN158" i="4" s="1"/>
  <c r="LN157" i="4" s="1"/>
  <c r="LN156" i="4" s="1"/>
  <c r="LN155" i="4" s="1"/>
  <c r="LN154" i="4" s="1"/>
  <c r="LN153" i="4" s="1"/>
  <c r="LN152" i="4" s="1"/>
  <c r="LN151" i="4" s="1"/>
  <c r="LN150" i="4" s="1"/>
  <c r="LN149" i="4" s="1"/>
  <c r="LN148" i="4" s="1"/>
  <c r="LN147" i="4" s="1"/>
  <c r="LN146" i="4" s="1"/>
  <c r="LN145" i="4" s="1"/>
  <c r="LN144" i="4" s="1"/>
  <c r="LN143" i="4" s="1"/>
  <c r="LN142" i="4" s="1"/>
  <c r="LN141" i="4" s="1"/>
  <c r="LN140" i="4" s="1"/>
  <c r="LN139" i="4" s="1"/>
  <c r="LN138" i="4" s="1"/>
  <c r="LN137" i="4" s="1"/>
  <c r="LN136" i="4" s="1"/>
  <c r="LN135" i="4" s="1"/>
  <c r="LN134" i="4" s="1"/>
  <c r="LN133" i="4" s="1"/>
  <c r="LN132" i="4" s="1"/>
  <c r="LN131" i="4" s="1"/>
  <c r="LN130" i="4" s="1"/>
  <c r="LN129" i="4" s="1"/>
  <c r="LN128" i="4" s="1"/>
  <c r="LN127" i="4" s="1"/>
  <c r="LN126" i="4" s="1"/>
  <c r="LN125" i="4" s="1"/>
  <c r="LN124" i="4" s="1"/>
  <c r="LN123" i="4" s="1"/>
  <c r="LN122" i="4" s="1"/>
  <c r="LN121" i="4" s="1"/>
  <c r="LN120" i="4" s="1"/>
  <c r="LN119" i="4" s="1"/>
  <c r="LN118" i="4" s="1"/>
  <c r="LN117" i="4" s="1"/>
  <c r="LN116" i="4" s="1"/>
  <c r="LN115" i="4" s="1"/>
  <c r="LN114" i="4" s="1"/>
  <c r="LN113" i="4" s="1"/>
  <c r="LN112" i="4" s="1"/>
  <c r="LN111" i="4" s="1"/>
  <c r="LN110" i="4" s="1"/>
  <c r="LN109" i="4" s="1"/>
  <c r="LN108" i="4" s="1"/>
  <c r="LN107" i="4" s="1"/>
  <c r="LO203" i="4"/>
  <c r="LO202" i="4" s="1"/>
  <c r="LO201" i="4" s="1"/>
  <c r="LO200" i="4" s="1"/>
  <c r="LO199" i="4" s="1"/>
  <c r="LO198" i="4" s="1"/>
  <c r="LO197" i="4" s="1"/>
  <c r="LO196" i="4" s="1"/>
  <c r="LO195" i="4" s="1"/>
  <c r="LO194" i="4" s="1"/>
  <c r="LO193" i="4" s="1"/>
  <c r="LO192" i="4" s="1"/>
  <c r="LO191" i="4" s="1"/>
  <c r="LO190" i="4" s="1"/>
  <c r="LO189" i="4" s="1"/>
  <c r="LO188" i="4" s="1"/>
  <c r="LO187" i="4" s="1"/>
  <c r="LO186" i="4" s="1"/>
  <c r="LO185" i="4" s="1"/>
  <c r="LO184" i="4" s="1"/>
  <c r="LO183" i="4" s="1"/>
  <c r="LO182" i="4" s="1"/>
  <c r="LO181" i="4" s="1"/>
  <c r="LO180" i="4" s="1"/>
  <c r="LO179" i="4" s="1"/>
  <c r="LO178" i="4" s="1"/>
  <c r="LO177" i="4" s="1"/>
  <c r="LO176" i="4" s="1"/>
  <c r="LO175" i="4" s="1"/>
  <c r="LO174" i="4" s="1"/>
  <c r="LO173" i="4" s="1"/>
  <c r="LO172" i="4" s="1"/>
  <c r="LO171" i="4" s="1"/>
  <c r="LO170" i="4" s="1"/>
  <c r="LO169" i="4" s="1"/>
  <c r="LO168" i="4" s="1"/>
  <c r="LO167" i="4" s="1"/>
  <c r="LO166" i="4" s="1"/>
  <c r="LO165" i="4" s="1"/>
  <c r="LO164" i="4" s="1"/>
  <c r="LO163" i="4" s="1"/>
  <c r="LO162" i="4" s="1"/>
  <c r="LO161" i="4" s="1"/>
  <c r="LO160" i="4" s="1"/>
  <c r="LO159" i="4" s="1"/>
  <c r="LO158" i="4" s="1"/>
  <c r="LO157" i="4" s="1"/>
  <c r="LO156" i="4" s="1"/>
  <c r="LO155" i="4" s="1"/>
  <c r="LO154" i="4" s="1"/>
  <c r="LO153" i="4" s="1"/>
  <c r="LO152" i="4" s="1"/>
  <c r="LO151" i="4" s="1"/>
  <c r="LO150" i="4" s="1"/>
  <c r="LO149" i="4" s="1"/>
  <c r="LO148" i="4" s="1"/>
  <c r="LO147" i="4" s="1"/>
  <c r="LO146" i="4" s="1"/>
  <c r="LO145" i="4" s="1"/>
  <c r="LO144" i="4" s="1"/>
  <c r="LO143" i="4" s="1"/>
  <c r="LO142" i="4" s="1"/>
  <c r="LO141" i="4" s="1"/>
  <c r="LO140" i="4" s="1"/>
  <c r="LO139" i="4" s="1"/>
  <c r="LO138" i="4" s="1"/>
  <c r="LO137" i="4" s="1"/>
  <c r="LO136" i="4" s="1"/>
  <c r="LO135" i="4" s="1"/>
  <c r="LO134" i="4" s="1"/>
  <c r="LO133" i="4" s="1"/>
  <c r="LO132" i="4" s="1"/>
  <c r="LO131" i="4" s="1"/>
  <c r="LO130" i="4" s="1"/>
  <c r="LO129" i="4" s="1"/>
  <c r="LO128" i="4" s="1"/>
  <c r="LO127" i="4" s="1"/>
  <c r="LO126" i="4" s="1"/>
  <c r="LO125" i="4" s="1"/>
  <c r="LO124" i="4" s="1"/>
  <c r="LO123" i="4" s="1"/>
  <c r="LO122" i="4" s="1"/>
  <c r="LO121" i="4" s="1"/>
  <c r="LO120" i="4" s="1"/>
  <c r="LO119" i="4" s="1"/>
  <c r="LO118" i="4" s="1"/>
  <c r="LO117" i="4" s="1"/>
  <c r="LO116" i="4" s="1"/>
  <c r="LO115" i="4" s="1"/>
  <c r="LO114" i="4" s="1"/>
  <c r="LO113" i="4" s="1"/>
  <c r="LO112" i="4" s="1"/>
  <c r="LO111" i="4" s="1"/>
  <c r="LO110" i="4" s="1"/>
  <c r="LO109" i="4" s="1"/>
  <c r="LO108" i="4" s="1"/>
  <c r="LO107" i="4" s="1"/>
  <c r="LP203" i="4"/>
  <c r="LP202" i="4" s="1"/>
  <c r="LP201" i="4" s="1"/>
  <c r="LP200" i="4" s="1"/>
  <c r="LP199" i="4" s="1"/>
  <c r="LP198" i="4" s="1"/>
  <c r="LP197" i="4" s="1"/>
  <c r="LP196" i="4" s="1"/>
  <c r="LP195" i="4" s="1"/>
  <c r="LP194" i="4" s="1"/>
  <c r="LP193" i="4" s="1"/>
  <c r="LP192" i="4" s="1"/>
  <c r="LP191" i="4" s="1"/>
  <c r="LP190" i="4" s="1"/>
  <c r="LP189" i="4" s="1"/>
  <c r="LP188" i="4" s="1"/>
  <c r="LP187" i="4" s="1"/>
  <c r="LP186" i="4" s="1"/>
  <c r="LP185" i="4" s="1"/>
  <c r="LP184" i="4" s="1"/>
  <c r="LP183" i="4" s="1"/>
  <c r="LP182" i="4" s="1"/>
  <c r="LP181" i="4" s="1"/>
  <c r="LP180" i="4" s="1"/>
  <c r="LP179" i="4" s="1"/>
  <c r="LP178" i="4" s="1"/>
  <c r="LP177" i="4" s="1"/>
  <c r="LP176" i="4" s="1"/>
  <c r="LP175" i="4" s="1"/>
  <c r="LP174" i="4" s="1"/>
  <c r="LP173" i="4" s="1"/>
  <c r="LP172" i="4" s="1"/>
  <c r="LP171" i="4" s="1"/>
  <c r="LP170" i="4" s="1"/>
  <c r="LP169" i="4" s="1"/>
  <c r="LP168" i="4" s="1"/>
  <c r="LP167" i="4" s="1"/>
  <c r="LP166" i="4" s="1"/>
  <c r="LP165" i="4" s="1"/>
  <c r="LP164" i="4" s="1"/>
  <c r="LP163" i="4" s="1"/>
  <c r="LP162" i="4" s="1"/>
  <c r="LP161" i="4" s="1"/>
  <c r="LP160" i="4" s="1"/>
  <c r="LP159" i="4" s="1"/>
  <c r="LP158" i="4" s="1"/>
  <c r="LP157" i="4" s="1"/>
  <c r="LP156" i="4" s="1"/>
  <c r="LP155" i="4" s="1"/>
  <c r="LP154" i="4" s="1"/>
  <c r="LP153" i="4" s="1"/>
  <c r="LP152" i="4" s="1"/>
  <c r="LP151" i="4" s="1"/>
  <c r="LP150" i="4" s="1"/>
  <c r="LP149" i="4" s="1"/>
  <c r="LP148" i="4" s="1"/>
  <c r="LP147" i="4" s="1"/>
  <c r="LP146" i="4" s="1"/>
  <c r="LP145" i="4" s="1"/>
  <c r="LP144" i="4" s="1"/>
  <c r="LP143" i="4" s="1"/>
  <c r="LP142" i="4" s="1"/>
  <c r="LP141" i="4" s="1"/>
  <c r="LP140" i="4" s="1"/>
  <c r="LP139" i="4" s="1"/>
  <c r="LP138" i="4" s="1"/>
  <c r="LP137" i="4" s="1"/>
  <c r="LP136" i="4" s="1"/>
  <c r="LP135" i="4" s="1"/>
  <c r="LP134" i="4" s="1"/>
  <c r="LP133" i="4" s="1"/>
  <c r="LP132" i="4" s="1"/>
  <c r="LP131" i="4" s="1"/>
  <c r="LP130" i="4" s="1"/>
  <c r="LP129" i="4" s="1"/>
  <c r="LP128" i="4" s="1"/>
  <c r="LP127" i="4" s="1"/>
  <c r="LP126" i="4" s="1"/>
  <c r="LP125" i="4" s="1"/>
  <c r="LP124" i="4" s="1"/>
  <c r="LP123" i="4" s="1"/>
  <c r="LP122" i="4" s="1"/>
  <c r="LP121" i="4" s="1"/>
  <c r="LP120" i="4" s="1"/>
  <c r="LP119" i="4" s="1"/>
  <c r="LP118" i="4" s="1"/>
  <c r="LP117" i="4" s="1"/>
  <c r="LP116" i="4" s="1"/>
  <c r="LP115" i="4" s="1"/>
  <c r="LP114" i="4" s="1"/>
  <c r="LP113" i="4" s="1"/>
  <c r="LP112" i="4" s="1"/>
  <c r="LP111" i="4" s="1"/>
  <c r="LP110" i="4" s="1"/>
  <c r="LP109" i="4" s="1"/>
  <c r="LP108" i="4" s="1"/>
  <c r="LP107" i="4" s="1"/>
  <c r="LQ203" i="4"/>
  <c r="LQ202" i="4" s="1"/>
  <c r="LQ201" i="4" s="1"/>
  <c r="LQ200" i="4" s="1"/>
  <c r="LQ199" i="4" s="1"/>
  <c r="LQ198" i="4" s="1"/>
  <c r="LQ197" i="4" s="1"/>
  <c r="LQ196" i="4" s="1"/>
  <c r="LQ195" i="4" s="1"/>
  <c r="LQ194" i="4" s="1"/>
  <c r="LQ193" i="4" s="1"/>
  <c r="LQ192" i="4" s="1"/>
  <c r="LQ191" i="4" s="1"/>
  <c r="LQ190" i="4" s="1"/>
  <c r="LQ189" i="4" s="1"/>
  <c r="LQ188" i="4" s="1"/>
  <c r="LQ187" i="4" s="1"/>
  <c r="LQ186" i="4" s="1"/>
  <c r="LQ185" i="4" s="1"/>
  <c r="LQ184" i="4" s="1"/>
  <c r="LQ183" i="4" s="1"/>
  <c r="LQ182" i="4" s="1"/>
  <c r="LQ181" i="4" s="1"/>
  <c r="LQ180" i="4" s="1"/>
  <c r="LQ179" i="4" s="1"/>
  <c r="LQ178" i="4" s="1"/>
  <c r="LQ177" i="4" s="1"/>
  <c r="LQ176" i="4" s="1"/>
  <c r="LQ175" i="4" s="1"/>
  <c r="LQ174" i="4" s="1"/>
  <c r="LQ173" i="4" s="1"/>
  <c r="LQ172" i="4" s="1"/>
  <c r="LQ171" i="4" s="1"/>
  <c r="LQ170" i="4" s="1"/>
  <c r="LQ169" i="4" s="1"/>
  <c r="LQ168" i="4" s="1"/>
  <c r="LQ167" i="4" s="1"/>
  <c r="LQ166" i="4" s="1"/>
  <c r="LQ165" i="4" s="1"/>
  <c r="LQ164" i="4" s="1"/>
  <c r="LQ163" i="4" s="1"/>
  <c r="LQ162" i="4" s="1"/>
  <c r="LQ161" i="4" s="1"/>
  <c r="LQ160" i="4" s="1"/>
  <c r="LQ159" i="4" s="1"/>
  <c r="LQ158" i="4" s="1"/>
  <c r="LQ157" i="4" s="1"/>
  <c r="LQ156" i="4" s="1"/>
  <c r="LQ155" i="4" s="1"/>
  <c r="LQ154" i="4" s="1"/>
  <c r="LQ153" i="4" s="1"/>
  <c r="LQ152" i="4" s="1"/>
  <c r="LQ151" i="4" s="1"/>
  <c r="LQ150" i="4" s="1"/>
  <c r="LQ149" i="4" s="1"/>
  <c r="LQ148" i="4" s="1"/>
  <c r="LQ147" i="4" s="1"/>
  <c r="LQ146" i="4" s="1"/>
  <c r="LQ145" i="4" s="1"/>
  <c r="LQ144" i="4" s="1"/>
  <c r="LQ143" i="4" s="1"/>
  <c r="LQ142" i="4" s="1"/>
  <c r="LQ141" i="4" s="1"/>
  <c r="LQ140" i="4" s="1"/>
  <c r="LQ139" i="4" s="1"/>
  <c r="LQ138" i="4" s="1"/>
  <c r="LQ137" i="4" s="1"/>
  <c r="LQ136" i="4" s="1"/>
  <c r="LQ135" i="4" s="1"/>
  <c r="LQ134" i="4" s="1"/>
  <c r="LQ133" i="4" s="1"/>
  <c r="LQ132" i="4" s="1"/>
  <c r="LQ131" i="4" s="1"/>
  <c r="LQ130" i="4" s="1"/>
  <c r="LQ129" i="4" s="1"/>
  <c r="LQ128" i="4" s="1"/>
  <c r="LQ127" i="4" s="1"/>
  <c r="LQ126" i="4" s="1"/>
  <c r="LQ125" i="4" s="1"/>
  <c r="LQ124" i="4" s="1"/>
  <c r="LQ123" i="4" s="1"/>
  <c r="LQ122" i="4" s="1"/>
  <c r="LQ121" i="4" s="1"/>
  <c r="LQ120" i="4" s="1"/>
  <c r="LQ119" i="4" s="1"/>
  <c r="LQ118" i="4" s="1"/>
  <c r="LQ117" i="4" s="1"/>
  <c r="LQ116" i="4" s="1"/>
  <c r="LQ115" i="4" s="1"/>
  <c r="LQ114" i="4" s="1"/>
  <c r="LQ113" i="4" s="1"/>
  <c r="LQ112" i="4" s="1"/>
  <c r="LQ111" i="4" s="1"/>
  <c r="LQ110" i="4" s="1"/>
  <c r="LQ109" i="4" s="1"/>
  <c r="LQ108" i="4" s="1"/>
  <c r="LQ107" i="4" s="1"/>
  <c r="LR203" i="4"/>
  <c r="LR202" i="4" s="1"/>
  <c r="LR201" i="4" s="1"/>
  <c r="LR200" i="4" s="1"/>
  <c r="LR199" i="4" s="1"/>
  <c r="LR198" i="4" s="1"/>
  <c r="LR197" i="4" s="1"/>
  <c r="LR196" i="4" s="1"/>
  <c r="LR195" i="4" s="1"/>
  <c r="LR194" i="4" s="1"/>
  <c r="LR193" i="4" s="1"/>
  <c r="LR192" i="4" s="1"/>
  <c r="LR191" i="4" s="1"/>
  <c r="LR190" i="4" s="1"/>
  <c r="LR189" i="4" s="1"/>
  <c r="LR188" i="4" s="1"/>
  <c r="LR187" i="4" s="1"/>
  <c r="LR186" i="4" s="1"/>
  <c r="LR185" i="4" s="1"/>
  <c r="LR184" i="4" s="1"/>
  <c r="LR183" i="4" s="1"/>
  <c r="LR182" i="4" s="1"/>
  <c r="LR181" i="4" s="1"/>
  <c r="LR180" i="4" s="1"/>
  <c r="LR179" i="4" s="1"/>
  <c r="LR178" i="4" s="1"/>
  <c r="LR177" i="4" s="1"/>
  <c r="LR176" i="4" s="1"/>
  <c r="LR175" i="4" s="1"/>
  <c r="LR174" i="4" s="1"/>
  <c r="LR173" i="4" s="1"/>
  <c r="LR172" i="4" s="1"/>
  <c r="LR171" i="4" s="1"/>
  <c r="LR170" i="4" s="1"/>
  <c r="LR169" i="4" s="1"/>
  <c r="LR168" i="4" s="1"/>
  <c r="LR167" i="4" s="1"/>
  <c r="LR166" i="4" s="1"/>
  <c r="LR165" i="4" s="1"/>
  <c r="LR164" i="4" s="1"/>
  <c r="LR163" i="4" s="1"/>
  <c r="LR162" i="4" s="1"/>
  <c r="LR161" i="4" s="1"/>
  <c r="LR160" i="4" s="1"/>
  <c r="LR159" i="4" s="1"/>
  <c r="LR158" i="4" s="1"/>
  <c r="LR157" i="4" s="1"/>
  <c r="LR156" i="4" s="1"/>
  <c r="LR155" i="4" s="1"/>
  <c r="LR154" i="4" s="1"/>
  <c r="LR153" i="4" s="1"/>
  <c r="LR152" i="4" s="1"/>
  <c r="LR151" i="4" s="1"/>
  <c r="LR150" i="4" s="1"/>
  <c r="LR149" i="4" s="1"/>
  <c r="LR148" i="4" s="1"/>
  <c r="LR147" i="4" s="1"/>
  <c r="LR146" i="4" s="1"/>
  <c r="LR145" i="4" s="1"/>
  <c r="LR144" i="4" s="1"/>
  <c r="LR143" i="4" s="1"/>
  <c r="LR142" i="4" s="1"/>
  <c r="LR141" i="4" s="1"/>
  <c r="LR140" i="4" s="1"/>
  <c r="LR139" i="4" s="1"/>
  <c r="LR138" i="4" s="1"/>
  <c r="LR137" i="4" s="1"/>
  <c r="LR136" i="4" s="1"/>
  <c r="LR135" i="4" s="1"/>
  <c r="LR134" i="4" s="1"/>
  <c r="LR133" i="4" s="1"/>
  <c r="LR132" i="4" s="1"/>
  <c r="LR131" i="4" s="1"/>
  <c r="LR130" i="4" s="1"/>
  <c r="LR129" i="4" s="1"/>
  <c r="LR128" i="4" s="1"/>
  <c r="LR127" i="4" s="1"/>
  <c r="LR126" i="4" s="1"/>
  <c r="LR125" i="4" s="1"/>
  <c r="LR124" i="4" s="1"/>
  <c r="LR123" i="4" s="1"/>
  <c r="LR122" i="4" s="1"/>
  <c r="LR121" i="4" s="1"/>
  <c r="LR120" i="4" s="1"/>
  <c r="LR119" i="4" s="1"/>
  <c r="LR118" i="4" s="1"/>
  <c r="LR117" i="4" s="1"/>
  <c r="LR116" i="4" s="1"/>
  <c r="LR115" i="4" s="1"/>
  <c r="LR114" i="4" s="1"/>
  <c r="LR113" i="4" s="1"/>
  <c r="LR112" i="4" s="1"/>
  <c r="LR111" i="4" s="1"/>
  <c r="LR110" i="4" s="1"/>
  <c r="LR109" i="4" s="1"/>
  <c r="LR108" i="4" s="1"/>
  <c r="LR107" i="4" s="1"/>
  <c r="LS203" i="4"/>
  <c r="LS202" i="4" s="1"/>
  <c r="LS201" i="4" s="1"/>
  <c r="LS200" i="4" s="1"/>
  <c r="LS199" i="4" s="1"/>
  <c r="LS198" i="4" s="1"/>
  <c r="LS197" i="4" s="1"/>
  <c r="LS196" i="4" s="1"/>
  <c r="LS195" i="4" s="1"/>
  <c r="LS194" i="4" s="1"/>
  <c r="LS193" i="4" s="1"/>
  <c r="LS192" i="4" s="1"/>
  <c r="LS191" i="4" s="1"/>
  <c r="LS190" i="4" s="1"/>
  <c r="LS189" i="4" s="1"/>
  <c r="LS188" i="4" s="1"/>
  <c r="LS187" i="4" s="1"/>
  <c r="LS186" i="4" s="1"/>
  <c r="LS185" i="4" s="1"/>
  <c r="LS184" i="4" s="1"/>
  <c r="LS183" i="4" s="1"/>
  <c r="LS182" i="4" s="1"/>
  <c r="LS181" i="4" s="1"/>
  <c r="LS180" i="4" s="1"/>
  <c r="LS179" i="4" s="1"/>
  <c r="LS178" i="4" s="1"/>
  <c r="LS177" i="4" s="1"/>
  <c r="LS176" i="4" s="1"/>
  <c r="LS175" i="4" s="1"/>
  <c r="LS174" i="4" s="1"/>
  <c r="LS173" i="4" s="1"/>
  <c r="LS172" i="4" s="1"/>
  <c r="LS171" i="4" s="1"/>
  <c r="LS170" i="4" s="1"/>
  <c r="LS169" i="4" s="1"/>
  <c r="LS168" i="4" s="1"/>
  <c r="LS167" i="4" s="1"/>
  <c r="LS166" i="4" s="1"/>
  <c r="LS165" i="4" s="1"/>
  <c r="LS164" i="4" s="1"/>
  <c r="LS163" i="4" s="1"/>
  <c r="LS162" i="4" s="1"/>
  <c r="LS161" i="4" s="1"/>
  <c r="LS160" i="4" s="1"/>
  <c r="LS159" i="4" s="1"/>
  <c r="LS158" i="4" s="1"/>
  <c r="LS157" i="4" s="1"/>
  <c r="LS156" i="4" s="1"/>
  <c r="LS155" i="4" s="1"/>
  <c r="LS154" i="4" s="1"/>
  <c r="LS153" i="4" s="1"/>
  <c r="LS152" i="4" s="1"/>
  <c r="LS151" i="4" s="1"/>
  <c r="LS150" i="4" s="1"/>
  <c r="LS149" i="4" s="1"/>
  <c r="LS148" i="4" s="1"/>
  <c r="LS147" i="4" s="1"/>
  <c r="LS146" i="4" s="1"/>
  <c r="LS145" i="4" s="1"/>
  <c r="LS144" i="4" s="1"/>
  <c r="LS143" i="4" s="1"/>
  <c r="LS142" i="4" s="1"/>
  <c r="LS141" i="4" s="1"/>
  <c r="LS140" i="4" s="1"/>
  <c r="LS139" i="4" s="1"/>
  <c r="LS138" i="4" s="1"/>
  <c r="LS137" i="4" s="1"/>
  <c r="LS136" i="4" s="1"/>
  <c r="LS135" i="4" s="1"/>
  <c r="LS134" i="4" s="1"/>
  <c r="LS133" i="4" s="1"/>
  <c r="LS132" i="4" s="1"/>
  <c r="LS131" i="4" s="1"/>
  <c r="LS130" i="4" s="1"/>
  <c r="LS129" i="4" s="1"/>
  <c r="LS128" i="4" s="1"/>
  <c r="LS127" i="4" s="1"/>
  <c r="LS126" i="4" s="1"/>
  <c r="LS125" i="4" s="1"/>
  <c r="LS124" i="4" s="1"/>
  <c r="LS123" i="4" s="1"/>
  <c r="LS122" i="4" s="1"/>
  <c r="LS121" i="4" s="1"/>
  <c r="LS120" i="4" s="1"/>
  <c r="LS119" i="4" s="1"/>
  <c r="LS118" i="4" s="1"/>
  <c r="LS117" i="4" s="1"/>
  <c r="LS116" i="4" s="1"/>
  <c r="LS115" i="4" s="1"/>
  <c r="LS114" i="4" s="1"/>
  <c r="LS113" i="4" s="1"/>
  <c r="LS112" i="4" s="1"/>
  <c r="LS111" i="4" s="1"/>
  <c r="LS110" i="4" s="1"/>
  <c r="LS109" i="4" s="1"/>
  <c r="LS108" i="4" s="1"/>
  <c r="LS107" i="4" s="1"/>
  <c r="LT203" i="4"/>
  <c r="LT202" i="4" s="1"/>
  <c r="LT201" i="4" s="1"/>
  <c r="LT200" i="4" s="1"/>
  <c r="LT199" i="4" s="1"/>
  <c r="LT198" i="4" s="1"/>
  <c r="LT197" i="4" s="1"/>
  <c r="LT196" i="4" s="1"/>
  <c r="LT195" i="4" s="1"/>
  <c r="LT194" i="4" s="1"/>
  <c r="LT193" i="4" s="1"/>
  <c r="LT192" i="4" s="1"/>
  <c r="LT191" i="4" s="1"/>
  <c r="LT190" i="4" s="1"/>
  <c r="LT189" i="4" s="1"/>
  <c r="LT188" i="4" s="1"/>
  <c r="LT187" i="4" s="1"/>
  <c r="LT186" i="4" s="1"/>
  <c r="LT185" i="4" s="1"/>
  <c r="LT184" i="4" s="1"/>
  <c r="LT183" i="4" s="1"/>
  <c r="LT182" i="4" s="1"/>
  <c r="LT181" i="4" s="1"/>
  <c r="LT180" i="4" s="1"/>
  <c r="LT179" i="4" s="1"/>
  <c r="LT178" i="4" s="1"/>
  <c r="LT177" i="4" s="1"/>
  <c r="LT176" i="4" s="1"/>
  <c r="LT175" i="4" s="1"/>
  <c r="LT174" i="4" s="1"/>
  <c r="LT173" i="4" s="1"/>
  <c r="LT172" i="4" s="1"/>
  <c r="LT171" i="4" s="1"/>
  <c r="LT170" i="4" s="1"/>
  <c r="LT169" i="4" s="1"/>
  <c r="LT168" i="4" s="1"/>
  <c r="LT167" i="4" s="1"/>
  <c r="LT166" i="4" s="1"/>
  <c r="LT165" i="4" s="1"/>
  <c r="LT164" i="4" s="1"/>
  <c r="LT163" i="4" s="1"/>
  <c r="LT162" i="4" s="1"/>
  <c r="LT161" i="4" s="1"/>
  <c r="LT160" i="4" s="1"/>
  <c r="LT159" i="4" s="1"/>
  <c r="LT158" i="4" s="1"/>
  <c r="LT157" i="4" s="1"/>
  <c r="LT156" i="4" s="1"/>
  <c r="LT155" i="4" s="1"/>
  <c r="LT154" i="4" s="1"/>
  <c r="LT153" i="4" s="1"/>
  <c r="LT152" i="4" s="1"/>
  <c r="LT151" i="4" s="1"/>
  <c r="LT150" i="4" s="1"/>
  <c r="LT149" i="4" s="1"/>
  <c r="LT148" i="4" s="1"/>
  <c r="LT147" i="4" s="1"/>
  <c r="LT146" i="4" s="1"/>
  <c r="LT145" i="4" s="1"/>
  <c r="LT144" i="4" s="1"/>
  <c r="LT143" i="4" s="1"/>
  <c r="LT142" i="4" s="1"/>
  <c r="LT141" i="4" s="1"/>
  <c r="LT140" i="4" s="1"/>
  <c r="LT139" i="4" s="1"/>
  <c r="LT138" i="4" s="1"/>
  <c r="LT137" i="4" s="1"/>
  <c r="LT136" i="4" s="1"/>
  <c r="LT135" i="4" s="1"/>
  <c r="LT134" i="4" s="1"/>
  <c r="LT133" i="4" s="1"/>
  <c r="LT132" i="4" s="1"/>
  <c r="LT131" i="4" s="1"/>
  <c r="LT130" i="4" s="1"/>
  <c r="LT129" i="4" s="1"/>
  <c r="LT128" i="4" s="1"/>
  <c r="LT127" i="4" s="1"/>
  <c r="LT126" i="4" s="1"/>
  <c r="LT125" i="4" s="1"/>
  <c r="LT124" i="4" s="1"/>
  <c r="LT123" i="4" s="1"/>
  <c r="LT122" i="4" s="1"/>
  <c r="LT121" i="4" s="1"/>
  <c r="LT120" i="4" s="1"/>
  <c r="LT119" i="4" s="1"/>
  <c r="LT118" i="4" s="1"/>
  <c r="LT117" i="4" s="1"/>
  <c r="LT116" i="4" s="1"/>
  <c r="LT115" i="4" s="1"/>
  <c r="LT114" i="4" s="1"/>
  <c r="LT113" i="4" s="1"/>
  <c r="LT112" i="4" s="1"/>
  <c r="LT111" i="4" s="1"/>
  <c r="LT110" i="4" s="1"/>
  <c r="LT109" i="4" s="1"/>
  <c r="LT108" i="4" s="1"/>
  <c r="LT107" i="4" s="1"/>
  <c r="LU203" i="4"/>
  <c r="LU202" i="4" s="1"/>
  <c r="LU201" i="4" s="1"/>
  <c r="LU200" i="4" s="1"/>
  <c r="LU199" i="4" s="1"/>
  <c r="LU198" i="4" s="1"/>
  <c r="LU197" i="4" s="1"/>
  <c r="LU196" i="4" s="1"/>
  <c r="LU195" i="4" s="1"/>
  <c r="LU194" i="4" s="1"/>
  <c r="LU193" i="4" s="1"/>
  <c r="LU192" i="4" s="1"/>
  <c r="LU191" i="4" s="1"/>
  <c r="LU190" i="4" s="1"/>
  <c r="LU189" i="4" s="1"/>
  <c r="LU188" i="4" s="1"/>
  <c r="LU187" i="4" s="1"/>
  <c r="LU186" i="4" s="1"/>
  <c r="LU185" i="4" s="1"/>
  <c r="LU184" i="4" s="1"/>
  <c r="LU183" i="4" s="1"/>
  <c r="LU182" i="4" s="1"/>
  <c r="LU181" i="4" s="1"/>
  <c r="LU180" i="4" s="1"/>
  <c r="LU179" i="4" s="1"/>
  <c r="LU178" i="4" s="1"/>
  <c r="LU177" i="4" s="1"/>
  <c r="LU176" i="4" s="1"/>
  <c r="LU175" i="4" s="1"/>
  <c r="LU174" i="4" s="1"/>
  <c r="LU173" i="4" s="1"/>
  <c r="LU172" i="4" s="1"/>
  <c r="LU171" i="4" s="1"/>
  <c r="LU170" i="4" s="1"/>
  <c r="LU169" i="4" s="1"/>
  <c r="LU168" i="4" s="1"/>
  <c r="LU167" i="4" s="1"/>
  <c r="LU166" i="4" s="1"/>
  <c r="LU165" i="4" s="1"/>
  <c r="LU164" i="4" s="1"/>
  <c r="LU163" i="4" s="1"/>
  <c r="LU162" i="4" s="1"/>
  <c r="LU161" i="4" s="1"/>
  <c r="LU160" i="4" s="1"/>
  <c r="LU159" i="4" s="1"/>
  <c r="LU158" i="4" s="1"/>
  <c r="LU157" i="4" s="1"/>
  <c r="LU156" i="4" s="1"/>
  <c r="LU155" i="4" s="1"/>
  <c r="LU154" i="4" s="1"/>
  <c r="LU153" i="4" s="1"/>
  <c r="LU152" i="4" s="1"/>
  <c r="LU151" i="4" s="1"/>
  <c r="LU150" i="4" s="1"/>
  <c r="LU149" i="4" s="1"/>
  <c r="LU148" i="4" s="1"/>
  <c r="LU147" i="4" s="1"/>
  <c r="LU146" i="4" s="1"/>
  <c r="LU145" i="4" s="1"/>
  <c r="LU144" i="4" s="1"/>
  <c r="LU143" i="4" s="1"/>
  <c r="LU142" i="4" s="1"/>
  <c r="LU141" i="4" s="1"/>
  <c r="LU140" i="4" s="1"/>
  <c r="LU139" i="4" s="1"/>
  <c r="LU138" i="4" s="1"/>
  <c r="LU137" i="4" s="1"/>
  <c r="LU136" i="4" s="1"/>
  <c r="LU135" i="4" s="1"/>
  <c r="LU134" i="4" s="1"/>
  <c r="LU133" i="4" s="1"/>
  <c r="LU132" i="4" s="1"/>
  <c r="LU131" i="4" s="1"/>
  <c r="LU130" i="4" s="1"/>
  <c r="LU129" i="4" s="1"/>
  <c r="LU128" i="4" s="1"/>
  <c r="LU127" i="4" s="1"/>
  <c r="LU126" i="4" s="1"/>
  <c r="LU125" i="4" s="1"/>
  <c r="LU124" i="4" s="1"/>
  <c r="LU123" i="4" s="1"/>
  <c r="LU122" i="4" s="1"/>
  <c r="LU121" i="4" s="1"/>
  <c r="LU120" i="4" s="1"/>
  <c r="LU119" i="4" s="1"/>
  <c r="LU118" i="4" s="1"/>
  <c r="LU117" i="4" s="1"/>
  <c r="LU116" i="4" s="1"/>
  <c r="LU115" i="4" s="1"/>
  <c r="LU114" i="4" s="1"/>
  <c r="LU113" i="4" s="1"/>
  <c r="LU112" i="4" s="1"/>
  <c r="LU111" i="4" s="1"/>
  <c r="LU110" i="4" s="1"/>
  <c r="LU109" i="4" s="1"/>
  <c r="LU108" i="4" s="1"/>
  <c r="LU107" i="4" s="1"/>
  <c r="LV203" i="4"/>
  <c r="LV202" i="4" s="1"/>
  <c r="LV201" i="4" s="1"/>
  <c r="LV200" i="4" s="1"/>
  <c r="LV199" i="4" s="1"/>
  <c r="LV198" i="4" s="1"/>
  <c r="LV197" i="4" s="1"/>
  <c r="LV196" i="4" s="1"/>
  <c r="LV195" i="4" s="1"/>
  <c r="LV194" i="4" s="1"/>
  <c r="LV193" i="4" s="1"/>
  <c r="LV192" i="4" s="1"/>
  <c r="LV191" i="4" s="1"/>
  <c r="LV190" i="4" s="1"/>
  <c r="LV189" i="4" s="1"/>
  <c r="LV188" i="4" s="1"/>
  <c r="LV187" i="4" s="1"/>
  <c r="LV186" i="4" s="1"/>
  <c r="LV185" i="4" s="1"/>
  <c r="LV184" i="4" s="1"/>
  <c r="LV183" i="4" s="1"/>
  <c r="LV182" i="4" s="1"/>
  <c r="LV181" i="4" s="1"/>
  <c r="LV180" i="4" s="1"/>
  <c r="LV179" i="4" s="1"/>
  <c r="LV178" i="4" s="1"/>
  <c r="LV177" i="4" s="1"/>
  <c r="LV176" i="4" s="1"/>
  <c r="LV175" i="4" s="1"/>
  <c r="LV174" i="4" s="1"/>
  <c r="LV173" i="4" s="1"/>
  <c r="LV172" i="4" s="1"/>
  <c r="LV171" i="4" s="1"/>
  <c r="LV170" i="4" s="1"/>
  <c r="LV169" i="4" s="1"/>
  <c r="LV168" i="4" s="1"/>
  <c r="LV167" i="4" s="1"/>
  <c r="LV166" i="4" s="1"/>
  <c r="LV165" i="4" s="1"/>
  <c r="LV164" i="4" s="1"/>
  <c r="LV163" i="4" s="1"/>
  <c r="LV162" i="4" s="1"/>
  <c r="LV161" i="4" s="1"/>
  <c r="LV160" i="4" s="1"/>
  <c r="LV159" i="4" s="1"/>
  <c r="LV158" i="4" s="1"/>
  <c r="LV157" i="4" s="1"/>
  <c r="LV156" i="4" s="1"/>
  <c r="LV155" i="4" s="1"/>
  <c r="LV154" i="4" s="1"/>
  <c r="LV153" i="4" s="1"/>
  <c r="LV152" i="4" s="1"/>
  <c r="LV151" i="4" s="1"/>
  <c r="LV150" i="4" s="1"/>
  <c r="LV149" i="4" s="1"/>
  <c r="LV148" i="4" s="1"/>
  <c r="LV147" i="4" s="1"/>
  <c r="LV146" i="4" s="1"/>
  <c r="LV145" i="4" s="1"/>
  <c r="LV144" i="4" s="1"/>
  <c r="LV143" i="4" s="1"/>
  <c r="LV142" i="4" s="1"/>
  <c r="LV141" i="4" s="1"/>
  <c r="LV140" i="4" s="1"/>
  <c r="LV139" i="4" s="1"/>
  <c r="LV138" i="4" s="1"/>
  <c r="LV137" i="4" s="1"/>
  <c r="LV136" i="4" s="1"/>
  <c r="LV135" i="4" s="1"/>
  <c r="LV134" i="4" s="1"/>
  <c r="LV133" i="4" s="1"/>
  <c r="LV132" i="4" s="1"/>
  <c r="LV131" i="4" s="1"/>
  <c r="LV130" i="4" s="1"/>
  <c r="LV129" i="4" s="1"/>
  <c r="LV128" i="4" s="1"/>
  <c r="LV127" i="4" s="1"/>
  <c r="LV126" i="4" s="1"/>
  <c r="LV125" i="4" s="1"/>
  <c r="LV124" i="4" s="1"/>
  <c r="LV123" i="4" s="1"/>
  <c r="LV122" i="4" s="1"/>
  <c r="LV121" i="4" s="1"/>
  <c r="LV120" i="4" s="1"/>
  <c r="LV119" i="4" s="1"/>
  <c r="LV118" i="4" s="1"/>
  <c r="LV117" i="4" s="1"/>
  <c r="LV116" i="4" s="1"/>
  <c r="LV115" i="4" s="1"/>
  <c r="LV114" i="4" s="1"/>
  <c r="LV113" i="4" s="1"/>
  <c r="LV112" i="4" s="1"/>
  <c r="LV111" i="4" s="1"/>
  <c r="LV110" i="4" s="1"/>
  <c r="LV109" i="4" s="1"/>
  <c r="LV108" i="4" s="1"/>
  <c r="LV107" i="4" s="1"/>
  <c r="LW203" i="4"/>
  <c r="LW202" i="4" s="1"/>
  <c r="LW201" i="4" s="1"/>
  <c r="LW200" i="4" s="1"/>
  <c r="LW199" i="4" s="1"/>
  <c r="LW198" i="4" s="1"/>
  <c r="LW197" i="4" s="1"/>
  <c r="LW196" i="4" s="1"/>
  <c r="LW195" i="4" s="1"/>
  <c r="LW194" i="4" s="1"/>
  <c r="LW193" i="4" s="1"/>
  <c r="LW192" i="4" s="1"/>
  <c r="LW191" i="4" s="1"/>
  <c r="LW190" i="4" s="1"/>
  <c r="LW189" i="4" s="1"/>
  <c r="LW188" i="4" s="1"/>
  <c r="LW187" i="4" s="1"/>
  <c r="LW186" i="4" s="1"/>
  <c r="LW185" i="4" s="1"/>
  <c r="LW184" i="4" s="1"/>
  <c r="LW183" i="4" s="1"/>
  <c r="LW182" i="4" s="1"/>
  <c r="LW181" i="4" s="1"/>
  <c r="LW180" i="4" s="1"/>
  <c r="LW179" i="4" s="1"/>
  <c r="LW178" i="4" s="1"/>
  <c r="LW177" i="4" s="1"/>
  <c r="LW176" i="4" s="1"/>
  <c r="LW175" i="4" s="1"/>
  <c r="LW174" i="4" s="1"/>
  <c r="LW173" i="4" s="1"/>
  <c r="LW172" i="4" s="1"/>
  <c r="LW171" i="4" s="1"/>
  <c r="LW170" i="4" s="1"/>
  <c r="LW169" i="4" s="1"/>
  <c r="LW168" i="4" s="1"/>
  <c r="LW167" i="4" s="1"/>
  <c r="LW166" i="4" s="1"/>
  <c r="LW165" i="4" s="1"/>
  <c r="LW164" i="4" s="1"/>
  <c r="LW163" i="4" s="1"/>
  <c r="LW162" i="4" s="1"/>
  <c r="LW161" i="4" s="1"/>
  <c r="LW160" i="4" s="1"/>
  <c r="LW159" i="4" s="1"/>
  <c r="LW158" i="4" s="1"/>
  <c r="LW157" i="4" s="1"/>
  <c r="LW156" i="4" s="1"/>
  <c r="LW155" i="4" s="1"/>
  <c r="LW154" i="4" s="1"/>
  <c r="LW153" i="4" s="1"/>
  <c r="LW152" i="4" s="1"/>
  <c r="LW151" i="4" s="1"/>
  <c r="LW150" i="4" s="1"/>
  <c r="LW149" i="4" s="1"/>
  <c r="LW148" i="4" s="1"/>
  <c r="LW147" i="4" s="1"/>
  <c r="LW146" i="4" s="1"/>
  <c r="LW145" i="4" s="1"/>
  <c r="LW144" i="4" s="1"/>
  <c r="LW143" i="4" s="1"/>
  <c r="LW142" i="4" s="1"/>
  <c r="LW141" i="4" s="1"/>
  <c r="LW140" i="4" s="1"/>
  <c r="LW139" i="4" s="1"/>
  <c r="LW138" i="4" s="1"/>
  <c r="LW137" i="4" s="1"/>
  <c r="LW136" i="4" s="1"/>
  <c r="LW135" i="4" s="1"/>
  <c r="LW134" i="4" s="1"/>
  <c r="LW133" i="4" s="1"/>
  <c r="LW132" i="4" s="1"/>
  <c r="LW131" i="4" s="1"/>
  <c r="LW130" i="4" s="1"/>
  <c r="LW129" i="4" s="1"/>
  <c r="LW128" i="4" s="1"/>
  <c r="LW127" i="4" s="1"/>
  <c r="LW126" i="4" s="1"/>
  <c r="LW125" i="4" s="1"/>
  <c r="LW124" i="4" s="1"/>
  <c r="LW123" i="4" s="1"/>
  <c r="LW122" i="4" s="1"/>
  <c r="LW121" i="4" s="1"/>
  <c r="LW120" i="4" s="1"/>
  <c r="LW119" i="4" s="1"/>
  <c r="LW118" i="4" s="1"/>
  <c r="LW117" i="4" s="1"/>
  <c r="LW116" i="4" s="1"/>
  <c r="LW115" i="4" s="1"/>
  <c r="LW114" i="4" s="1"/>
  <c r="LW113" i="4" s="1"/>
  <c r="LW112" i="4" s="1"/>
  <c r="LW111" i="4" s="1"/>
  <c r="LW110" i="4" s="1"/>
  <c r="LW109" i="4" s="1"/>
  <c r="LW108" i="4" s="1"/>
  <c r="LW107" i="4" s="1"/>
  <c r="LX203" i="4"/>
  <c r="LX202" i="4" s="1"/>
  <c r="LX201" i="4" s="1"/>
  <c r="LX200" i="4" s="1"/>
  <c r="LX199" i="4" s="1"/>
  <c r="LX198" i="4" s="1"/>
  <c r="LX197" i="4" s="1"/>
  <c r="LX196" i="4" s="1"/>
  <c r="LX195" i="4" s="1"/>
  <c r="LX194" i="4" s="1"/>
  <c r="LX193" i="4" s="1"/>
  <c r="LX192" i="4" s="1"/>
  <c r="LX191" i="4" s="1"/>
  <c r="LX190" i="4" s="1"/>
  <c r="LX189" i="4" s="1"/>
  <c r="LX188" i="4" s="1"/>
  <c r="LX187" i="4" s="1"/>
  <c r="LX186" i="4" s="1"/>
  <c r="LX185" i="4" s="1"/>
  <c r="LX184" i="4" s="1"/>
  <c r="LX183" i="4" s="1"/>
  <c r="LX182" i="4" s="1"/>
  <c r="LX181" i="4" s="1"/>
  <c r="LX180" i="4" s="1"/>
  <c r="LX179" i="4" s="1"/>
  <c r="LX178" i="4" s="1"/>
  <c r="LX177" i="4" s="1"/>
  <c r="LX176" i="4" s="1"/>
  <c r="LX175" i="4" s="1"/>
  <c r="LX174" i="4" s="1"/>
  <c r="LX173" i="4" s="1"/>
  <c r="LX172" i="4" s="1"/>
  <c r="LX171" i="4" s="1"/>
  <c r="LX170" i="4" s="1"/>
  <c r="LX169" i="4" s="1"/>
  <c r="LX168" i="4" s="1"/>
  <c r="LX167" i="4" s="1"/>
  <c r="LX166" i="4" s="1"/>
  <c r="LX165" i="4" s="1"/>
  <c r="LX164" i="4" s="1"/>
  <c r="LX163" i="4" s="1"/>
  <c r="LX162" i="4" s="1"/>
  <c r="LX161" i="4" s="1"/>
  <c r="LX160" i="4" s="1"/>
  <c r="LX159" i="4" s="1"/>
  <c r="LX158" i="4" s="1"/>
  <c r="LX157" i="4" s="1"/>
  <c r="LX156" i="4" s="1"/>
  <c r="LX155" i="4" s="1"/>
  <c r="LX154" i="4" s="1"/>
  <c r="LX153" i="4" s="1"/>
  <c r="LX152" i="4" s="1"/>
  <c r="LX151" i="4" s="1"/>
  <c r="LX150" i="4" s="1"/>
  <c r="LX149" i="4" s="1"/>
  <c r="LX148" i="4" s="1"/>
  <c r="LX147" i="4" s="1"/>
  <c r="LX146" i="4" s="1"/>
  <c r="LX145" i="4" s="1"/>
  <c r="LX144" i="4" s="1"/>
  <c r="LX143" i="4" s="1"/>
  <c r="LX142" i="4" s="1"/>
  <c r="LX141" i="4" s="1"/>
  <c r="LX140" i="4" s="1"/>
  <c r="LX139" i="4" s="1"/>
  <c r="LX138" i="4" s="1"/>
  <c r="LX137" i="4" s="1"/>
  <c r="LX136" i="4" s="1"/>
  <c r="LX135" i="4" s="1"/>
  <c r="LX134" i="4" s="1"/>
  <c r="LX133" i="4" s="1"/>
  <c r="LX132" i="4" s="1"/>
  <c r="LX131" i="4" s="1"/>
  <c r="LX130" i="4" s="1"/>
  <c r="LX129" i="4" s="1"/>
  <c r="LX128" i="4" s="1"/>
  <c r="LX127" i="4" s="1"/>
  <c r="LX126" i="4" s="1"/>
  <c r="LX125" i="4" s="1"/>
  <c r="LX124" i="4" s="1"/>
  <c r="LX123" i="4" s="1"/>
  <c r="LX122" i="4" s="1"/>
  <c r="LX121" i="4" s="1"/>
  <c r="LX120" i="4" s="1"/>
  <c r="LX119" i="4" s="1"/>
  <c r="LX118" i="4" s="1"/>
  <c r="LX117" i="4" s="1"/>
  <c r="LX116" i="4" s="1"/>
  <c r="LX115" i="4" s="1"/>
  <c r="LX114" i="4" s="1"/>
  <c r="LX113" i="4" s="1"/>
  <c r="LX112" i="4" s="1"/>
  <c r="LX111" i="4" s="1"/>
  <c r="LX110" i="4" s="1"/>
  <c r="LX109" i="4" s="1"/>
  <c r="LX108" i="4" s="1"/>
  <c r="LX107" i="4" s="1"/>
  <c r="LY203" i="4"/>
  <c r="LY202" i="4" s="1"/>
  <c r="LY201" i="4" s="1"/>
  <c r="LY200" i="4" s="1"/>
  <c r="LY199" i="4" s="1"/>
  <c r="LY198" i="4" s="1"/>
  <c r="LY197" i="4" s="1"/>
  <c r="LY196" i="4" s="1"/>
  <c r="LY195" i="4" s="1"/>
  <c r="LY194" i="4" s="1"/>
  <c r="LY193" i="4" s="1"/>
  <c r="LY192" i="4" s="1"/>
  <c r="LY191" i="4" s="1"/>
  <c r="LY190" i="4" s="1"/>
  <c r="LY189" i="4" s="1"/>
  <c r="LY188" i="4" s="1"/>
  <c r="LY187" i="4" s="1"/>
  <c r="LY186" i="4" s="1"/>
  <c r="LY185" i="4" s="1"/>
  <c r="LY184" i="4" s="1"/>
  <c r="LY183" i="4" s="1"/>
  <c r="LY182" i="4" s="1"/>
  <c r="LY181" i="4" s="1"/>
  <c r="LY180" i="4" s="1"/>
  <c r="LY179" i="4" s="1"/>
  <c r="LY178" i="4" s="1"/>
  <c r="LY177" i="4" s="1"/>
  <c r="LY176" i="4" s="1"/>
  <c r="LY175" i="4" s="1"/>
  <c r="LY174" i="4" s="1"/>
  <c r="LY173" i="4" s="1"/>
  <c r="LY172" i="4" s="1"/>
  <c r="LY171" i="4" s="1"/>
  <c r="LY170" i="4" s="1"/>
  <c r="LY169" i="4" s="1"/>
  <c r="LY168" i="4" s="1"/>
  <c r="LY167" i="4" s="1"/>
  <c r="LY166" i="4" s="1"/>
  <c r="LY165" i="4" s="1"/>
  <c r="LY164" i="4" s="1"/>
  <c r="LY163" i="4" s="1"/>
  <c r="LY162" i="4" s="1"/>
  <c r="LY161" i="4" s="1"/>
  <c r="LY160" i="4" s="1"/>
  <c r="LY159" i="4" s="1"/>
  <c r="LY158" i="4" s="1"/>
  <c r="LY157" i="4" s="1"/>
  <c r="LY156" i="4" s="1"/>
  <c r="LY155" i="4" s="1"/>
  <c r="LY154" i="4" s="1"/>
  <c r="LY153" i="4" s="1"/>
  <c r="LY152" i="4" s="1"/>
  <c r="LY151" i="4" s="1"/>
  <c r="LY150" i="4" s="1"/>
  <c r="LY149" i="4" s="1"/>
  <c r="LY148" i="4" s="1"/>
  <c r="LY147" i="4" s="1"/>
  <c r="LY146" i="4" s="1"/>
  <c r="LY145" i="4" s="1"/>
  <c r="LY144" i="4" s="1"/>
  <c r="LY143" i="4" s="1"/>
  <c r="LY142" i="4" s="1"/>
  <c r="LY141" i="4" s="1"/>
  <c r="LY140" i="4" s="1"/>
  <c r="LY139" i="4" s="1"/>
  <c r="LY138" i="4" s="1"/>
  <c r="LY137" i="4" s="1"/>
  <c r="LY136" i="4" s="1"/>
  <c r="LY135" i="4" s="1"/>
  <c r="LY134" i="4" s="1"/>
  <c r="LY133" i="4" s="1"/>
  <c r="LY132" i="4" s="1"/>
  <c r="LY131" i="4" s="1"/>
  <c r="LY130" i="4" s="1"/>
  <c r="LY129" i="4" s="1"/>
  <c r="LY128" i="4" s="1"/>
  <c r="LY127" i="4" s="1"/>
  <c r="LY126" i="4" s="1"/>
  <c r="LY125" i="4" s="1"/>
  <c r="LY124" i="4" s="1"/>
  <c r="LY123" i="4" s="1"/>
  <c r="LY122" i="4" s="1"/>
  <c r="LY121" i="4" s="1"/>
  <c r="LY120" i="4" s="1"/>
  <c r="LY119" i="4" s="1"/>
  <c r="LY118" i="4" s="1"/>
  <c r="LY117" i="4" s="1"/>
  <c r="LY116" i="4" s="1"/>
  <c r="LY115" i="4" s="1"/>
  <c r="LY114" i="4" s="1"/>
  <c r="LY113" i="4" s="1"/>
  <c r="LY112" i="4" s="1"/>
  <c r="LY111" i="4" s="1"/>
  <c r="LY110" i="4" s="1"/>
  <c r="LY109" i="4" s="1"/>
  <c r="LY108" i="4" s="1"/>
  <c r="LY107" i="4" s="1"/>
  <c r="LZ203" i="4"/>
  <c r="LZ202" i="4" s="1"/>
  <c r="LZ201" i="4" s="1"/>
  <c r="LZ200" i="4" s="1"/>
  <c r="LZ199" i="4" s="1"/>
  <c r="LZ198" i="4" s="1"/>
  <c r="LZ197" i="4" s="1"/>
  <c r="LZ196" i="4" s="1"/>
  <c r="LZ195" i="4" s="1"/>
  <c r="LZ194" i="4" s="1"/>
  <c r="LZ193" i="4" s="1"/>
  <c r="LZ192" i="4" s="1"/>
  <c r="LZ191" i="4" s="1"/>
  <c r="LZ190" i="4" s="1"/>
  <c r="LZ189" i="4" s="1"/>
  <c r="LZ188" i="4" s="1"/>
  <c r="LZ187" i="4" s="1"/>
  <c r="LZ186" i="4" s="1"/>
  <c r="LZ185" i="4" s="1"/>
  <c r="LZ184" i="4" s="1"/>
  <c r="LZ183" i="4" s="1"/>
  <c r="LZ182" i="4" s="1"/>
  <c r="LZ181" i="4" s="1"/>
  <c r="LZ180" i="4" s="1"/>
  <c r="LZ179" i="4" s="1"/>
  <c r="LZ178" i="4" s="1"/>
  <c r="LZ177" i="4" s="1"/>
  <c r="LZ176" i="4" s="1"/>
  <c r="LZ175" i="4" s="1"/>
  <c r="LZ174" i="4" s="1"/>
  <c r="LZ173" i="4" s="1"/>
  <c r="LZ172" i="4" s="1"/>
  <c r="LZ171" i="4" s="1"/>
  <c r="LZ170" i="4" s="1"/>
  <c r="LZ169" i="4" s="1"/>
  <c r="LZ168" i="4" s="1"/>
  <c r="LZ167" i="4" s="1"/>
  <c r="LZ166" i="4" s="1"/>
  <c r="LZ165" i="4" s="1"/>
  <c r="LZ164" i="4" s="1"/>
  <c r="LZ163" i="4" s="1"/>
  <c r="LZ162" i="4" s="1"/>
  <c r="LZ161" i="4" s="1"/>
  <c r="LZ160" i="4" s="1"/>
  <c r="LZ159" i="4" s="1"/>
  <c r="LZ158" i="4" s="1"/>
  <c r="LZ157" i="4" s="1"/>
  <c r="LZ156" i="4" s="1"/>
  <c r="LZ155" i="4" s="1"/>
  <c r="LZ154" i="4" s="1"/>
  <c r="LZ153" i="4" s="1"/>
  <c r="LZ152" i="4" s="1"/>
  <c r="LZ151" i="4" s="1"/>
  <c r="LZ150" i="4" s="1"/>
  <c r="LZ149" i="4" s="1"/>
  <c r="LZ148" i="4" s="1"/>
  <c r="LZ147" i="4" s="1"/>
  <c r="LZ146" i="4" s="1"/>
  <c r="LZ145" i="4" s="1"/>
  <c r="LZ144" i="4" s="1"/>
  <c r="LZ143" i="4" s="1"/>
  <c r="LZ142" i="4" s="1"/>
  <c r="LZ141" i="4" s="1"/>
  <c r="LZ140" i="4" s="1"/>
  <c r="LZ139" i="4" s="1"/>
  <c r="LZ138" i="4" s="1"/>
  <c r="LZ137" i="4" s="1"/>
  <c r="LZ136" i="4" s="1"/>
  <c r="LZ135" i="4" s="1"/>
  <c r="LZ134" i="4" s="1"/>
  <c r="LZ133" i="4" s="1"/>
  <c r="LZ132" i="4" s="1"/>
  <c r="LZ131" i="4" s="1"/>
  <c r="LZ130" i="4" s="1"/>
  <c r="LZ129" i="4" s="1"/>
  <c r="LZ128" i="4" s="1"/>
  <c r="LZ127" i="4" s="1"/>
  <c r="LZ126" i="4" s="1"/>
  <c r="LZ125" i="4" s="1"/>
  <c r="LZ124" i="4" s="1"/>
  <c r="LZ123" i="4" s="1"/>
  <c r="LZ122" i="4" s="1"/>
  <c r="LZ121" i="4" s="1"/>
  <c r="LZ120" i="4" s="1"/>
  <c r="LZ119" i="4" s="1"/>
  <c r="LZ118" i="4" s="1"/>
  <c r="LZ117" i="4" s="1"/>
  <c r="LZ116" i="4" s="1"/>
  <c r="LZ115" i="4" s="1"/>
  <c r="LZ114" i="4" s="1"/>
  <c r="LZ113" i="4" s="1"/>
  <c r="LZ112" i="4" s="1"/>
  <c r="LZ111" i="4" s="1"/>
  <c r="LZ110" i="4" s="1"/>
  <c r="LZ109" i="4" s="1"/>
  <c r="LZ108" i="4" s="1"/>
  <c r="LZ107" i="4" s="1"/>
  <c r="MA203" i="4"/>
  <c r="MA202" i="4" s="1"/>
  <c r="MA201" i="4" s="1"/>
  <c r="MA200" i="4" s="1"/>
  <c r="MA199" i="4" s="1"/>
  <c r="MA198" i="4" s="1"/>
  <c r="MA197" i="4" s="1"/>
  <c r="MA196" i="4" s="1"/>
  <c r="MA195" i="4" s="1"/>
  <c r="MA194" i="4" s="1"/>
  <c r="MA193" i="4" s="1"/>
  <c r="MA192" i="4" s="1"/>
  <c r="MA191" i="4" s="1"/>
  <c r="MA190" i="4" s="1"/>
  <c r="MA189" i="4" s="1"/>
  <c r="MA188" i="4" s="1"/>
  <c r="MA187" i="4" s="1"/>
  <c r="MA186" i="4" s="1"/>
  <c r="MA185" i="4" s="1"/>
  <c r="MA184" i="4" s="1"/>
  <c r="MA183" i="4" s="1"/>
  <c r="MA182" i="4" s="1"/>
  <c r="MA181" i="4" s="1"/>
  <c r="MA180" i="4" s="1"/>
  <c r="MA179" i="4" s="1"/>
  <c r="MA178" i="4" s="1"/>
  <c r="MA177" i="4" s="1"/>
  <c r="MA176" i="4" s="1"/>
  <c r="MA175" i="4" s="1"/>
  <c r="MA174" i="4" s="1"/>
  <c r="MA173" i="4" s="1"/>
  <c r="MA172" i="4" s="1"/>
  <c r="MA171" i="4" s="1"/>
  <c r="MA170" i="4" s="1"/>
  <c r="MA169" i="4" s="1"/>
  <c r="MA168" i="4" s="1"/>
  <c r="MA167" i="4" s="1"/>
  <c r="MA166" i="4" s="1"/>
  <c r="MA165" i="4" s="1"/>
  <c r="MA164" i="4" s="1"/>
  <c r="MA163" i="4" s="1"/>
  <c r="MA162" i="4" s="1"/>
  <c r="MA161" i="4" s="1"/>
  <c r="MA160" i="4" s="1"/>
  <c r="MA159" i="4" s="1"/>
  <c r="MA158" i="4" s="1"/>
  <c r="MA157" i="4" s="1"/>
  <c r="MA156" i="4" s="1"/>
  <c r="MA155" i="4" s="1"/>
  <c r="MA154" i="4" s="1"/>
  <c r="MA153" i="4" s="1"/>
  <c r="MA152" i="4" s="1"/>
  <c r="MA151" i="4" s="1"/>
  <c r="MA150" i="4" s="1"/>
  <c r="MA149" i="4" s="1"/>
  <c r="MA148" i="4" s="1"/>
  <c r="MA147" i="4" s="1"/>
  <c r="MA146" i="4" s="1"/>
  <c r="MA145" i="4" s="1"/>
  <c r="MA144" i="4" s="1"/>
  <c r="MA143" i="4" s="1"/>
  <c r="MA142" i="4" s="1"/>
  <c r="MA141" i="4" s="1"/>
  <c r="MA140" i="4" s="1"/>
  <c r="MA139" i="4" s="1"/>
  <c r="MA138" i="4" s="1"/>
  <c r="MA137" i="4" s="1"/>
  <c r="MA136" i="4" s="1"/>
  <c r="MA135" i="4" s="1"/>
  <c r="MA134" i="4" s="1"/>
  <c r="MA133" i="4" s="1"/>
  <c r="MA132" i="4" s="1"/>
  <c r="MA131" i="4" s="1"/>
  <c r="MA130" i="4" s="1"/>
  <c r="MA129" i="4" s="1"/>
  <c r="MA128" i="4" s="1"/>
  <c r="MA127" i="4" s="1"/>
  <c r="MA126" i="4" s="1"/>
  <c r="MA125" i="4" s="1"/>
  <c r="MA124" i="4" s="1"/>
  <c r="MA123" i="4" s="1"/>
  <c r="MA122" i="4" s="1"/>
  <c r="MA121" i="4" s="1"/>
  <c r="MA120" i="4" s="1"/>
  <c r="MA119" i="4" s="1"/>
  <c r="MA118" i="4" s="1"/>
  <c r="MA117" i="4" s="1"/>
  <c r="MA116" i="4" s="1"/>
  <c r="MA115" i="4" s="1"/>
  <c r="MA114" i="4" s="1"/>
  <c r="MA113" i="4" s="1"/>
  <c r="MA112" i="4" s="1"/>
  <c r="MA111" i="4" s="1"/>
  <c r="MA110" i="4" s="1"/>
  <c r="MA109" i="4" s="1"/>
  <c r="MA108" i="4" s="1"/>
  <c r="MA107" i="4" s="1"/>
  <c r="MB203" i="4"/>
  <c r="MB202" i="4" s="1"/>
  <c r="MB201" i="4" s="1"/>
  <c r="MB200" i="4" s="1"/>
  <c r="MB199" i="4" s="1"/>
  <c r="MB198" i="4" s="1"/>
  <c r="MB197" i="4" s="1"/>
  <c r="MB196" i="4" s="1"/>
  <c r="MB195" i="4" s="1"/>
  <c r="MB194" i="4" s="1"/>
  <c r="MB193" i="4" s="1"/>
  <c r="MB192" i="4" s="1"/>
  <c r="MB191" i="4" s="1"/>
  <c r="MB190" i="4" s="1"/>
  <c r="MB189" i="4" s="1"/>
  <c r="MB188" i="4" s="1"/>
  <c r="MB187" i="4" s="1"/>
  <c r="MB186" i="4" s="1"/>
  <c r="MB185" i="4" s="1"/>
  <c r="MB184" i="4" s="1"/>
  <c r="MB183" i="4" s="1"/>
  <c r="MB182" i="4" s="1"/>
  <c r="MB181" i="4" s="1"/>
  <c r="MB180" i="4" s="1"/>
  <c r="MB179" i="4" s="1"/>
  <c r="MB178" i="4" s="1"/>
  <c r="MB177" i="4" s="1"/>
  <c r="MB176" i="4" s="1"/>
  <c r="MB175" i="4" s="1"/>
  <c r="MB174" i="4" s="1"/>
  <c r="MB173" i="4" s="1"/>
  <c r="MB172" i="4" s="1"/>
  <c r="MB171" i="4" s="1"/>
  <c r="MB170" i="4" s="1"/>
  <c r="MB169" i="4" s="1"/>
  <c r="MB168" i="4" s="1"/>
  <c r="MB167" i="4" s="1"/>
  <c r="MB166" i="4" s="1"/>
  <c r="MB165" i="4" s="1"/>
  <c r="MB164" i="4" s="1"/>
  <c r="MB163" i="4" s="1"/>
  <c r="MB162" i="4" s="1"/>
  <c r="MB161" i="4" s="1"/>
  <c r="MB160" i="4" s="1"/>
  <c r="MB159" i="4" s="1"/>
  <c r="MB158" i="4" s="1"/>
  <c r="MB157" i="4" s="1"/>
  <c r="MB156" i="4" s="1"/>
  <c r="MB155" i="4" s="1"/>
  <c r="MB154" i="4" s="1"/>
  <c r="MB153" i="4" s="1"/>
  <c r="MB152" i="4" s="1"/>
  <c r="MB151" i="4" s="1"/>
  <c r="MB150" i="4" s="1"/>
  <c r="MB149" i="4" s="1"/>
  <c r="MB148" i="4" s="1"/>
  <c r="MB147" i="4" s="1"/>
  <c r="MB146" i="4" s="1"/>
  <c r="MB145" i="4" s="1"/>
  <c r="MB144" i="4" s="1"/>
  <c r="MB143" i="4" s="1"/>
  <c r="MB142" i="4" s="1"/>
  <c r="MB141" i="4" s="1"/>
  <c r="MB140" i="4" s="1"/>
  <c r="MB139" i="4" s="1"/>
  <c r="MB138" i="4" s="1"/>
  <c r="MB137" i="4" s="1"/>
  <c r="MB136" i="4" s="1"/>
  <c r="MB135" i="4" s="1"/>
  <c r="MB134" i="4" s="1"/>
  <c r="MB133" i="4" s="1"/>
  <c r="MB132" i="4" s="1"/>
  <c r="MB131" i="4" s="1"/>
  <c r="MB130" i="4" s="1"/>
  <c r="MB129" i="4" s="1"/>
  <c r="MB128" i="4" s="1"/>
  <c r="MB127" i="4" s="1"/>
  <c r="MB126" i="4" s="1"/>
  <c r="MB125" i="4" s="1"/>
  <c r="MB124" i="4" s="1"/>
  <c r="MB123" i="4" s="1"/>
  <c r="MB122" i="4" s="1"/>
  <c r="MB121" i="4" s="1"/>
  <c r="MB120" i="4" s="1"/>
  <c r="MB119" i="4" s="1"/>
  <c r="MB118" i="4" s="1"/>
  <c r="MB117" i="4" s="1"/>
  <c r="MB116" i="4" s="1"/>
  <c r="MB115" i="4" s="1"/>
  <c r="MB114" i="4" s="1"/>
  <c r="MB113" i="4" s="1"/>
  <c r="MB112" i="4" s="1"/>
  <c r="MB111" i="4" s="1"/>
  <c r="MB110" i="4" s="1"/>
  <c r="MB109" i="4" s="1"/>
  <c r="MB108" i="4" s="1"/>
  <c r="MB107" i="4" s="1"/>
  <c r="MC203" i="4"/>
  <c r="MC202" i="4" s="1"/>
  <c r="MC201" i="4" s="1"/>
  <c r="MC200" i="4" s="1"/>
  <c r="MC199" i="4" s="1"/>
  <c r="MC198" i="4" s="1"/>
  <c r="MC197" i="4" s="1"/>
  <c r="MC196" i="4" s="1"/>
  <c r="MC195" i="4" s="1"/>
  <c r="MC194" i="4" s="1"/>
  <c r="MC193" i="4" s="1"/>
  <c r="MC192" i="4" s="1"/>
  <c r="MC191" i="4" s="1"/>
  <c r="MC190" i="4" s="1"/>
  <c r="MC189" i="4" s="1"/>
  <c r="MC188" i="4" s="1"/>
  <c r="MC187" i="4" s="1"/>
  <c r="MC186" i="4" s="1"/>
  <c r="MC185" i="4" s="1"/>
  <c r="MC184" i="4" s="1"/>
  <c r="MC183" i="4" s="1"/>
  <c r="MC182" i="4" s="1"/>
  <c r="MC181" i="4" s="1"/>
  <c r="MC180" i="4" s="1"/>
  <c r="MC179" i="4" s="1"/>
  <c r="MC178" i="4" s="1"/>
  <c r="MC177" i="4" s="1"/>
  <c r="MC176" i="4" s="1"/>
  <c r="MC175" i="4" s="1"/>
  <c r="MC174" i="4" s="1"/>
  <c r="MC173" i="4" s="1"/>
  <c r="MC172" i="4" s="1"/>
  <c r="MC171" i="4" s="1"/>
  <c r="MC170" i="4" s="1"/>
  <c r="MC169" i="4" s="1"/>
  <c r="MC168" i="4" s="1"/>
  <c r="MC167" i="4" s="1"/>
  <c r="MC166" i="4" s="1"/>
  <c r="MC165" i="4" s="1"/>
  <c r="MC164" i="4" s="1"/>
  <c r="MC163" i="4" s="1"/>
  <c r="MC162" i="4" s="1"/>
  <c r="MC161" i="4" s="1"/>
  <c r="MC160" i="4" s="1"/>
  <c r="MC159" i="4" s="1"/>
  <c r="MC158" i="4" s="1"/>
  <c r="MC157" i="4" s="1"/>
  <c r="MC156" i="4" s="1"/>
  <c r="MC155" i="4" s="1"/>
  <c r="MC154" i="4" s="1"/>
  <c r="MC153" i="4" s="1"/>
  <c r="MC152" i="4" s="1"/>
  <c r="MC151" i="4" s="1"/>
  <c r="MC150" i="4" s="1"/>
  <c r="MC149" i="4" s="1"/>
  <c r="MC148" i="4" s="1"/>
  <c r="MC147" i="4" s="1"/>
  <c r="MC146" i="4" s="1"/>
  <c r="MC145" i="4" s="1"/>
  <c r="MC144" i="4" s="1"/>
  <c r="MC143" i="4" s="1"/>
  <c r="MC142" i="4" s="1"/>
  <c r="MC141" i="4" s="1"/>
  <c r="MC140" i="4" s="1"/>
  <c r="MC139" i="4" s="1"/>
  <c r="MC138" i="4" s="1"/>
  <c r="MC137" i="4" s="1"/>
  <c r="MC136" i="4" s="1"/>
  <c r="MC135" i="4" s="1"/>
  <c r="MC134" i="4" s="1"/>
  <c r="MC133" i="4" s="1"/>
  <c r="MC132" i="4" s="1"/>
  <c r="MC131" i="4" s="1"/>
  <c r="MC130" i="4" s="1"/>
  <c r="MC129" i="4" s="1"/>
  <c r="MC128" i="4" s="1"/>
  <c r="MC127" i="4" s="1"/>
  <c r="MC126" i="4" s="1"/>
  <c r="MC125" i="4" s="1"/>
  <c r="MC124" i="4" s="1"/>
  <c r="MC123" i="4" s="1"/>
  <c r="MC122" i="4" s="1"/>
  <c r="MC121" i="4" s="1"/>
  <c r="MC120" i="4" s="1"/>
  <c r="MC119" i="4" s="1"/>
  <c r="MC118" i="4" s="1"/>
  <c r="MC117" i="4" s="1"/>
  <c r="MC116" i="4" s="1"/>
  <c r="MC115" i="4" s="1"/>
  <c r="MC114" i="4" s="1"/>
  <c r="MC113" i="4" s="1"/>
  <c r="MC112" i="4" s="1"/>
  <c r="MC111" i="4" s="1"/>
  <c r="MC110" i="4" s="1"/>
  <c r="MC109" i="4" s="1"/>
  <c r="MC108" i="4" s="1"/>
  <c r="MC107" i="4" s="1"/>
  <c r="MD203" i="4"/>
  <c r="MD202" i="4" s="1"/>
  <c r="MD201" i="4" s="1"/>
  <c r="MD200" i="4" s="1"/>
  <c r="MD199" i="4" s="1"/>
  <c r="MD198" i="4" s="1"/>
  <c r="MD197" i="4" s="1"/>
  <c r="MD196" i="4" s="1"/>
  <c r="MD195" i="4" s="1"/>
  <c r="MD194" i="4" s="1"/>
  <c r="MD193" i="4" s="1"/>
  <c r="MD192" i="4" s="1"/>
  <c r="MD191" i="4" s="1"/>
  <c r="MD190" i="4" s="1"/>
  <c r="MD189" i="4" s="1"/>
  <c r="MD188" i="4" s="1"/>
  <c r="MD187" i="4" s="1"/>
  <c r="MD186" i="4" s="1"/>
  <c r="MD185" i="4" s="1"/>
  <c r="MD184" i="4" s="1"/>
  <c r="MD183" i="4" s="1"/>
  <c r="MD182" i="4" s="1"/>
  <c r="MD181" i="4" s="1"/>
  <c r="MD180" i="4" s="1"/>
  <c r="MD179" i="4" s="1"/>
  <c r="MD178" i="4" s="1"/>
  <c r="MD177" i="4" s="1"/>
  <c r="MD176" i="4" s="1"/>
  <c r="MD175" i="4" s="1"/>
  <c r="MD174" i="4" s="1"/>
  <c r="MD173" i="4" s="1"/>
  <c r="MD172" i="4" s="1"/>
  <c r="MD171" i="4" s="1"/>
  <c r="MD170" i="4" s="1"/>
  <c r="MD169" i="4" s="1"/>
  <c r="MD168" i="4" s="1"/>
  <c r="MD167" i="4" s="1"/>
  <c r="MD166" i="4" s="1"/>
  <c r="MD165" i="4" s="1"/>
  <c r="MD164" i="4" s="1"/>
  <c r="MD163" i="4" s="1"/>
  <c r="MD162" i="4" s="1"/>
  <c r="MD161" i="4" s="1"/>
  <c r="MD160" i="4" s="1"/>
  <c r="MD159" i="4" s="1"/>
  <c r="MD158" i="4" s="1"/>
  <c r="MD157" i="4" s="1"/>
  <c r="MD156" i="4" s="1"/>
  <c r="MD155" i="4" s="1"/>
  <c r="MD154" i="4" s="1"/>
  <c r="MD153" i="4" s="1"/>
  <c r="MD152" i="4" s="1"/>
  <c r="MD151" i="4" s="1"/>
  <c r="MD150" i="4" s="1"/>
  <c r="MD149" i="4" s="1"/>
  <c r="MD148" i="4" s="1"/>
  <c r="MD147" i="4" s="1"/>
  <c r="MD146" i="4" s="1"/>
  <c r="MD145" i="4" s="1"/>
  <c r="MD144" i="4" s="1"/>
  <c r="MD143" i="4" s="1"/>
  <c r="MD142" i="4" s="1"/>
  <c r="MD141" i="4" s="1"/>
  <c r="MD140" i="4" s="1"/>
  <c r="MD139" i="4" s="1"/>
  <c r="MD138" i="4" s="1"/>
  <c r="MD137" i="4" s="1"/>
  <c r="MD136" i="4" s="1"/>
  <c r="MD135" i="4" s="1"/>
  <c r="MD134" i="4" s="1"/>
  <c r="MD133" i="4" s="1"/>
  <c r="MD132" i="4" s="1"/>
  <c r="MD131" i="4" s="1"/>
  <c r="MD130" i="4" s="1"/>
  <c r="MD129" i="4" s="1"/>
  <c r="MD128" i="4" s="1"/>
  <c r="MD127" i="4" s="1"/>
  <c r="MD126" i="4" s="1"/>
  <c r="MD125" i="4" s="1"/>
  <c r="MD124" i="4" s="1"/>
  <c r="MD123" i="4" s="1"/>
  <c r="MD122" i="4" s="1"/>
  <c r="MD121" i="4" s="1"/>
  <c r="MD120" i="4" s="1"/>
  <c r="MD119" i="4" s="1"/>
  <c r="MD118" i="4" s="1"/>
  <c r="MD117" i="4" s="1"/>
  <c r="MD116" i="4" s="1"/>
  <c r="MD115" i="4" s="1"/>
  <c r="MD114" i="4" s="1"/>
  <c r="MD113" i="4" s="1"/>
  <c r="MD112" i="4" s="1"/>
  <c r="MD111" i="4" s="1"/>
  <c r="MD110" i="4" s="1"/>
  <c r="MD109" i="4" s="1"/>
  <c r="MD108" i="4" s="1"/>
  <c r="MD107" i="4" s="1"/>
  <c r="ME203" i="4"/>
  <c r="ME202" i="4" s="1"/>
  <c r="ME201" i="4" s="1"/>
  <c r="ME200" i="4" s="1"/>
  <c r="ME199" i="4" s="1"/>
  <c r="ME198" i="4" s="1"/>
  <c r="ME197" i="4" s="1"/>
  <c r="ME196" i="4" s="1"/>
  <c r="ME195" i="4" s="1"/>
  <c r="ME194" i="4" s="1"/>
  <c r="ME193" i="4" s="1"/>
  <c r="ME192" i="4" s="1"/>
  <c r="ME191" i="4" s="1"/>
  <c r="ME190" i="4" s="1"/>
  <c r="ME189" i="4" s="1"/>
  <c r="ME188" i="4" s="1"/>
  <c r="ME187" i="4" s="1"/>
  <c r="ME186" i="4" s="1"/>
  <c r="ME185" i="4" s="1"/>
  <c r="ME184" i="4" s="1"/>
  <c r="ME183" i="4" s="1"/>
  <c r="ME182" i="4" s="1"/>
  <c r="ME181" i="4" s="1"/>
  <c r="ME180" i="4" s="1"/>
  <c r="ME179" i="4" s="1"/>
  <c r="ME178" i="4" s="1"/>
  <c r="ME177" i="4" s="1"/>
  <c r="ME176" i="4" s="1"/>
  <c r="ME175" i="4" s="1"/>
  <c r="ME174" i="4" s="1"/>
  <c r="ME173" i="4" s="1"/>
  <c r="ME172" i="4" s="1"/>
  <c r="ME171" i="4" s="1"/>
  <c r="ME170" i="4" s="1"/>
  <c r="ME169" i="4" s="1"/>
  <c r="ME168" i="4" s="1"/>
  <c r="ME167" i="4" s="1"/>
  <c r="ME166" i="4" s="1"/>
  <c r="ME165" i="4" s="1"/>
  <c r="ME164" i="4" s="1"/>
  <c r="ME163" i="4" s="1"/>
  <c r="ME162" i="4" s="1"/>
  <c r="ME161" i="4" s="1"/>
  <c r="ME160" i="4" s="1"/>
  <c r="ME159" i="4" s="1"/>
  <c r="ME158" i="4" s="1"/>
  <c r="ME157" i="4" s="1"/>
  <c r="ME156" i="4" s="1"/>
  <c r="ME155" i="4" s="1"/>
  <c r="ME154" i="4" s="1"/>
  <c r="ME153" i="4" s="1"/>
  <c r="ME152" i="4" s="1"/>
  <c r="ME151" i="4" s="1"/>
  <c r="ME150" i="4" s="1"/>
  <c r="ME149" i="4" s="1"/>
  <c r="ME148" i="4" s="1"/>
  <c r="ME147" i="4" s="1"/>
  <c r="ME146" i="4" s="1"/>
  <c r="ME145" i="4" s="1"/>
  <c r="ME144" i="4" s="1"/>
  <c r="ME143" i="4" s="1"/>
  <c r="ME142" i="4" s="1"/>
  <c r="ME141" i="4" s="1"/>
  <c r="ME140" i="4" s="1"/>
  <c r="ME139" i="4" s="1"/>
  <c r="ME138" i="4" s="1"/>
  <c r="ME137" i="4" s="1"/>
  <c r="ME136" i="4" s="1"/>
  <c r="ME135" i="4" s="1"/>
  <c r="ME134" i="4" s="1"/>
  <c r="ME133" i="4" s="1"/>
  <c r="ME132" i="4" s="1"/>
  <c r="ME131" i="4" s="1"/>
  <c r="ME130" i="4" s="1"/>
  <c r="ME129" i="4" s="1"/>
  <c r="ME128" i="4" s="1"/>
  <c r="ME127" i="4" s="1"/>
  <c r="ME126" i="4" s="1"/>
  <c r="ME125" i="4" s="1"/>
  <c r="ME124" i="4" s="1"/>
  <c r="ME123" i="4" s="1"/>
  <c r="ME122" i="4" s="1"/>
  <c r="ME121" i="4" s="1"/>
  <c r="ME120" i="4" s="1"/>
  <c r="ME119" i="4" s="1"/>
  <c r="ME118" i="4" s="1"/>
  <c r="ME117" i="4" s="1"/>
  <c r="ME116" i="4" s="1"/>
  <c r="ME115" i="4" s="1"/>
  <c r="ME114" i="4" s="1"/>
  <c r="ME113" i="4" s="1"/>
  <c r="ME112" i="4" s="1"/>
  <c r="ME111" i="4" s="1"/>
  <c r="ME110" i="4" s="1"/>
  <c r="ME109" i="4" s="1"/>
  <c r="ME108" i="4" s="1"/>
  <c r="ME107" i="4" s="1"/>
  <c r="MF203" i="4"/>
  <c r="MF202" i="4" s="1"/>
  <c r="MF201" i="4" s="1"/>
  <c r="MF200" i="4" s="1"/>
  <c r="MF199" i="4" s="1"/>
  <c r="MF198" i="4" s="1"/>
  <c r="MF197" i="4" s="1"/>
  <c r="MF196" i="4" s="1"/>
  <c r="MF195" i="4" s="1"/>
  <c r="MF194" i="4" s="1"/>
  <c r="MF193" i="4" s="1"/>
  <c r="MF192" i="4" s="1"/>
  <c r="MF191" i="4" s="1"/>
  <c r="MF190" i="4" s="1"/>
  <c r="MF189" i="4" s="1"/>
  <c r="MF188" i="4" s="1"/>
  <c r="MF187" i="4" s="1"/>
  <c r="MF186" i="4" s="1"/>
  <c r="MF185" i="4" s="1"/>
  <c r="MF184" i="4" s="1"/>
  <c r="MF183" i="4" s="1"/>
  <c r="MF182" i="4" s="1"/>
  <c r="MF181" i="4" s="1"/>
  <c r="MF180" i="4" s="1"/>
  <c r="MF179" i="4" s="1"/>
  <c r="MF178" i="4" s="1"/>
  <c r="MF177" i="4" s="1"/>
  <c r="MF176" i="4" s="1"/>
  <c r="MF175" i="4" s="1"/>
  <c r="MF174" i="4" s="1"/>
  <c r="MF173" i="4" s="1"/>
  <c r="MF172" i="4" s="1"/>
  <c r="MF171" i="4" s="1"/>
  <c r="MF170" i="4" s="1"/>
  <c r="MF169" i="4" s="1"/>
  <c r="MF168" i="4" s="1"/>
  <c r="MF167" i="4" s="1"/>
  <c r="MF166" i="4" s="1"/>
  <c r="MF165" i="4" s="1"/>
  <c r="MF164" i="4" s="1"/>
  <c r="MF163" i="4" s="1"/>
  <c r="MF162" i="4" s="1"/>
  <c r="MF161" i="4" s="1"/>
  <c r="MF160" i="4" s="1"/>
  <c r="MF159" i="4" s="1"/>
  <c r="MF158" i="4" s="1"/>
  <c r="MF157" i="4" s="1"/>
  <c r="MF156" i="4" s="1"/>
  <c r="MF155" i="4" s="1"/>
  <c r="MF154" i="4" s="1"/>
  <c r="MF153" i="4" s="1"/>
  <c r="MF152" i="4" s="1"/>
  <c r="MF151" i="4" s="1"/>
  <c r="MF150" i="4" s="1"/>
  <c r="MF149" i="4" s="1"/>
  <c r="MF148" i="4" s="1"/>
  <c r="MF147" i="4" s="1"/>
  <c r="MF146" i="4" s="1"/>
  <c r="MF145" i="4" s="1"/>
  <c r="MF144" i="4" s="1"/>
  <c r="MF143" i="4" s="1"/>
  <c r="MF142" i="4" s="1"/>
  <c r="MF141" i="4" s="1"/>
  <c r="MF140" i="4" s="1"/>
  <c r="MF139" i="4" s="1"/>
  <c r="MF138" i="4" s="1"/>
  <c r="MF137" i="4" s="1"/>
  <c r="MF136" i="4" s="1"/>
  <c r="MF135" i="4" s="1"/>
  <c r="MF134" i="4" s="1"/>
  <c r="MF133" i="4" s="1"/>
  <c r="MF132" i="4" s="1"/>
  <c r="MF131" i="4" s="1"/>
  <c r="MF130" i="4" s="1"/>
  <c r="MF129" i="4" s="1"/>
  <c r="MF128" i="4" s="1"/>
  <c r="MF127" i="4" s="1"/>
  <c r="MF126" i="4" s="1"/>
  <c r="MF125" i="4" s="1"/>
  <c r="MF124" i="4" s="1"/>
  <c r="MF123" i="4" s="1"/>
  <c r="MF122" i="4" s="1"/>
  <c r="MF121" i="4" s="1"/>
  <c r="MF120" i="4" s="1"/>
  <c r="MF119" i="4" s="1"/>
  <c r="MF118" i="4" s="1"/>
  <c r="MF117" i="4" s="1"/>
  <c r="MF116" i="4" s="1"/>
  <c r="MF115" i="4" s="1"/>
  <c r="MF114" i="4" s="1"/>
  <c r="MF113" i="4" s="1"/>
  <c r="MF112" i="4" s="1"/>
  <c r="MF111" i="4" s="1"/>
  <c r="MF110" i="4" s="1"/>
  <c r="MF109" i="4" s="1"/>
  <c r="MF108" i="4" s="1"/>
  <c r="MF107" i="4" s="1"/>
  <c r="MG203" i="4"/>
  <c r="MG202" i="4" s="1"/>
  <c r="MG201" i="4" s="1"/>
  <c r="MG200" i="4" s="1"/>
  <c r="MG199" i="4" s="1"/>
  <c r="MG198" i="4" s="1"/>
  <c r="MG197" i="4" s="1"/>
  <c r="MG196" i="4" s="1"/>
  <c r="MG195" i="4" s="1"/>
  <c r="MG194" i="4" s="1"/>
  <c r="MG193" i="4" s="1"/>
  <c r="MG192" i="4" s="1"/>
  <c r="MG191" i="4" s="1"/>
  <c r="MG190" i="4" s="1"/>
  <c r="MG189" i="4" s="1"/>
  <c r="MG188" i="4" s="1"/>
  <c r="MG187" i="4" s="1"/>
  <c r="MG186" i="4" s="1"/>
  <c r="MG185" i="4" s="1"/>
  <c r="MG184" i="4" s="1"/>
  <c r="MG183" i="4" s="1"/>
  <c r="MG182" i="4" s="1"/>
  <c r="MG181" i="4" s="1"/>
  <c r="MG180" i="4" s="1"/>
  <c r="MG179" i="4" s="1"/>
  <c r="MG178" i="4" s="1"/>
  <c r="MG177" i="4" s="1"/>
  <c r="MG176" i="4" s="1"/>
  <c r="MG175" i="4" s="1"/>
  <c r="MG174" i="4" s="1"/>
  <c r="MG173" i="4" s="1"/>
  <c r="MG172" i="4" s="1"/>
  <c r="MG171" i="4" s="1"/>
  <c r="MG170" i="4" s="1"/>
  <c r="MG169" i="4" s="1"/>
  <c r="MG168" i="4" s="1"/>
  <c r="MG167" i="4" s="1"/>
  <c r="MG166" i="4" s="1"/>
  <c r="MG165" i="4" s="1"/>
  <c r="MG164" i="4" s="1"/>
  <c r="MG163" i="4" s="1"/>
  <c r="MG162" i="4" s="1"/>
  <c r="MG161" i="4" s="1"/>
  <c r="MG160" i="4" s="1"/>
  <c r="MG159" i="4" s="1"/>
  <c r="MG158" i="4" s="1"/>
  <c r="MG157" i="4" s="1"/>
  <c r="MG156" i="4" s="1"/>
  <c r="MG155" i="4" s="1"/>
  <c r="MG154" i="4" s="1"/>
  <c r="MG153" i="4" s="1"/>
  <c r="MG152" i="4" s="1"/>
  <c r="MG151" i="4" s="1"/>
  <c r="MG150" i="4" s="1"/>
  <c r="MG149" i="4" s="1"/>
  <c r="MG148" i="4" s="1"/>
  <c r="MG147" i="4" s="1"/>
  <c r="MG146" i="4" s="1"/>
  <c r="MG145" i="4" s="1"/>
  <c r="MG144" i="4" s="1"/>
  <c r="MG143" i="4" s="1"/>
  <c r="MG142" i="4" s="1"/>
  <c r="MG141" i="4" s="1"/>
  <c r="MG140" i="4" s="1"/>
  <c r="MG139" i="4" s="1"/>
  <c r="MG138" i="4" s="1"/>
  <c r="MG137" i="4" s="1"/>
  <c r="MG136" i="4" s="1"/>
  <c r="MG135" i="4" s="1"/>
  <c r="MG134" i="4" s="1"/>
  <c r="MG133" i="4" s="1"/>
  <c r="MG132" i="4" s="1"/>
  <c r="MG131" i="4" s="1"/>
  <c r="MG130" i="4" s="1"/>
  <c r="MG129" i="4" s="1"/>
  <c r="MG128" i="4" s="1"/>
  <c r="MG127" i="4" s="1"/>
  <c r="MG126" i="4" s="1"/>
  <c r="MG125" i="4" s="1"/>
  <c r="MG124" i="4" s="1"/>
  <c r="MG123" i="4" s="1"/>
  <c r="MG122" i="4" s="1"/>
  <c r="MG121" i="4" s="1"/>
  <c r="MG120" i="4" s="1"/>
  <c r="MG119" i="4" s="1"/>
  <c r="MG118" i="4" s="1"/>
  <c r="MG117" i="4" s="1"/>
  <c r="MG116" i="4" s="1"/>
  <c r="MG115" i="4" s="1"/>
  <c r="MG114" i="4" s="1"/>
  <c r="MG113" i="4" s="1"/>
  <c r="MG112" i="4" s="1"/>
  <c r="MG111" i="4" s="1"/>
  <c r="MG110" i="4" s="1"/>
  <c r="MG109" i="4" s="1"/>
  <c r="MG108" i="4" s="1"/>
  <c r="MG107" i="4" s="1"/>
  <c r="MH203" i="4"/>
  <c r="MH202" i="4" s="1"/>
  <c r="MH201" i="4" s="1"/>
  <c r="MH200" i="4" s="1"/>
  <c r="MH199" i="4" s="1"/>
  <c r="MH198" i="4" s="1"/>
  <c r="MH197" i="4" s="1"/>
  <c r="MH196" i="4" s="1"/>
  <c r="MH195" i="4" s="1"/>
  <c r="MH194" i="4" s="1"/>
  <c r="MH193" i="4" s="1"/>
  <c r="MH192" i="4" s="1"/>
  <c r="MH191" i="4" s="1"/>
  <c r="MH190" i="4" s="1"/>
  <c r="MH189" i="4" s="1"/>
  <c r="MH188" i="4" s="1"/>
  <c r="MH187" i="4" s="1"/>
  <c r="MH186" i="4" s="1"/>
  <c r="MH185" i="4" s="1"/>
  <c r="MH184" i="4" s="1"/>
  <c r="MH183" i="4" s="1"/>
  <c r="MH182" i="4" s="1"/>
  <c r="MH181" i="4" s="1"/>
  <c r="MH180" i="4" s="1"/>
  <c r="MH179" i="4" s="1"/>
  <c r="MH178" i="4" s="1"/>
  <c r="MH177" i="4" s="1"/>
  <c r="MH176" i="4" s="1"/>
  <c r="MH175" i="4" s="1"/>
  <c r="MH174" i="4" s="1"/>
  <c r="MH173" i="4" s="1"/>
  <c r="MH172" i="4" s="1"/>
  <c r="MH171" i="4" s="1"/>
  <c r="MH170" i="4" s="1"/>
  <c r="MH169" i="4" s="1"/>
  <c r="MH168" i="4" s="1"/>
  <c r="MH167" i="4" s="1"/>
  <c r="MH166" i="4" s="1"/>
  <c r="MH165" i="4" s="1"/>
  <c r="MH164" i="4" s="1"/>
  <c r="MH163" i="4" s="1"/>
  <c r="MH162" i="4" s="1"/>
  <c r="MH161" i="4" s="1"/>
  <c r="MH160" i="4" s="1"/>
  <c r="MH159" i="4" s="1"/>
  <c r="MH158" i="4" s="1"/>
  <c r="MH157" i="4" s="1"/>
  <c r="MH156" i="4" s="1"/>
  <c r="MH155" i="4" s="1"/>
  <c r="MH154" i="4" s="1"/>
  <c r="MH153" i="4" s="1"/>
  <c r="MH152" i="4" s="1"/>
  <c r="MH151" i="4" s="1"/>
  <c r="MH150" i="4" s="1"/>
  <c r="MH149" i="4" s="1"/>
  <c r="MH148" i="4" s="1"/>
  <c r="MH147" i="4" s="1"/>
  <c r="MH146" i="4" s="1"/>
  <c r="MH145" i="4" s="1"/>
  <c r="MH144" i="4" s="1"/>
  <c r="MH143" i="4" s="1"/>
  <c r="MH142" i="4" s="1"/>
  <c r="MH141" i="4" s="1"/>
  <c r="MH140" i="4" s="1"/>
  <c r="MH139" i="4" s="1"/>
  <c r="MH138" i="4" s="1"/>
  <c r="MH137" i="4" s="1"/>
  <c r="MH136" i="4" s="1"/>
  <c r="MH135" i="4" s="1"/>
  <c r="MH134" i="4" s="1"/>
  <c r="MH133" i="4" s="1"/>
  <c r="MH132" i="4" s="1"/>
  <c r="MH131" i="4" s="1"/>
  <c r="MH130" i="4" s="1"/>
  <c r="MH129" i="4" s="1"/>
  <c r="MH128" i="4" s="1"/>
  <c r="MH127" i="4" s="1"/>
  <c r="MH126" i="4" s="1"/>
  <c r="MH125" i="4" s="1"/>
  <c r="MH124" i="4" s="1"/>
  <c r="MH123" i="4" s="1"/>
  <c r="MH122" i="4" s="1"/>
  <c r="MH121" i="4" s="1"/>
  <c r="MH120" i="4" s="1"/>
  <c r="MH119" i="4" s="1"/>
  <c r="MH118" i="4" s="1"/>
  <c r="MH117" i="4" s="1"/>
  <c r="MH116" i="4" s="1"/>
  <c r="MH115" i="4" s="1"/>
  <c r="MH114" i="4" s="1"/>
  <c r="MH113" i="4" s="1"/>
  <c r="MH112" i="4" s="1"/>
  <c r="MH111" i="4" s="1"/>
  <c r="MH110" i="4" s="1"/>
  <c r="MH109" i="4" s="1"/>
  <c r="MH108" i="4" s="1"/>
  <c r="MH107" i="4" s="1"/>
  <c r="MI203" i="4"/>
  <c r="MI202" i="4" s="1"/>
  <c r="MI201" i="4" s="1"/>
  <c r="MI200" i="4" s="1"/>
  <c r="MI199" i="4" s="1"/>
  <c r="MI198" i="4" s="1"/>
  <c r="MI197" i="4" s="1"/>
  <c r="MI196" i="4" s="1"/>
  <c r="MI195" i="4" s="1"/>
  <c r="MI194" i="4" s="1"/>
  <c r="MI193" i="4" s="1"/>
  <c r="MI192" i="4" s="1"/>
  <c r="MI191" i="4" s="1"/>
  <c r="MI190" i="4" s="1"/>
  <c r="MI189" i="4" s="1"/>
  <c r="MI188" i="4" s="1"/>
  <c r="MI187" i="4" s="1"/>
  <c r="MI186" i="4" s="1"/>
  <c r="MI185" i="4" s="1"/>
  <c r="MI184" i="4" s="1"/>
  <c r="MI183" i="4" s="1"/>
  <c r="MI182" i="4" s="1"/>
  <c r="MI181" i="4" s="1"/>
  <c r="MI180" i="4" s="1"/>
  <c r="MI179" i="4" s="1"/>
  <c r="MI178" i="4" s="1"/>
  <c r="MI177" i="4" s="1"/>
  <c r="MI176" i="4" s="1"/>
  <c r="MI175" i="4" s="1"/>
  <c r="MI174" i="4" s="1"/>
  <c r="MI173" i="4" s="1"/>
  <c r="MI172" i="4" s="1"/>
  <c r="MI171" i="4" s="1"/>
  <c r="MI170" i="4" s="1"/>
  <c r="MI169" i="4" s="1"/>
  <c r="MI168" i="4" s="1"/>
  <c r="MI167" i="4" s="1"/>
  <c r="MI166" i="4" s="1"/>
  <c r="MI165" i="4" s="1"/>
  <c r="MI164" i="4" s="1"/>
  <c r="MI163" i="4" s="1"/>
  <c r="MI162" i="4" s="1"/>
  <c r="MI161" i="4" s="1"/>
  <c r="MI160" i="4" s="1"/>
  <c r="MI159" i="4" s="1"/>
  <c r="MI158" i="4" s="1"/>
  <c r="MI157" i="4" s="1"/>
  <c r="MI156" i="4" s="1"/>
  <c r="MI155" i="4" s="1"/>
  <c r="MI154" i="4" s="1"/>
  <c r="MI153" i="4" s="1"/>
  <c r="MI152" i="4" s="1"/>
  <c r="MI151" i="4" s="1"/>
  <c r="MI150" i="4" s="1"/>
  <c r="MI149" i="4" s="1"/>
  <c r="MI148" i="4" s="1"/>
  <c r="MI147" i="4" s="1"/>
  <c r="MI146" i="4" s="1"/>
  <c r="MI145" i="4" s="1"/>
  <c r="MI144" i="4" s="1"/>
  <c r="MI143" i="4" s="1"/>
  <c r="MI142" i="4" s="1"/>
  <c r="MI141" i="4" s="1"/>
  <c r="MI140" i="4" s="1"/>
  <c r="MI139" i="4" s="1"/>
  <c r="MI138" i="4" s="1"/>
  <c r="MI137" i="4" s="1"/>
  <c r="MI136" i="4" s="1"/>
  <c r="MI135" i="4" s="1"/>
  <c r="MI134" i="4" s="1"/>
  <c r="MI133" i="4" s="1"/>
  <c r="MI132" i="4" s="1"/>
  <c r="MI131" i="4" s="1"/>
  <c r="MI130" i="4" s="1"/>
  <c r="MI129" i="4" s="1"/>
  <c r="MI128" i="4" s="1"/>
  <c r="MI127" i="4" s="1"/>
  <c r="MI126" i="4" s="1"/>
  <c r="MI125" i="4" s="1"/>
  <c r="MI124" i="4" s="1"/>
  <c r="MI123" i="4" s="1"/>
  <c r="MI122" i="4" s="1"/>
  <c r="MI121" i="4" s="1"/>
  <c r="MI120" i="4" s="1"/>
  <c r="MI119" i="4" s="1"/>
  <c r="MI118" i="4" s="1"/>
  <c r="MI117" i="4" s="1"/>
  <c r="MI116" i="4" s="1"/>
  <c r="MI115" i="4" s="1"/>
  <c r="MI114" i="4" s="1"/>
  <c r="MI113" i="4" s="1"/>
  <c r="MI112" i="4" s="1"/>
  <c r="MI111" i="4" s="1"/>
  <c r="MI110" i="4" s="1"/>
  <c r="MI109" i="4" s="1"/>
  <c r="MI108" i="4" s="1"/>
  <c r="MI107" i="4" s="1"/>
  <c r="MJ203" i="4"/>
  <c r="MJ202" i="4" s="1"/>
  <c r="MJ201" i="4" s="1"/>
  <c r="MJ200" i="4" s="1"/>
  <c r="MJ199" i="4" s="1"/>
  <c r="MJ198" i="4" s="1"/>
  <c r="MJ197" i="4" s="1"/>
  <c r="MJ196" i="4" s="1"/>
  <c r="MJ195" i="4" s="1"/>
  <c r="MJ194" i="4" s="1"/>
  <c r="MJ193" i="4" s="1"/>
  <c r="MJ192" i="4" s="1"/>
  <c r="MJ191" i="4" s="1"/>
  <c r="MJ190" i="4" s="1"/>
  <c r="MJ189" i="4" s="1"/>
  <c r="MJ188" i="4" s="1"/>
  <c r="MJ187" i="4" s="1"/>
  <c r="MJ186" i="4" s="1"/>
  <c r="MJ185" i="4" s="1"/>
  <c r="MJ184" i="4" s="1"/>
  <c r="MJ183" i="4" s="1"/>
  <c r="MJ182" i="4" s="1"/>
  <c r="MJ181" i="4" s="1"/>
  <c r="MJ180" i="4" s="1"/>
  <c r="MJ179" i="4" s="1"/>
  <c r="MJ178" i="4" s="1"/>
  <c r="MJ177" i="4" s="1"/>
  <c r="MJ176" i="4" s="1"/>
  <c r="MJ175" i="4" s="1"/>
  <c r="MJ174" i="4" s="1"/>
  <c r="MJ173" i="4" s="1"/>
  <c r="MJ172" i="4" s="1"/>
  <c r="MJ171" i="4" s="1"/>
  <c r="MJ170" i="4" s="1"/>
  <c r="MJ169" i="4" s="1"/>
  <c r="MJ168" i="4" s="1"/>
  <c r="MJ167" i="4" s="1"/>
  <c r="MJ166" i="4" s="1"/>
  <c r="MJ165" i="4" s="1"/>
  <c r="MJ164" i="4" s="1"/>
  <c r="MJ163" i="4" s="1"/>
  <c r="MJ162" i="4" s="1"/>
  <c r="MJ161" i="4" s="1"/>
  <c r="MJ160" i="4" s="1"/>
  <c r="MJ159" i="4" s="1"/>
  <c r="MJ158" i="4" s="1"/>
  <c r="MJ157" i="4" s="1"/>
  <c r="MJ156" i="4" s="1"/>
  <c r="MJ155" i="4" s="1"/>
  <c r="MJ154" i="4" s="1"/>
  <c r="MJ153" i="4" s="1"/>
  <c r="MJ152" i="4" s="1"/>
  <c r="MJ151" i="4" s="1"/>
  <c r="MJ150" i="4" s="1"/>
  <c r="MJ149" i="4" s="1"/>
  <c r="MJ148" i="4" s="1"/>
  <c r="MJ147" i="4" s="1"/>
  <c r="MJ146" i="4" s="1"/>
  <c r="MJ145" i="4" s="1"/>
  <c r="MJ144" i="4" s="1"/>
  <c r="MJ143" i="4" s="1"/>
  <c r="MJ142" i="4" s="1"/>
  <c r="MJ141" i="4" s="1"/>
  <c r="MJ140" i="4" s="1"/>
  <c r="MJ139" i="4" s="1"/>
  <c r="MJ138" i="4" s="1"/>
  <c r="MJ137" i="4" s="1"/>
  <c r="MJ136" i="4" s="1"/>
  <c r="MJ135" i="4" s="1"/>
  <c r="MJ134" i="4" s="1"/>
  <c r="MJ133" i="4" s="1"/>
  <c r="MJ132" i="4" s="1"/>
  <c r="MJ131" i="4" s="1"/>
  <c r="MJ130" i="4" s="1"/>
  <c r="MJ129" i="4" s="1"/>
  <c r="MJ128" i="4" s="1"/>
  <c r="MJ127" i="4" s="1"/>
  <c r="MJ126" i="4" s="1"/>
  <c r="MJ125" i="4" s="1"/>
  <c r="MJ124" i="4" s="1"/>
  <c r="MJ123" i="4" s="1"/>
  <c r="MJ122" i="4" s="1"/>
  <c r="MJ121" i="4" s="1"/>
  <c r="MJ120" i="4" s="1"/>
  <c r="MJ119" i="4" s="1"/>
  <c r="MJ118" i="4" s="1"/>
  <c r="MJ117" i="4" s="1"/>
  <c r="MJ116" i="4" s="1"/>
  <c r="MJ115" i="4" s="1"/>
  <c r="MJ114" i="4" s="1"/>
  <c r="MJ113" i="4" s="1"/>
  <c r="MJ112" i="4" s="1"/>
  <c r="MJ111" i="4" s="1"/>
  <c r="MJ110" i="4" s="1"/>
  <c r="MJ109" i="4" s="1"/>
  <c r="MJ108" i="4" s="1"/>
  <c r="MJ107" i="4" s="1"/>
  <c r="MK203" i="4"/>
  <c r="MK202" i="4" s="1"/>
  <c r="MK201" i="4" s="1"/>
  <c r="MK200" i="4" s="1"/>
  <c r="MK199" i="4" s="1"/>
  <c r="MK198" i="4" s="1"/>
  <c r="MK197" i="4" s="1"/>
  <c r="MK196" i="4" s="1"/>
  <c r="MK195" i="4" s="1"/>
  <c r="MK194" i="4" s="1"/>
  <c r="MK193" i="4" s="1"/>
  <c r="MK192" i="4" s="1"/>
  <c r="MK191" i="4" s="1"/>
  <c r="MK190" i="4" s="1"/>
  <c r="MK189" i="4" s="1"/>
  <c r="MK188" i="4" s="1"/>
  <c r="MK187" i="4" s="1"/>
  <c r="MK186" i="4" s="1"/>
  <c r="MK185" i="4" s="1"/>
  <c r="MK184" i="4" s="1"/>
  <c r="MK183" i="4" s="1"/>
  <c r="MK182" i="4" s="1"/>
  <c r="MK181" i="4" s="1"/>
  <c r="MK180" i="4" s="1"/>
  <c r="MK179" i="4" s="1"/>
  <c r="MK178" i="4" s="1"/>
  <c r="MK177" i="4" s="1"/>
  <c r="MK176" i="4" s="1"/>
  <c r="MK175" i="4" s="1"/>
  <c r="MK174" i="4" s="1"/>
  <c r="MK173" i="4" s="1"/>
  <c r="MK172" i="4" s="1"/>
  <c r="MK171" i="4" s="1"/>
  <c r="MK170" i="4" s="1"/>
  <c r="MK169" i="4" s="1"/>
  <c r="MK168" i="4" s="1"/>
  <c r="MK167" i="4" s="1"/>
  <c r="MK166" i="4" s="1"/>
  <c r="MK165" i="4" s="1"/>
  <c r="MK164" i="4" s="1"/>
  <c r="MK163" i="4" s="1"/>
  <c r="MK162" i="4" s="1"/>
  <c r="MK161" i="4" s="1"/>
  <c r="MK160" i="4" s="1"/>
  <c r="MK159" i="4" s="1"/>
  <c r="MK158" i="4" s="1"/>
  <c r="MK157" i="4" s="1"/>
  <c r="MK156" i="4" s="1"/>
  <c r="MK155" i="4" s="1"/>
  <c r="MK154" i="4" s="1"/>
  <c r="MK153" i="4" s="1"/>
  <c r="MK152" i="4" s="1"/>
  <c r="MK151" i="4" s="1"/>
  <c r="MK150" i="4" s="1"/>
  <c r="MK149" i="4" s="1"/>
  <c r="MK148" i="4" s="1"/>
  <c r="MK147" i="4" s="1"/>
  <c r="MK146" i="4" s="1"/>
  <c r="MK145" i="4" s="1"/>
  <c r="MK144" i="4" s="1"/>
  <c r="MK143" i="4" s="1"/>
  <c r="MK142" i="4" s="1"/>
  <c r="MK141" i="4" s="1"/>
  <c r="MK140" i="4" s="1"/>
  <c r="MK139" i="4" s="1"/>
  <c r="MK138" i="4" s="1"/>
  <c r="MK137" i="4" s="1"/>
  <c r="MK136" i="4" s="1"/>
  <c r="MK135" i="4" s="1"/>
  <c r="MK134" i="4" s="1"/>
  <c r="MK133" i="4" s="1"/>
  <c r="MK132" i="4" s="1"/>
  <c r="MK131" i="4" s="1"/>
  <c r="MK130" i="4" s="1"/>
  <c r="MK129" i="4" s="1"/>
  <c r="MK128" i="4" s="1"/>
  <c r="MK127" i="4" s="1"/>
  <c r="MK126" i="4" s="1"/>
  <c r="MK125" i="4" s="1"/>
  <c r="MK124" i="4" s="1"/>
  <c r="MK123" i="4" s="1"/>
  <c r="MK122" i="4" s="1"/>
  <c r="MK121" i="4" s="1"/>
  <c r="MK120" i="4" s="1"/>
  <c r="MK119" i="4" s="1"/>
  <c r="MK118" i="4" s="1"/>
  <c r="MK117" i="4" s="1"/>
  <c r="MK116" i="4" s="1"/>
  <c r="MK115" i="4" s="1"/>
  <c r="MK114" i="4" s="1"/>
  <c r="MK113" i="4" s="1"/>
  <c r="MK112" i="4" s="1"/>
  <c r="MK111" i="4" s="1"/>
  <c r="MK110" i="4" s="1"/>
  <c r="MK109" i="4" s="1"/>
  <c r="MK108" i="4" s="1"/>
  <c r="MK107" i="4" s="1"/>
  <c r="ML203" i="4"/>
  <c r="ML202" i="4" s="1"/>
  <c r="ML201" i="4" s="1"/>
  <c r="ML200" i="4" s="1"/>
  <c r="ML199" i="4" s="1"/>
  <c r="ML198" i="4" s="1"/>
  <c r="ML197" i="4" s="1"/>
  <c r="ML196" i="4" s="1"/>
  <c r="ML195" i="4" s="1"/>
  <c r="ML194" i="4" s="1"/>
  <c r="ML193" i="4" s="1"/>
  <c r="ML192" i="4" s="1"/>
  <c r="ML191" i="4" s="1"/>
  <c r="ML190" i="4" s="1"/>
  <c r="ML189" i="4" s="1"/>
  <c r="ML188" i="4" s="1"/>
  <c r="ML187" i="4" s="1"/>
  <c r="ML186" i="4" s="1"/>
  <c r="ML185" i="4" s="1"/>
  <c r="ML184" i="4" s="1"/>
  <c r="ML183" i="4" s="1"/>
  <c r="ML182" i="4" s="1"/>
  <c r="ML181" i="4" s="1"/>
  <c r="ML180" i="4" s="1"/>
  <c r="ML179" i="4" s="1"/>
  <c r="ML178" i="4" s="1"/>
  <c r="ML177" i="4" s="1"/>
  <c r="ML176" i="4" s="1"/>
  <c r="ML175" i="4" s="1"/>
  <c r="ML174" i="4" s="1"/>
  <c r="ML173" i="4" s="1"/>
  <c r="ML172" i="4" s="1"/>
  <c r="ML171" i="4" s="1"/>
  <c r="ML170" i="4" s="1"/>
  <c r="ML169" i="4" s="1"/>
  <c r="ML168" i="4" s="1"/>
  <c r="ML167" i="4" s="1"/>
  <c r="ML166" i="4" s="1"/>
  <c r="ML165" i="4" s="1"/>
  <c r="ML164" i="4" s="1"/>
  <c r="ML163" i="4" s="1"/>
  <c r="ML162" i="4" s="1"/>
  <c r="ML161" i="4" s="1"/>
  <c r="ML160" i="4" s="1"/>
  <c r="ML159" i="4" s="1"/>
  <c r="ML158" i="4" s="1"/>
  <c r="ML157" i="4" s="1"/>
  <c r="ML156" i="4" s="1"/>
  <c r="ML155" i="4" s="1"/>
  <c r="ML154" i="4" s="1"/>
  <c r="ML153" i="4" s="1"/>
  <c r="ML152" i="4" s="1"/>
  <c r="ML151" i="4" s="1"/>
  <c r="ML150" i="4" s="1"/>
  <c r="ML149" i="4" s="1"/>
  <c r="ML148" i="4" s="1"/>
  <c r="ML147" i="4" s="1"/>
  <c r="ML146" i="4" s="1"/>
  <c r="ML145" i="4" s="1"/>
  <c r="ML144" i="4" s="1"/>
  <c r="ML143" i="4" s="1"/>
  <c r="ML142" i="4" s="1"/>
  <c r="ML141" i="4" s="1"/>
  <c r="ML140" i="4" s="1"/>
  <c r="ML139" i="4" s="1"/>
  <c r="ML138" i="4" s="1"/>
  <c r="ML137" i="4" s="1"/>
  <c r="ML136" i="4" s="1"/>
  <c r="ML135" i="4" s="1"/>
  <c r="ML134" i="4" s="1"/>
  <c r="ML133" i="4" s="1"/>
  <c r="ML132" i="4" s="1"/>
  <c r="ML131" i="4" s="1"/>
  <c r="ML130" i="4" s="1"/>
  <c r="ML129" i="4" s="1"/>
  <c r="ML128" i="4" s="1"/>
  <c r="ML127" i="4" s="1"/>
  <c r="ML126" i="4" s="1"/>
  <c r="ML125" i="4" s="1"/>
  <c r="ML124" i="4" s="1"/>
  <c r="ML123" i="4" s="1"/>
  <c r="ML122" i="4" s="1"/>
  <c r="ML121" i="4" s="1"/>
  <c r="ML120" i="4" s="1"/>
  <c r="ML119" i="4" s="1"/>
  <c r="ML118" i="4" s="1"/>
  <c r="ML117" i="4" s="1"/>
  <c r="ML116" i="4" s="1"/>
  <c r="ML115" i="4" s="1"/>
  <c r="ML114" i="4" s="1"/>
  <c r="ML113" i="4" s="1"/>
  <c r="ML112" i="4" s="1"/>
  <c r="ML111" i="4" s="1"/>
  <c r="ML110" i="4" s="1"/>
  <c r="ML109" i="4" s="1"/>
  <c r="ML108" i="4" s="1"/>
  <c r="ML107" i="4" s="1"/>
  <c r="MM203" i="4"/>
  <c r="MM202" i="4" s="1"/>
  <c r="MM201" i="4" s="1"/>
  <c r="MM200" i="4" s="1"/>
  <c r="MM199" i="4" s="1"/>
  <c r="MM198" i="4" s="1"/>
  <c r="MM197" i="4" s="1"/>
  <c r="MM196" i="4" s="1"/>
  <c r="MM195" i="4" s="1"/>
  <c r="MM194" i="4" s="1"/>
  <c r="MM193" i="4" s="1"/>
  <c r="MM192" i="4" s="1"/>
  <c r="MM191" i="4" s="1"/>
  <c r="MM190" i="4" s="1"/>
  <c r="MM189" i="4" s="1"/>
  <c r="MM188" i="4" s="1"/>
  <c r="MM187" i="4" s="1"/>
  <c r="MM186" i="4" s="1"/>
  <c r="MM185" i="4" s="1"/>
  <c r="MM184" i="4" s="1"/>
  <c r="MM183" i="4" s="1"/>
  <c r="MM182" i="4" s="1"/>
  <c r="MM181" i="4" s="1"/>
  <c r="MM180" i="4" s="1"/>
  <c r="MM179" i="4" s="1"/>
  <c r="MM178" i="4" s="1"/>
  <c r="MM177" i="4" s="1"/>
  <c r="MM176" i="4" s="1"/>
  <c r="MM175" i="4" s="1"/>
  <c r="MM174" i="4" s="1"/>
  <c r="MM173" i="4" s="1"/>
  <c r="MM172" i="4" s="1"/>
  <c r="MM171" i="4" s="1"/>
  <c r="MM170" i="4" s="1"/>
  <c r="MM169" i="4" s="1"/>
  <c r="MM168" i="4" s="1"/>
  <c r="MM167" i="4" s="1"/>
  <c r="MM166" i="4" s="1"/>
  <c r="MM165" i="4" s="1"/>
  <c r="MM164" i="4" s="1"/>
  <c r="MM163" i="4" s="1"/>
  <c r="MM162" i="4" s="1"/>
  <c r="MM161" i="4" s="1"/>
  <c r="MM160" i="4" s="1"/>
  <c r="MM159" i="4" s="1"/>
  <c r="MM158" i="4" s="1"/>
  <c r="MM157" i="4" s="1"/>
  <c r="MM156" i="4" s="1"/>
  <c r="MM155" i="4" s="1"/>
  <c r="MM154" i="4" s="1"/>
  <c r="MM153" i="4" s="1"/>
  <c r="MM152" i="4" s="1"/>
  <c r="MM151" i="4" s="1"/>
  <c r="MM150" i="4" s="1"/>
  <c r="MM149" i="4" s="1"/>
  <c r="MM148" i="4" s="1"/>
  <c r="MM147" i="4" s="1"/>
  <c r="MM146" i="4" s="1"/>
  <c r="MM145" i="4" s="1"/>
  <c r="MM144" i="4" s="1"/>
  <c r="MM143" i="4" s="1"/>
  <c r="MM142" i="4" s="1"/>
  <c r="MM141" i="4" s="1"/>
  <c r="MM140" i="4" s="1"/>
  <c r="MM139" i="4" s="1"/>
  <c r="MM138" i="4" s="1"/>
  <c r="MM137" i="4" s="1"/>
  <c r="MM136" i="4" s="1"/>
  <c r="MM135" i="4" s="1"/>
  <c r="MM134" i="4" s="1"/>
  <c r="MM133" i="4" s="1"/>
  <c r="MM132" i="4" s="1"/>
  <c r="MM131" i="4" s="1"/>
  <c r="MM130" i="4" s="1"/>
  <c r="MM129" i="4" s="1"/>
  <c r="MM128" i="4" s="1"/>
  <c r="MM127" i="4" s="1"/>
  <c r="MM126" i="4" s="1"/>
  <c r="MM125" i="4" s="1"/>
  <c r="MM124" i="4" s="1"/>
  <c r="MM123" i="4" s="1"/>
  <c r="MM122" i="4" s="1"/>
  <c r="MM121" i="4" s="1"/>
  <c r="MM120" i="4" s="1"/>
  <c r="MM119" i="4" s="1"/>
  <c r="MM118" i="4" s="1"/>
  <c r="MM117" i="4" s="1"/>
  <c r="MM116" i="4" s="1"/>
  <c r="MM115" i="4" s="1"/>
  <c r="MM114" i="4" s="1"/>
  <c r="MM113" i="4" s="1"/>
  <c r="MM112" i="4" s="1"/>
  <c r="MM111" i="4" s="1"/>
  <c r="MM110" i="4" s="1"/>
  <c r="MM109" i="4" s="1"/>
  <c r="MM108" i="4" s="1"/>
  <c r="MM107" i="4" s="1"/>
  <c r="MN203" i="4"/>
  <c r="MN202" i="4" s="1"/>
  <c r="MN201" i="4" s="1"/>
  <c r="MN200" i="4" s="1"/>
  <c r="MN199" i="4" s="1"/>
  <c r="MN198" i="4" s="1"/>
  <c r="MN197" i="4" s="1"/>
  <c r="MN196" i="4" s="1"/>
  <c r="MN195" i="4" s="1"/>
  <c r="MN194" i="4" s="1"/>
  <c r="MN193" i="4" s="1"/>
  <c r="MN192" i="4" s="1"/>
  <c r="MN191" i="4" s="1"/>
  <c r="MN190" i="4" s="1"/>
  <c r="MN189" i="4" s="1"/>
  <c r="MN188" i="4" s="1"/>
  <c r="MN187" i="4" s="1"/>
  <c r="MN186" i="4" s="1"/>
  <c r="MN185" i="4" s="1"/>
  <c r="MN184" i="4" s="1"/>
  <c r="MN183" i="4" s="1"/>
  <c r="MN182" i="4" s="1"/>
  <c r="MN181" i="4" s="1"/>
  <c r="MN180" i="4" s="1"/>
  <c r="MN179" i="4" s="1"/>
  <c r="MN178" i="4" s="1"/>
  <c r="MN177" i="4" s="1"/>
  <c r="MN176" i="4" s="1"/>
  <c r="MN175" i="4" s="1"/>
  <c r="MN174" i="4" s="1"/>
  <c r="MN173" i="4" s="1"/>
  <c r="MN172" i="4" s="1"/>
  <c r="MN171" i="4" s="1"/>
  <c r="MN170" i="4" s="1"/>
  <c r="MN169" i="4" s="1"/>
  <c r="MN168" i="4" s="1"/>
  <c r="MN167" i="4" s="1"/>
  <c r="MN166" i="4" s="1"/>
  <c r="MN165" i="4" s="1"/>
  <c r="MN164" i="4" s="1"/>
  <c r="MN163" i="4" s="1"/>
  <c r="MN162" i="4" s="1"/>
  <c r="MN161" i="4" s="1"/>
  <c r="MN160" i="4" s="1"/>
  <c r="MN159" i="4" s="1"/>
  <c r="MN158" i="4" s="1"/>
  <c r="MN157" i="4" s="1"/>
  <c r="MN156" i="4" s="1"/>
  <c r="MN155" i="4" s="1"/>
  <c r="MN154" i="4" s="1"/>
  <c r="MN153" i="4" s="1"/>
  <c r="MN152" i="4" s="1"/>
  <c r="MN151" i="4" s="1"/>
  <c r="MN150" i="4" s="1"/>
  <c r="MN149" i="4" s="1"/>
  <c r="MN148" i="4" s="1"/>
  <c r="MN147" i="4" s="1"/>
  <c r="MN146" i="4" s="1"/>
  <c r="MN145" i="4" s="1"/>
  <c r="MN144" i="4" s="1"/>
  <c r="MN143" i="4" s="1"/>
  <c r="MN142" i="4" s="1"/>
  <c r="MN141" i="4" s="1"/>
  <c r="MN140" i="4" s="1"/>
  <c r="MN139" i="4" s="1"/>
  <c r="MN138" i="4" s="1"/>
  <c r="MN137" i="4" s="1"/>
  <c r="MN136" i="4" s="1"/>
  <c r="MN135" i="4" s="1"/>
  <c r="MN134" i="4" s="1"/>
  <c r="MN133" i="4" s="1"/>
  <c r="MN132" i="4" s="1"/>
  <c r="MN131" i="4" s="1"/>
  <c r="MN130" i="4" s="1"/>
  <c r="MN129" i="4" s="1"/>
  <c r="MN128" i="4" s="1"/>
  <c r="MN127" i="4" s="1"/>
  <c r="MN126" i="4" s="1"/>
  <c r="MN125" i="4" s="1"/>
  <c r="MN124" i="4" s="1"/>
  <c r="MN123" i="4" s="1"/>
  <c r="MN122" i="4" s="1"/>
  <c r="MN121" i="4" s="1"/>
  <c r="MN120" i="4" s="1"/>
  <c r="MN119" i="4" s="1"/>
  <c r="MN118" i="4" s="1"/>
  <c r="MN117" i="4" s="1"/>
  <c r="MN116" i="4" s="1"/>
  <c r="MN115" i="4" s="1"/>
  <c r="MN114" i="4" s="1"/>
  <c r="MN113" i="4" s="1"/>
  <c r="MN112" i="4" s="1"/>
  <c r="MN111" i="4" s="1"/>
  <c r="MN110" i="4" s="1"/>
  <c r="MN109" i="4" s="1"/>
  <c r="MN108" i="4" s="1"/>
  <c r="MN107" i="4" s="1"/>
  <c r="MO203" i="4"/>
  <c r="MO202" i="4" s="1"/>
  <c r="MO201" i="4" s="1"/>
  <c r="MO200" i="4" s="1"/>
  <c r="MO199" i="4" s="1"/>
  <c r="MO198" i="4" s="1"/>
  <c r="MO197" i="4" s="1"/>
  <c r="MO196" i="4" s="1"/>
  <c r="MO195" i="4" s="1"/>
  <c r="MO194" i="4" s="1"/>
  <c r="MO193" i="4" s="1"/>
  <c r="MO192" i="4" s="1"/>
  <c r="MO191" i="4" s="1"/>
  <c r="MO190" i="4" s="1"/>
  <c r="MO189" i="4" s="1"/>
  <c r="MO188" i="4" s="1"/>
  <c r="MO187" i="4" s="1"/>
  <c r="MO186" i="4" s="1"/>
  <c r="MO185" i="4" s="1"/>
  <c r="MO184" i="4" s="1"/>
  <c r="MO183" i="4" s="1"/>
  <c r="MO182" i="4" s="1"/>
  <c r="MO181" i="4" s="1"/>
  <c r="MO180" i="4" s="1"/>
  <c r="MO179" i="4" s="1"/>
  <c r="MO178" i="4" s="1"/>
  <c r="MO177" i="4" s="1"/>
  <c r="MO176" i="4" s="1"/>
  <c r="MO175" i="4" s="1"/>
  <c r="MO174" i="4" s="1"/>
  <c r="MO173" i="4" s="1"/>
  <c r="MO172" i="4" s="1"/>
  <c r="MO171" i="4" s="1"/>
  <c r="MO170" i="4" s="1"/>
  <c r="MO169" i="4" s="1"/>
  <c r="MO168" i="4" s="1"/>
  <c r="MO167" i="4" s="1"/>
  <c r="MO166" i="4" s="1"/>
  <c r="MO165" i="4" s="1"/>
  <c r="MO164" i="4" s="1"/>
  <c r="MO163" i="4" s="1"/>
  <c r="MO162" i="4" s="1"/>
  <c r="MO161" i="4" s="1"/>
  <c r="MO160" i="4" s="1"/>
  <c r="MO159" i="4" s="1"/>
  <c r="MO158" i="4" s="1"/>
  <c r="MO157" i="4" s="1"/>
  <c r="MO156" i="4" s="1"/>
  <c r="MO155" i="4" s="1"/>
  <c r="MO154" i="4" s="1"/>
  <c r="MO153" i="4" s="1"/>
  <c r="MO152" i="4" s="1"/>
  <c r="MO151" i="4" s="1"/>
  <c r="MO150" i="4" s="1"/>
  <c r="MO149" i="4" s="1"/>
  <c r="MO148" i="4" s="1"/>
  <c r="MO147" i="4" s="1"/>
  <c r="MO146" i="4" s="1"/>
  <c r="MO145" i="4" s="1"/>
  <c r="MO144" i="4" s="1"/>
  <c r="MO143" i="4" s="1"/>
  <c r="MO142" i="4" s="1"/>
  <c r="MO141" i="4" s="1"/>
  <c r="MO140" i="4" s="1"/>
  <c r="MO139" i="4" s="1"/>
  <c r="MO138" i="4" s="1"/>
  <c r="MO137" i="4" s="1"/>
  <c r="MO136" i="4" s="1"/>
  <c r="MO135" i="4" s="1"/>
  <c r="MO134" i="4" s="1"/>
  <c r="MO133" i="4" s="1"/>
  <c r="MO132" i="4" s="1"/>
  <c r="MO131" i="4" s="1"/>
  <c r="MO130" i="4" s="1"/>
  <c r="MO129" i="4" s="1"/>
  <c r="MO128" i="4" s="1"/>
  <c r="MO127" i="4" s="1"/>
  <c r="MO126" i="4" s="1"/>
  <c r="MO125" i="4" s="1"/>
  <c r="MO124" i="4" s="1"/>
  <c r="MO123" i="4" s="1"/>
  <c r="MO122" i="4" s="1"/>
  <c r="MO121" i="4" s="1"/>
  <c r="MO120" i="4" s="1"/>
  <c r="MO119" i="4" s="1"/>
  <c r="MO118" i="4" s="1"/>
  <c r="MO117" i="4" s="1"/>
  <c r="MO116" i="4" s="1"/>
  <c r="MO115" i="4" s="1"/>
  <c r="MO114" i="4" s="1"/>
  <c r="MO113" i="4" s="1"/>
  <c r="MO112" i="4" s="1"/>
  <c r="MO111" i="4" s="1"/>
  <c r="MO110" i="4" s="1"/>
  <c r="MO109" i="4" s="1"/>
  <c r="MO108" i="4" s="1"/>
  <c r="MO107" i="4" s="1"/>
  <c r="MP203" i="4"/>
  <c r="MP202" i="4" s="1"/>
  <c r="MP201" i="4" s="1"/>
  <c r="MP200" i="4" s="1"/>
  <c r="MP199" i="4" s="1"/>
  <c r="MP198" i="4" s="1"/>
  <c r="MP197" i="4" s="1"/>
  <c r="MP196" i="4" s="1"/>
  <c r="MP195" i="4" s="1"/>
  <c r="MP194" i="4" s="1"/>
  <c r="MP193" i="4" s="1"/>
  <c r="MP192" i="4" s="1"/>
  <c r="MP191" i="4" s="1"/>
  <c r="MP190" i="4" s="1"/>
  <c r="MP189" i="4" s="1"/>
  <c r="MP188" i="4" s="1"/>
  <c r="MP187" i="4" s="1"/>
  <c r="MP186" i="4" s="1"/>
  <c r="MP185" i="4" s="1"/>
  <c r="MP184" i="4" s="1"/>
  <c r="MP183" i="4" s="1"/>
  <c r="MP182" i="4" s="1"/>
  <c r="MP181" i="4" s="1"/>
  <c r="MP180" i="4" s="1"/>
  <c r="MP179" i="4" s="1"/>
  <c r="MP178" i="4" s="1"/>
  <c r="MP177" i="4" s="1"/>
  <c r="MP176" i="4" s="1"/>
  <c r="MP175" i="4" s="1"/>
  <c r="MP174" i="4" s="1"/>
  <c r="MP173" i="4" s="1"/>
  <c r="MP172" i="4" s="1"/>
  <c r="MP171" i="4" s="1"/>
  <c r="MP170" i="4" s="1"/>
  <c r="MP169" i="4" s="1"/>
  <c r="MP168" i="4" s="1"/>
  <c r="MP167" i="4" s="1"/>
  <c r="MP166" i="4" s="1"/>
  <c r="MP165" i="4" s="1"/>
  <c r="MP164" i="4" s="1"/>
  <c r="MP163" i="4" s="1"/>
  <c r="MP162" i="4" s="1"/>
  <c r="MP161" i="4" s="1"/>
  <c r="MP160" i="4" s="1"/>
  <c r="MP159" i="4" s="1"/>
  <c r="MP158" i="4" s="1"/>
  <c r="MP157" i="4" s="1"/>
  <c r="MP156" i="4" s="1"/>
  <c r="MP155" i="4" s="1"/>
  <c r="MP154" i="4" s="1"/>
  <c r="MP153" i="4" s="1"/>
  <c r="MP152" i="4" s="1"/>
  <c r="MP151" i="4" s="1"/>
  <c r="MP150" i="4" s="1"/>
  <c r="MP149" i="4" s="1"/>
  <c r="MP148" i="4" s="1"/>
  <c r="MP147" i="4" s="1"/>
  <c r="MP146" i="4" s="1"/>
  <c r="MP145" i="4" s="1"/>
  <c r="MP144" i="4" s="1"/>
  <c r="MP143" i="4" s="1"/>
  <c r="MP142" i="4" s="1"/>
  <c r="MP141" i="4" s="1"/>
  <c r="MP140" i="4" s="1"/>
  <c r="MP139" i="4" s="1"/>
  <c r="MP138" i="4" s="1"/>
  <c r="MP137" i="4" s="1"/>
  <c r="MP136" i="4" s="1"/>
  <c r="MP135" i="4" s="1"/>
  <c r="MP134" i="4" s="1"/>
  <c r="MP133" i="4" s="1"/>
  <c r="MP132" i="4" s="1"/>
  <c r="MP131" i="4" s="1"/>
  <c r="MP130" i="4" s="1"/>
  <c r="MP129" i="4" s="1"/>
  <c r="MP128" i="4" s="1"/>
  <c r="MP127" i="4" s="1"/>
  <c r="MP126" i="4" s="1"/>
  <c r="MP125" i="4" s="1"/>
  <c r="MP124" i="4" s="1"/>
  <c r="MP123" i="4" s="1"/>
  <c r="MP122" i="4" s="1"/>
  <c r="MP121" i="4" s="1"/>
  <c r="MP120" i="4" s="1"/>
  <c r="MP119" i="4" s="1"/>
  <c r="MP118" i="4" s="1"/>
  <c r="MP117" i="4" s="1"/>
  <c r="MP116" i="4" s="1"/>
  <c r="MP115" i="4" s="1"/>
  <c r="MP114" i="4" s="1"/>
  <c r="MP113" i="4" s="1"/>
  <c r="MP112" i="4" s="1"/>
  <c r="MP111" i="4" s="1"/>
  <c r="MP110" i="4" s="1"/>
  <c r="MP109" i="4" s="1"/>
  <c r="MP108" i="4" s="1"/>
  <c r="MP107" i="4" s="1"/>
  <c r="MQ203" i="4"/>
  <c r="MQ202" i="4" s="1"/>
  <c r="MQ201" i="4" s="1"/>
  <c r="MQ200" i="4" s="1"/>
  <c r="MQ199" i="4" s="1"/>
  <c r="MQ198" i="4" s="1"/>
  <c r="MQ197" i="4" s="1"/>
  <c r="MQ196" i="4" s="1"/>
  <c r="MQ195" i="4" s="1"/>
  <c r="MQ194" i="4" s="1"/>
  <c r="MQ193" i="4" s="1"/>
  <c r="MQ192" i="4" s="1"/>
  <c r="MQ191" i="4" s="1"/>
  <c r="MQ190" i="4" s="1"/>
  <c r="MQ189" i="4" s="1"/>
  <c r="MQ188" i="4" s="1"/>
  <c r="MQ187" i="4" s="1"/>
  <c r="MQ186" i="4" s="1"/>
  <c r="MQ185" i="4" s="1"/>
  <c r="MQ184" i="4" s="1"/>
  <c r="MQ183" i="4" s="1"/>
  <c r="MQ182" i="4" s="1"/>
  <c r="MQ181" i="4" s="1"/>
  <c r="MQ180" i="4" s="1"/>
  <c r="MQ179" i="4" s="1"/>
  <c r="MQ178" i="4" s="1"/>
  <c r="MQ177" i="4" s="1"/>
  <c r="MQ176" i="4" s="1"/>
  <c r="MQ175" i="4" s="1"/>
  <c r="MQ174" i="4" s="1"/>
  <c r="MQ173" i="4" s="1"/>
  <c r="MQ172" i="4" s="1"/>
  <c r="MQ171" i="4" s="1"/>
  <c r="MQ170" i="4" s="1"/>
  <c r="MQ169" i="4" s="1"/>
  <c r="MQ168" i="4" s="1"/>
  <c r="MQ167" i="4" s="1"/>
  <c r="MQ166" i="4" s="1"/>
  <c r="MQ165" i="4" s="1"/>
  <c r="MQ164" i="4" s="1"/>
  <c r="MQ163" i="4" s="1"/>
  <c r="MQ162" i="4" s="1"/>
  <c r="MQ161" i="4" s="1"/>
  <c r="MQ160" i="4" s="1"/>
  <c r="MQ159" i="4" s="1"/>
  <c r="MQ158" i="4" s="1"/>
  <c r="MQ157" i="4" s="1"/>
  <c r="MQ156" i="4" s="1"/>
  <c r="MQ155" i="4" s="1"/>
  <c r="MQ154" i="4" s="1"/>
  <c r="MQ153" i="4" s="1"/>
  <c r="MQ152" i="4" s="1"/>
  <c r="MQ151" i="4" s="1"/>
  <c r="MQ150" i="4" s="1"/>
  <c r="MQ149" i="4" s="1"/>
  <c r="MQ148" i="4" s="1"/>
  <c r="MQ147" i="4" s="1"/>
  <c r="MQ146" i="4" s="1"/>
  <c r="MQ145" i="4" s="1"/>
  <c r="MQ144" i="4" s="1"/>
  <c r="MQ143" i="4" s="1"/>
  <c r="MQ142" i="4" s="1"/>
  <c r="MQ141" i="4" s="1"/>
  <c r="MQ140" i="4" s="1"/>
  <c r="MQ139" i="4" s="1"/>
  <c r="MQ138" i="4" s="1"/>
  <c r="MQ137" i="4" s="1"/>
  <c r="MQ136" i="4" s="1"/>
  <c r="MQ135" i="4" s="1"/>
  <c r="MQ134" i="4" s="1"/>
  <c r="MQ133" i="4" s="1"/>
  <c r="MQ132" i="4" s="1"/>
  <c r="MQ131" i="4" s="1"/>
  <c r="MQ130" i="4" s="1"/>
  <c r="MQ129" i="4" s="1"/>
  <c r="MQ128" i="4" s="1"/>
  <c r="MQ127" i="4" s="1"/>
  <c r="MQ126" i="4" s="1"/>
  <c r="MQ125" i="4" s="1"/>
  <c r="MQ124" i="4" s="1"/>
  <c r="MQ123" i="4" s="1"/>
  <c r="MQ122" i="4" s="1"/>
  <c r="MQ121" i="4" s="1"/>
  <c r="MQ120" i="4" s="1"/>
  <c r="MQ119" i="4" s="1"/>
  <c r="MQ118" i="4" s="1"/>
  <c r="MQ117" i="4" s="1"/>
  <c r="MQ116" i="4" s="1"/>
  <c r="MQ115" i="4" s="1"/>
  <c r="MQ114" i="4" s="1"/>
  <c r="MQ113" i="4" s="1"/>
  <c r="MQ112" i="4" s="1"/>
  <c r="MQ111" i="4" s="1"/>
  <c r="MQ110" i="4" s="1"/>
  <c r="MQ109" i="4" s="1"/>
  <c r="MQ108" i="4" s="1"/>
  <c r="MQ107" i="4" s="1"/>
  <c r="MR203" i="4"/>
  <c r="MR202" i="4" s="1"/>
  <c r="MR201" i="4" s="1"/>
  <c r="MR200" i="4" s="1"/>
  <c r="MR199" i="4" s="1"/>
  <c r="MR198" i="4" s="1"/>
  <c r="MR197" i="4" s="1"/>
  <c r="MR196" i="4" s="1"/>
  <c r="MR195" i="4" s="1"/>
  <c r="MR194" i="4" s="1"/>
  <c r="MR193" i="4" s="1"/>
  <c r="MR192" i="4" s="1"/>
  <c r="MR191" i="4" s="1"/>
  <c r="MR190" i="4" s="1"/>
  <c r="MR189" i="4" s="1"/>
  <c r="MR188" i="4" s="1"/>
  <c r="MR187" i="4" s="1"/>
  <c r="MR186" i="4" s="1"/>
  <c r="MR185" i="4" s="1"/>
  <c r="MR184" i="4" s="1"/>
  <c r="MR183" i="4" s="1"/>
  <c r="MR182" i="4" s="1"/>
  <c r="MR181" i="4" s="1"/>
  <c r="MR180" i="4" s="1"/>
  <c r="MR179" i="4" s="1"/>
  <c r="MR178" i="4" s="1"/>
  <c r="MR177" i="4" s="1"/>
  <c r="MR176" i="4" s="1"/>
  <c r="MR175" i="4" s="1"/>
  <c r="MR174" i="4" s="1"/>
  <c r="MR173" i="4" s="1"/>
  <c r="MR172" i="4" s="1"/>
  <c r="MR171" i="4" s="1"/>
  <c r="MR170" i="4" s="1"/>
  <c r="MR169" i="4" s="1"/>
  <c r="MR168" i="4" s="1"/>
  <c r="MR167" i="4" s="1"/>
  <c r="MR166" i="4" s="1"/>
  <c r="MR165" i="4" s="1"/>
  <c r="MR164" i="4" s="1"/>
  <c r="MR163" i="4" s="1"/>
  <c r="MR162" i="4" s="1"/>
  <c r="MR161" i="4" s="1"/>
  <c r="MR160" i="4" s="1"/>
  <c r="MR159" i="4" s="1"/>
  <c r="MR158" i="4" s="1"/>
  <c r="MR157" i="4" s="1"/>
  <c r="MR156" i="4" s="1"/>
  <c r="MR155" i="4" s="1"/>
  <c r="MR154" i="4" s="1"/>
  <c r="MR153" i="4" s="1"/>
  <c r="MR152" i="4" s="1"/>
  <c r="MR151" i="4" s="1"/>
  <c r="MR150" i="4" s="1"/>
  <c r="MR149" i="4" s="1"/>
  <c r="MR148" i="4" s="1"/>
  <c r="MR147" i="4" s="1"/>
  <c r="MR146" i="4" s="1"/>
  <c r="MR145" i="4" s="1"/>
  <c r="MR144" i="4" s="1"/>
  <c r="MR143" i="4" s="1"/>
  <c r="MR142" i="4" s="1"/>
  <c r="MR141" i="4" s="1"/>
  <c r="MR140" i="4" s="1"/>
  <c r="MR139" i="4" s="1"/>
  <c r="MR138" i="4" s="1"/>
  <c r="MR137" i="4" s="1"/>
  <c r="MR136" i="4" s="1"/>
  <c r="MR135" i="4" s="1"/>
  <c r="MR134" i="4" s="1"/>
  <c r="MR133" i="4" s="1"/>
  <c r="MR132" i="4" s="1"/>
  <c r="MR131" i="4" s="1"/>
  <c r="MR130" i="4" s="1"/>
  <c r="MR129" i="4" s="1"/>
  <c r="MR128" i="4" s="1"/>
  <c r="MR127" i="4" s="1"/>
  <c r="MR126" i="4" s="1"/>
  <c r="MR125" i="4" s="1"/>
  <c r="MR124" i="4" s="1"/>
  <c r="MR123" i="4" s="1"/>
  <c r="MR122" i="4" s="1"/>
  <c r="MR121" i="4" s="1"/>
  <c r="MR120" i="4" s="1"/>
  <c r="MR119" i="4" s="1"/>
  <c r="MR118" i="4" s="1"/>
  <c r="MR117" i="4" s="1"/>
  <c r="MR116" i="4" s="1"/>
  <c r="MR115" i="4" s="1"/>
  <c r="MR114" i="4" s="1"/>
  <c r="MR113" i="4" s="1"/>
  <c r="MR112" i="4" s="1"/>
  <c r="MR111" i="4" s="1"/>
  <c r="MR110" i="4" s="1"/>
  <c r="MR109" i="4" s="1"/>
  <c r="MR108" i="4" s="1"/>
  <c r="MR107" i="4" s="1"/>
  <c r="MS203" i="4"/>
  <c r="MS202" i="4" s="1"/>
  <c r="MS201" i="4" s="1"/>
  <c r="MS200" i="4" s="1"/>
  <c r="MS199" i="4" s="1"/>
  <c r="MS198" i="4" s="1"/>
  <c r="MS197" i="4" s="1"/>
  <c r="MS196" i="4" s="1"/>
  <c r="MS195" i="4" s="1"/>
  <c r="MS194" i="4" s="1"/>
  <c r="MS193" i="4" s="1"/>
  <c r="MS192" i="4" s="1"/>
  <c r="MS191" i="4" s="1"/>
  <c r="MS190" i="4" s="1"/>
  <c r="MS189" i="4" s="1"/>
  <c r="MS188" i="4" s="1"/>
  <c r="MS187" i="4" s="1"/>
  <c r="MS186" i="4" s="1"/>
  <c r="MS185" i="4" s="1"/>
  <c r="MS184" i="4" s="1"/>
  <c r="MS183" i="4" s="1"/>
  <c r="MS182" i="4" s="1"/>
  <c r="MS181" i="4" s="1"/>
  <c r="MS180" i="4" s="1"/>
  <c r="MS179" i="4" s="1"/>
  <c r="MS178" i="4" s="1"/>
  <c r="MS177" i="4" s="1"/>
  <c r="MS176" i="4" s="1"/>
  <c r="MS175" i="4" s="1"/>
  <c r="MS174" i="4" s="1"/>
  <c r="MS173" i="4" s="1"/>
  <c r="MS172" i="4" s="1"/>
  <c r="MS171" i="4" s="1"/>
  <c r="MS170" i="4" s="1"/>
  <c r="MS169" i="4" s="1"/>
  <c r="MS168" i="4" s="1"/>
  <c r="MS167" i="4" s="1"/>
  <c r="MS166" i="4" s="1"/>
  <c r="MS165" i="4" s="1"/>
  <c r="MS164" i="4" s="1"/>
  <c r="MS163" i="4" s="1"/>
  <c r="MS162" i="4" s="1"/>
  <c r="MS161" i="4" s="1"/>
  <c r="MS160" i="4" s="1"/>
  <c r="MS159" i="4" s="1"/>
  <c r="MS158" i="4" s="1"/>
  <c r="MS157" i="4" s="1"/>
  <c r="MS156" i="4" s="1"/>
  <c r="MS155" i="4" s="1"/>
  <c r="MS154" i="4" s="1"/>
  <c r="MS153" i="4" s="1"/>
  <c r="MS152" i="4" s="1"/>
  <c r="MS151" i="4" s="1"/>
  <c r="MS150" i="4" s="1"/>
  <c r="MS149" i="4" s="1"/>
  <c r="MS148" i="4" s="1"/>
  <c r="MS147" i="4" s="1"/>
  <c r="MS146" i="4" s="1"/>
  <c r="MS145" i="4" s="1"/>
  <c r="MS144" i="4" s="1"/>
  <c r="MS143" i="4" s="1"/>
  <c r="MS142" i="4" s="1"/>
  <c r="MS141" i="4" s="1"/>
  <c r="MS140" i="4" s="1"/>
  <c r="MS139" i="4" s="1"/>
  <c r="MS138" i="4" s="1"/>
  <c r="MS137" i="4" s="1"/>
  <c r="MS136" i="4" s="1"/>
  <c r="MS135" i="4" s="1"/>
  <c r="MS134" i="4" s="1"/>
  <c r="MS133" i="4" s="1"/>
  <c r="MS132" i="4" s="1"/>
  <c r="MS131" i="4" s="1"/>
  <c r="MS130" i="4" s="1"/>
  <c r="MS129" i="4" s="1"/>
  <c r="MS128" i="4" s="1"/>
  <c r="MS127" i="4" s="1"/>
  <c r="MS126" i="4" s="1"/>
  <c r="MS125" i="4" s="1"/>
  <c r="MS124" i="4" s="1"/>
  <c r="MS123" i="4" s="1"/>
  <c r="MS122" i="4" s="1"/>
  <c r="MS121" i="4" s="1"/>
  <c r="MS120" i="4" s="1"/>
  <c r="MS119" i="4" s="1"/>
  <c r="MS118" i="4" s="1"/>
  <c r="MS117" i="4" s="1"/>
  <c r="MS116" i="4" s="1"/>
  <c r="MS115" i="4" s="1"/>
  <c r="MS114" i="4" s="1"/>
  <c r="MS113" i="4" s="1"/>
  <c r="MS112" i="4" s="1"/>
  <c r="MS111" i="4" s="1"/>
  <c r="MS110" i="4" s="1"/>
  <c r="MS109" i="4" s="1"/>
  <c r="MS108" i="4" s="1"/>
  <c r="MS107" i="4" s="1"/>
  <c r="MT203" i="4"/>
  <c r="MT202" i="4" s="1"/>
  <c r="MT201" i="4" s="1"/>
  <c r="MT200" i="4" s="1"/>
  <c r="MT199" i="4" s="1"/>
  <c r="MT198" i="4" s="1"/>
  <c r="MT197" i="4" s="1"/>
  <c r="MT196" i="4" s="1"/>
  <c r="MT195" i="4" s="1"/>
  <c r="MT194" i="4" s="1"/>
  <c r="MT193" i="4" s="1"/>
  <c r="MT192" i="4" s="1"/>
  <c r="MT191" i="4" s="1"/>
  <c r="MT190" i="4" s="1"/>
  <c r="MT189" i="4" s="1"/>
  <c r="MT188" i="4" s="1"/>
  <c r="MT187" i="4" s="1"/>
  <c r="MT186" i="4" s="1"/>
  <c r="MT185" i="4" s="1"/>
  <c r="MT184" i="4" s="1"/>
  <c r="MT183" i="4" s="1"/>
  <c r="MT182" i="4" s="1"/>
  <c r="MT181" i="4" s="1"/>
  <c r="MT180" i="4" s="1"/>
  <c r="MT179" i="4" s="1"/>
  <c r="MT178" i="4" s="1"/>
  <c r="MT177" i="4" s="1"/>
  <c r="MT176" i="4" s="1"/>
  <c r="MT175" i="4" s="1"/>
  <c r="MT174" i="4" s="1"/>
  <c r="MT173" i="4" s="1"/>
  <c r="MT172" i="4" s="1"/>
  <c r="MT171" i="4" s="1"/>
  <c r="MT170" i="4" s="1"/>
  <c r="MT169" i="4" s="1"/>
  <c r="MT168" i="4" s="1"/>
  <c r="MT167" i="4" s="1"/>
  <c r="MT166" i="4" s="1"/>
  <c r="MT165" i="4" s="1"/>
  <c r="MT164" i="4" s="1"/>
  <c r="MT163" i="4" s="1"/>
  <c r="MT162" i="4" s="1"/>
  <c r="MT161" i="4" s="1"/>
  <c r="MT160" i="4" s="1"/>
  <c r="MT159" i="4" s="1"/>
  <c r="MT158" i="4" s="1"/>
  <c r="MT157" i="4" s="1"/>
  <c r="MT156" i="4" s="1"/>
  <c r="MT155" i="4" s="1"/>
  <c r="MT154" i="4" s="1"/>
  <c r="MT153" i="4" s="1"/>
  <c r="MT152" i="4" s="1"/>
  <c r="MT151" i="4" s="1"/>
  <c r="MT150" i="4" s="1"/>
  <c r="MT149" i="4" s="1"/>
  <c r="MT148" i="4" s="1"/>
  <c r="MT147" i="4" s="1"/>
  <c r="MT146" i="4" s="1"/>
  <c r="MT145" i="4" s="1"/>
  <c r="MT144" i="4" s="1"/>
  <c r="MT143" i="4" s="1"/>
  <c r="MT142" i="4" s="1"/>
  <c r="MT141" i="4" s="1"/>
  <c r="MT140" i="4" s="1"/>
  <c r="MT139" i="4" s="1"/>
  <c r="MT138" i="4" s="1"/>
  <c r="MT137" i="4" s="1"/>
  <c r="MT136" i="4" s="1"/>
  <c r="MT135" i="4" s="1"/>
  <c r="MT134" i="4" s="1"/>
  <c r="MT133" i="4" s="1"/>
  <c r="MT132" i="4" s="1"/>
  <c r="MT131" i="4" s="1"/>
  <c r="MT130" i="4" s="1"/>
  <c r="MT129" i="4" s="1"/>
  <c r="MT128" i="4" s="1"/>
  <c r="MT127" i="4" s="1"/>
  <c r="MT126" i="4" s="1"/>
  <c r="MT125" i="4" s="1"/>
  <c r="MT124" i="4" s="1"/>
  <c r="MT123" i="4" s="1"/>
  <c r="MT122" i="4" s="1"/>
  <c r="MT121" i="4" s="1"/>
  <c r="MT120" i="4" s="1"/>
  <c r="MT119" i="4" s="1"/>
  <c r="MT118" i="4" s="1"/>
  <c r="MT117" i="4" s="1"/>
  <c r="MT116" i="4" s="1"/>
  <c r="MT115" i="4" s="1"/>
  <c r="MT114" i="4" s="1"/>
  <c r="MT113" i="4" s="1"/>
  <c r="MT112" i="4" s="1"/>
  <c r="MT111" i="4" s="1"/>
  <c r="MT110" i="4" s="1"/>
  <c r="MT109" i="4" s="1"/>
  <c r="MT108" i="4" s="1"/>
  <c r="MT107" i="4" s="1"/>
  <c r="MU203" i="4"/>
  <c r="MU202" i="4" s="1"/>
  <c r="MU201" i="4" s="1"/>
  <c r="MU200" i="4" s="1"/>
  <c r="MU199" i="4" s="1"/>
  <c r="MU198" i="4" s="1"/>
  <c r="MU197" i="4" s="1"/>
  <c r="MU196" i="4" s="1"/>
  <c r="MU195" i="4" s="1"/>
  <c r="MU194" i="4" s="1"/>
  <c r="MU193" i="4" s="1"/>
  <c r="MU192" i="4" s="1"/>
  <c r="MU191" i="4" s="1"/>
  <c r="MU190" i="4" s="1"/>
  <c r="MU189" i="4" s="1"/>
  <c r="MU188" i="4" s="1"/>
  <c r="MU187" i="4" s="1"/>
  <c r="MU186" i="4" s="1"/>
  <c r="MU185" i="4" s="1"/>
  <c r="MU184" i="4" s="1"/>
  <c r="MU183" i="4" s="1"/>
  <c r="MU182" i="4" s="1"/>
  <c r="MU181" i="4" s="1"/>
  <c r="MU180" i="4" s="1"/>
  <c r="MU179" i="4" s="1"/>
  <c r="MU178" i="4" s="1"/>
  <c r="MU177" i="4" s="1"/>
  <c r="MU176" i="4" s="1"/>
  <c r="MU175" i="4" s="1"/>
  <c r="MU174" i="4" s="1"/>
  <c r="MU173" i="4" s="1"/>
  <c r="MU172" i="4" s="1"/>
  <c r="MU171" i="4" s="1"/>
  <c r="MU170" i="4" s="1"/>
  <c r="MU169" i="4" s="1"/>
  <c r="MU168" i="4" s="1"/>
  <c r="MU167" i="4" s="1"/>
  <c r="MU166" i="4" s="1"/>
  <c r="MU165" i="4" s="1"/>
  <c r="MU164" i="4" s="1"/>
  <c r="MU163" i="4" s="1"/>
  <c r="MU162" i="4" s="1"/>
  <c r="MU161" i="4" s="1"/>
  <c r="MU160" i="4" s="1"/>
  <c r="MU159" i="4" s="1"/>
  <c r="MU158" i="4" s="1"/>
  <c r="MU157" i="4" s="1"/>
  <c r="MU156" i="4" s="1"/>
  <c r="MU155" i="4" s="1"/>
  <c r="MU154" i="4" s="1"/>
  <c r="MU153" i="4" s="1"/>
  <c r="MU152" i="4" s="1"/>
  <c r="MU151" i="4" s="1"/>
  <c r="MU150" i="4" s="1"/>
  <c r="MU149" i="4" s="1"/>
  <c r="MU148" i="4" s="1"/>
  <c r="MU147" i="4" s="1"/>
  <c r="MU146" i="4" s="1"/>
  <c r="MU145" i="4" s="1"/>
  <c r="MU144" i="4" s="1"/>
  <c r="MU143" i="4" s="1"/>
  <c r="MU142" i="4" s="1"/>
  <c r="MU141" i="4" s="1"/>
  <c r="MU140" i="4" s="1"/>
  <c r="MU139" i="4" s="1"/>
  <c r="MU138" i="4" s="1"/>
  <c r="MU137" i="4" s="1"/>
  <c r="MU136" i="4" s="1"/>
  <c r="MU135" i="4" s="1"/>
  <c r="MU134" i="4" s="1"/>
  <c r="MU133" i="4" s="1"/>
  <c r="MU132" i="4" s="1"/>
  <c r="MU131" i="4" s="1"/>
  <c r="MU130" i="4" s="1"/>
  <c r="MU129" i="4" s="1"/>
  <c r="MU128" i="4" s="1"/>
  <c r="MU127" i="4" s="1"/>
  <c r="MU126" i="4" s="1"/>
  <c r="MU125" i="4" s="1"/>
  <c r="MU124" i="4" s="1"/>
  <c r="MU123" i="4" s="1"/>
  <c r="MU122" i="4" s="1"/>
  <c r="MU121" i="4" s="1"/>
  <c r="MU120" i="4" s="1"/>
  <c r="MU119" i="4" s="1"/>
  <c r="MU118" i="4" s="1"/>
  <c r="MU117" i="4" s="1"/>
  <c r="MU116" i="4" s="1"/>
  <c r="MU115" i="4" s="1"/>
  <c r="MU114" i="4" s="1"/>
  <c r="MU113" i="4" s="1"/>
  <c r="MU112" i="4" s="1"/>
  <c r="MU111" i="4" s="1"/>
  <c r="MU110" i="4" s="1"/>
  <c r="MU109" i="4" s="1"/>
  <c r="MU108" i="4" s="1"/>
  <c r="MU107" i="4" s="1"/>
  <c r="MV203" i="4"/>
  <c r="MV202" i="4" s="1"/>
  <c r="MV201" i="4" s="1"/>
  <c r="MV200" i="4" s="1"/>
  <c r="MV199" i="4" s="1"/>
  <c r="MV198" i="4" s="1"/>
  <c r="MV197" i="4" s="1"/>
  <c r="MV196" i="4" s="1"/>
  <c r="MV195" i="4" s="1"/>
  <c r="MV194" i="4" s="1"/>
  <c r="MV193" i="4" s="1"/>
  <c r="MV192" i="4" s="1"/>
  <c r="MV191" i="4" s="1"/>
  <c r="MV190" i="4" s="1"/>
  <c r="MV189" i="4" s="1"/>
  <c r="MV188" i="4" s="1"/>
  <c r="MV187" i="4" s="1"/>
  <c r="MV186" i="4" s="1"/>
  <c r="MV185" i="4" s="1"/>
  <c r="MV184" i="4" s="1"/>
  <c r="MV183" i="4" s="1"/>
  <c r="MV182" i="4" s="1"/>
  <c r="MV181" i="4" s="1"/>
  <c r="MV180" i="4" s="1"/>
  <c r="MV179" i="4" s="1"/>
  <c r="MV178" i="4" s="1"/>
  <c r="MV177" i="4" s="1"/>
  <c r="MV176" i="4" s="1"/>
  <c r="MV175" i="4" s="1"/>
  <c r="MV174" i="4" s="1"/>
  <c r="MV173" i="4" s="1"/>
  <c r="MV172" i="4" s="1"/>
  <c r="MV171" i="4" s="1"/>
  <c r="MV170" i="4" s="1"/>
  <c r="MV169" i="4" s="1"/>
  <c r="MV168" i="4" s="1"/>
  <c r="MV167" i="4" s="1"/>
  <c r="MV166" i="4" s="1"/>
  <c r="MV165" i="4" s="1"/>
  <c r="MV164" i="4" s="1"/>
  <c r="MV163" i="4" s="1"/>
  <c r="MV162" i="4" s="1"/>
  <c r="MV161" i="4" s="1"/>
  <c r="MV160" i="4" s="1"/>
  <c r="MV159" i="4" s="1"/>
  <c r="MV158" i="4" s="1"/>
  <c r="MV157" i="4" s="1"/>
  <c r="MV156" i="4" s="1"/>
  <c r="MV155" i="4" s="1"/>
  <c r="MV154" i="4" s="1"/>
  <c r="MV153" i="4" s="1"/>
  <c r="MV152" i="4" s="1"/>
  <c r="MV151" i="4" s="1"/>
  <c r="MV150" i="4" s="1"/>
  <c r="MV149" i="4" s="1"/>
  <c r="MV148" i="4" s="1"/>
  <c r="MV147" i="4" s="1"/>
  <c r="MV146" i="4" s="1"/>
  <c r="MV145" i="4" s="1"/>
  <c r="MV144" i="4" s="1"/>
  <c r="MV143" i="4" s="1"/>
  <c r="MV142" i="4" s="1"/>
  <c r="MV141" i="4" s="1"/>
  <c r="MV140" i="4" s="1"/>
  <c r="MV139" i="4" s="1"/>
  <c r="MV138" i="4" s="1"/>
  <c r="MV137" i="4" s="1"/>
  <c r="MV136" i="4" s="1"/>
  <c r="MV135" i="4" s="1"/>
  <c r="MV134" i="4" s="1"/>
  <c r="MV133" i="4" s="1"/>
  <c r="MV132" i="4" s="1"/>
  <c r="MV131" i="4" s="1"/>
  <c r="MV130" i="4" s="1"/>
  <c r="MV129" i="4" s="1"/>
  <c r="MV128" i="4" s="1"/>
  <c r="MV127" i="4" s="1"/>
  <c r="MV126" i="4" s="1"/>
  <c r="MV125" i="4" s="1"/>
  <c r="MV124" i="4" s="1"/>
  <c r="MV123" i="4" s="1"/>
  <c r="MV122" i="4" s="1"/>
  <c r="MV121" i="4" s="1"/>
  <c r="MV120" i="4" s="1"/>
  <c r="MV119" i="4" s="1"/>
  <c r="MV118" i="4" s="1"/>
  <c r="MV117" i="4" s="1"/>
  <c r="MV116" i="4" s="1"/>
  <c r="MV115" i="4" s="1"/>
  <c r="MV114" i="4" s="1"/>
  <c r="MV113" i="4" s="1"/>
  <c r="MV112" i="4" s="1"/>
  <c r="MV111" i="4" s="1"/>
  <c r="MV110" i="4" s="1"/>
  <c r="MV109" i="4" s="1"/>
  <c r="MV108" i="4" s="1"/>
  <c r="MV107" i="4" s="1"/>
  <c r="MW203" i="4"/>
  <c r="MW202" i="4" s="1"/>
  <c r="MW201" i="4" s="1"/>
  <c r="MW200" i="4" s="1"/>
  <c r="MW199" i="4" s="1"/>
  <c r="MW198" i="4" s="1"/>
  <c r="MW197" i="4" s="1"/>
  <c r="MW196" i="4" s="1"/>
  <c r="MW195" i="4" s="1"/>
  <c r="MW194" i="4" s="1"/>
  <c r="MW193" i="4" s="1"/>
  <c r="MW192" i="4" s="1"/>
  <c r="MW191" i="4" s="1"/>
  <c r="MW190" i="4" s="1"/>
  <c r="MW189" i="4" s="1"/>
  <c r="MW188" i="4" s="1"/>
  <c r="MW187" i="4" s="1"/>
  <c r="MW186" i="4" s="1"/>
  <c r="MW185" i="4" s="1"/>
  <c r="MW184" i="4" s="1"/>
  <c r="MW183" i="4" s="1"/>
  <c r="MW182" i="4" s="1"/>
  <c r="MW181" i="4" s="1"/>
  <c r="MW180" i="4" s="1"/>
  <c r="MW179" i="4" s="1"/>
  <c r="MW178" i="4" s="1"/>
  <c r="MW177" i="4" s="1"/>
  <c r="MW176" i="4" s="1"/>
  <c r="MW175" i="4" s="1"/>
  <c r="MW174" i="4" s="1"/>
  <c r="MW173" i="4" s="1"/>
  <c r="MW172" i="4" s="1"/>
  <c r="MW171" i="4" s="1"/>
  <c r="MW170" i="4" s="1"/>
  <c r="MW169" i="4" s="1"/>
  <c r="MW168" i="4" s="1"/>
  <c r="MW167" i="4" s="1"/>
  <c r="MW166" i="4" s="1"/>
  <c r="MW165" i="4" s="1"/>
  <c r="MW164" i="4" s="1"/>
  <c r="MW163" i="4" s="1"/>
  <c r="MW162" i="4" s="1"/>
  <c r="MW161" i="4" s="1"/>
  <c r="MW160" i="4" s="1"/>
  <c r="MW159" i="4" s="1"/>
  <c r="MW158" i="4" s="1"/>
  <c r="MW157" i="4" s="1"/>
  <c r="MW156" i="4" s="1"/>
  <c r="MW155" i="4" s="1"/>
  <c r="MW154" i="4" s="1"/>
  <c r="MW153" i="4" s="1"/>
  <c r="MW152" i="4" s="1"/>
  <c r="MW151" i="4" s="1"/>
  <c r="MW150" i="4" s="1"/>
  <c r="MW149" i="4" s="1"/>
  <c r="MW148" i="4" s="1"/>
  <c r="MW147" i="4" s="1"/>
  <c r="MW146" i="4" s="1"/>
  <c r="MW145" i="4" s="1"/>
  <c r="MW144" i="4" s="1"/>
  <c r="MW143" i="4" s="1"/>
  <c r="MW142" i="4" s="1"/>
  <c r="MW141" i="4" s="1"/>
  <c r="MW140" i="4" s="1"/>
  <c r="MW139" i="4" s="1"/>
  <c r="MW138" i="4" s="1"/>
  <c r="MW137" i="4" s="1"/>
  <c r="MW136" i="4" s="1"/>
  <c r="MW135" i="4" s="1"/>
  <c r="MW134" i="4" s="1"/>
  <c r="MW133" i="4" s="1"/>
  <c r="MW132" i="4" s="1"/>
  <c r="MW131" i="4" s="1"/>
  <c r="MW130" i="4" s="1"/>
  <c r="MW129" i="4" s="1"/>
  <c r="MW128" i="4" s="1"/>
  <c r="MW127" i="4" s="1"/>
  <c r="MW126" i="4" s="1"/>
  <c r="MW125" i="4" s="1"/>
  <c r="MW124" i="4" s="1"/>
  <c r="MW123" i="4" s="1"/>
  <c r="MW122" i="4" s="1"/>
  <c r="MW121" i="4" s="1"/>
  <c r="MW120" i="4" s="1"/>
  <c r="MW119" i="4" s="1"/>
  <c r="MW118" i="4" s="1"/>
  <c r="MW117" i="4" s="1"/>
  <c r="MW116" i="4" s="1"/>
  <c r="MW115" i="4" s="1"/>
  <c r="MW114" i="4" s="1"/>
  <c r="MW113" i="4" s="1"/>
  <c r="MW112" i="4" s="1"/>
  <c r="MW111" i="4" s="1"/>
  <c r="MW110" i="4" s="1"/>
  <c r="MW109" i="4" s="1"/>
  <c r="MW108" i="4" s="1"/>
  <c r="MW107" i="4" s="1"/>
  <c r="MX203" i="4"/>
  <c r="MX202" i="4" s="1"/>
  <c r="MX201" i="4" s="1"/>
  <c r="MX200" i="4" s="1"/>
  <c r="MX199" i="4" s="1"/>
  <c r="MX198" i="4" s="1"/>
  <c r="MX197" i="4" s="1"/>
  <c r="MX196" i="4" s="1"/>
  <c r="MX195" i="4" s="1"/>
  <c r="MX194" i="4" s="1"/>
  <c r="MX193" i="4" s="1"/>
  <c r="MX192" i="4" s="1"/>
  <c r="MX191" i="4" s="1"/>
  <c r="MX190" i="4" s="1"/>
  <c r="MX189" i="4" s="1"/>
  <c r="MX188" i="4" s="1"/>
  <c r="MX187" i="4" s="1"/>
  <c r="MX186" i="4" s="1"/>
  <c r="MX185" i="4" s="1"/>
  <c r="MX184" i="4" s="1"/>
  <c r="MX183" i="4" s="1"/>
  <c r="MX182" i="4" s="1"/>
  <c r="MX181" i="4" s="1"/>
  <c r="MX180" i="4" s="1"/>
  <c r="MX179" i="4" s="1"/>
  <c r="MX178" i="4" s="1"/>
  <c r="MX177" i="4" s="1"/>
  <c r="MX176" i="4" s="1"/>
  <c r="MX175" i="4" s="1"/>
  <c r="MX174" i="4" s="1"/>
  <c r="MX173" i="4" s="1"/>
  <c r="MX172" i="4" s="1"/>
  <c r="MX171" i="4" s="1"/>
  <c r="MX170" i="4" s="1"/>
  <c r="MX169" i="4" s="1"/>
  <c r="MX168" i="4" s="1"/>
  <c r="MX167" i="4" s="1"/>
  <c r="MX166" i="4" s="1"/>
  <c r="MX165" i="4" s="1"/>
  <c r="MX164" i="4" s="1"/>
  <c r="MX163" i="4" s="1"/>
  <c r="MX162" i="4" s="1"/>
  <c r="MX161" i="4" s="1"/>
  <c r="MX160" i="4" s="1"/>
  <c r="MX159" i="4" s="1"/>
  <c r="MX158" i="4" s="1"/>
  <c r="MX157" i="4" s="1"/>
  <c r="MX156" i="4" s="1"/>
  <c r="MX155" i="4" s="1"/>
  <c r="MX154" i="4" s="1"/>
  <c r="MX153" i="4" s="1"/>
  <c r="MX152" i="4" s="1"/>
  <c r="MX151" i="4" s="1"/>
  <c r="MX150" i="4" s="1"/>
  <c r="MX149" i="4" s="1"/>
  <c r="MX148" i="4" s="1"/>
  <c r="MX147" i="4" s="1"/>
  <c r="MX146" i="4" s="1"/>
  <c r="MX145" i="4" s="1"/>
  <c r="MX144" i="4" s="1"/>
  <c r="MX143" i="4" s="1"/>
  <c r="MX142" i="4" s="1"/>
  <c r="MX141" i="4" s="1"/>
  <c r="MX140" i="4" s="1"/>
  <c r="MX139" i="4" s="1"/>
  <c r="MX138" i="4" s="1"/>
  <c r="MX137" i="4" s="1"/>
  <c r="MX136" i="4" s="1"/>
  <c r="MX135" i="4" s="1"/>
  <c r="MX134" i="4" s="1"/>
  <c r="MX133" i="4" s="1"/>
  <c r="MX132" i="4" s="1"/>
  <c r="MX131" i="4" s="1"/>
  <c r="MX130" i="4" s="1"/>
  <c r="MX129" i="4" s="1"/>
  <c r="MX128" i="4" s="1"/>
  <c r="MX127" i="4" s="1"/>
  <c r="MX126" i="4" s="1"/>
  <c r="MX125" i="4" s="1"/>
  <c r="MX124" i="4" s="1"/>
  <c r="MX123" i="4" s="1"/>
  <c r="MX122" i="4" s="1"/>
  <c r="MX121" i="4" s="1"/>
  <c r="MX120" i="4" s="1"/>
  <c r="MX119" i="4" s="1"/>
  <c r="MX118" i="4" s="1"/>
  <c r="MX117" i="4" s="1"/>
  <c r="MX116" i="4" s="1"/>
  <c r="MX115" i="4" s="1"/>
  <c r="MX114" i="4" s="1"/>
  <c r="MX113" i="4" s="1"/>
  <c r="MX112" i="4" s="1"/>
  <c r="MX111" i="4" s="1"/>
  <c r="MX110" i="4" s="1"/>
  <c r="MX109" i="4" s="1"/>
  <c r="MX108" i="4" s="1"/>
  <c r="MX107" i="4" s="1"/>
  <c r="MY203" i="4"/>
  <c r="MY202" i="4" s="1"/>
  <c r="MY201" i="4" s="1"/>
  <c r="MY200" i="4" s="1"/>
  <c r="MY199" i="4" s="1"/>
  <c r="MY198" i="4" s="1"/>
  <c r="MY197" i="4" s="1"/>
  <c r="MY196" i="4" s="1"/>
  <c r="MY195" i="4" s="1"/>
  <c r="MY194" i="4" s="1"/>
  <c r="MY193" i="4" s="1"/>
  <c r="MY192" i="4" s="1"/>
  <c r="MY191" i="4" s="1"/>
  <c r="MY190" i="4" s="1"/>
  <c r="MY189" i="4" s="1"/>
  <c r="MY188" i="4" s="1"/>
  <c r="MY187" i="4" s="1"/>
  <c r="MY186" i="4" s="1"/>
  <c r="MY185" i="4" s="1"/>
  <c r="MY184" i="4" s="1"/>
  <c r="MY183" i="4" s="1"/>
  <c r="MY182" i="4" s="1"/>
  <c r="MY181" i="4" s="1"/>
  <c r="MY180" i="4" s="1"/>
  <c r="MY179" i="4" s="1"/>
  <c r="MY178" i="4" s="1"/>
  <c r="MY177" i="4" s="1"/>
  <c r="MY176" i="4" s="1"/>
  <c r="MY175" i="4" s="1"/>
  <c r="MY174" i="4" s="1"/>
  <c r="MY173" i="4" s="1"/>
  <c r="MY172" i="4" s="1"/>
  <c r="MY171" i="4" s="1"/>
  <c r="MY170" i="4" s="1"/>
  <c r="MY169" i="4" s="1"/>
  <c r="MY168" i="4" s="1"/>
  <c r="MY167" i="4" s="1"/>
  <c r="MY166" i="4" s="1"/>
  <c r="MY165" i="4" s="1"/>
  <c r="MY164" i="4" s="1"/>
  <c r="MY163" i="4" s="1"/>
  <c r="MY162" i="4" s="1"/>
  <c r="MY161" i="4" s="1"/>
  <c r="MY160" i="4" s="1"/>
  <c r="MY159" i="4" s="1"/>
  <c r="MY158" i="4" s="1"/>
  <c r="MY157" i="4" s="1"/>
  <c r="MY156" i="4" s="1"/>
  <c r="MY155" i="4" s="1"/>
  <c r="MY154" i="4" s="1"/>
  <c r="MY153" i="4" s="1"/>
  <c r="MY152" i="4" s="1"/>
  <c r="MY151" i="4" s="1"/>
  <c r="MY150" i="4" s="1"/>
  <c r="MY149" i="4" s="1"/>
  <c r="MY148" i="4" s="1"/>
  <c r="MY147" i="4" s="1"/>
  <c r="MY146" i="4" s="1"/>
  <c r="MY145" i="4" s="1"/>
  <c r="MY144" i="4" s="1"/>
  <c r="MY143" i="4" s="1"/>
  <c r="MY142" i="4" s="1"/>
  <c r="MY141" i="4" s="1"/>
  <c r="MY140" i="4" s="1"/>
  <c r="MY139" i="4" s="1"/>
  <c r="MY138" i="4" s="1"/>
  <c r="MY137" i="4" s="1"/>
  <c r="MY136" i="4" s="1"/>
  <c r="MY135" i="4" s="1"/>
  <c r="MY134" i="4" s="1"/>
  <c r="MY133" i="4" s="1"/>
  <c r="MY132" i="4" s="1"/>
  <c r="MY131" i="4" s="1"/>
  <c r="MY130" i="4" s="1"/>
  <c r="MY129" i="4" s="1"/>
  <c r="MY128" i="4" s="1"/>
  <c r="MY127" i="4" s="1"/>
  <c r="MY126" i="4" s="1"/>
  <c r="MY125" i="4" s="1"/>
  <c r="MY124" i="4" s="1"/>
  <c r="MY123" i="4" s="1"/>
  <c r="MY122" i="4" s="1"/>
  <c r="MY121" i="4" s="1"/>
  <c r="MY120" i="4" s="1"/>
  <c r="MY119" i="4" s="1"/>
  <c r="MY118" i="4" s="1"/>
  <c r="MY117" i="4" s="1"/>
  <c r="MY116" i="4" s="1"/>
  <c r="MY115" i="4" s="1"/>
  <c r="MY114" i="4" s="1"/>
  <c r="MY113" i="4" s="1"/>
  <c r="MY112" i="4" s="1"/>
  <c r="MY111" i="4" s="1"/>
  <c r="MY110" i="4" s="1"/>
  <c r="MY109" i="4" s="1"/>
  <c r="MY108" i="4" s="1"/>
  <c r="MY107" i="4" s="1"/>
  <c r="MZ203" i="4"/>
  <c r="MZ202" i="4" s="1"/>
  <c r="MZ201" i="4" s="1"/>
  <c r="MZ200" i="4" s="1"/>
  <c r="MZ199" i="4" s="1"/>
  <c r="MZ198" i="4" s="1"/>
  <c r="MZ197" i="4" s="1"/>
  <c r="MZ196" i="4" s="1"/>
  <c r="MZ195" i="4" s="1"/>
  <c r="MZ194" i="4" s="1"/>
  <c r="MZ193" i="4" s="1"/>
  <c r="MZ192" i="4" s="1"/>
  <c r="MZ191" i="4" s="1"/>
  <c r="MZ190" i="4" s="1"/>
  <c r="MZ189" i="4" s="1"/>
  <c r="MZ188" i="4" s="1"/>
  <c r="MZ187" i="4" s="1"/>
  <c r="MZ186" i="4" s="1"/>
  <c r="MZ185" i="4" s="1"/>
  <c r="MZ184" i="4" s="1"/>
  <c r="MZ183" i="4" s="1"/>
  <c r="MZ182" i="4" s="1"/>
  <c r="MZ181" i="4" s="1"/>
  <c r="MZ180" i="4" s="1"/>
  <c r="MZ179" i="4" s="1"/>
  <c r="MZ178" i="4" s="1"/>
  <c r="MZ177" i="4" s="1"/>
  <c r="MZ176" i="4" s="1"/>
  <c r="MZ175" i="4" s="1"/>
  <c r="MZ174" i="4" s="1"/>
  <c r="MZ173" i="4" s="1"/>
  <c r="MZ172" i="4" s="1"/>
  <c r="MZ171" i="4" s="1"/>
  <c r="MZ170" i="4" s="1"/>
  <c r="MZ169" i="4" s="1"/>
  <c r="MZ168" i="4" s="1"/>
  <c r="MZ167" i="4" s="1"/>
  <c r="MZ166" i="4" s="1"/>
  <c r="MZ165" i="4" s="1"/>
  <c r="MZ164" i="4" s="1"/>
  <c r="MZ163" i="4" s="1"/>
  <c r="MZ162" i="4" s="1"/>
  <c r="MZ161" i="4" s="1"/>
  <c r="MZ160" i="4" s="1"/>
  <c r="MZ159" i="4" s="1"/>
  <c r="MZ158" i="4" s="1"/>
  <c r="MZ157" i="4" s="1"/>
  <c r="MZ156" i="4" s="1"/>
  <c r="MZ155" i="4" s="1"/>
  <c r="MZ154" i="4" s="1"/>
  <c r="MZ153" i="4" s="1"/>
  <c r="MZ152" i="4" s="1"/>
  <c r="MZ151" i="4" s="1"/>
  <c r="MZ150" i="4" s="1"/>
  <c r="MZ149" i="4" s="1"/>
  <c r="MZ148" i="4" s="1"/>
  <c r="MZ147" i="4" s="1"/>
  <c r="MZ146" i="4" s="1"/>
  <c r="MZ145" i="4" s="1"/>
  <c r="MZ144" i="4" s="1"/>
  <c r="MZ143" i="4" s="1"/>
  <c r="MZ142" i="4" s="1"/>
  <c r="MZ141" i="4" s="1"/>
  <c r="MZ140" i="4" s="1"/>
  <c r="MZ139" i="4" s="1"/>
  <c r="MZ138" i="4" s="1"/>
  <c r="MZ137" i="4" s="1"/>
  <c r="MZ136" i="4" s="1"/>
  <c r="MZ135" i="4" s="1"/>
  <c r="MZ134" i="4" s="1"/>
  <c r="MZ133" i="4" s="1"/>
  <c r="MZ132" i="4" s="1"/>
  <c r="MZ131" i="4" s="1"/>
  <c r="MZ130" i="4" s="1"/>
  <c r="MZ129" i="4" s="1"/>
  <c r="MZ128" i="4" s="1"/>
  <c r="MZ127" i="4" s="1"/>
  <c r="MZ126" i="4" s="1"/>
  <c r="MZ125" i="4" s="1"/>
  <c r="MZ124" i="4" s="1"/>
  <c r="MZ123" i="4" s="1"/>
  <c r="MZ122" i="4" s="1"/>
  <c r="MZ121" i="4" s="1"/>
  <c r="MZ120" i="4" s="1"/>
  <c r="MZ119" i="4" s="1"/>
  <c r="MZ118" i="4" s="1"/>
  <c r="MZ117" i="4" s="1"/>
  <c r="MZ116" i="4" s="1"/>
  <c r="MZ115" i="4" s="1"/>
  <c r="MZ114" i="4" s="1"/>
  <c r="MZ113" i="4" s="1"/>
  <c r="MZ112" i="4" s="1"/>
  <c r="MZ111" i="4" s="1"/>
  <c r="MZ110" i="4" s="1"/>
  <c r="MZ109" i="4" s="1"/>
  <c r="MZ108" i="4" s="1"/>
  <c r="MZ107" i="4" s="1"/>
  <c r="NA203" i="4"/>
  <c r="NA202" i="4" s="1"/>
  <c r="NA201" i="4" s="1"/>
  <c r="NA200" i="4" s="1"/>
  <c r="NA199" i="4" s="1"/>
  <c r="NA198" i="4" s="1"/>
  <c r="NA197" i="4" s="1"/>
  <c r="NA196" i="4" s="1"/>
  <c r="NA195" i="4" s="1"/>
  <c r="NA194" i="4" s="1"/>
  <c r="NA193" i="4" s="1"/>
  <c r="NA192" i="4" s="1"/>
  <c r="NA191" i="4" s="1"/>
  <c r="NA190" i="4" s="1"/>
  <c r="NA189" i="4" s="1"/>
  <c r="NA188" i="4" s="1"/>
  <c r="NA187" i="4" s="1"/>
  <c r="NA186" i="4" s="1"/>
  <c r="NA185" i="4" s="1"/>
  <c r="NA184" i="4" s="1"/>
  <c r="NA183" i="4" s="1"/>
  <c r="NA182" i="4" s="1"/>
  <c r="NA181" i="4" s="1"/>
  <c r="NA180" i="4" s="1"/>
  <c r="NA179" i="4" s="1"/>
  <c r="NA178" i="4" s="1"/>
  <c r="NA177" i="4" s="1"/>
  <c r="NA176" i="4" s="1"/>
  <c r="NA175" i="4" s="1"/>
  <c r="NA174" i="4" s="1"/>
  <c r="NA173" i="4" s="1"/>
  <c r="NA172" i="4" s="1"/>
  <c r="NA171" i="4" s="1"/>
  <c r="NA170" i="4" s="1"/>
  <c r="NA169" i="4" s="1"/>
  <c r="NA168" i="4" s="1"/>
  <c r="NA167" i="4" s="1"/>
  <c r="NA166" i="4" s="1"/>
  <c r="NA165" i="4" s="1"/>
  <c r="NA164" i="4" s="1"/>
  <c r="NA163" i="4" s="1"/>
  <c r="NA162" i="4" s="1"/>
  <c r="NA161" i="4" s="1"/>
  <c r="NA160" i="4" s="1"/>
  <c r="NA159" i="4" s="1"/>
  <c r="NA158" i="4" s="1"/>
  <c r="NA157" i="4" s="1"/>
  <c r="NA156" i="4" s="1"/>
  <c r="NA155" i="4" s="1"/>
  <c r="NA154" i="4" s="1"/>
  <c r="NA153" i="4" s="1"/>
  <c r="NA152" i="4" s="1"/>
  <c r="NA151" i="4" s="1"/>
  <c r="NA150" i="4" s="1"/>
  <c r="NA149" i="4" s="1"/>
  <c r="NA148" i="4" s="1"/>
  <c r="NA147" i="4" s="1"/>
  <c r="NA146" i="4" s="1"/>
  <c r="NA145" i="4" s="1"/>
  <c r="NA144" i="4" s="1"/>
  <c r="NA143" i="4" s="1"/>
  <c r="NA142" i="4" s="1"/>
  <c r="NA141" i="4" s="1"/>
  <c r="NA140" i="4" s="1"/>
  <c r="NA139" i="4" s="1"/>
  <c r="NA138" i="4" s="1"/>
  <c r="NA137" i="4" s="1"/>
  <c r="NA136" i="4" s="1"/>
  <c r="NA135" i="4" s="1"/>
  <c r="NA134" i="4" s="1"/>
  <c r="NA133" i="4" s="1"/>
  <c r="NA132" i="4" s="1"/>
  <c r="NA131" i="4" s="1"/>
  <c r="NA130" i="4" s="1"/>
  <c r="NA129" i="4" s="1"/>
  <c r="NA128" i="4" s="1"/>
  <c r="NA127" i="4" s="1"/>
  <c r="NA126" i="4" s="1"/>
  <c r="NA125" i="4" s="1"/>
  <c r="NA124" i="4" s="1"/>
  <c r="NA123" i="4" s="1"/>
  <c r="NA122" i="4" s="1"/>
  <c r="NA121" i="4" s="1"/>
  <c r="NA120" i="4" s="1"/>
  <c r="NA119" i="4" s="1"/>
  <c r="NA118" i="4" s="1"/>
  <c r="NA117" i="4" s="1"/>
  <c r="NA116" i="4" s="1"/>
  <c r="NA115" i="4" s="1"/>
  <c r="NA114" i="4" s="1"/>
  <c r="NA113" i="4" s="1"/>
  <c r="NA112" i="4" s="1"/>
  <c r="NA111" i="4" s="1"/>
  <c r="NA110" i="4" s="1"/>
  <c r="NA109" i="4" s="1"/>
  <c r="NA108" i="4" s="1"/>
  <c r="NA107" i="4" s="1"/>
  <c r="NB203" i="4"/>
  <c r="NB202" i="4" s="1"/>
  <c r="NB201" i="4" s="1"/>
  <c r="NB200" i="4" s="1"/>
  <c r="NB199" i="4" s="1"/>
  <c r="NB198" i="4" s="1"/>
  <c r="NB197" i="4" s="1"/>
  <c r="NB196" i="4" s="1"/>
  <c r="NB195" i="4" s="1"/>
  <c r="NB194" i="4" s="1"/>
  <c r="NB193" i="4" s="1"/>
  <c r="NB192" i="4" s="1"/>
  <c r="NB191" i="4" s="1"/>
  <c r="NB190" i="4" s="1"/>
  <c r="NB189" i="4" s="1"/>
  <c r="NB188" i="4" s="1"/>
  <c r="NB187" i="4" s="1"/>
  <c r="NB186" i="4" s="1"/>
  <c r="NB185" i="4" s="1"/>
  <c r="NB184" i="4" s="1"/>
  <c r="NB183" i="4" s="1"/>
  <c r="NB182" i="4" s="1"/>
  <c r="NB181" i="4" s="1"/>
  <c r="NB180" i="4" s="1"/>
  <c r="NB179" i="4" s="1"/>
  <c r="NB178" i="4" s="1"/>
  <c r="NB177" i="4" s="1"/>
  <c r="NB176" i="4" s="1"/>
  <c r="NB175" i="4" s="1"/>
  <c r="NB174" i="4" s="1"/>
  <c r="NB173" i="4" s="1"/>
  <c r="NB172" i="4" s="1"/>
  <c r="NB171" i="4" s="1"/>
  <c r="NB170" i="4" s="1"/>
  <c r="NB169" i="4" s="1"/>
  <c r="NB168" i="4" s="1"/>
  <c r="NB167" i="4" s="1"/>
  <c r="NB166" i="4" s="1"/>
  <c r="NB165" i="4" s="1"/>
  <c r="NB164" i="4" s="1"/>
  <c r="NB163" i="4" s="1"/>
  <c r="NB162" i="4" s="1"/>
  <c r="NB161" i="4" s="1"/>
  <c r="NB160" i="4" s="1"/>
  <c r="NB159" i="4" s="1"/>
  <c r="NB158" i="4" s="1"/>
  <c r="NB157" i="4" s="1"/>
  <c r="NB156" i="4" s="1"/>
  <c r="NB155" i="4" s="1"/>
  <c r="NB154" i="4" s="1"/>
  <c r="NB153" i="4" s="1"/>
  <c r="NB152" i="4" s="1"/>
  <c r="NB151" i="4" s="1"/>
  <c r="NB150" i="4" s="1"/>
  <c r="NB149" i="4" s="1"/>
  <c r="NB148" i="4" s="1"/>
  <c r="NB147" i="4" s="1"/>
  <c r="NB146" i="4" s="1"/>
  <c r="NB145" i="4" s="1"/>
  <c r="NB144" i="4" s="1"/>
  <c r="NB143" i="4" s="1"/>
  <c r="NB142" i="4" s="1"/>
  <c r="NB141" i="4" s="1"/>
  <c r="NB140" i="4" s="1"/>
  <c r="NB139" i="4" s="1"/>
  <c r="NB138" i="4" s="1"/>
  <c r="NB137" i="4" s="1"/>
  <c r="NB136" i="4" s="1"/>
  <c r="NB135" i="4" s="1"/>
  <c r="NB134" i="4" s="1"/>
  <c r="NB133" i="4" s="1"/>
  <c r="NB132" i="4" s="1"/>
  <c r="NB131" i="4" s="1"/>
  <c r="NB130" i="4" s="1"/>
  <c r="NB129" i="4" s="1"/>
  <c r="NB128" i="4" s="1"/>
  <c r="NB127" i="4" s="1"/>
  <c r="NB126" i="4" s="1"/>
  <c r="NB125" i="4" s="1"/>
  <c r="NB124" i="4" s="1"/>
  <c r="NB123" i="4" s="1"/>
  <c r="NB122" i="4" s="1"/>
  <c r="NB121" i="4" s="1"/>
  <c r="NB120" i="4" s="1"/>
  <c r="NB119" i="4" s="1"/>
  <c r="NB118" i="4" s="1"/>
  <c r="NB117" i="4" s="1"/>
  <c r="NB116" i="4" s="1"/>
  <c r="NB115" i="4" s="1"/>
  <c r="NB114" i="4" s="1"/>
  <c r="NB113" i="4" s="1"/>
  <c r="NB112" i="4" s="1"/>
  <c r="NB111" i="4" s="1"/>
  <c r="NB110" i="4" s="1"/>
  <c r="NB109" i="4" s="1"/>
  <c r="NB108" i="4" s="1"/>
  <c r="NB107" i="4" s="1"/>
  <c r="NC203" i="4"/>
  <c r="NC202" i="4" s="1"/>
  <c r="NC201" i="4" s="1"/>
  <c r="NC200" i="4" s="1"/>
  <c r="NC199" i="4" s="1"/>
  <c r="NC198" i="4" s="1"/>
  <c r="NC197" i="4" s="1"/>
  <c r="NC196" i="4" s="1"/>
  <c r="NC195" i="4" s="1"/>
  <c r="NC194" i="4" s="1"/>
  <c r="NC193" i="4" s="1"/>
  <c r="NC192" i="4" s="1"/>
  <c r="NC191" i="4" s="1"/>
  <c r="NC190" i="4" s="1"/>
  <c r="NC189" i="4" s="1"/>
  <c r="NC188" i="4" s="1"/>
  <c r="NC187" i="4" s="1"/>
  <c r="NC186" i="4" s="1"/>
  <c r="NC185" i="4" s="1"/>
  <c r="NC184" i="4" s="1"/>
  <c r="NC183" i="4" s="1"/>
  <c r="NC182" i="4" s="1"/>
  <c r="NC181" i="4" s="1"/>
  <c r="NC180" i="4" s="1"/>
  <c r="NC179" i="4" s="1"/>
  <c r="NC178" i="4" s="1"/>
  <c r="NC177" i="4" s="1"/>
  <c r="NC176" i="4" s="1"/>
  <c r="NC175" i="4" s="1"/>
  <c r="NC174" i="4" s="1"/>
  <c r="NC173" i="4" s="1"/>
  <c r="NC172" i="4" s="1"/>
  <c r="NC171" i="4" s="1"/>
  <c r="NC170" i="4" s="1"/>
  <c r="NC169" i="4" s="1"/>
  <c r="NC168" i="4" s="1"/>
  <c r="NC167" i="4" s="1"/>
  <c r="NC166" i="4" s="1"/>
  <c r="NC165" i="4" s="1"/>
  <c r="NC164" i="4" s="1"/>
  <c r="NC163" i="4" s="1"/>
  <c r="NC162" i="4" s="1"/>
  <c r="NC161" i="4" s="1"/>
  <c r="NC160" i="4" s="1"/>
  <c r="NC159" i="4" s="1"/>
  <c r="NC158" i="4" s="1"/>
  <c r="NC157" i="4" s="1"/>
  <c r="NC156" i="4" s="1"/>
  <c r="NC155" i="4" s="1"/>
  <c r="NC154" i="4" s="1"/>
  <c r="NC153" i="4" s="1"/>
  <c r="NC152" i="4" s="1"/>
  <c r="NC151" i="4" s="1"/>
  <c r="NC150" i="4" s="1"/>
  <c r="NC149" i="4" s="1"/>
  <c r="NC148" i="4" s="1"/>
  <c r="NC147" i="4" s="1"/>
  <c r="NC146" i="4" s="1"/>
  <c r="NC145" i="4" s="1"/>
  <c r="NC144" i="4" s="1"/>
  <c r="NC143" i="4" s="1"/>
  <c r="NC142" i="4" s="1"/>
  <c r="NC141" i="4" s="1"/>
  <c r="NC140" i="4" s="1"/>
  <c r="NC139" i="4" s="1"/>
  <c r="NC138" i="4" s="1"/>
  <c r="NC137" i="4" s="1"/>
  <c r="NC136" i="4" s="1"/>
  <c r="NC135" i="4" s="1"/>
  <c r="NC134" i="4" s="1"/>
  <c r="NC133" i="4" s="1"/>
  <c r="NC132" i="4" s="1"/>
  <c r="NC131" i="4" s="1"/>
  <c r="NC130" i="4" s="1"/>
  <c r="NC129" i="4" s="1"/>
  <c r="NC128" i="4" s="1"/>
  <c r="NC127" i="4" s="1"/>
  <c r="NC126" i="4" s="1"/>
  <c r="NC125" i="4" s="1"/>
  <c r="NC124" i="4" s="1"/>
  <c r="NC123" i="4" s="1"/>
  <c r="NC122" i="4" s="1"/>
  <c r="NC121" i="4" s="1"/>
  <c r="NC120" i="4" s="1"/>
  <c r="NC119" i="4" s="1"/>
  <c r="NC118" i="4" s="1"/>
  <c r="NC117" i="4" s="1"/>
  <c r="NC116" i="4" s="1"/>
  <c r="NC115" i="4" s="1"/>
  <c r="NC114" i="4" s="1"/>
  <c r="NC113" i="4" s="1"/>
  <c r="NC112" i="4" s="1"/>
  <c r="NC111" i="4" s="1"/>
  <c r="NC110" i="4" s="1"/>
  <c r="NC109" i="4" s="1"/>
  <c r="NC108" i="4" s="1"/>
  <c r="NC107" i="4" s="1"/>
  <c r="ND203" i="4"/>
  <c r="ND202" i="4" s="1"/>
  <c r="ND201" i="4" s="1"/>
  <c r="ND200" i="4" s="1"/>
  <c r="ND199" i="4" s="1"/>
  <c r="ND198" i="4" s="1"/>
  <c r="ND197" i="4" s="1"/>
  <c r="ND196" i="4" s="1"/>
  <c r="ND195" i="4" s="1"/>
  <c r="ND194" i="4" s="1"/>
  <c r="ND193" i="4" s="1"/>
  <c r="ND192" i="4" s="1"/>
  <c r="ND191" i="4" s="1"/>
  <c r="ND190" i="4" s="1"/>
  <c r="ND189" i="4" s="1"/>
  <c r="ND188" i="4" s="1"/>
  <c r="ND187" i="4" s="1"/>
  <c r="ND186" i="4" s="1"/>
  <c r="ND185" i="4" s="1"/>
  <c r="ND184" i="4" s="1"/>
  <c r="ND183" i="4" s="1"/>
  <c r="ND182" i="4" s="1"/>
  <c r="ND181" i="4" s="1"/>
  <c r="ND180" i="4" s="1"/>
  <c r="ND179" i="4" s="1"/>
  <c r="ND178" i="4" s="1"/>
  <c r="ND177" i="4" s="1"/>
  <c r="ND176" i="4" s="1"/>
  <c r="ND175" i="4" s="1"/>
  <c r="ND174" i="4" s="1"/>
  <c r="ND173" i="4" s="1"/>
  <c r="ND172" i="4" s="1"/>
  <c r="ND171" i="4" s="1"/>
  <c r="ND170" i="4" s="1"/>
  <c r="ND169" i="4" s="1"/>
  <c r="ND168" i="4" s="1"/>
  <c r="ND167" i="4" s="1"/>
  <c r="ND166" i="4" s="1"/>
  <c r="ND165" i="4" s="1"/>
  <c r="ND164" i="4" s="1"/>
  <c r="ND163" i="4" s="1"/>
  <c r="ND162" i="4" s="1"/>
  <c r="ND161" i="4" s="1"/>
  <c r="ND160" i="4" s="1"/>
  <c r="ND159" i="4" s="1"/>
  <c r="ND158" i="4" s="1"/>
  <c r="ND157" i="4" s="1"/>
  <c r="ND156" i="4" s="1"/>
  <c r="ND155" i="4" s="1"/>
  <c r="ND154" i="4" s="1"/>
  <c r="ND153" i="4" s="1"/>
  <c r="ND152" i="4" s="1"/>
  <c r="ND151" i="4" s="1"/>
  <c r="ND150" i="4" s="1"/>
  <c r="ND149" i="4" s="1"/>
  <c r="ND148" i="4" s="1"/>
  <c r="ND147" i="4" s="1"/>
  <c r="ND146" i="4" s="1"/>
  <c r="ND145" i="4" s="1"/>
  <c r="ND144" i="4" s="1"/>
  <c r="ND143" i="4" s="1"/>
  <c r="ND142" i="4" s="1"/>
  <c r="ND141" i="4" s="1"/>
  <c r="ND140" i="4" s="1"/>
  <c r="ND139" i="4" s="1"/>
  <c r="ND138" i="4" s="1"/>
  <c r="ND137" i="4" s="1"/>
  <c r="ND136" i="4" s="1"/>
  <c r="ND135" i="4" s="1"/>
  <c r="ND134" i="4" s="1"/>
  <c r="ND133" i="4" s="1"/>
  <c r="ND132" i="4" s="1"/>
  <c r="ND131" i="4" s="1"/>
  <c r="ND130" i="4" s="1"/>
  <c r="ND129" i="4" s="1"/>
  <c r="ND128" i="4" s="1"/>
  <c r="ND127" i="4" s="1"/>
  <c r="ND126" i="4" s="1"/>
  <c r="ND125" i="4" s="1"/>
  <c r="ND124" i="4" s="1"/>
  <c r="ND123" i="4" s="1"/>
  <c r="ND122" i="4" s="1"/>
  <c r="ND121" i="4" s="1"/>
  <c r="ND120" i="4" s="1"/>
  <c r="ND119" i="4" s="1"/>
  <c r="ND118" i="4" s="1"/>
  <c r="ND117" i="4" s="1"/>
  <c r="ND116" i="4" s="1"/>
  <c r="ND115" i="4" s="1"/>
  <c r="ND114" i="4" s="1"/>
  <c r="ND113" i="4" s="1"/>
  <c r="ND112" i="4" s="1"/>
  <c r="ND111" i="4" s="1"/>
  <c r="ND110" i="4" s="1"/>
  <c r="ND109" i="4" s="1"/>
  <c r="ND108" i="4" s="1"/>
  <c r="ND107" i="4" s="1"/>
  <c r="NE203" i="4"/>
  <c r="NE202" i="4" s="1"/>
  <c r="NE201" i="4" s="1"/>
  <c r="NE200" i="4" s="1"/>
  <c r="NE199" i="4" s="1"/>
  <c r="NE198" i="4" s="1"/>
  <c r="NE197" i="4" s="1"/>
  <c r="NE196" i="4" s="1"/>
  <c r="NE195" i="4" s="1"/>
  <c r="NE194" i="4" s="1"/>
  <c r="NE193" i="4" s="1"/>
  <c r="NE192" i="4" s="1"/>
  <c r="NE191" i="4" s="1"/>
  <c r="NE190" i="4" s="1"/>
  <c r="NE189" i="4" s="1"/>
  <c r="NE188" i="4" s="1"/>
  <c r="NE187" i="4" s="1"/>
  <c r="NE186" i="4" s="1"/>
  <c r="NE185" i="4" s="1"/>
  <c r="NE184" i="4" s="1"/>
  <c r="NE183" i="4" s="1"/>
  <c r="NE182" i="4" s="1"/>
  <c r="NE181" i="4" s="1"/>
  <c r="NE180" i="4" s="1"/>
  <c r="NE179" i="4" s="1"/>
  <c r="NE178" i="4" s="1"/>
  <c r="NE177" i="4" s="1"/>
  <c r="NE176" i="4" s="1"/>
  <c r="NE175" i="4" s="1"/>
  <c r="NE174" i="4" s="1"/>
  <c r="NE173" i="4" s="1"/>
  <c r="NE172" i="4" s="1"/>
  <c r="NE171" i="4" s="1"/>
  <c r="NE170" i="4" s="1"/>
  <c r="NE169" i="4" s="1"/>
  <c r="NE168" i="4" s="1"/>
  <c r="NE167" i="4" s="1"/>
  <c r="NE166" i="4" s="1"/>
  <c r="NE165" i="4" s="1"/>
  <c r="NE164" i="4" s="1"/>
  <c r="NE163" i="4" s="1"/>
  <c r="NE162" i="4" s="1"/>
  <c r="NE161" i="4" s="1"/>
  <c r="NE160" i="4" s="1"/>
  <c r="NE159" i="4" s="1"/>
  <c r="NE158" i="4" s="1"/>
  <c r="NE157" i="4" s="1"/>
  <c r="NE156" i="4" s="1"/>
  <c r="NE155" i="4" s="1"/>
  <c r="NE154" i="4" s="1"/>
  <c r="NE153" i="4" s="1"/>
  <c r="NE152" i="4" s="1"/>
  <c r="NE151" i="4" s="1"/>
  <c r="NE150" i="4" s="1"/>
  <c r="NE149" i="4" s="1"/>
  <c r="NE148" i="4" s="1"/>
  <c r="NE147" i="4" s="1"/>
  <c r="NE146" i="4" s="1"/>
  <c r="NE145" i="4" s="1"/>
  <c r="NE144" i="4" s="1"/>
  <c r="NE143" i="4" s="1"/>
  <c r="NE142" i="4" s="1"/>
  <c r="NE141" i="4" s="1"/>
  <c r="NE140" i="4" s="1"/>
  <c r="NE139" i="4" s="1"/>
  <c r="NE138" i="4" s="1"/>
  <c r="NE137" i="4" s="1"/>
  <c r="NE136" i="4" s="1"/>
  <c r="NE135" i="4" s="1"/>
  <c r="NE134" i="4" s="1"/>
  <c r="NE133" i="4" s="1"/>
  <c r="NE132" i="4" s="1"/>
  <c r="NE131" i="4" s="1"/>
  <c r="NE130" i="4" s="1"/>
  <c r="NE129" i="4" s="1"/>
  <c r="NE128" i="4" s="1"/>
  <c r="NE127" i="4" s="1"/>
  <c r="NE126" i="4" s="1"/>
  <c r="NE125" i="4" s="1"/>
  <c r="NE124" i="4" s="1"/>
  <c r="NE123" i="4" s="1"/>
  <c r="NE122" i="4" s="1"/>
  <c r="NE121" i="4" s="1"/>
  <c r="NE120" i="4" s="1"/>
  <c r="NE119" i="4" s="1"/>
  <c r="NE118" i="4" s="1"/>
  <c r="NE117" i="4" s="1"/>
  <c r="NE116" i="4" s="1"/>
  <c r="NE115" i="4" s="1"/>
  <c r="NE114" i="4" s="1"/>
  <c r="NE113" i="4" s="1"/>
  <c r="NE112" i="4" s="1"/>
  <c r="NE111" i="4" s="1"/>
  <c r="NE110" i="4" s="1"/>
  <c r="NE109" i="4" s="1"/>
  <c r="NE108" i="4" s="1"/>
  <c r="NE107" i="4" s="1"/>
  <c r="NF203" i="4"/>
  <c r="NF202" i="4" s="1"/>
  <c r="NF201" i="4" s="1"/>
  <c r="NF200" i="4" s="1"/>
  <c r="NF199" i="4" s="1"/>
  <c r="NF198" i="4" s="1"/>
  <c r="NF197" i="4" s="1"/>
  <c r="NF196" i="4" s="1"/>
  <c r="NF195" i="4" s="1"/>
  <c r="NF194" i="4" s="1"/>
  <c r="NF193" i="4" s="1"/>
  <c r="NF192" i="4" s="1"/>
  <c r="NF191" i="4" s="1"/>
  <c r="NF190" i="4" s="1"/>
  <c r="NF189" i="4" s="1"/>
  <c r="NF188" i="4" s="1"/>
  <c r="NF187" i="4" s="1"/>
  <c r="NF186" i="4" s="1"/>
  <c r="NF185" i="4" s="1"/>
  <c r="NF184" i="4" s="1"/>
  <c r="NF183" i="4" s="1"/>
  <c r="NF182" i="4" s="1"/>
  <c r="NF181" i="4" s="1"/>
  <c r="NF180" i="4" s="1"/>
  <c r="NF179" i="4" s="1"/>
  <c r="NF178" i="4" s="1"/>
  <c r="NF177" i="4" s="1"/>
  <c r="NF176" i="4" s="1"/>
  <c r="NF175" i="4" s="1"/>
  <c r="NF174" i="4" s="1"/>
  <c r="NF173" i="4" s="1"/>
  <c r="NF172" i="4" s="1"/>
  <c r="NF171" i="4" s="1"/>
  <c r="NF170" i="4" s="1"/>
  <c r="NF169" i="4" s="1"/>
  <c r="NF168" i="4" s="1"/>
  <c r="NF167" i="4" s="1"/>
  <c r="NF166" i="4" s="1"/>
  <c r="NF165" i="4" s="1"/>
  <c r="NF164" i="4" s="1"/>
  <c r="NF163" i="4" s="1"/>
  <c r="NF162" i="4" s="1"/>
  <c r="NF161" i="4" s="1"/>
  <c r="NF160" i="4" s="1"/>
  <c r="NF159" i="4" s="1"/>
  <c r="NF158" i="4" s="1"/>
  <c r="NF157" i="4" s="1"/>
  <c r="NF156" i="4" s="1"/>
  <c r="NF155" i="4" s="1"/>
  <c r="NF154" i="4" s="1"/>
  <c r="NF153" i="4" s="1"/>
  <c r="NF152" i="4" s="1"/>
  <c r="NF151" i="4" s="1"/>
  <c r="NF150" i="4" s="1"/>
  <c r="NF149" i="4" s="1"/>
  <c r="NF148" i="4" s="1"/>
  <c r="NF147" i="4" s="1"/>
  <c r="NF146" i="4" s="1"/>
  <c r="NF145" i="4" s="1"/>
  <c r="NF144" i="4" s="1"/>
  <c r="NF143" i="4" s="1"/>
  <c r="NF142" i="4" s="1"/>
  <c r="NF141" i="4" s="1"/>
  <c r="NF140" i="4" s="1"/>
  <c r="NF139" i="4" s="1"/>
  <c r="NF138" i="4" s="1"/>
  <c r="NF137" i="4" s="1"/>
  <c r="NF136" i="4" s="1"/>
  <c r="NF135" i="4" s="1"/>
  <c r="NF134" i="4" s="1"/>
  <c r="NF133" i="4" s="1"/>
  <c r="NF132" i="4" s="1"/>
  <c r="NF131" i="4" s="1"/>
  <c r="NF130" i="4" s="1"/>
  <c r="NF129" i="4" s="1"/>
  <c r="NF128" i="4" s="1"/>
  <c r="NF127" i="4" s="1"/>
  <c r="NF126" i="4" s="1"/>
  <c r="NF125" i="4" s="1"/>
  <c r="NF124" i="4" s="1"/>
  <c r="NF123" i="4" s="1"/>
  <c r="NF122" i="4" s="1"/>
  <c r="NF121" i="4" s="1"/>
  <c r="NF120" i="4" s="1"/>
  <c r="NF119" i="4" s="1"/>
  <c r="NF118" i="4" s="1"/>
  <c r="NF117" i="4" s="1"/>
  <c r="NF116" i="4" s="1"/>
  <c r="NF115" i="4" s="1"/>
  <c r="NF114" i="4" s="1"/>
  <c r="NF113" i="4" s="1"/>
  <c r="NF112" i="4" s="1"/>
  <c r="NF111" i="4" s="1"/>
  <c r="NF110" i="4" s="1"/>
  <c r="NF109" i="4" s="1"/>
  <c r="NF108" i="4" s="1"/>
  <c r="NF107" i="4" s="1"/>
  <c r="NG203" i="4"/>
  <c r="NG202" i="4" s="1"/>
  <c r="NG201" i="4" s="1"/>
  <c r="NG200" i="4" s="1"/>
  <c r="NG199" i="4" s="1"/>
  <c r="NG198" i="4" s="1"/>
  <c r="NG197" i="4" s="1"/>
  <c r="NG196" i="4" s="1"/>
  <c r="NG195" i="4" s="1"/>
  <c r="NG194" i="4" s="1"/>
  <c r="NG193" i="4" s="1"/>
  <c r="NG192" i="4" s="1"/>
  <c r="NG191" i="4" s="1"/>
  <c r="NG190" i="4" s="1"/>
  <c r="NG189" i="4" s="1"/>
  <c r="NG188" i="4" s="1"/>
  <c r="NG187" i="4" s="1"/>
  <c r="NG186" i="4" s="1"/>
  <c r="NG185" i="4" s="1"/>
  <c r="NG184" i="4" s="1"/>
  <c r="NG183" i="4" s="1"/>
  <c r="NG182" i="4" s="1"/>
  <c r="NG181" i="4" s="1"/>
  <c r="NG180" i="4" s="1"/>
  <c r="NG179" i="4" s="1"/>
  <c r="NG178" i="4" s="1"/>
  <c r="NG177" i="4" s="1"/>
  <c r="NG176" i="4" s="1"/>
  <c r="NG175" i="4" s="1"/>
  <c r="NG174" i="4" s="1"/>
  <c r="NG173" i="4" s="1"/>
  <c r="NG172" i="4" s="1"/>
  <c r="NG171" i="4" s="1"/>
  <c r="NG170" i="4" s="1"/>
  <c r="NG169" i="4" s="1"/>
  <c r="NG168" i="4" s="1"/>
  <c r="NG167" i="4" s="1"/>
  <c r="NG166" i="4" s="1"/>
  <c r="NG165" i="4" s="1"/>
  <c r="NG164" i="4" s="1"/>
  <c r="NG163" i="4" s="1"/>
  <c r="NG162" i="4" s="1"/>
  <c r="NG161" i="4" s="1"/>
  <c r="NG160" i="4" s="1"/>
  <c r="NG159" i="4" s="1"/>
  <c r="NG158" i="4" s="1"/>
  <c r="NG157" i="4" s="1"/>
  <c r="NG156" i="4" s="1"/>
  <c r="NG155" i="4" s="1"/>
  <c r="NG154" i="4" s="1"/>
  <c r="NG153" i="4" s="1"/>
  <c r="NG152" i="4" s="1"/>
  <c r="NG151" i="4" s="1"/>
  <c r="NG150" i="4" s="1"/>
  <c r="NG149" i="4" s="1"/>
  <c r="NG148" i="4" s="1"/>
  <c r="NG147" i="4" s="1"/>
  <c r="NG146" i="4" s="1"/>
  <c r="NG145" i="4" s="1"/>
  <c r="NG144" i="4" s="1"/>
  <c r="NG143" i="4" s="1"/>
  <c r="NG142" i="4" s="1"/>
  <c r="NG141" i="4" s="1"/>
  <c r="NG140" i="4" s="1"/>
  <c r="NG139" i="4" s="1"/>
  <c r="NG138" i="4" s="1"/>
  <c r="NG137" i="4" s="1"/>
  <c r="NG136" i="4" s="1"/>
  <c r="NG135" i="4" s="1"/>
  <c r="NG134" i="4" s="1"/>
  <c r="NG133" i="4" s="1"/>
  <c r="NG132" i="4" s="1"/>
  <c r="NG131" i="4" s="1"/>
  <c r="NG130" i="4" s="1"/>
  <c r="NG129" i="4" s="1"/>
  <c r="NG128" i="4" s="1"/>
  <c r="NG127" i="4" s="1"/>
  <c r="NG126" i="4" s="1"/>
  <c r="NG125" i="4" s="1"/>
  <c r="NG124" i="4" s="1"/>
  <c r="NG123" i="4" s="1"/>
  <c r="NG122" i="4" s="1"/>
  <c r="NG121" i="4" s="1"/>
  <c r="NG120" i="4" s="1"/>
  <c r="NG119" i="4" s="1"/>
  <c r="NG118" i="4" s="1"/>
  <c r="NG117" i="4" s="1"/>
  <c r="NG116" i="4" s="1"/>
  <c r="NG115" i="4" s="1"/>
  <c r="NG114" i="4" s="1"/>
  <c r="NG113" i="4" s="1"/>
  <c r="NG112" i="4" s="1"/>
  <c r="NG111" i="4" s="1"/>
  <c r="NG110" i="4" s="1"/>
  <c r="NG109" i="4" s="1"/>
  <c r="NG108" i="4" s="1"/>
  <c r="NG107" i="4" s="1"/>
  <c r="NH203" i="4"/>
  <c r="NH202" i="4" s="1"/>
  <c r="NH201" i="4" s="1"/>
  <c r="NH200" i="4" s="1"/>
  <c r="NH199" i="4" s="1"/>
  <c r="NH198" i="4" s="1"/>
  <c r="NH197" i="4" s="1"/>
  <c r="NH196" i="4" s="1"/>
  <c r="NH195" i="4" s="1"/>
  <c r="NH194" i="4" s="1"/>
  <c r="NH193" i="4" s="1"/>
  <c r="NH192" i="4" s="1"/>
  <c r="NH191" i="4" s="1"/>
  <c r="NH190" i="4" s="1"/>
  <c r="NH189" i="4" s="1"/>
  <c r="NH188" i="4" s="1"/>
  <c r="NH187" i="4" s="1"/>
  <c r="NH186" i="4" s="1"/>
  <c r="NH185" i="4" s="1"/>
  <c r="NH184" i="4" s="1"/>
  <c r="NH183" i="4" s="1"/>
  <c r="NH182" i="4" s="1"/>
  <c r="NH181" i="4" s="1"/>
  <c r="NH180" i="4" s="1"/>
  <c r="NH179" i="4" s="1"/>
  <c r="NH178" i="4" s="1"/>
  <c r="NH177" i="4" s="1"/>
  <c r="NH176" i="4" s="1"/>
  <c r="NH175" i="4" s="1"/>
  <c r="NH174" i="4" s="1"/>
  <c r="NH173" i="4" s="1"/>
  <c r="NH172" i="4" s="1"/>
  <c r="NH171" i="4" s="1"/>
  <c r="NH170" i="4" s="1"/>
  <c r="NH169" i="4" s="1"/>
  <c r="NH168" i="4" s="1"/>
  <c r="NH167" i="4" s="1"/>
  <c r="NH166" i="4" s="1"/>
  <c r="NH165" i="4" s="1"/>
  <c r="NH164" i="4" s="1"/>
  <c r="NH163" i="4" s="1"/>
  <c r="NH162" i="4" s="1"/>
  <c r="NH161" i="4" s="1"/>
  <c r="NH160" i="4" s="1"/>
  <c r="NH159" i="4" s="1"/>
  <c r="NH158" i="4" s="1"/>
  <c r="NH157" i="4" s="1"/>
  <c r="NH156" i="4" s="1"/>
  <c r="NH155" i="4" s="1"/>
  <c r="NH154" i="4" s="1"/>
  <c r="NH153" i="4" s="1"/>
  <c r="NH152" i="4" s="1"/>
  <c r="NH151" i="4" s="1"/>
  <c r="NH150" i="4" s="1"/>
  <c r="NH149" i="4" s="1"/>
  <c r="NH148" i="4" s="1"/>
  <c r="NH147" i="4" s="1"/>
  <c r="NH146" i="4" s="1"/>
  <c r="NH145" i="4" s="1"/>
  <c r="NH144" i="4" s="1"/>
  <c r="NH143" i="4" s="1"/>
  <c r="NH142" i="4" s="1"/>
  <c r="NH141" i="4" s="1"/>
  <c r="NH140" i="4" s="1"/>
  <c r="NH139" i="4" s="1"/>
  <c r="NH138" i="4" s="1"/>
  <c r="NH137" i="4" s="1"/>
  <c r="NH136" i="4" s="1"/>
  <c r="NH135" i="4" s="1"/>
  <c r="NH134" i="4" s="1"/>
  <c r="NH133" i="4" s="1"/>
  <c r="NH132" i="4" s="1"/>
  <c r="NH131" i="4" s="1"/>
  <c r="NH130" i="4" s="1"/>
  <c r="NH129" i="4" s="1"/>
  <c r="NH128" i="4" s="1"/>
  <c r="NH127" i="4" s="1"/>
  <c r="NH126" i="4" s="1"/>
  <c r="NH125" i="4" s="1"/>
  <c r="NH124" i="4" s="1"/>
  <c r="NH123" i="4" s="1"/>
  <c r="NH122" i="4" s="1"/>
  <c r="NH121" i="4" s="1"/>
  <c r="NH120" i="4" s="1"/>
  <c r="NH119" i="4" s="1"/>
  <c r="NH118" i="4" s="1"/>
  <c r="NH117" i="4" s="1"/>
  <c r="NH116" i="4" s="1"/>
  <c r="NH115" i="4" s="1"/>
  <c r="NH114" i="4" s="1"/>
  <c r="NH113" i="4" s="1"/>
  <c r="NH112" i="4" s="1"/>
  <c r="NH111" i="4" s="1"/>
  <c r="NH110" i="4" s="1"/>
  <c r="NH109" i="4" s="1"/>
  <c r="NH108" i="4" s="1"/>
  <c r="NH107" i="4" s="1"/>
  <c r="NI203" i="4"/>
  <c r="NI202" i="4" s="1"/>
  <c r="NI201" i="4" s="1"/>
  <c r="NI200" i="4" s="1"/>
  <c r="NI199" i="4" s="1"/>
  <c r="NI198" i="4" s="1"/>
  <c r="NI197" i="4" s="1"/>
  <c r="NI196" i="4" s="1"/>
  <c r="NI195" i="4" s="1"/>
  <c r="NI194" i="4" s="1"/>
  <c r="NI193" i="4" s="1"/>
  <c r="NI192" i="4" s="1"/>
  <c r="NI191" i="4" s="1"/>
  <c r="NI190" i="4" s="1"/>
  <c r="NI189" i="4" s="1"/>
  <c r="NI188" i="4" s="1"/>
  <c r="NI187" i="4" s="1"/>
  <c r="NI186" i="4" s="1"/>
  <c r="NI185" i="4" s="1"/>
  <c r="NI184" i="4" s="1"/>
  <c r="NI183" i="4" s="1"/>
  <c r="NI182" i="4" s="1"/>
  <c r="NI181" i="4" s="1"/>
  <c r="NI180" i="4" s="1"/>
  <c r="NI179" i="4" s="1"/>
  <c r="NI178" i="4" s="1"/>
  <c r="NI177" i="4" s="1"/>
  <c r="NI176" i="4" s="1"/>
  <c r="NI175" i="4" s="1"/>
  <c r="NI174" i="4" s="1"/>
  <c r="NI173" i="4" s="1"/>
  <c r="NI172" i="4" s="1"/>
  <c r="NI171" i="4" s="1"/>
  <c r="NI170" i="4" s="1"/>
  <c r="NI169" i="4" s="1"/>
  <c r="NI168" i="4" s="1"/>
  <c r="NI167" i="4" s="1"/>
  <c r="NI166" i="4" s="1"/>
  <c r="NI165" i="4" s="1"/>
  <c r="NI164" i="4" s="1"/>
  <c r="NI163" i="4" s="1"/>
  <c r="NI162" i="4" s="1"/>
  <c r="NI161" i="4" s="1"/>
  <c r="NI160" i="4" s="1"/>
  <c r="NI159" i="4" s="1"/>
  <c r="NI158" i="4" s="1"/>
  <c r="NI157" i="4" s="1"/>
  <c r="NI156" i="4" s="1"/>
  <c r="NI155" i="4" s="1"/>
  <c r="NI154" i="4" s="1"/>
  <c r="NI153" i="4" s="1"/>
  <c r="NI152" i="4" s="1"/>
  <c r="NI151" i="4" s="1"/>
  <c r="NI150" i="4" s="1"/>
  <c r="NI149" i="4" s="1"/>
  <c r="NI148" i="4" s="1"/>
  <c r="NI147" i="4" s="1"/>
  <c r="NI146" i="4" s="1"/>
  <c r="NI145" i="4" s="1"/>
  <c r="NI144" i="4" s="1"/>
  <c r="NI143" i="4" s="1"/>
  <c r="NI142" i="4" s="1"/>
  <c r="NI141" i="4" s="1"/>
  <c r="NI140" i="4" s="1"/>
  <c r="NI139" i="4" s="1"/>
  <c r="NI138" i="4" s="1"/>
  <c r="NI137" i="4" s="1"/>
  <c r="NI136" i="4" s="1"/>
  <c r="NI135" i="4" s="1"/>
  <c r="NI134" i="4" s="1"/>
  <c r="NI133" i="4" s="1"/>
  <c r="NI132" i="4" s="1"/>
  <c r="NI131" i="4" s="1"/>
  <c r="NI130" i="4" s="1"/>
  <c r="NI129" i="4" s="1"/>
  <c r="NI128" i="4" s="1"/>
  <c r="NI127" i="4" s="1"/>
  <c r="NI126" i="4" s="1"/>
  <c r="NI125" i="4" s="1"/>
  <c r="NI124" i="4" s="1"/>
  <c r="NI123" i="4" s="1"/>
  <c r="NI122" i="4" s="1"/>
  <c r="NI121" i="4" s="1"/>
  <c r="NI120" i="4" s="1"/>
  <c r="NI119" i="4" s="1"/>
  <c r="NI118" i="4" s="1"/>
  <c r="NI117" i="4" s="1"/>
  <c r="NI116" i="4" s="1"/>
  <c r="NI115" i="4" s="1"/>
  <c r="NI114" i="4" s="1"/>
  <c r="NI113" i="4" s="1"/>
  <c r="NI112" i="4" s="1"/>
  <c r="NI111" i="4" s="1"/>
  <c r="NI110" i="4" s="1"/>
  <c r="NI109" i="4" s="1"/>
  <c r="NI108" i="4" s="1"/>
  <c r="NI107" i="4" s="1"/>
  <c r="NJ203" i="4"/>
  <c r="NJ202" i="4" s="1"/>
  <c r="NJ201" i="4" s="1"/>
  <c r="NJ200" i="4" s="1"/>
  <c r="NJ199" i="4" s="1"/>
  <c r="NJ198" i="4" s="1"/>
  <c r="NJ197" i="4" s="1"/>
  <c r="NJ196" i="4" s="1"/>
  <c r="NJ195" i="4" s="1"/>
  <c r="NJ194" i="4" s="1"/>
  <c r="NJ193" i="4" s="1"/>
  <c r="NJ192" i="4" s="1"/>
  <c r="NJ191" i="4" s="1"/>
  <c r="NJ190" i="4" s="1"/>
  <c r="NJ189" i="4" s="1"/>
  <c r="NJ188" i="4" s="1"/>
  <c r="NJ187" i="4" s="1"/>
  <c r="NJ186" i="4" s="1"/>
  <c r="NJ185" i="4" s="1"/>
  <c r="NJ184" i="4" s="1"/>
  <c r="NJ183" i="4" s="1"/>
  <c r="NJ182" i="4" s="1"/>
  <c r="NJ181" i="4" s="1"/>
  <c r="NJ180" i="4" s="1"/>
  <c r="NJ179" i="4" s="1"/>
  <c r="NJ178" i="4" s="1"/>
  <c r="NJ177" i="4" s="1"/>
  <c r="NJ176" i="4" s="1"/>
  <c r="NJ175" i="4" s="1"/>
  <c r="NJ174" i="4" s="1"/>
  <c r="NJ173" i="4" s="1"/>
  <c r="NJ172" i="4" s="1"/>
  <c r="NJ171" i="4" s="1"/>
  <c r="NJ170" i="4" s="1"/>
  <c r="NJ169" i="4" s="1"/>
  <c r="NJ168" i="4" s="1"/>
  <c r="NJ167" i="4" s="1"/>
  <c r="NJ166" i="4" s="1"/>
  <c r="NJ165" i="4" s="1"/>
  <c r="NJ164" i="4" s="1"/>
  <c r="NJ163" i="4" s="1"/>
  <c r="NJ162" i="4" s="1"/>
  <c r="NJ161" i="4" s="1"/>
  <c r="NJ160" i="4" s="1"/>
  <c r="NJ159" i="4" s="1"/>
  <c r="NJ158" i="4" s="1"/>
  <c r="NJ157" i="4" s="1"/>
  <c r="NJ156" i="4" s="1"/>
  <c r="NJ155" i="4" s="1"/>
  <c r="NJ154" i="4" s="1"/>
  <c r="NJ153" i="4" s="1"/>
  <c r="NJ152" i="4" s="1"/>
  <c r="NJ151" i="4" s="1"/>
  <c r="NJ150" i="4" s="1"/>
  <c r="NJ149" i="4" s="1"/>
  <c r="NJ148" i="4" s="1"/>
  <c r="NJ147" i="4" s="1"/>
  <c r="NJ146" i="4" s="1"/>
  <c r="NJ145" i="4" s="1"/>
  <c r="NJ144" i="4" s="1"/>
  <c r="NJ143" i="4" s="1"/>
  <c r="NJ142" i="4" s="1"/>
  <c r="NJ141" i="4" s="1"/>
  <c r="NJ140" i="4" s="1"/>
  <c r="NJ139" i="4" s="1"/>
  <c r="NJ138" i="4" s="1"/>
  <c r="NJ137" i="4" s="1"/>
  <c r="NJ136" i="4" s="1"/>
  <c r="NJ135" i="4" s="1"/>
  <c r="NJ134" i="4" s="1"/>
  <c r="NJ133" i="4" s="1"/>
  <c r="NJ132" i="4" s="1"/>
  <c r="NJ131" i="4" s="1"/>
  <c r="NJ130" i="4" s="1"/>
  <c r="NJ129" i="4" s="1"/>
  <c r="NJ128" i="4" s="1"/>
  <c r="NJ127" i="4" s="1"/>
  <c r="NJ126" i="4" s="1"/>
  <c r="NJ125" i="4" s="1"/>
  <c r="NJ124" i="4" s="1"/>
  <c r="NJ123" i="4" s="1"/>
  <c r="NJ122" i="4" s="1"/>
  <c r="NJ121" i="4" s="1"/>
  <c r="NJ120" i="4" s="1"/>
  <c r="NJ119" i="4" s="1"/>
  <c r="NJ118" i="4" s="1"/>
  <c r="NJ117" i="4" s="1"/>
  <c r="NJ116" i="4" s="1"/>
  <c r="NJ115" i="4" s="1"/>
  <c r="NJ114" i="4" s="1"/>
  <c r="NJ113" i="4" s="1"/>
  <c r="NJ112" i="4" s="1"/>
  <c r="NJ111" i="4" s="1"/>
  <c r="NJ110" i="4" s="1"/>
  <c r="NJ109" i="4" s="1"/>
  <c r="NJ108" i="4" s="1"/>
  <c r="NJ107" i="4" s="1"/>
  <c r="NK203" i="4"/>
  <c r="NK202" i="4" s="1"/>
  <c r="NK201" i="4" s="1"/>
  <c r="NK200" i="4" s="1"/>
  <c r="NK199" i="4" s="1"/>
  <c r="NK198" i="4" s="1"/>
  <c r="NK197" i="4" s="1"/>
  <c r="NK196" i="4" s="1"/>
  <c r="NK195" i="4" s="1"/>
  <c r="NK194" i="4" s="1"/>
  <c r="NK193" i="4" s="1"/>
  <c r="NK192" i="4" s="1"/>
  <c r="NK191" i="4" s="1"/>
  <c r="NK190" i="4" s="1"/>
  <c r="NK189" i="4" s="1"/>
  <c r="NK188" i="4" s="1"/>
  <c r="NK187" i="4" s="1"/>
  <c r="NK186" i="4" s="1"/>
  <c r="NK185" i="4" s="1"/>
  <c r="NK184" i="4" s="1"/>
  <c r="NK183" i="4" s="1"/>
  <c r="NK182" i="4" s="1"/>
  <c r="NK181" i="4" s="1"/>
  <c r="NK180" i="4" s="1"/>
  <c r="NK179" i="4" s="1"/>
  <c r="NK178" i="4" s="1"/>
  <c r="NK177" i="4" s="1"/>
  <c r="NK176" i="4" s="1"/>
  <c r="NK175" i="4" s="1"/>
  <c r="NK174" i="4" s="1"/>
  <c r="NK173" i="4" s="1"/>
  <c r="NK172" i="4" s="1"/>
  <c r="NK171" i="4" s="1"/>
  <c r="NK170" i="4" s="1"/>
  <c r="NK169" i="4" s="1"/>
  <c r="NK168" i="4" s="1"/>
  <c r="NK167" i="4" s="1"/>
  <c r="NK166" i="4" s="1"/>
  <c r="NK165" i="4" s="1"/>
  <c r="NK164" i="4" s="1"/>
  <c r="NK163" i="4" s="1"/>
  <c r="NK162" i="4" s="1"/>
  <c r="NK161" i="4" s="1"/>
  <c r="NK160" i="4" s="1"/>
  <c r="NK159" i="4" s="1"/>
  <c r="NK158" i="4" s="1"/>
  <c r="NK157" i="4" s="1"/>
  <c r="NK156" i="4" s="1"/>
  <c r="NK155" i="4" s="1"/>
  <c r="NK154" i="4" s="1"/>
  <c r="NK153" i="4" s="1"/>
  <c r="NK152" i="4" s="1"/>
  <c r="NK151" i="4" s="1"/>
  <c r="NK150" i="4" s="1"/>
  <c r="NK149" i="4" s="1"/>
  <c r="NK148" i="4" s="1"/>
  <c r="NK147" i="4" s="1"/>
  <c r="NK146" i="4" s="1"/>
  <c r="NK145" i="4" s="1"/>
  <c r="NK144" i="4" s="1"/>
  <c r="NK143" i="4" s="1"/>
  <c r="NK142" i="4" s="1"/>
  <c r="NK141" i="4" s="1"/>
  <c r="NK140" i="4" s="1"/>
  <c r="NK139" i="4" s="1"/>
  <c r="NK138" i="4" s="1"/>
  <c r="NK137" i="4" s="1"/>
  <c r="NK136" i="4" s="1"/>
  <c r="NK135" i="4" s="1"/>
  <c r="NK134" i="4" s="1"/>
  <c r="NK133" i="4" s="1"/>
  <c r="NK132" i="4" s="1"/>
  <c r="NK131" i="4" s="1"/>
  <c r="NK130" i="4" s="1"/>
  <c r="NK129" i="4" s="1"/>
  <c r="NK128" i="4" s="1"/>
  <c r="NK127" i="4" s="1"/>
  <c r="NK126" i="4" s="1"/>
  <c r="NK125" i="4" s="1"/>
  <c r="NK124" i="4" s="1"/>
  <c r="NK123" i="4" s="1"/>
  <c r="NK122" i="4" s="1"/>
  <c r="NK121" i="4" s="1"/>
  <c r="NK120" i="4" s="1"/>
  <c r="NK119" i="4" s="1"/>
  <c r="NK118" i="4" s="1"/>
  <c r="NK117" i="4" s="1"/>
  <c r="NK116" i="4" s="1"/>
  <c r="NK115" i="4" s="1"/>
  <c r="NK114" i="4" s="1"/>
  <c r="NK113" i="4" s="1"/>
  <c r="NK112" i="4" s="1"/>
  <c r="NK111" i="4" s="1"/>
  <c r="NK110" i="4" s="1"/>
  <c r="NK109" i="4" s="1"/>
  <c r="NK108" i="4" s="1"/>
  <c r="NK107" i="4" s="1"/>
  <c r="NL203" i="4"/>
  <c r="NL202" i="4" s="1"/>
  <c r="NL201" i="4" s="1"/>
  <c r="NL200" i="4" s="1"/>
  <c r="NL199" i="4" s="1"/>
  <c r="NL198" i="4" s="1"/>
  <c r="NL197" i="4" s="1"/>
  <c r="NL196" i="4" s="1"/>
  <c r="NL195" i="4" s="1"/>
  <c r="NL194" i="4" s="1"/>
  <c r="NL193" i="4" s="1"/>
  <c r="NL192" i="4" s="1"/>
  <c r="NL191" i="4" s="1"/>
  <c r="NL190" i="4" s="1"/>
  <c r="NL189" i="4" s="1"/>
  <c r="NL188" i="4" s="1"/>
  <c r="NL187" i="4" s="1"/>
  <c r="NL186" i="4" s="1"/>
  <c r="NL185" i="4" s="1"/>
  <c r="NL184" i="4" s="1"/>
  <c r="NL183" i="4" s="1"/>
  <c r="NL182" i="4" s="1"/>
  <c r="NL181" i="4" s="1"/>
  <c r="NL180" i="4" s="1"/>
  <c r="NL179" i="4" s="1"/>
  <c r="NL178" i="4" s="1"/>
  <c r="NL177" i="4" s="1"/>
  <c r="NL176" i="4" s="1"/>
  <c r="NL175" i="4" s="1"/>
  <c r="NL174" i="4" s="1"/>
  <c r="NL173" i="4" s="1"/>
  <c r="NL172" i="4" s="1"/>
  <c r="NL171" i="4" s="1"/>
  <c r="NL170" i="4" s="1"/>
  <c r="NL169" i="4" s="1"/>
  <c r="NL168" i="4" s="1"/>
  <c r="NL167" i="4" s="1"/>
  <c r="NL166" i="4" s="1"/>
  <c r="NL165" i="4" s="1"/>
  <c r="NL164" i="4" s="1"/>
  <c r="NL163" i="4" s="1"/>
  <c r="NL162" i="4" s="1"/>
  <c r="NL161" i="4" s="1"/>
  <c r="NL160" i="4" s="1"/>
  <c r="NL159" i="4" s="1"/>
  <c r="NL158" i="4" s="1"/>
  <c r="NL157" i="4" s="1"/>
  <c r="NL156" i="4" s="1"/>
  <c r="NL155" i="4" s="1"/>
  <c r="NL154" i="4" s="1"/>
  <c r="NL153" i="4" s="1"/>
  <c r="NL152" i="4" s="1"/>
  <c r="NL151" i="4" s="1"/>
  <c r="NL150" i="4" s="1"/>
  <c r="NL149" i="4" s="1"/>
  <c r="NL148" i="4" s="1"/>
  <c r="NL147" i="4" s="1"/>
  <c r="NL146" i="4" s="1"/>
  <c r="NL145" i="4" s="1"/>
  <c r="NL144" i="4" s="1"/>
  <c r="NL143" i="4" s="1"/>
  <c r="NL142" i="4" s="1"/>
  <c r="NL141" i="4" s="1"/>
  <c r="NL140" i="4" s="1"/>
  <c r="NL139" i="4" s="1"/>
  <c r="NL138" i="4" s="1"/>
  <c r="NL137" i="4" s="1"/>
  <c r="NL136" i="4" s="1"/>
  <c r="NL135" i="4" s="1"/>
  <c r="NL134" i="4" s="1"/>
  <c r="NL133" i="4" s="1"/>
  <c r="NL132" i="4" s="1"/>
  <c r="NL131" i="4" s="1"/>
  <c r="NL130" i="4" s="1"/>
  <c r="NL129" i="4" s="1"/>
  <c r="NL128" i="4" s="1"/>
  <c r="NL127" i="4" s="1"/>
  <c r="NL126" i="4" s="1"/>
  <c r="NL125" i="4" s="1"/>
  <c r="NL124" i="4" s="1"/>
  <c r="NL123" i="4" s="1"/>
  <c r="NL122" i="4" s="1"/>
  <c r="NL121" i="4" s="1"/>
  <c r="NL120" i="4" s="1"/>
  <c r="NL119" i="4" s="1"/>
  <c r="NL118" i="4" s="1"/>
  <c r="NL117" i="4" s="1"/>
  <c r="NL116" i="4" s="1"/>
  <c r="NL115" i="4" s="1"/>
  <c r="NL114" i="4" s="1"/>
  <c r="NL113" i="4" s="1"/>
  <c r="NL112" i="4" s="1"/>
  <c r="NL111" i="4" s="1"/>
  <c r="NL110" i="4" s="1"/>
  <c r="NL109" i="4" s="1"/>
  <c r="NL108" i="4" s="1"/>
  <c r="NL107" i="4" s="1"/>
  <c r="NM203" i="4"/>
  <c r="NM202" i="4" s="1"/>
  <c r="NM201" i="4" s="1"/>
  <c r="NM200" i="4" s="1"/>
  <c r="NM199" i="4" s="1"/>
  <c r="NM198" i="4" s="1"/>
  <c r="NM197" i="4" s="1"/>
  <c r="NM196" i="4" s="1"/>
  <c r="NM195" i="4" s="1"/>
  <c r="NM194" i="4" s="1"/>
  <c r="NM193" i="4" s="1"/>
  <c r="NM192" i="4" s="1"/>
  <c r="NM191" i="4" s="1"/>
  <c r="NM190" i="4" s="1"/>
  <c r="NM189" i="4" s="1"/>
  <c r="NM188" i="4" s="1"/>
  <c r="NM187" i="4" s="1"/>
  <c r="NM186" i="4" s="1"/>
  <c r="NM185" i="4" s="1"/>
  <c r="NM184" i="4" s="1"/>
  <c r="NM183" i="4" s="1"/>
  <c r="NM182" i="4" s="1"/>
  <c r="NM181" i="4" s="1"/>
  <c r="NM180" i="4" s="1"/>
  <c r="NM179" i="4" s="1"/>
  <c r="NM178" i="4" s="1"/>
  <c r="NM177" i="4" s="1"/>
  <c r="NM176" i="4" s="1"/>
  <c r="NM175" i="4" s="1"/>
  <c r="NM174" i="4" s="1"/>
  <c r="NM173" i="4" s="1"/>
  <c r="NM172" i="4" s="1"/>
  <c r="NM171" i="4" s="1"/>
  <c r="NM170" i="4" s="1"/>
  <c r="NM169" i="4" s="1"/>
  <c r="NM168" i="4" s="1"/>
  <c r="NM167" i="4" s="1"/>
  <c r="NM166" i="4" s="1"/>
  <c r="NM165" i="4" s="1"/>
  <c r="NM164" i="4" s="1"/>
  <c r="NM163" i="4" s="1"/>
  <c r="NM162" i="4" s="1"/>
  <c r="NM161" i="4" s="1"/>
  <c r="NM160" i="4" s="1"/>
  <c r="NM159" i="4" s="1"/>
  <c r="NM158" i="4" s="1"/>
  <c r="NM157" i="4" s="1"/>
  <c r="NM156" i="4" s="1"/>
  <c r="NM155" i="4" s="1"/>
  <c r="NM154" i="4" s="1"/>
  <c r="NM153" i="4" s="1"/>
  <c r="NM152" i="4" s="1"/>
  <c r="NM151" i="4" s="1"/>
  <c r="NM150" i="4" s="1"/>
  <c r="NM149" i="4" s="1"/>
  <c r="NM148" i="4" s="1"/>
  <c r="NM147" i="4" s="1"/>
  <c r="NM146" i="4" s="1"/>
  <c r="NM145" i="4" s="1"/>
  <c r="NM144" i="4" s="1"/>
  <c r="NM143" i="4" s="1"/>
  <c r="NM142" i="4" s="1"/>
  <c r="NM141" i="4" s="1"/>
  <c r="NM140" i="4" s="1"/>
  <c r="NM139" i="4" s="1"/>
  <c r="NM138" i="4" s="1"/>
  <c r="NM137" i="4" s="1"/>
  <c r="NM136" i="4" s="1"/>
  <c r="NM135" i="4" s="1"/>
  <c r="NM134" i="4" s="1"/>
  <c r="NM133" i="4" s="1"/>
  <c r="NM132" i="4" s="1"/>
  <c r="NM131" i="4" s="1"/>
  <c r="NM130" i="4" s="1"/>
  <c r="NM129" i="4" s="1"/>
  <c r="NM128" i="4" s="1"/>
  <c r="NM127" i="4" s="1"/>
  <c r="NM126" i="4" s="1"/>
  <c r="NM125" i="4" s="1"/>
  <c r="NM124" i="4" s="1"/>
  <c r="NM123" i="4" s="1"/>
  <c r="NM122" i="4" s="1"/>
  <c r="NM121" i="4" s="1"/>
  <c r="NM120" i="4" s="1"/>
  <c r="NM119" i="4" s="1"/>
  <c r="NM118" i="4" s="1"/>
  <c r="NM117" i="4" s="1"/>
  <c r="NM116" i="4" s="1"/>
  <c r="NM115" i="4" s="1"/>
  <c r="NM114" i="4" s="1"/>
  <c r="NM113" i="4" s="1"/>
  <c r="NM112" i="4" s="1"/>
  <c r="NM111" i="4" s="1"/>
  <c r="NM110" i="4" s="1"/>
  <c r="NM109" i="4" s="1"/>
  <c r="NM108" i="4" s="1"/>
  <c r="NM107" i="4" s="1"/>
  <c r="IM201" i="4"/>
  <c r="IM200" i="4" s="1"/>
  <c r="IM199" i="4" s="1"/>
  <c r="IM198" i="4" s="1"/>
  <c r="IM197" i="4" s="1"/>
  <c r="IM196" i="4" s="1"/>
  <c r="IM195" i="4" s="1"/>
  <c r="IM194" i="4" s="1"/>
  <c r="IM193" i="4" s="1"/>
  <c r="IM192" i="4" s="1"/>
  <c r="IM191" i="4" s="1"/>
  <c r="IM190" i="4" s="1"/>
  <c r="HX202" i="4"/>
  <c r="HX201" i="4" s="1"/>
  <c r="HX200" i="4" s="1"/>
  <c r="HX199" i="4" s="1"/>
  <c r="HX198" i="4" s="1"/>
  <c r="HX197" i="4" s="1"/>
  <c r="HX196" i="4" s="1"/>
  <c r="HX195" i="4" s="1"/>
  <c r="HX194" i="4" s="1"/>
  <c r="HX193" i="4" s="1"/>
  <c r="HX192" i="4" s="1"/>
  <c r="HX191" i="4" s="1"/>
  <c r="IG202" i="4"/>
  <c r="IG201" i="4" s="1"/>
  <c r="IG200" i="4" s="1"/>
  <c r="IG199" i="4" s="1"/>
  <c r="IG198" i="4" s="1"/>
  <c r="IG197" i="4" s="1"/>
  <c r="IG196" i="4" s="1"/>
  <c r="IG195" i="4" s="1"/>
  <c r="IG194" i="4" s="1"/>
  <c r="IG193" i="4" s="1"/>
  <c r="IG192" i="4" s="1"/>
  <c r="IG191" i="4" s="1"/>
  <c r="IG190" i="4" s="1"/>
  <c r="IG189" i="4" s="1"/>
  <c r="IG188" i="4" s="1"/>
  <c r="IG187" i="4" s="1"/>
  <c r="IG186" i="4" s="1"/>
  <c r="IG185" i="4" s="1"/>
  <c r="IG184" i="4" s="1"/>
  <c r="IG183" i="4" s="1"/>
  <c r="IG182" i="4" s="1"/>
  <c r="IG181" i="4" s="1"/>
  <c r="IG180" i="4" s="1"/>
  <c r="HX203" i="4"/>
  <c r="HY203" i="4"/>
  <c r="HY202" i="4" s="1"/>
  <c r="HY201" i="4" s="1"/>
  <c r="HY200" i="4" s="1"/>
  <c r="HY199" i="4" s="1"/>
  <c r="HY198" i="4" s="1"/>
  <c r="HY197" i="4" s="1"/>
  <c r="HY196" i="4" s="1"/>
  <c r="HZ203" i="4"/>
  <c r="HZ202" i="4" s="1"/>
  <c r="HZ201" i="4" s="1"/>
  <c r="HZ200" i="4" s="1"/>
  <c r="HZ199" i="4" s="1"/>
  <c r="HZ198" i="4" s="1"/>
  <c r="HZ197" i="4" s="1"/>
  <c r="HZ196" i="4" s="1"/>
  <c r="IA203" i="4"/>
  <c r="IA202" i="4" s="1"/>
  <c r="IA201" i="4" s="1"/>
  <c r="IA200" i="4" s="1"/>
  <c r="IA199" i="4" s="1"/>
  <c r="IA198" i="4" s="1"/>
  <c r="IA197" i="4" s="1"/>
  <c r="IA196" i="4" s="1"/>
  <c r="IA195" i="4" s="1"/>
  <c r="IA194" i="4" s="1"/>
  <c r="IA193" i="4" s="1"/>
  <c r="IA192" i="4" s="1"/>
  <c r="IA191" i="4" s="1"/>
  <c r="IA190" i="4" s="1"/>
  <c r="IA189" i="4" s="1"/>
  <c r="IA188" i="4" s="1"/>
  <c r="IA187" i="4" s="1"/>
  <c r="IA186" i="4" s="1"/>
  <c r="IA185" i="4" s="1"/>
  <c r="IA184" i="4" s="1"/>
  <c r="IA183" i="4" s="1"/>
  <c r="IA182" i="4" s="1"/>
  <c r="IA181" i="4" s="1"/>
  <c r="IA180" i="4" s="1"/>
  <c r="IA179" i="4" s="1"/>
  <c r="IA178" i="4" s="1"/>
  <c r="IA177" i="4" s="1"/>
  <c r="IA176" i="4" s="1"/>
  <c r="IA175" i="4" s="1"/>
  <c r="IA174" i="4" s="1"/>
  <c r="IA173" i="4" s="1"/>
  <c r="IB203" i="4"/>
  <c r="IB202" i="4" s="1"/>
  <c r="IB201" i="4" s="1"/>
  <c r="IB200" i="4" s="1"/>
  <c r="IB199" i="4" s="1"/>
  <c r="IB198" i="4" s="1"/>
  <c r="IB197" i="4" s="1"/>
  <c r="IB196" i="4" s="1"/>
  <c r="IB195" i="4" s="1"/>
  <c r="IB194" i="4" s="1"/>
  <c r="IB193" i="4" s="1"/>
  <c r="IB192" i="4" s="1"/>
  <c r="IB191" i="4" s="1"/>
  <c r="IB190" i="4" s="1"/>
  <c r="IB189" i="4" s="1"/>
  <c r="IC203" i="4"/>
  <c r="IC202" i="4" s="1"/>
  <c r="IC201" i="4" s="1"/>
  <c r="IC200" i="4" s="1"/>
  <c r="IC199" i="4" s="1"/>
  <c r="IC198" i="4" s="1"/>
  <c r="IC197" i="4" s="1"/>
  <c r="IC196" i="4" s="1"/>
  <c r="IC195" i="4" s="1"/>
  <c r="IC194" i="4" s="1"/>
  <c r="IC193" i="4" s="1"/>
  <c r="IC192" i="4" s="1"/>
  <c r="IC191" i="4" s="1"/>
  <c r="IC190" i="4" s="1"/>
  <c r="IC189" i="4" s="1"/>
  <c r="ID203" i="4"/>
  <c r="ID202" i="4" s="1"/>
  <c r="ID201" i="4" s="1"/>
  <c r="ID200" i="4" s="1"/>
  <c r="ID199" i="4" s="1"/>
  <c r="ID198" i="4" s="1"/>
  <c r="ID197" i="4" s="1"/>
  <c r="ID196" i="4" s="1"/>
  <c r="ID195" i="4" s="1"/>
  <c r="ID194" i="4" s="1"/>
  <c r="ID193" i="4" s="1"/>
  <c r="ID192" i="4" s="1"/>
  <c r="ID191" i="4" s="1"/>
  <c r="ID190" i="4" s="1"/>
  <c r="ID189" i="4" s="1"/>
  <c r="ID188" i="4" s="1"/>
  <c r="ID187" i="4" s="1"/>
  <c r="ID186" i="4" s="1"/>
  <c r="ID185" i="4" s="1"/>
  <c r="ID184" i="4" s="1"/>
  <c r="ID183" i="4" s="1"/>
  <c r="ID182" i="4" s="1"/>
  <c r="ID181" i="4" s="1"/>
  <c r="ID180" i="4" s="1"/>
  <c r="ID179" i="4" s="1"/>
  <c r="ID178" i="4" s="1"/>
  <c r="ID177" i="4" s="1"/>
  <c r="ID176" i="4" s="1"/>
  <c r="ID175" i="4" s="1"/>
  <c r="ID174" i="4" s="1"/>
  <c r="ID173" i="4" s="1"/>
  <c r="ID172" i="4" s="1"/>
  <c r="ID171" i="4" s="1"/>
  <c r="ID170" i="4" s="1"/>
  <c r="ID169" i="4" s="1"/>
  <c r="ID168" i="4" s="1"/>
  <c r="ID167" i="4" s="1"/>
  <c r="ID166" i="4" s="1"/>
  <c r="ID165" i="4" s="1"/>
  <c r="ID164" i="4" s="1"/>
  <c r="ID163" i="4" s="1"/>
  <c r="ID162" i="4" s="1"/>
  <c r="ID161" i="4" s="1"/>
  <c r="ID160" i="4" s="1"/>
  <c r="ID159" i="4" s="1"/>
  <c r="ID158" i="4" s="1"/>
  <c r="ID157" i="4" s="1"/>
  <c r="ID156" i="4" s="1"/>
  <c r="IE203" i="4"/>
  <c r="IE202" i="4" s="1"/>
  <c r="IE201" i="4" s="1"/>
  <c r="IE200" i="4" s="1"/>
  <c r="IE199" i="4" s="1"/>
  <c r="IE198" i="4" s="1"/>
  <c r="IE197" i="4" s="1"/>
  <c r="IE196" i="4" s="1"/>
  <c r="IE195" i="4" s="1"/>
  <c r="IE194" i="4" s="1"/>
  <c r="IE193" i="4" s="1"/>
  <c r="IE192" i="4" s="1"/>
  <c r="IE191" i="4" s="1"/>
  <c r="IE190" i="4" s="1"/>
  <c r="IE189" i="4" s="1"/>
  <c r="IE188" i="4" s="1"/>
  <c r="IE187" i="4" s="1"/>
  <c r="IE186" i="4" s="1"/>
  <c r="IE185" i="4" s="1"/>
  <c r="IE184" i="4" s="1"/>
  <c r="IE183" i="4" s="1"/>
  <c r="IE182" i="4" s="1"/>
  <c r="IE181" i="4" s="1"/>
  <c r="IE180" i="4" s="1"/>
  <c r="IF203" i="4"/>
  <c r="IF202" i="4" s="1"/>
  <c r="IF201" i="4" s="1"/>
  <c r="IF200" i="4" s="1"/>
  <c r="IF199" i="4" s="1"/>
  <c r="IF198" i="4" s="1"/>
  <c r="IF197" i="4" s="1"/>
  <c r="IF196" i="4" s="1"/>
  <c r="IF195" i="4" s="1"/>
  <c r="IF194" i="4" s="1"/>
  <c r="IF193" i="4" s="1"/>
  <c r="IF192" i="4" s="1"/>
  <c r="IF191" i="4" s="1"/>
  <c r="IF190" i="4" s="1"/>
  <c r="IF189" i="4" s="1"/>
  <c r="IF188" i="4" s="1"/>
  <c r="IF187" i="4" s="1"/>
  <c r="IF186" i="4" s="1"/>
  <c r="IF185" i="4" s="1"/>
  <c r="IF184" i="4" s="1"/>
  <c r="IF183" i="4" s="1"/>
  <c r="IF182" i="4" s="1"/>
  <c r="IF181" i="4" s="1"/>
  <c r="IF180" i="4" s="1"/>
  <c r="IG203" i="4"/>
  <c r="IH203" i="4"/>
  <c r="IH202" i="4" s="1"/>
  <c r="IH201" i="4" s="1"/>
  <c r="IH200" i="4" s="1"/>
  <c r="IH199" i="4" s="1"/>
  <c r="IH198" i="4" s="1"/>
  <c r="IH197" i="4" s="1"/>
  <c r="IH196" i="4" s="1"/>
  <c r="IH195" i="4" s="1"/>
  <c r="IH194" i="4" s="1"/>
  <c r="IH193" i="4" s="1"/>
  <c r="IH192" i="4" s="1"/>
  <c r="IH191" i="4" s="1"/>
  <c r="IH190" i="4" s="1"/>
  <c r="IH189" i="4" s="1"/>
  <c r="IH188" i="4" s="1"/>
  <c r="IH187" i="4" s="1"/>
  <c r="IH186" i="4" s="1"/>
  <c r="IH185" i="4" s="1"/>
  <c r="IH184" i="4" s="1"/>
  <c r="IH183" i="4" s="1"/>
  <c r="IH182" i="4" s="1"/>
  <c r="IH181" i="4" s="1"/>
  <c r="IH180" i="4" s="1"/>
  <c r="II203" i="4"/>
  <c r="II202" i="4" s="1"/>
  <c r="II201" i="4" s="1"/>
  <c r="II200" i="4" s="1"/>
  <c r="II199" i="4" s="1"/>
  <c r="II198" i="4" s="1"/>
  <c r="II197" i="4" s="1"/>
  <c r="II196" i="4" s="1"/>
  <c r="II195" i="4" s="1"/>
  <c r="II194" i="4" s="1"/>
  <c r="II193" i="4" s="1"/>
  <c r="II192" i="4" s="1"/>
  <c r="II191" i="4" s="1"/>
  <c r="II190" i="4" s="1"/>
  <c r="II189" i="4" s="1"/>
  <c r="II188" i="4" s="1"/>
  <c r="II187" i="4" s="1"/>
  <c r="II186" i="4" s="1"/>
  <c r="II185" i="4" s="1"/>
  <c r="II184" i="4" s="1"/>
  <c r="II183" i="4" s="1"/>
  <c r="II182" i="4" s="1"/>
  <c r="II181" i="4" s="1"/>
  <c r="II180" i="4" s="1"/>
  <c r="IJ203" i="4"/>
  <c r="IJ202" i="4" s="1"/>
  <c r="IJ201" i="4" s="1"/>
  <c r="IJ200" i="4" s="1"/>
  <c r="IJ199" i="4" s="1"/>
  <c r="IJ198" i="4" s="1"/>
  <c r="IJ197" i="4" s="1"/>
  <c r="IJ196" i="4" s="1"/>
  <c r="IJ195" i="4" s="1"/>
  <c r="IJ194" i="4" s="1"/>
  <c r="IJ193" i="4" s="1"/>
  <c r="IJ192" i="4" s="1"/>
  <c r="IJ191" i="4" s="1"/>
  <c r="IJ190" i="4" s="1"/>
  <c r="IJ189" i="4" s="1"/>
  <c r="IJ188" i="4" s="1"/>
  <c r="IJ187" i="4" s="1"/>
  <c r="IJ186" i="4" s="1"/>
  <c r="IJ185" i="4" s="1"/>
  <c r="IJ184" i="4" s="1"/>
  <c r="IJ183" i="4" s="1"/>
  <c r="IJ182" i="4" s="1"/>
  <c r="IJ181" i="4" s="1"/>
  <c r="IJ180" i="4" s="1"/>
  <c r="IJ179" i="4" s="1"/>
  <c r="IJ178" i="4" s="1"/>
  <c r="IJ177" i="4" s="1"/>
  <c r="IJ176" i="4" s="1"/>
  <c r="IJ175" i="4" s="1"/>
  <c r="IJ174" i="4" s="1"/>
  <c r="IJ173" i="4" s="1"/>
  <c r="IJ172" i="4" s="1"/>
  <c r="IJ171" i="4" s="1"/>
  <c r="IJ170" i="4" s="1"/>
  <c r="IJ169" i="4" s="1"/>
  <c r="IJ168" i="4" s="1"/>
  <c r="IJ167" i="4" s="1"/>
  <c r="IJ166" i="4" s="1"/>
  <c r="IJ165" i="4" s="1"/>
  <c r="IJ164" i="4" s="1"/>
  <c r="IJ163" i="4" s="1"/>
  <c r="IJ162" i="4" s="1"/>
  <c r="IJ161" i="4" s="1"/>
  <c r="IJ160" i="4" s="1"/>
  <c r="IJ159" i="4" s="1"/>
  <c r="IJ158" i="4" s="1"/>
  <c r="IJ157" i="4" s="1"/>
  <c r="IJ156" i="4" s="1"/>
  <c r="IK203" i="4"/>
  <c r="IK202" i="4" s="1"/>
  <c r="IK201" i="4" s="1"/>
  <c r="IK200" i="4" s="1"/>
  <c r="IK199" i="4" s="1"/>
  <c r="IK198" i="4" s="1"/>
  <c r="IK197" i="4" s="1"/>
  <c r="IK196" i="4" s="1"/>
  <c r="IK195" i="4" s="1"/>
  <c r="IK194" i="4" s="1"/>
  <c r="IK193" i="4" s="1"/>
  <c r="IK192" i="4" s="1"/>
  <c r="IK191" i="4" s="1"/>
  <c r="IK190" i="4" s="1"/>
  <c r="IL203" i="4"/>
  <c r="IL202" i="4" s="1"/>
  <c r="IL201" i="4" s="1"/>
  <c r="IL200" i="4" s="1"/>
  <c r="IL199" i="4" s="1"/>
  <c r="IL198" i="4" s="1"/>
  <c r="IL197" i="4" s="1"/>
  <c r="IL196" i="4" s="1"/>
  <c r="IL195" i="4" s="1"/>
  <c r="IL194" i="4" s="1"/>
  <c r="IL193" i="4" s="1"/>
  <c r="IL192" i="4" s="1"/>
  <c r="IL191" i="4" s="1"/>
  <c r="IL190" i="4" s="1"/>
  <c r="IM203" i="4"/>
  <c r="IM202" i="4" s="1"/>
  <c r="IN203" i="4"/>
  <c r="IN202" i="4" s="1"/>
  <c r="IN201" i="4" s="1"/>
  <c r="IN200" i="4" s="1"/>
  <c r="IN199" i="4" s="1"/>
  <c r="IN198" i="4" s="1"/>
  <c r="IN197" i="4" s="1"/>
  <c r="IN196" i="4" s="1"/>
  <c r="IN195" i="4" s="1"/>
  <c r="IN194" i="4" s="1"/>
  <c r="IN193" i="4" s="1"/>
  <c r="IN192" i="4" s="1"/>
  <c r="IN191" i="4" s="1"/>
  <c r="IO203" i="4"/>
  <c r="IO202" i="4" s="1"/>
  <c r="IO201" i="4" s="1"/>
  <c r="IO200" i="4" s="1"/>
  <c r="IO199" i="4" s="1"/>
  <c r="IO198" i="4" s="1"/>
  <c r="IO197" i="4" s="1"/>
  <c r="IO196" i="4" s="1"/>
  <c r="IO195" i="4" s="1"/>
  <c r="IO194" i="4" s="1"/>
  <c r="IO193" i="4" s="1"/>
  <c r="IO192" i="4" s="1"/>
  <c r="IO191" i="4" s="1"/>
  <c r="IP203" i="4"/>
  <c r="IP202" i="4" s="1"/>
  <c r="IP201" i="4" s="1"/>
  <c r="IP200" i="4" s="1"/>
  <c r="IP199" i="4" s="1"/>
  <c r="IP198" i="4" s="1"/>
  <c r="IP197" i="4" s="1"/>
  <c r="IP196" i="4" s="1"/>
  <c r="IP195" i="4" s="1"/>
  <c r="IP194" i="4" s="1"/>
  <c r="IP193" i="4" s="1"/>
  <c r="IP192" i="4" s="1"/>
  <c r="IP191" i="4" s="1"/>
  <c r="IP190" i="4" s="1"/>
  <c r="IP189" i="4" s="1"/>
  <c r="IP188" i="4" s="1"/>
  <c r="IP187" i="4" s="1"/>
  <c r="IP186" i="4" s="1"/>
  <c r="IP185" i="4" s="1"/>
  <c r="IP184" i="4" s="1"/>
  <c r="IP183" i="4" s="1"/>
  <c r="IP182" i="4" s="1"/>
  <c r="IP181" i="4" s="1"/>
  <c r="IP180" i="4" s="1"/>
  <c r="IP179" i="4" s="1"/>
  <c r="IP178" i="4" s="1"/>
  <c r="IP177" i="4" s="1"/>
  <c r="IP176" i="4" s="1"/>
  <c r="IP175" i="4" s="1"/>
  <c r="IP174" i="4" s="1"/>
  <c r="IP173" i="4" s="1"/>
  <c r="IP172" i="4" s="1"/>
  <c r="IP171" i="4" s="1"/>
  <c r="IP170" i="4" s="1"/>
  <c r="IP169" i="4" s="1"/>
  <c r="IP168" i="4" s="1"/>
  <c r="IP167" i="4" s="1"/>
  <c r="IP166" i="4" s="1"/>
  <c r="IP165" i="4" s="1"/>
  <c r="IP164" i="4" s="1"/>
  <c r="IP163" i="4" s="1"/>
  <c r="IP162" i="4" s="1"/>
  <c r="IP161" i="4" s="1"/>
  <c r="IQ203" i="4"/>
  <c r="IQ202" i="4" s="1"/>
  <c r="IQ201" i="4" s="1"/>
  <c r="IQ200" i="4" s="1"/>
  <c r="IQ199" i="4" s="1"/>
  <c r="IQ198" i="4" s="1"/>
  <c r="IQ197" i="4" s="1"/>
  <c r="IQ196" i="4" s="1"/>
  <c r="IQ195" i="4" s="1"/>
  <c r="IQ194" i="4" s="1"/>
  <c r="IQ193" i="4" s="1"/>
  <c r="IQ192" i="4" s="1"/>
  <c r="IQ191" i="4" s="1"/>
  <c r="IQ190" i="4" s="1"/>
  <c r="IQ189" i="4" s="1"/>
  <c r="IQ188" i="4" s="1"/>
  <c r="IQ187" i="4" s="1"/>
  <c r="IQ186" i="4" s="1"/>
  <c r="IQ185" i="4" s="1"/>
  <c r="IQ184" i="4" s="1"/>
  <c r="IQ183" i="4" s="1"/>
  <c r="IQ182" i="4" s="1"/>
  <c r="IQ181" i="4" s="1"/>
  <c r="IQ180" i="4" s="1"/>
  <c r="IQ179" i="4" s="1"/>
  <c r="IQ178" i="4" s="1"/>
  <c r="IQ177" i="4" s="1"/>
  <c r="IQ176" i="4" s="1"/>
  <c r="IQ175" i="4" s="1"/>
  <c r="IQ174" i="4" s="1"/>
  <c r="IQ173" i="4" s="1"/>
  <c r="IQ172" i="4" s="1"/>
  <c r="IQ171" i="4" s="1"/>
  <c r="IQ170" i="4" s="1"/>
  <c r="IQ169" i="4" s="1"/>
  <c r="IR203" i="4"/>
  <c r="IR202" i="4" s="1"/>
  <c r="IR201" i="4" s="1"/>
  <c r="IR200" i="4" s="1"/>
  <c r="IR199" i="4" s="1"/>
  <c r="IR198" i="4" s="1"/>
  <c r="IR197" i="4" s="1"/>
  <c r="IR196" i="4" s="1"/>
  <c r="IR195" i="4" s="1"/>
  <c r="IR194" i="4" s="1"/>
  <c r="IR193" i="4" s="1"/>
  <c r="IR192" i="4" s="1"/>
  <c r="IR191" i="4" s="1"/>
  <c r="IR190" i="4" s="1"/>
  <c r="IR189" i="4" s="1"/>
  <c r="IR188" i="4" s="1"/>
  <c r="IR187" i="4" s="1"/>
  <c r="IR186" i="4" s="1"/>
  <c r="IR185" i="4" s="1"/>
  <c r="IR184" i="4" s="1"/>
  <c r="IR183" i="4" s="1"/>
  <c r="IR182" i="4" s="1"/>
  <c r="IR181" i="4" s="1"/>
  <c r="IR180" i="4" s="1"/>
  <c r="IR179" i="4" s="1"/>
  <c r="IR178" i="4" s="1"/>
  <c r="IR177" i="4" s="1"/>
  <c r="IR176" i="4" s="1"/>
  <c r="IR175" i="4" s="1"/>
  <c r="IR174" i="4" s="1"/>
  <c r="IR173" i="4" s="1"/>
  <c r="IR172" i="4" s="1"/>
  <c r="IR171" i="4" s="1"/>
  <c r="IR170" i="4" s="1"/>
  <c r="IR169" i="4" s="1"/>
  <c r="IS203" i="4"/>
  <c r="IS202" i="4" s="1"/>
  <c r="IS201" i="4" s="1"/>
  <c r="IS200" i="4" s="1"/>
  <c r="IS199" i="4" s="1"/>
  <c r="IS198" i="4" s="1"/>
  <c r="IS197" i="4" s="1"/>
  <c r="IS196" i="4" s="1"/>
  <c r="IS195" i="4" s="1"/>
  <c r="IS194" i="4" s="1"/>
  <c r="IS193" i="4" s="1"/>
  <c r="IS192" i="4" s="1"/>
  <c r="IS191" i="4" s="1"/>
  <c r="IS190" i="4" s="1"/>
  <c r="IS189" i="4" s="1"/>
  <c r="IS188" i="4" s="1"/>
  <c r="IS187" i="4" s="1"/>
  <c r="IS186" i="4" s="1"/>
  <c r="IS185" i="4" s="1"/>
  <c r="IS184" i="4" s="1"/>
  <c r="IS183" i="4" s="1"/>
  <c r="IS182" i="4" s="1"/>
  <c r="IS181" i="4" s="1"/>
  <c r="IS180" i="4" s="1"/>
  <c r="IS179" i="4" s="1"/>
  <c r="IS178" i="4" s="1"/>
  <c r="IS177" i="4" s="1"/>
  <c r="IS176" i="4" s="1"/>
  <c r="IS175" i="4" s="1"/>
  <c r="IS174" i="4" s="1"/>
  <c r="IS173" i="4" s="1"/>
  <c r="IS172" i="4" s="1"/>
  <c r="IS171" i="4" s="1"/>
  <c r="IS170" i="4" s="1"/>
  <c r="IS169" i="4" s="1"/>
  <c r="IT203" i="4"/>
  <c r="IT202" i="4" s="1"/>
  <c r="IT201" i="4" s="1"/>
  <c r="IT200" i="4" s="1"/>
  <c r="IT199" i="4" s="1"/>
  <c r="IT198" i="4" s="1"/>
  <c r="IT197" i="4" s="1"/>
  <c r="IT196" i="4" s="1"/>
  <c r="IT195" i="4" s="1"/>
  <c r="IT194" i="4" s="1"/>
  <c r="IT193" i="4" s="1"/>
  <c r="IT192" i="4" s="1"/>
  <c r="IT191" i="4" s="1"/>
  <c r="IT190" i="4" s="1"/>
  <c r="IT189" i="4" s="1"/>
  <c r="IT188" i="4" s="1"/>
  <c r="IT187" i="4" s="1"/>
  <c r="IT186" i="4" s="1"/>
  <c r="IT185" i="4" s="1"/>
  <c r="IT184" i="4" s="1"/>
  <c r="IT183" i="4" s="1"/>
  <c r="IT182" i="4" s="1"/>
  <c r="IT181" i="4" s="1"/>
  <c r="IT180" i="4" s="1"/>
  <c r="IT179" i="4" s="1"/>
  <c r="IT178" i="4" s="1"/>
  <c r="IT177" i="4" s="1"/>
  <c r="IT176" i="4" s="1"/>
  <c r="IT175" i="4" s="1"/>
  <c r="IT174" i="4" s="1"/>
  <c r="IT173" i="4" s="1"/>
  <c r="IT172" i="4" s="1"/>
  <c r="IT171" i="4" s="1"/>
  <c r="IT170" i="4" s="1"/>
  <c r="IT169" i="4" s="1"/>
  <c r="IU203" i="4"/>
  <c r="IU202" i="4" s="1"/>
  <c r="IU201" i="4" s="1"/>
  <c r="IU200" i="4" s="1"/>
  <c r="IU199" i="4" s="1"/>
  <c r="IU198" i="4" s="1"/>
  <c r="IU197" i="4" s="1"/>
  <c r="IU196" i="4" s="1"/>
  <c r="IU195" i="4" s="1"/>
  <c r="IU194" i="4" s="1"/>
  <c r="IU193" i="4" s="1"/>
  <c r="IU192" i="4" s="1"/>
  <c r="IU191" i="4" s="1"/>
  <c r="IU190" i="4" s="1"/>
  <c r="IU189" i="4" s="1"/>
  <c r="IU188" i="4" s="1"/>
  <c r="IU187" i="4" s="1"/>
  <c r="IU186" i="4" s="1"/>
  <c r="IU185" i="4" s="1"/>
  <c r="IU184" i="4" s="1"/>
  <c r="IU183" i="4" s="1"/>
  <c r="IU182" i="4" s="1"/>
  <c r="IU181" i="4" s="1"/>
  <c r="IU180" i="4" s="1"/>
  <c r="IU179" i="4" s="1"/>
  <c r="IU178" i="4" s="1"/>
  <c r="IU177" i="4" s="1"/>
  <c r="IU176" i="4" s="1"/>
  <c r="IU175" i="4" s="1"/>
  <c r="IU174" i="4" s="1"/>
  <c r="IU173" i="4" s="1"/>
  <c r="IU172" i="4" s="1"/>
  <c r="IU171" i="4" s="1"/>
  <c r="IU170" i="4" s="1"/>
  <c r="IU169" i="4" s="1"/>
  <c r="HR203" i="4"/>
  <c r="HR202" i="4" s="1"/>
  <c r="HR201" i="4" s="1"/>
  <c r="HR200" i="4" s="1"/>
  <c r="HR199" i="4" s="1"/>
  <c r="HR198" i="4" s="1"/>
  <c r="HR197" i="4" s="1"/>
  <c r="HR196" i="4" s="1"/>
  <c r="HR195" i="4" s="1"/>
  <c r="HR194" i="4" s="1"/>
  <c r="HR193" i="4" s="1"/>
  <c r="HR192" i="4" s="1"/>
  <c r="HR191" i="4" s="1"/>
  <c r="HR190" i="4" s="1"/>
  <c r="HR189" i="4" s="1"/>
  <c r="HR188" i="4" s="1"/>
  <c r="HS203" i="4"/>
  <c r="HS202" i="4" s="1"/>
  <c r="HS201" i="4" s="1"/>
  <c r="HS200" i="4" s="1"/>
  <c r="HS199" i="4" s="1"/>
  <c r="HS198" i="4" s="1"/>
  <c r="HS197" i="4" s="1"/>
  <c r="HS196" i="4" s="1"/>
  <c r="HS195" i="4" s="1"/>
  <c r="HS194" i="4" s="1"/>
  <c r="HS193" i="4" s="1"/>
  <c r="HS192" i="4" s="1"/>
  <c r="HS191" i="4" s="1"/>
  <c r="HS190" i="4" s="1"/>
  <c r="HS189" i="4" s="1"/>
  <c r="HS188" i="4" s="1"/>
  <c r="HS187" i="4" s="1"/>
  <c r="HS186" i="4" s="1"/>
  <c r="HS185" i="4" s="1"/>
  <c r="HS184" i="4" s="1"/>
  <c r="HS183" i="4" s="1"/>
  <c r="HS182" i="4" s="1"/>
  <c r="HS181" i="4" s="1"/>
  <c r="HS180" i="4" s="1"/>
  <c r="HS179" i="4" s="1"/>
  <c r="HS178" i="4" s="1"/>
  <c r="HS177" i="4" s="1"/>
  <c r="HS176" i="4" s="1"/>
  <c r="HS175" i="4" s="1"/>
  <c r="HS174" i="4" s="1"/>
  <c r="HS173" i="4" s="1"/>
  <c r="HS172" i="4" s="1"/>
  <c r="HS171" i="4" s="1"/>
  <c r="HS170" i="4" s="1"/>
  <c r="HS169" i="4" s="1"/>
  <c r="HS168" i="4" s="1"/>
  <c r="HS167" i="4" s="1"/>
  <c r="HS166" i="4" s="1"/>
  <c r="HS165" i="4" s="1"/>
  <c r="HS164" i="4" s="1"/>
  <c r="HS163" i="4" s="1"/>
  <c r="HS162" i="4" s="1"/>
  <c r="HS161" i="4" s="1"/>
  <c r="HS160" i="4" s="1"/>
  <c r="HS159" i="4" s="1"/>
  <c r="HS158" i="4" s="1"/>
  <c r="HS157" i="4" s="1"/>
  <c r="HS156" i="4" s="1"/>
  <c r="HS155" i="4" s="1"/>
  <c r="HS154" i="4" s="1"/>
  <c r="HS153" i="4" s="1"/>
  <c r="HS152" i="4" s="1"/>
  <c r="HS151" i="4" s="1"/>
  <c r="HS150" i="4" s="1"/>
  <c r="HS149" i="4" s="1"/>
  <c r="HS148" i="4" s="1"/>
  <c r="HS147" i="4" s="1"/>
  <c r="HS146" i="4" s="1"/>
  <c r="HS145" i="4" s="1"/>
  <c r="HS144" i="4" s="1"/>
  <c r="HS143" i="4" s="1"/>
  <c r="HS142" i="4" s="1"/>
  <c r="HS141" i="4" s="1"/>
  <c r="HS140" i="4" s="1"/>
  <c r="HS139" i="4" s="1"/>
  <c r="HS138" i="4" s="1"/>
  <c r="HS137" i="4" s="1"/>
  <c r="HS136" i="4" s="1"/>
  <c r="HS135" i="4" s="1"/>
  <c r="HS134" i="4" s="1"/>
  <c r="HS133" i="4" s="1"/>
  <c r="HS132" i="4" s="1"/>
  <c r="HS131" i="4" s="1"/>
  <c r="HS130" i="4" s="1"/>
  <c r="HS129" i="4" s="1"/>
  <c r="HS128" i="4" s="1"/>
  <c r="HS127" i="4" s="1"/>
  <c r="HS126" i="4" s="1"/>
  <c r="HS125" i="4" s="1"/>
  <c r="HS124" i="4" s="1"/>
  <c r="HS123" i="4" s="1"/>
  <c r="HS122" i="4" s="1"/>
  <c r="HS121" i="4" s="1"/>
  <c r="HS120" i="4" s="1"/>
  <c r="HS119" i="4" s="1"/>
  <c r="HS118" i="4" s="1"/>
  <c r="HS117" i="4" s="1"/>
  <c r="HS116" i="4" s="1"/>
  <c r="HS115" i="4" s="1"/>
  <c r="HS114" i="4" s="1"/>
  <c r="HS113" i="4" s="1"/>
  <c r="HS112" i="4" s="1"/>
  <c r="HS111" i="4" s="1"/>
  <c r="HS110" i="4" s="1"/>
  <c r="HS109" i="4" s="1"/>
  <c r="HT203" i="4"/>
  <c r="HT202" i="4" s="1"/>
  <c r="HT201" i="4" s="1"/>
  <c r="HT200" i="4" s="1"/>
  <c r="HT199" i="4" s="1"/>
  <c r="HT198" i="4" s="1"/>
  <c r="HT197" i="4" s="1"/>
  <c r="HT196" i="4" s="1"/>
  <c r="HT195" i="4" s="1"/>
  <c r="HT194" i="4" s="1"/>
  <c r="HT193" i="4" s="1"/>
  <c r="HT192" i="4" s="1"/>
  <c r="HT191" i="4" s="1"/>
  <c r="HT190" i="4" s="1"/>
  <c r="HT189" i="4" s="1"/>
  <c r="HT188" i="4" s="1"/>
  <c r="HT187" i="4" s="1"/>
  <c r="HT186" i="4" s="1"/>
  <c r="HT185" i="4" s="1"/>
  <c r="HT184" i="4" s="1"/>
  <c r="HT183" i="4" s="1"/>
  <c r="HT182" i="4" s="1"/>
  <c r="HT181" i="4" s="1"/>
  <c r="HT180" i="4" s="1"/>
  <c r="HT179" i="4" s="1"/>
  <c r="HT178" i="4" s="1"/>
  <c r="HT177" i="4" s="1"/>
  <c r="HT176" i="4" s="1"/>
  <c r="HT175" i="4" s="1"/>
  <c r="HT174" i="4" s="1"/>
  <c r="HT173" i="4" s="1"/>
  <c r="HT172" i="4" s="1"/>
  <c r="HT171" i="4" s="1"/>
  <c r="HT170" i="4" s="1"/>
  <c r="HT169" i="4" s="1"/>
  <c r="HT168" i="4" s="1"/>
  <c r="HT167" i="4" s="1"/>
  <c r="HT166" i="4" s="1"/>
  <c r="HT165" i="4" s="1"/>
  <c r="HT164" i="4" s="1"/>
  <c r="HT163" i="4" s="1"/>
  <c r="HT162" i="4" s="1"/>
  <c r="HT161" i="4" s="1"/>
  <c r="HT160" i="4" s="1"/>
  <c r="HT159" i="4" s="1"/>
  <c r="HT158" i="4" s="1"/>
  <c r="HT157" i="4" s="1"/>
  <c r="HT156" i="4" s="1"/>
  <c r="HT155" i="4" s="1"/>
  <c r="HT154" i="4" s="1"/>
  <c r="HT153" i="4" s="1"/>
  <c r="HT152" i="4" s="1"/>
  <c r="HT151" i="4" s="1"/>
  <c r="HT150" i="4" s="1"/>
  <c r="HT149" i="4" s="1"/>
  <c r="HT148" i="4" s="1"/>
  <c r="HT147" i="4" s="1"/>
  <c r="HT146" i="4" s="1"/>
  <c r="HT145" i="4" s="1"/>
  <c r="HT144" i="4" s="1"/>
  <c r="HT143" i="4" s="1"/>
  <c r="HT142" i="4" s="1"/>
  <c r="HT141" i="4" s="1"/>
  <c r="HT140" i="4" s="1"/>
  <c r="HT139" i="4" s="1"/>
  <c r="HT138" i="4" s="1"/>
  <c r="HT137" i="4" s="1"/>
  <c r="HT136" i="4" s="1"/>
  <c r="HT135" i="4" s="1"/>
  <c r="HT134" i="4" s="1"/>
  <c r="HT133" i="4" s="1"/>
  <c r="HT132" i="4" s="1"/>
  <c r="HT131" i="4" s="1"/>
  <c r="HT130" i="4" s="1"/>
  <c r="HT129" i="4" s="1"/>
  <c r="HT128" i="4" s="1"/>
  <c r="HT127" i="4" s="1"/>
  <c r="HT126" i="4" s="1"/>
  <c r="HT125" i="4" s="1"/>
  <c r="HT124" i="4" s="1"/>
  <c r="HT123" i="4" s="1"/>
  <c r="HT122" i="4" s="1"/>
  <c r="HT121" i="4" s="1"/>
  <c r="HT120" i="4" s="1"/>
  <c r="HT119" i="4" s="1"/>
  <c r="HT118" i="4" s="1"/>
  <c r="HT117" i="4" s="1"/>
  <c r="HT116" i="4" s="1"/>
  <c r="HT115" i="4" s="1"/>
  <c r="HT114" i="4" s="1"/>
  <c r="HT113" i="4" s="1"/>
  <c r="HT112" i="4" s="1"/>
  <c r="HT111" i="4" s="1"/>
  <c r="HT110" i="4" s="1"/>
  <c r="HT109" i="4" s="1"/>
  <c r="HU203" i="4"/>
  <c r="HU202" i="4" s="1"/>
  <c r="HU201" i="4" s="1"/>
  <c r="HU200" i="4" s="1"/>
  <c r="HV203" i="4"/>
  <c r="HV202" i="4" s="1"/>
  <c r="HV201" i="4" s="1"/>
  <c r="HV200" i="4" s="1"/>
  <c r="HV199" i="4" s="1"/>
  <c r="HV198" i="4" s="1"/>
  <c r="HV197" i="4" s="1"/>
  <c r="HV196" i="4" s="1"/>
  <c r="HV195" i="4" s="1"/>
  <c r="HV194" i="4" s="1"/>
  <c r="HV193" i="4" s="1"/>
  <c r="HV192" i="4" s="1"/>
  <c r="HV191" i="4" s="1"/>
  <c r="HV190" i="4" s="1"/>
  <c r="HV189" i="4" s="1"/>
  <c r="HV188" i="4" s="1"/>
  <c r="HV187" i="4" s="1"/>
  <c r="HV186" i="4" s="1"/>
  <c r="HV185" i="4" s="1"/>
  <c r="HV184" i="4" s="1"/>
  <c r="HV183" i="4" s="1"/>
  <c r="HV182" i="4" s="1"/>
  <c r="HV181" i="4" s="1"/>
  <c r="HV180" i="4" s="1"/>
  <c r="HV179" i="4" s="1"/>
  <c r="HV178" i="4" s="1"/>
  <c r="HV177" i="4" s="1"/>
  <c r="HV176" i="4" s="1"/>
  <c r="HV175" i="4" s="1"/>
  <c r="HV174" i="4" s="1"/>
  <c r="HV173" i="4" s="1"/>
  <c r="HV172" i="4" s="1"/>
  <c r="HV171" i="4" s="1"/>
  <c r="HV170" i="4" s="1"/>
  <c r="HV169" i="4" s="1"/>
  <c r="HV168" i="4" s="1"/>
  <c r="HV167" i="4" s="1"/>
  <c r="HV166" i="4" s="1"/>
  <c r="HV165" i="4" s="1"/>
  <c r="HV164" i="4" s="1"/>
  <c r="HV163" i="4" s="1"/>
  <c r="HV162" i="4" s="1"/>
  <c r="HV161" i="4" s="1"/>
  <c r="HW203" i="4"/>
  <c r="HW202" i="4" s="1"/>
  <c r="HW201" i="4" s="1"/>
  <c r="HW200" i="4" s="1"/>
  <c r="HW199" i="4" s="1"/>
  <c r="HW198" i="4" s="1"/>
  <c r="HW197" i="4" s="1"/>
  <c r="HW196" i="4" s="1"/>
  <c r="HW195" i="4" s="1"/>
  <c r="HW194" i="4" s="1"/>
  <c r="HW193" i="4" s="1"/>
  <c r="HW192" i="4" s="1"/>
  <c r="HW191" i="4" s="1"/>
  <c r="HW190" i="4" s="1"/>
  <c r="HW189" i="4" s="1"/>
  <c r="HW188" i="4" s="1"/>
  <c r="HW187" i="4" s="1"/>
  <c r="HW186" i="4" s="1"/>
  <c r="HW185" i="4" s="1"/>
  <c r="HW184" i="4" s="1"/>
  <c r="HW183" i="4" s="1"/>
  <c r="HW182" i="4" s="1"/>
  <c r="HW181" i="4" s="1"/>
  <c r="HW180" i="4" s="1"/>
  <c r="HW179" i="4" s="1"/>
  <c r="HW178" i="4" s="1"/>
  <c r="HW177" i="4" s="1"/>
  <c r="HW176" i="4" s="1"/>
  <c r="HW175" i="4" s="1"/>
  <c r="HW174" i="4" s="1"/>
  <c r="HW173" i="4" s="1"/>
  <c r="HW172" i="4" s="1"/>
  <c r="HW171" i="4" s="1"/>
  <c r="HW170" i="4" s="1"/>
  <c r="HW169" i="4" s="1"/>
  <c r="HW168" i="4" s="1"/>
  <c r="HW167" i="4" s="1"/>
  <c r="HW166" i="4" s="1"/>
  <c r="HW165" i="4" s="1"/>
  <c r="HW164" i="4" s="1"/>
  <c r="HW163" i="4" s="1"/>
  <c r="HW162" i="4" s="1"/>
  <c r="HW161" i="4" s="1"/>
  <c r="C22" i="3" l="1"/>
  <c r="J203" i="4" l="1"/>
  <c r="J202" i="4" s="1"/>
  <c r="J201" i="4" s="1"/>
  <c r="J200" i="4" s="1"/>
  <c r="J199" i="4" s="1"/>
  <c r="J198" i="4" s="1"/>
  <c r="J197" i="4" s="1"/>
  <c r="J196" i="4" s="1"/>
  <c r="J195" i="4" s="1"/>
  <c r="J194" i="4" s="1"/>
  <c r="J193" i="4" s="1"/>
  <c r="J192" i="4" s="1"/>
  <c r="J191" i="4" s="1"/>
  <c r="K203" i="4"/>
  <c r="K202" i="4" s="1"/>
  <c r="K201" i="4" s="1"/>
  <c r="K200" i="4" s="1"/>
  <c r="K199" i="4" s="1"/>
  <c r="K198" i="4" s="1"/>
  <c r="K197" i="4" s="1"/>
  <c r="K196" i="4" s="1"/>
  <c r="K195" i="4" s="1"/>
  <c r="K194" i="4" s="1"/>
  <c r="K193" i="4" s="1"/>
  <c r="K192" i="4" s="1"/>
  <c r="K191" i="4" s="1"/>
  <c r="K190" i="4" s="1"/>
  <c r="K189" i="4" s="1"/>
  <c r="K188" i="4" s="1"/>
  <c r="K187" i="4" s="1"/>
  <c r="K186" i="4" s="1"/>
  <c r="K185" i="4" s="1"/>
  <c r="K184" i="4" s="1"/>
  <c r="K183" i="4" s="1"/>
  <c r="K182" i="4" s="1"/>
  <c r="K181" i="4" s="1"/>
  <c r="K180" i="4" s="1"/>
  <c r="K179" i="4" s="1"/>
  <c r="K178" i="4" s="1"/>
  <c r="K177" i="4" s="1"/>
  <c r="K176" i="4" s="1"/>
  <c r="K175" i="4" s="1"/>
  <c r="K174" i="4" s="1"/>
  <c r="K173" i="4" s="1"/>
  <c r="K172" i="4" s="1"/>
  <c r="K171" i="4" s="1"/>
  <c r="K170" i="4" s="1"/>
  <c r="K169" i="4" s="1"/>
  <c r="K168" i="4" s="1"/>
  <c r="K167" i="4" s="1"/>
  <c r="K166" i="4" s="1"/>
  <c r="K165" i="4" s="1"/>
  <c r="K164" i="4" s="1"/>
  <c r="K163" i="4" s="1"/>
  <c r="K162" i="4" s="1"/>
  <c r="K161" i="4" s="1"/>
  <c r="L203" i="4"/>
  <c r="L202" i="4" s="1"/>
  <c r="L201" i="4" s="1"/>
  <c r="L200" i="4" s="1"/>
  <c r="L199" i="4" s="1"/>
  <c r="L198" i="4" s="1"/>
  <c r="L197" i="4" s="1"/>
  <c r="L196" i="4" s="1"/>
  <c r="L195" i="4" s="1"/>
  <c r="L194" i="4" s="1"/>
  <c r="L193" i="4" s="1"/>
  <c r="L192" i="4" s="1"/>
  <c r="L191" i="4" s="1"/>
  <c r="L190" i="4" s="1"/>
  <c r="L189" i="4" s="1"/>
  <c r="L188" i="4" s="1"/>
  <c r="L187" i="4" s="1"/>
  <c r="L186" i="4" s="1"/>
  <c r="L185" i="4" s="1"/>
  <c r="L184" i="4" s="1"/>
  <c r="L183" i="4" s="1"/>
  <c r="L182" i="4" s="1"/>
  <c r="L181" i="4" s="1"/>
  <c r="L180" i="4" s="1"/>
  <c r="L179" i="4" s="1"/>
  <c r="L178" i="4" s="1"/>
  <c r="L177" i="4" s="1"/>
  <c r="L176" i="4" s="1"/>
  <c r="L175" i="4" s="1"/>
  <c r="L174" i="4" s="1"/>
  <c r="L173" i="4" s="1"/>
  <c r="L172" i="4" s="1"/>
  <c r="L171" i="4" s="1"/>
  <c r="L170" i="4" s="1"/>
  <c r="L169" i="4" s="1"/>
  <c r="L168" i="4" s="1"/>
  <c r="L167" i="4" s="1"/>
  <c r="L166" i="4" s="1"/>
  <c r="L165" i="4" s="1"/>
  <c r="L164" i="4" s="1"/>
  <c r="L163" i="4" s="1"/>
  <c r="L162" i="4" s="1"/>
  <c r="L161" i="4" s="1"/>
  <c r="M203" i="4"/>
  <c r="M202" i="4" s="1"/>
  <c r="M201" i="4" s="1"/>
  <c r="M200" i="4" s="1"/>
  <c r="M199" i="4" s="1"/>
  <c r="M198" i="4" s="1"/>
  <c r="M197" i="4" s="1"/>
  <c r="M196" i="4" s="1"/>
  <c r="M195" i="4" s="1"/>
  <c r="M194" i="4" s="1"/>
  <c r="N203" i="4"/>
  <c r="N202" i="4" s="1"/>
  <c r="N201" i="4" s="1"/>
  <c r="N200" i="4" s="1"/>
  <c r="N199" i="4" s="1"/>
  <c r="N198" i="4" s="1"/>
  <c r="N197" i="4" s="1"/>
  <c r="N196" i="4" s="1"/>
  <c r="N195" i="4" s="1"/>
  <c r="N194" i="4" s="1"/>
  <c r="N193" i="4" s="1"/>
  <c r="N192" i="4" s="1"/>
  <c r="N191" i="4" s="1"/>
  <c r="N190" i="4" s="1"/>
  <c r="N189" i="4" s="1"/>
  <c r="N188" i="4" s="1"/>
  <c r="N187" i="4" s="1"/>
  <c r="N186" i="4" s="1"/>
  <c r="N185" i="4" s="1"/>
  <c r="N184" i="4" s="1"/>
  <c r="N183" i="4" s="1"/>
  <c r="N182" i="4" s="1"/>
  <c r="N181" i="4" s="1"/>
  <c r="N180" i="4" s="1"/>
  <c r="N179" i="4" s="1"/>
  <c r="N178" i="4" s="1"/>
  <c r="N177" i="4" s="1"/>
  <c r="N176" i="4" s="1"/>
  <c r="N175" i="4" s="1"/>
  <c r="N174" i="4" s="1"/>
  <c r="N173" i="4" s="1"/>
  <c r="N172" i="4" s="1"/>
  <c r="N171" i="4" s="1"/>
  <c r="N170" i="4" s="1"/>
  <c r="N169" i="4" s="1"/>
  <c r="O203" i="4"/>
  <c r="O202" i="4" s="1"/>
  <c r="O201" i="4" s="1"/>
  <c r="O200" i="4" s="1"/>
  <c r="O199" i="4" s="1"/>
  <c r="O198" i="4" s="1"/>
  <c r="O197" i="4" s="1"/>
  <c r="O196" i="4" s="1"/>
  <c r="O195" i="4" s="1"/>
  <c r="O194" i="4" s="1"/>
  <c r="O193" i="4" s="1"/>
  <c r="O192" i="4" s="1"/>
  <c r="O191" i="4" s="1"/>
  <c r="O190" i="4" s="1"/>
  <c r="O189" i="4" s="1"/>
  <c r="O188" i="4" s="1"/>
  <c r="O187" i="4" s="1"/>
  <c r="O186" i="4" s="1"/>
  <c r="O185" i="4" s="1"/>
  <c r="O184" i="4" s="1"/>
  <c r="O183" i="4" s="1"/>
  <c r="O182" i="4" s="1"/>
  <c r="O181" i="4" s="1"/>
  <c r="O180" i="4" s="1"/>
  <c r="O179" i="4" s="1"/>
  <c r="O178" i="4" s="1"/>
  <c r="O177" i="4" s="1"/>
  <c r="O176" i="4" s="1"/>
  <c r="O175" i="4" s="1"/>
  <c r="O174" i="4" s="1"/>
  <c r="O173" i="4" s="1"/>
  <c r="O172" i="4" s="1"/>
  <c r="O171" i="4" s="1"/>
  <c r="O170" i="4" s="1"/>
  <c r="O169" i="4" s="1"/>
  <c r="P203" i="4"/>
  <c r="P202" i="4" s="1"/>
  <c r="P201" i="4" s="1"/>
  <c r="P200" i="4" s="1"/>
  <c r="P199" i="4" s="1"/>
  <c r="P198" i="4" s="1"/>
  <c r="P197" i="4" s="1"/>
  <c r="P196" i="4" s="1"/>
  <c r="P195" i="4" s="1"/>
  <c r="Q203" i="4"/>
  <c r="Q202" i="4" s="1"/>
  <c r="Q201" i="4" s="1"/>
  <c r="Q200" i="4" s="1"/>
  <c r="Q199" i="4" s="1"/>
  <c r="Q198" i="4" s="1"/>
  <c r="Q197" i="4" s="1"/>
  <c r="Q196" i="4" s="1"/>
  <c r="Q195" i="4" s="1"/>
  <c r="Q194" i="4" s="1"/>
  <c r="Q193" i="4" s="1"/>
  <c r="Q192" i="4" s="1"/>
  <c r="Q191" i="4" s="1"/>
  <c r="Q190" i="4" s="1"/>
  <c r="Q189" i="4" s="1"/>
  <c r="Q188" i="4" s="1"/>
  <c r="Q187" i="4" s="1"/>
  <c r="Q186" i="4" s="1"/>
  <c r="Q185" i="4" s="1"/>
  <c r="Q184" i="4" s="1"/>
  <c r="Q183" i="4" s="1"/>
  <c r="Q182" i="4" s="1"/>
  <c r="Q181" i="4" s="1"/>
  <c r="Q180" i="4" s="1"/>
  <c r="Q179" i="4" s="1"/>
  <c r="Q178" i="4" s="1"/>
  <c r="Q177" i="4" s="1"/>
  <c r="Q176" i="4" s="1"/>
  <c r="Q175" i="4" s="1"/>
  <c r="Q174" i="4" s="1"/>
  <c r="Q173" i="4" s="1"/>
  <c r="Q172" i="4" s="1"/>
  <c r="Q171" i="4" s="1"/>
  <c r="Q170" i="4" s="1"/>
  <c r="Q169" i="4" s="1"/>
  <c r="Q168" i="4" s="1"/>
  <c r="Q167" i="4" s="1"/>
  <c r="Q166" i="4" s="1"/>
  <c r="Q165" i="4" s="1"/>
  <c r="Q164" i="4" s="1"/>
  <c r="Q163" i="4" s="1"/>
  <c r="Q162" i="4" s="1"/>
  <c r="Q161" i="4" s="1"/>
  <c r="Q160" i="4" s="1"/>
  <c r="Q159" i="4" s="1"/>
  <c r="Q158" i="4" s="1"/>
  <c r="Q157" i="4" s="1"/>
  <c r="Q156" i="4" s="1"/>
  <c r="Q155" i="4" s="1"/>
  <c r="Q154" i="4" s="1"/>
  <c r="Q153" i="4" s="1"/>
  <c r="Q152" i="4" s="1"/>
  <c r="Q151" i="4" s="1"/>
  <c r="Q150" i="4" s="1"/>
  <c r="Q149" i="4" s="1"/>
  <c r="Q148" i="4" s="1"/>
  <c r="Q147" i="4" s="1"/>
  <c r="Q146" i="4" s="1"/>
  <c r="Q145" i="4" s="1"/>
  <c r="Q144" i="4" s="1"/>
  <c r="Q143" i="4" s="1"/>
  <c r="Q142" i="4" s="1"/>
  <c r="Q141" i="4" s="1"/>
  <c r="Q140" i="4" s="1"/>
  <c r="Q139" i="4" s="1"/>
  <c r="Q138" i="4" s="1"/>
  <c r="Q137" i="4" s="1"/>
  <c r="Q136" i="4" s="1"/>
  <c r="Q135" i="4" s="1"/>
  <c r="Q134" i="4" s="1"/>
  <c r="Q133" i="4" s="1"/>
  <c r="Q132" i="4" s="1"/>
  <c r="Q131" i="4" s="1"/>
  <c r="Q130" i="4" s="1"/>
  <c r="Q129" i="4" s="1"/>
  <c r="Q128" i="4" s="1"/>
  <c r="Q127" i="4" s="1"/>
  <c r="Q126" i="4" s="1"/>
  <c r="Q125" i="4" s="1"/>
  <c r="Q124" i="4" s="1"/>
  <c r="Q123" i="4" s="1"/>
  <c r="Q122" i="4" s="1"/>
  <c r="Q121" i="4" s="1"/>
  <c r="Q120" i="4" s="1"/>
  <c r="Q119" i="4" s="1"/>
  <c r="Q118" i="4" s="1"/>
  <c r="Q117" i="4" s="1"/>
  <c r="Q116" i="4" s="1"/>
  <c r="Q115" i="4" s="1"/>
  <c r="Q114" i="4" s="1"/>
  <c r="Q113" i="4" s="1"/>
  <c r="Q112" i="4" s="1"/>
  <c r="Q111" i="4" s="1"/>
  <c r="Q110" i="4" s="1"/>
  <c r="Q109" i="4" s="1"/>
  <c r="Q108" i="4" s="1"/>
  <c r="Q107" i="4" s="1"/>
  <c r="R203" i="4"/>
  <c r="R202" i="4" s="1"/>
  <c r="R201" i="4" s="1"/>
  <c r="R200" i="4" s="1"/>
  <c r="R199" i="4" s="1"/>
  <c r="R198" i="4" s="1"/>
  <c r="R197" i="4" s="1"/>
  <c r="R196" i="4" s="1"/>
  <c r="R195" i="4" s="1"/>
  <c r="R194" i="4" s="1"/>
  <c r="R193" i="4" s="1"/>
  <c r="R192" i="4" s="1"/>
  <c r="R191" i="4" s="1"/>
  <c r="R190" i="4" s="1"/>
  <c r="R189" i="4" s="1"/>
  <c r="R188" i="4" s="1"/>
  <c r="R187" i="4" s="1"/>
  <c r="R186" i="4" s="1"/>
  <c r="R185" i="4" s="1"/>
  <c r="R184" i="4" s="1"/>
  <c r="R183" i="4" s="1"/>
  <c r="R182" i="4" s="1"/>
  <c r="R181" i="4" s="1"/>
  <c r="R180" i="4" s="1"/>
  <c r="R179" i="4" s="1"/>
  <c r="R178" i="4" s="1"/>
  <c r="R177" i="4" s="1"/>
  <c r="R176" i="4" s="1"/>
  <c r="R175" i="4" s="1"/>
  <c r="R174" i="4" s="1"/>
  <c r="R173" i="4" s="1"/>
  <c r="R172" i="4" s="1"/>
  <c r="R171" i="4" s="1"/>
  <c r="R170" i="4" s="1"/>
  <c r="R169" i="4" s="1"/>
  <c r="R168" i="4" s="1"/>
  <c r="R167" i="4" s="1"/>
  <c r="R166" i="4" s="1"/>
  <c r="R165" i="4" s="1"/>
  <c r="R164" i="4" s="1"/>
  <c r="R163" i="4" s="1"/>
  <c r="R162" i="4" s="1"/>
  <c r="R161" i="4" s="1"/>
  <c r="R160" i="4" s="1"/>
  <c r="R159" i="4" s="1"/>
  <c r="R158" i="4" s="1"/>
  <c r="R157" i="4" s="1"/>
  <c r="R156" i="4" s="1"/>
  <c r="R155" i="4" s="1"/>
  <c r="R154" i="4" s="1"/>
  <c r="R153" i="4" s="1"/>
  <c r="R152" i="4" s="1"/>
  <c r="R151" i="4" s="1"/>
  <c r="R150" i="4" s="1"/>
  <c r="R149" i="4" s="1"/>
  <c r="R148" i="4" s="1"/>
  <c r="R147" i="4" s="1"/>
  <c r="R146" i="4" s="1"/>
  <c r="R145" i="4" s="1"/>
  <c r="R144" i="4" s="1"/>
  <c r="R143" i="4" s="1"/>
  <c r="R142" i="4" s="1"/>
  <c r="R141" i="4" s="1"/>
  <c r="R140" i="4" s="1"/>
  <c r="R139" i="4" s="1"/>
  <c r="R138" i="4" s="1"/>
  <c r="R137" i="4" s="1"/>
  <c r="R136" i="4" s="1"/>
  <c r="R135" i="4" s="1"/>
  <c r="R134" i="4" s="1"/>
  <c r="R133" i="4" s="1"/>
  <c r="R132" i="4" s="1"/>
  <c r="R131" i="4" s="1"/>
  <c r="R130" i="4" s="1"/>
  <c r="R129" i="4" s="1"/>
  <c r="R128" i="4" s="1"/>
  <c r="R127" i="4" s="1"/>
  <c r="R126" i="4" s="1"/>
  <c r="R125" i="4" s="1"/>
  <c r="R124" i="4" s="1"/>
  <c r="R123" i="4" s="1"/>
  <c r="R122" i="4" s="1"/>
  <c r="R121" i="4" s="1"/>
  <c r="R120" i="4" s="1"/>
  <c r="R119" i="4" s="1"/>
  <c r="R118" i="4" s="1"/>
  <c r="R117" i="4" s="1"/>
  <c r="R116" i="4" s="1"/>
  <c r="R115" i="4" s="1"/>
  <c r="R114" i="4" s="1"/>
  <c r="R113" i="4" s="1"/>
  <c r="R112" i="4" s="1"/>
  <c r="R111" i="4" s="1"/>
  <c r="R110" i="4" s="1"/>
  <c r="R109" i="4" s="1"/>
  <c r="R108" i="4" s="1"/>
  <c r="R107" i="4" s="1"/>
  <c r="S203" i="4"/>
  <c r="S202" i="4" s="1"/>
  <c r="S201" i="4" s="1"/>
  <c r="S200" i="4" s="1"/>
  <c r="S199" i="4" s="1"/>
  <c r="T203" i="4"/>
  <c r="T202" i="4" s="1"/>
  <c r="T201" i="4" s="1"/>
  <c r="T200" i="4" s="1"/>
  <c r="T199" i="4" s="1"/>
  <c r="T198" i="4" s="1"/>
  <c r="T197" i="4" s="1"/>
  <c r="T196" i="4" s="1"/>
  <c r="T195" i="4" s="1"/>
  <c r="T194" i="4" s="1"/>
  <c r="T193" i="4" s="1"/>
  <c r="T192" i="4" s="1"/>
  <c r="T191" i="4" s="1"/>
  <c r="T190" i="4" s="1"/>
  <c r="T189" i="4" s="1"/>
  <c r="T188" i="4" s="1"/>
  <c r="T187" i="4" s="1"/>
  <c r="T186" i="4" s="1"/>
  <c r="T185" i="4" s="1"/>
  <c r="T184" i="4" s="1"/>
  <c r="T183" i="4" s="1"/>
  <c r="T182" i="4" s="1"/>
  <c r="T181" i="4" s="1"/>
  <c r="T180" i="4" s="1"/>
  <c r="T179" i="4" s="1"/>
  <c r="T178" i="4" s="1"/>
  <c r="T177" i="4" s="1"/>
  <c r="T176" i="4" s="1"/>
  <c r="T175" i="4" s="1"/>
  <c r="T174" i="4" s="1"/>
  <c r="T173" i="4" s="1"/>
  <c r="T172" i="4" s="1"/>
  <c r="T171" i="4" s="1"/>
  <c r="T170" i="4" s="1"/>
  <c r="T169" i="4" s="1"/>
  <c r="T168" i="4" s="1"/>
  <c r="T167" i="4" s="1"/>
  <c r="T166" i="4" s="1"/>
  <c r="T165" i="4" s="1"/>
  <c r="T164" i="4" s="1"/>
  <c r="T163" i="4" s="1"/>
  <c r="T162" i="4" s="1"/>
  <c r="T161" i="4" s="1"/>
  <c r="U203" i="4"/>
  <c r="U202" i="4" s="1"/>
  <c r="U201" i="4" s="1"/>
  <c r="U200" i="4" s="1"/>
  <c r="U199" i="4" s="1"/>
  <c r="U198" i="4" s="1"/>
  <c r="U197" i="4" s="1"/>
  <c r="U196" i="4" s="1"/>
  <c r="U195" i="4" s="1"/>
  <c r="U194" i="4" s="1"/>
  <c r="U193" i="4" s="1"/>
  <c r="U192" i="4" s="1"/>
  <c r="U191" i="4" s="1"/>
  <c r="U190" i="4" s="1"/>
  <c r="U189" i="4" s="1"/>
  <c r="U188" i="4" s="1"/>
  <c r="U187" i="4" s="1"/>
  <c r="U186" i="4" s="1"/>
  <c r="U185" i="4" s="1"/>
  <c r="U184" i="4" s="1"/>
  <c r="U183" i="4" s="1"/>
  <c r="U182" i="4" s="1"/>
  <c r="U181" i="4" s="1"/>
  <c r="U180" i="4" s="1"/>
  <c r="U179" i="4" s="1"/>
  <c r="U178" i="4" s="1"/>
  <c r="U177" i="4" s="1"/>
  <c r="U176" i="4" s="1"/>
  <c r="U175" i="4" s="1"/>
  <c r="U174" i="4" s="1"/>
  <c r="U173" i="4" s="1"/>
  <c r="U172" i="4" s="1"/>
  <c r="U171" i="4" s="1"/>
  <c r="U170" i="4" s="1"/>
  <c r="U169" i="4" s="1"/>
  <c r="U168" i="4" s="1"/>
  <c r="U167" i="4" s="1"/>
  <c r="U166" i="4" s="1"/>
  <c r="U165" i="4" s="1"/>
  <c r="U164" i="4" s="1"/>
  <c r="U163" i="4" s="1"/>
  <c r="U162" i="4" s="1"/>
  <c r="U161" i="4" s="1"/>
  <c r="V203" i="4"/>
  <c r="V202" i="4" s="1"/>
  <c r="V201" i="4" s="1"/>
  <c r="V200" i="4" s="1"/>
  <c r="V199" i="4" s="1"/>
  <c r="V198" i="4" s="1"/>
  <c r="V197" i="4" s="1"/>
  <c r="V196" i="4" s="1"/>
  <c r="V195" i="4" s="1"/>
  <c r="V194" i="4" s="1"/>
  <c r="V193" i="4" s="1"/>
  <c r="V192" i="4" s="1"/>
  <c r="V191" i="4" s="1"/>
  <c r="V190" i="4" s="1"/>
  <c r="V189" i="4" s="1"/>
  <c r="V188" i="4" s="1"/>
  <c r="V187" i="4" s="1"/>
  <c r="V186" i="4" s="1"/>
  <c r="V185" i="4" s="1"/>
  <c r="V184" i="4" s="1"/>
  <c r="V183" i="4" s="1"/>
  <c r="V182" i="4" s="1"/>
  <c r="V181" i="4" s="1"/>
  <c r="V180" i="4" s="1"/>
  <c r="V179" i="4" s="1"/>
  <c r="V178" i="4" s="1"/>
  <c r="V177" i="4" s="1"/>
  <c r="V176" i="4" s="1"/>
  <c r="V175" i="4" s="1"/>
  <c r="V174" i="4" s="1"/>
  <c r="V173" i="4" s="1"/>
  <c r="V172" i="4" s="1"/>
  <c r="V171" i="4" s="1"/>
  <c r="V170" i="4" s="1"/>
  <c r="V169" i="4" s="1"/>
  <c r="V168" i="4" s="1"/>
  <c r="V167" i="4" s="1"/>
  <c r="V166" i="4" s="1"/>
  <c r="V165" i="4" s="1"/>
  <c r="V164" i="4" s="1"/>
  <c r="V163" i="4" s="1"/>
  <c r="V162" i="4" s="1"/>
  <c r="V161" i="4" s="1"/>
  <c r="V160" i="4" s="1"/>
  <c r="V159" i="4" s="1"/>
  <c r="V158" i="4" s="1"/>
  <c r="V157" i="4" s="1"/>
  <c r="V156" i="4" s="1"/>
  <c r="V155" i="4" s="1"/>
  <c r="V154" i="4" s="1"/>
  <c r="V153" i="4" s="1"/>
  <c r="V152" i="4" s="1"/>
  <c r="V151" i="4" s="1"/>
  <c r="V150" i="4" s="1"/>
  <c r="V149" i="4" s="1"/>
  <c r="V148" i="4" s="1"/>
  <c r="V147" i="4" s="1"/>
  <c r="V146" i="4" s="1"/>
  <c r="V145" i="4" s="1"/>
  <c r="V144" i="4" s="1"/>
  <c r="V143" i="4" s="1"/>
  <c r="V142" i="4" s="1"/>
  <c r="V141" i="4" s="1"/>
  <c r="V140" i="4" s="1"/>
  <c r="V139" i="4" s="1"/>
  <c r="V138" i="4" s="1"/>
  <c r="V137" i="4" s="1"/>
  <c r="V136" i="4" s="1"/>
  <c r="V135" i="4" s="1"/>
  <c r="V134" i="4" s="1"/>
  <c r="V133" i="4" s="1"/>
  <c r="V132" i="4" s="1"/>
  <c r="V131" i="4" s="1"/>
  <c r="W203" i="4"/>
  <c r="W202" i="4" s="1"/>
  <c r="W201" i="4" s="1"/>
  <c r="W200" i="4" s="1"/>
  <c r="W199" i="4" s="1"/>
  <c r="W198" i="4" s="1"/>
  <c r="W197" i="4" s="1"/>
  <c r="W196" i="4" s="1"/>
  <c r="W195" i="4" s="1"/>
  <c r="W194" i="4" s="1"/>
  <c r="W193" i="4" s="1"/>
  <c r="W192" i="4" s="1"/>
  <c r="W191" i="4" s="1"/>
  <c r="W190" i="4" s="1"/>
  <c r="W189" i="4" s="1"/>
  <c r="W188" i="4" s="1"/>
  <c r="W187" i="4" s="1"/>
  <c r="W186" i="4" s="1"/>
  <c r="W185" i="4" s="1"/>
  <c r="W184" i="4" s="1"/>
  <c r="W183" i="4" s="1"/>
  <c r="W182" i="4" s="1"/>
  <c r="W181" i="4" s="1"/>
  <c r="W180" i="4" s="1"/>
  <c r="W179" i="4" s="1"/>
  <c r="W178" i="4" s="1"/>
  <c r="W177" i="4" s="1"/>
  <c r="W176" i="4" s="1"/>
  <c r="W175" i="4" s="1"/>
  <c r="W174" i="4" s="1"/>
  <c r="W173" i="4" s="1"/>
  <c r="W172" i="4" s="1"/>
  <c r="W171" i="4" s="1"/>
  <c r="W170" i="4" s="1"/>
  <c r="W169" i="4" s="1"/>
  <c r="W168" i="4" s="1"/>
  <c r="W167" i="4" s="1"/>
  <c r="W166" i="4" s="1"/>
  <c r="W165" i="4" s="1"/>
  <c r="W164" i="4" s="1"/>
  <c r="W163" i="4" s="1"/>
  <c r="W162" i="4" s="1"/>
  <c r="W161" i="4" s="1"/>
  <c r="W160" i="4" s="1"/>
  <c r="W159" i="4" s="1"/>
  <c r="W158" i="4" s="1"/>
  <c r="W157" i="4" s="1"/>
  <c r="W156" i="4" s="1"/>
  <c r="W155" i="4" s="1"/>
  <c r="W154" i="4" s="1"/>
  <c r="W153" i="4" s="1"/>
  <c r="W152" i="4" s="1"/>
  <c r="W151" i="4" s="1"/>
  <c r="W150" i="4" s="1"/>
  <c r="X203" i="4"/>
  <c r="X202" i="4" s="1"/>
  <c r="X201" i="4" s="1"/>
  <c r="X200" i="4" s="1"/>
  <c r="X199" i="4" s="1"/>
  <c r="X198" i="4" s="1"/>
  <c r="X197" i="4" s="1"/>
  <c r="X196" i="4" s="1"/>
  <c r="X195" i="4" s="1"/>
  <c r="X194" i="4" s="1"/>
  <c r="X193" i="4" s="1"/>
  <c r="X192" i="4" s="1"/>
  <c r="X191" i="4" s="1"/>
  <c r="X190" i="4" s="1"/>
  <c r="X189" i="4" s="1"/>
  <c r="X188" i="4" s="1"/>
  <c r="X187" i="4" s="1"/>
  <c r="X186" i="4" s="1"/>
  <c r="X185" i="4" s="1"/>
  <c r="X184" i="4" s="1"/>
  <c r="X183" i="4" s="1"/>
  <c r="X182" i="4" s="1"/>
  <c r="X181" i="4" s="1"/>
  <c r="X180" i="4" s="1"/>
  <c r="X179" i="4" s="1"/>
  <c r="X178" i="4" s="1"/>
  <c r="X177" i="4" s="1"/>
  <c r="X176" i="4" s="1"/>
  <c r="X175" i="4" s="1"/>
  <c r="X174" i="4" s="1"/>
  <c r="X173" i="4" s="1"/>
  <c r="X172" i="4" s="1"/>
  <c r="X171" i="4" s="1"/>
  <c r="X170" i="4" s="1"/>
  <c r="X169" i="4" s="1"/>
  <c r="X168" i="4" s="1"/>
  <c r="X167" i="4" s="1"/>
  <c r="X166" i="4" s="1"/>
  <c r="X165" i="4" s="1"/>
  <c r="X164" i="4" s="1"/>
  <c r="X163" i="4" s="1"/>
  <c r="X162" i="4" s="1"/>
  <c r="X161" i="4" s="1"/>
  <c r="X160" i="4" s="1"/>
  <c r="X159" i="4" s="1"/>
  <c r="X158" i="4" s="1"/>
  <c r="X157" i="4" s="1"/>
  <c r="X156" i="4" s="1"/>
  <c r="X155" i="4" s="1"/>
  <c r="X154" i="4" s="1"/>
  <c r="X153" i="4" s="1"/>
  <c r="X152" i="4" s="1"/>
  <c r="X151" i="4" s="1"/>
  <c r="X150" i="4" s="1"/>
  <c r="X149" i="4" s="1"/>
  <c r="X148" i="4" s="1"/>
  <c r="X147" i="4" s="1"/>
  <c r="X146" i="4" s="1"/>
  <c r="X145" i="4" s="1"/>
  <c r="X144" i="4" s="1"/>
  <c r="X143" i="4" s="1"/>
  <c r="X142" i="4" s="1"/>
  <c r="X141" i="4" s="1"/>
  <c r="X140" i="4" s="1"/>
  <c r="X139" i="4" s="1"/>
  <c r="X138" i="4" s="1"/>
  <c r="X137" i="4" s="1"/>
  <c r="X136" i="4" s="1"/>
  <c r="X135" i="4" s="1"/>
  <c r="X134" i="4" s="1"/>
  <c r="X133" i="4" s="1"/>
  <c r="X132" i="4" s="1"/>
  <c r="X131" i="4" s="1"/>
  <c r="X130" i="4" s="1"/>
  <c r="X129" i="4" s="1"/>
  <c r="X128" i="4" s="1"/>
  <c r="X127" i="4" s="1"/>
  <c r="X126" i="4" s="1"/>
  <c r="X125" i="4" s="1"/>
  <c r="X124" i="4" s="1"/>
  <c r="X123" i="4" s="1"/>
  <c r="X122" i="4" s="1"/>
  <c r="X121" i="4" s="1"/>
  <c r="X120" i="4" s="1"/>
  <c r="X119" i="4" s="1"/>
  <c r="X118" i="4" s="1"/>
  <c r="X117" i="4" s="1"/>
  <c r="X116" i="4" s="1"/>
  <c r="X115" i="4" s="1"/>
  <c r="X114" i="4" s="1"/>
  <c r="X113" i="4" s="1"/>
  <c r="X112" i="4" s="1"/>
  <c r="X111" i="4" s="1"/>
  <c r="X110" i="4" s="1"/>
  <c r="X109" i="4" s="1"/>
  <c r="X108" i="4" s="1"/>
  <c r="X107" i="4" s="1"/>
  <c r="Y203" i="4"/>
  <c r="Y202" i="4" s="1"/>
  <c r="Y201" i="4" s="1"/>
  <c r="Y200" i="4" s="1"/>
  <c r="Y199" i="4" s="1"/>
  <c r="Y198" i="4" s="1"/>
  <c r="Z203" i="4"/>
  <c r="Z202" i="4" s="1"/>
  <c r="Z201" i="4" s="1"/>
  <c r="Z200" i="4" s="1"/>
  <c r="Z199" i="4" s="1"/>
  <c r="Z198" i="4" s="1"/>
  <c r="Z197" i="4" s="1"/>
  <c r="Z196" i="4" s="1"/>
  <c r="Z195" i="4" s="1"/>
  <c r="Z194" i="4" s="1"/>
  <c r="Z193" i="4" s="1"/>
  <c r="Z192" i="4" s="1"/>
  <c r="Z191" i="4" s="1"/>
  <c r="Z190" i="4" s="1"/>
  <c r="Z189" i="4" s="1"/>
  <c r="Z188" i="4" s="1"/>
  <c r="Z187" i="4" s="1"/>
  <c r="Z186" i="4" s="1"/>
  <c r="Z185" i="4" s="1"/>
  <c r="Z184" i="4" s="1"/>
  <c r="Z183" i="4" s="1"/>
  <c r="Z182" i="4" s="1"/>
  <c r="Z181" i="4" s="1"/>
  <c r="Z180" i="4" s="1"/>
  <c r="Z179" i="4" s="1"/>
  <c r="Z178" i="4" s="1"/>
  <c r="Z177" i="4" s="1"/>
  <c r="Z176" i="4" s="1"/>
  <c r="Z175" i="4" s="1"/>
  <c r="Z174" i="4" s="1"/>
  <c r="Z173" i="4" s="1"/>
  <c r="Z172" i="4" s="1"/>
  <c r="Z171" i="4" s="1"/>
  <c r="Z170" i="4" s="1"/>
  <c r="Z169" i="4" s="1"/>
  <c r="Z168" i="4" s="1"/>
  <c r="Z167" i="4" s="1"/>
  <c r="Z166" i="4" s="1"/>
  <c r="Z165" i="4" s="1"/>
  <c r="Z164" i="4" s="1"/>
  <c r="Z163" i="4" s="1"/>
  <c r="Z162" i="4" s="1"/>
  <c r="Z161" i="4" s="1"/>
  <c r="Z160" i="4" s="1"/>
  <c r="Z159" i="4" s="1"/>
  <c r="Z158" i="4" s="1"/>
  <c r="Z157" i="4" s="1"/>
  <c r="Z156" i="4" s="1"/>
  <c r="Z155" i="4" s="1"/>
  <c r="Z154" i="4" s="1"/>
  <c r="Z153" i="4" s="1"/>
  <c r="Z152" i="4" s="1"/>
  <c r="Z151" i="4" s="1"/>
  <c r="Z150" i="4" s="1"/>
  <c r="AA203" i="4"/>
  <c r="AA202" i="4" s="1"/>
  <c r="AA201" i="4" s="1"/>
  <c r="AA200" i="4" s="1"/>
  <c r="AA199" i="4" s="1"/>
  <c r="AA198" i="4" s="1"/>
  <c r="AA197" i="4" s="1"/>
  <c r="AA196" i="4" s="1"/>
  <c r="AA195" i="4" s="1"/>
  <c r="AA194" i="4" s="1"/>
  <c r="AA193" i="4" s="1"/>
  <c r="AA192" i="4" s="1"/>
  <c r="AA191" i="4" s="1"/>
  <c r="AA190" i="4" s="1"/>
  <c r="AA189" i="4" s="1"/>
  <c r="AA188" i="4" s="1"/>
  <c r="AA187" i="4" s="1"/>
  <c r="AA186" i="4" s="1"/>
  <c r="AA185" i="4" s="1"/>
  <c r="AA184" i="4" s="1"/>
  <c r="AA183" i="4" s="1"/>
  <c r="AA182" i="4" s="1"/>
  <c r="AA181" i="4" s="1"/>
  <c r="AA180" i="4" s="1"/>
  <c r="AA179" i="4" s="1"/>
  <c r="AA178" i="4" s="1"/>
  <c r="AA177" i="4" s="1"/>
  <c r="AA176" i="4" s="1"/>
  <c r="AA175" i="4" s="1"/>
  <c r="AA174" i="4" s="1"/>
  <c r="AA173" i="4" s="1"/>
  <c r="AA172" i="4" s="1"/>
  <c r="AA171" i="4" s="1"/>
  <c r="AA170" i="4" s="1"/>
  <c r="AA169" i="4" s="1"/>
  <c r="AA168" i="4" s="1"/>
  <c r="AA167" i="4" s="1"/>
  <c r="AA166" i="4" s="1"/>
  <c r="AA165" i="4" s="1"/>
  <c r="AA164" i="4" s="1"/>
  <c r="AA163" i="4" s="1"/>
  <c r="AA162" i="4" s="1"/>
  <c r="AA161" i="4" s="1"/>
  <c r="AA160" i="4" s="1"/>
  <c r="AA159" i="4" s="1"/>
  <c r="AA158" i="4" s="1"/>
  <c r="AA157" i="4" s="1"/>
  <c r="AA156" i="4" s="1"/>
  <c r="AA155" i="4" s="1"/>
  <c r="AA154" i="4" s="1"/>
  <c r="AA153" i="4" s="1"/>
  <c r="AA152" i="4" s="1"/>
  <c r="AA151" i="4" s="1"/>
  <c r="AA150" i="4" s="1"/>
  <c r="AB203" i="4"/>
  <c r="AB202" i="4" s="1"/>
  <c r="AB201" i="4" s="1"/>
  <c r="AB200" i="4" s="1"/>
  <c r="AB199" i="4" s="1"/>
  <c r="AB198" i="4" s="1"/>
  <c r="AB197" i="4" s="1"/>
  <c r="AB196" i="4" s="1"/>
  <c r="AB195" i="4" s="1"/>
  <c r="AB194" i="4" s="1"/>
  <c r="AB193" i="4" s="1"/>
  <c r="AB192" i="4" s="1"/>
  <c r="AB191" i="4" s="1"/>
  <c r="AB190" i="4" s="1"/>
  <c r="AB189" i="4" s="1"/>
  <c r="AB188" i="4" s="1"/>
  <c r="AB187" i="4" s="1"/>
  <c r="AB186" i="4" s="1"/>
  <c r="AB185" i="4" s="1"/>
  <c r="AB184" i="4" s="1"/>
  <c r="AB183" i="4" s="1"/>
  <c r="AB182" i="4" s="1"/>
  <c r="AB181" i="4" s="1"/>
  <c r="AB180" i="4" s="1"/>
  <c r="AB179" i="4" s="1"/>
  <c r="AB178" i="4" s="1"/>
  <c r="AB177" i="4" s="1"/>
  <c r="AB176" i="4" s="1"/>
  <c r="AB175" i="4" s="1"/>
  <c r="AB174" i="4" s="1"/>
  <c r="AB173" i="4" s="1"/>
  <c r="AB172" i="4" s="1"/>
  <c r="AB171" i="4" s="1"/>
  <c r="AB170" i="4" s="1"/>
  <c r="AB169" i="4" s="1"/>
  <c r="AB168" i="4" s="1"/>
  <c r="AB167" i="4" s="1"/>
  <c r="AB166" i="4" s="1"/>
  <c r="AB165" i="4" s="1"/>
  <c r="AB164" i="4" s="1"/>
  <c r="AB163" i="4" s="1"/>
  <c r="AB162" i="4" s="1"/>
  <c r="AB161" i="4" s="1"/>
  <c r="AB160" i="4" s="1"/>
  <c r="AB159" i="4" s="1"/>
  <c r="AB158" i="4" s="1"/>
  <c r="AB157" i="4" s="1"/>
  <c r="AB156" i="4" s="1"/>
  <c r="AB155" i="4" s="1"/>
  <c r="AB154" i="4" s="1"/>
  <c r="AB153" i="4" s="1"/>
  <c r="AB152" i="4" s="1"/>
  <c r="AB151" i="4" s="1"/>
  <c r="AB150" i="4" s="1"/>
  <c r="AB149" i="4" s="1"/>
  <c r="AB148" i="4" s="1"/>
  <c r="AB147" i="4" s="1"/>
  <c r="AB146" i="4" s="1"/>
  <c r="AB145" i="4" s="1"/>
  <c r="AB144" i="4" s="1"/>
  <c r="AB143" i="4" s="1"/>
  <c r="AB142" i="4" s="1"/>
  <c r="AB141" i="4" s="1"/>
  <c r="AB140" i="4" s="1"/>
  <c r="AB139" i="4" s="1"/>
  <c r="AB138" i="4" s="1"/>
  <c r="AB137" i="4" s="1"/>
  <c r="AB136" i="4" s="1"/>
  <c r="AB135" i="4" s="1"/>
  <c r="AB134" i="4" s="1"/>
  <c r="AB133" i="4" s="1"/>
  <c r="AB132" i="4" s="1"/>
  <c r="AB131" i="4" s="1"/>
  <c r="AC203" i="4"/>
  <c r="AC202" i="4" s="1"/>
  <c r="AC201" i="4" s="1"/>
  <c r="AC200" i="4" s="1"/>
  <c r="AC199" i="4" s="1"/>
  <c r="AC198" i="4" s="1"/>
  <c r="AC197" i="4" s="1"/>
  <c r="AC196" i="4" s="1"/>
  <c r="AC195" i="4" s="1"/>
  <c r="AC194" i="4" s="1"/>
  <c r="AC193" i="4" s="1"/>
  <c r="AC192" i="4" s="1"/>
  <c r="AC191" i="4" s="1"/>
  <c r="AC190" i="4" s="1"/>
  <c r="AC189" i="4" s="1"/>
  <c r="AC188" i="4" s="1"/>
  <c r="AC187" i="4" s="1"/>
  <c r="AC186" i="4" s="1"/>
  <c r="AC185" i="4" s="1"/>
  <c r="AC184" i="4" s="1"/>
  <c r="AC183" i="4" s="1"/>
  <c r="AC182" i="4" s="1"/>
  <c r="AC181" i="4" s="1"/>
  <c r="AC180" i="4" s="1"/>
  <c r="AC179" i="4" s="1"/>
  <c r="AC178" i="4" s="1"/>
  <c r="AC177" i="4" s="1"/>
  <c r="AC176" i="4" s="1"/>
  <c r="AC175" i="4" s="1"/>
  <c r="AC174" i="4" s="1"/>
  <c r="AC173" i="4" s="1"/>
  <c r="AC172" i="4" s="1"/>
  <c r="AC171" i="4" s="1"/>
  <c r="AC170" i="4" s="1"/>
  <c r="AC169" i="4" s="1"/>
  <c r="AC168" i="4" s="1"/>
  <c r="AC167" i="4" s="1"/>
  <c r="AC166" i="4" s="1"/>
  <c r="AC165" i="4" s="1"/>
  <c r="AC164" i="4" s="1"/>
  <c r="AC163" i="4" s="1"/>
  <c r="AC162" i="4" s="1"/>
  <c r="AC161" i="4" s="1"/>
  <c r="AC160" i="4" s="1"/>
  <c r="AC159" i="4" s="1"/>
  <c r="AC158" i="4" s="1"/>
  <c r="AD203" i="4"/>
  <c r="AD202" i="4" s="1"/>
  <c r="AD201" i="4" s="1"/>
  <c r="AD200" i="4" s="1"/>
  <c r="AD199" i="4" s="1"/>
  <c r="AD198" i="4" s="1"/>
  <c r="AD197" i="4" s="1"/>
  <c r="AD196" i="4" s="1"/>
  <c r="AD195" i="4" s="1"/>
  <c r="AD194" i="4" s="1"/>
  <c r="AD193" i="4" s="1"/>
  <c r="AD192" i="4" s="1"/>
  <c r="AD191" i="4" s="1"/>
  <c r="AD190" i="4" s="1"/>
  <c r="AD189" i="4" s="1"/>
  <c r="AD188" i="4" s="1"/>
  <c r="AD187" i="4" s="1"/>
  <c r="AD186" i="4" s="1"/>
  <c r="AD185" i="4" s="1"/>
  <c r="AD184" i="4" s="1"/>
  <c r="AD183" i="4" s="1"/>
  <c r="AD182" i="4" s="1"/>
  <c r="AD181" i="4" s="1"/>
  <c r="AD180" i="4" s="1"/>
  <c r="AD179" i="4" s="1"/>
  <c r="AD178" i="4" s="1"/>
  <c r="AD177" i="4" s="1"/>
  <c r="AD176" i="4" s="1"/>
  <c r="AD175" i="4" s="1"/>
  <c r="AD174" i="4" s="1"/>
  <c r="AD173" i="4" s="1"/>
  <c r="AD172" i="4" s="1"/>
  <c r="AD171" i="4" s="1"/>
  <c r="AD170" i="4" s="1"/>
  <c r="AD169" i="4" s="1"/>
  <c r="AD168" i="4" s="1"/>
  <c r="AD167" i="4" s="1"/>
  <c r="AD166" i="4" s="1"/>
  <c r="AD165" i="4" s="1"/>
  <c r="AD164" i="4" s="1"/>
  <c r="AD163" i="4" s="1"/>
  <c r="AD162" i="4" s="1"/>
  <c r="AD161" i="4" s="1"/>
  <c r="AD160" i="4" s="1"/>
  <c r="AD159" i="4" s="1"/>
  <c r="AD158" i="4" s="1"/>
  <c r="AE203" i="4"/>
  <c r="AE202" i="4" s="1"/>
  <c r="AE201" i="4" s="1"/>
  <c r="AE200" i="4" s="1"/>
  <c r="AE199" i="4" s="1"/>
  <c r="AE198" i="4" s="1"/>
  <c r="AE197" i="4" s="1"/>
  <c r="AE196" i="4" s="1"/>
  <c r="AE195" i="4" s="1"/>
  <c r="AE194" i="4" s="1"/>
  <c r="AF203" i="4"/>
  <c r="AF202" i="4" s="1"/>
  <c r="AF201" i="4" s="1"/>
  <c r="AF200" i="4" s="1"/>
  <c r="AF199" i="4" s="1"/>
  <c r="AF198" i="4" s="1"/>
  <c r="AF197" i="4" s="1"/>
  <c r="AF196" i="4" s="1"/>
  <c r="AF195" i="4" s="1"/>
  <c r="AF194" i="4" s="1"/>
  <c r="AF193" i="4" s="1"/>
  <c r="AF192" i="4" s="1"/>
  <c r="AF191" i="4" s="1"/>
  <c r="AF190" i="4" s="1"/>
  <c r="AF189" i="4" s="1"/>
  <c r="AF188" i="4" s="1"/>
  <c r="AF187" i="4" s="1"/>
  <c r="AF186" i="4" s="1"/>
  <c r="AF185" i="4" s="1"/>
  <c r="AF184" i="4" s="1"/>
  <c r="AF183" i="4" s="1"/>
  <c r="AF182" i="4" s="1"/>
  <c r="AF181" i="4" s="1"/>
  <c r="AF180" i="4" s="1"/>
  <c r="AF179" i="4" s="1"/>
  <c r="AF178" i="4" s="1"/>
  <c r="AF177" i="4" s="1"/>
  <c r="AF176" i="4" s="1"/>
  <c r="AF175" i="4" s="1"/>
  <c r="AF174" i="4" s="1"/>
  <c r="AF173" i="4" s="1"/>
  <c r="AF172" i="4" s="1"/>
  <c r="AF171" i="4" s="1"/>
  <c r="AF170" i="4" s="1"/>
  <c r="AF169" i="4" s="1"/>
  <c r="AF168" i="4" s="1"/>
  <c r="AF167" i="4" s="1"/>
  <c r="AF166" i="4" s="1"/>
  <c r="AF165" i="4" s="1"/>
  <c r="AF164" i="4" s="1"/>
  <c r="AF163" i="4" s="1"/>
  <c r="AF162" i="4" s="1"/>
  <c r="AF161" i="4" s="1"/>
  <c r="AF160" i="4" s="1"/>
  <c r="AF159" i="4" s="1"/>
  <c r="AF158" i="4" s="1"/>
  <c r="AG203" i="4"/>
  <c r="AG202" i="4" s="1"/>
  <c r="AG201" i="4" s="1"/>
  <c r="AG200" i="4" s="1"/>
  <c r="AG199" i="4" s="1"/>
  <c r="AG198" i="4" s="1"/>
  <c r="AG197" i="4" s="1"/>
  <c r="AG196" i="4" s="1"/>
  <c r="AG195" i="4" s="1"/>
  <c r="AG194" i="4" s="1"/>
  <c r="AG193" i="4" s="1"/>
  <c r="AG192" i="4" s="1"/>
  <c r="AG191" i="4" s="1"/>
  <c r="AG190" i="4" s="1"/>
  <c r="AG189" i="4" s="1"/>
  <c r="AG188" i="4" s="1"/>
  <c r="AG187" i="4" s="1"/>
  <c r="AG186" i="4" s="1"/>
  <c r="AG185" i="4" s="1"/>
  <c r="AG184" i="4" s="1"/>
  <c r="AG183" i="4" s="1"/>
  <c r="AG182" i="4" s="1"/>
  <c r="AG181" i="4" s="1"/>
  <c r="AG180" i="4" s="1"/>
  <c r="AG179" i="4" s="1"/>
  <c r="AG178" i="4" s="1"/>
  <c r="AG177" i="4" s="1"/>
  <c r="AG176" i="4" s="1"/>
  <c r="AG175" i="4" s="1"/>
  <c r="AG174" i="4" s="1"/>
  <c r="AG173" i="4" s="1"/>
  <c r="AG172" i="4" s="1"/>
  <c r="AG171" i="4" s="1"/>
  <c r="AG170" i="4" s="1"/>
  <c r="AG169" i="4" s="1"/>
  <c r="AG168" i="4" s="1"/>
  <c r="AG167" i="4" s="1"/>
  <c r="AG166" i="4" s="1"/>
  <c r="AG165" i="4" s="1"/>
  <c r="AG164" i="4" s="1"/>
  <c r="AG163" i="4" s="1"/>
  <c r="AG162" i="4" s="1"/>
  <c r="AG161" i="4" s="1"/>
  <c r="AG160" i="4" s="1"/>
  <c r="AG159" i="4" s="1"/>
  <c r="AG158" i="4" s="1"/>
  <c r="AH203" i="4"/>
  <c r="AH202" i="4" s="1"/>
  <c r="AH201" i="4" s="1"/>
  <c r="AH200" i="4" s="1"/>
  <c r="AH199" i="4" s="1"/>
  <c r="AH198" i="4" s="1"/>
  <c r="AH197" i="4" s="1"/>
  <c r="AH196" i="4" s="1"/>
  <c r="AH195" i="4" s="1"/>
  <c r="AH194" i="4" s="1"/>
  <c r="AH193" i="4" s="1"/>
  <c r="AH192" i="4" s="1"/>
  <c r="AH191" i="4" s="1"/>
  <c r="AH190" i="4" s="1"/>
  <c r="AH189" i="4" s="1"/>
  <c r="AH188" i="4" s="1"/>
  <c r="AH187" i="4" s="1"/>
  <c r="AH186" i="4" s="1"/>
  <c r="AH185" i="4" s="1"/>
  <c r="AH184" i="4" s="1"/>
  <c r="AH183" i="4" s="1"/>
  <c r="AH182" i="4" s="1"/>
  <c r="AH181" i="4" s="1"/>
  <c r="AH180" i="4" s="1"/>
  <c r="AH179" i="4" s="1"/>
  <c r="AH178" i="4" s="1"/>
  <c r="AH177" i="4" s="1"/>
  <c r="AH176" i="4" s="1"/>
  <c r="AH175" i="4" s="1"/>
  <c r="AH174" i="4" s="1"/>
  <c r="AH173" i="4" s="1"/>
  <c r="AH172" i="4" s="1"/>
  <c r="AH171" i="4" s="1"/>
  <c r="AH170" i="4" s="1"/>
  <c r="AH169" i="4" s="1"/>
  <c r="AH168" i="4" s="1"/>
  <c r="AH167" i="4" s="1"/>
  <c r="AH166" i="4" s="1"/>
  <c r="AH165" i="4" s="1"/>
  <c r="AH164" i="4" s="1"/>
  <c r="AH163" i="4" s="1"/>
  <c r="AH162" i="4" s="1"/>
  <c r="AH161" i="4" s="1"/>
  <c r="AH160" i="4" s="1"/>
  <c r="AH159" i="4" s="1"/>
  <c r="AH158" i="4" s="1"/>
  <c r="AH157" i="4" s="1"/>
  <c r="AH156" i="4" s="1"/>
  <c r="AH155" i="4" s="1"/>
  <c r="AH154" i="4" s="1"/>
  <c r="AH153" i="4" s="1"/>
  <c r="AH152" i="4" s="1"/>
  <c r="AH151" i="4" s="1"/>
  <c r="AH150" i="4" s="1"/>
  <c r="AH149" i="4" s="1"/>
  <c r="AH148" i="4" s="1"/>
  <c r="AH147" i="4" s="1"/>
  <c r="AH146" i="4" s="1"/>
  <c r="AH145" i="4" s="1"/>
  <c r="AH144" i="4" s="1"/>
  <c r="AH143" i="4" s="1"/>
  <c r="AH142" i="4" s="1"/>
  <c r="AH141" i="4" s="1"/>
  <c r="AH140" i="4" s="1"/>
  <c r="AH139" i="4" s="1"/>
  <c r="AH138" i="4" s="1"/>
  <c r="AH137" i="4" s="1"/>
  <c r="AH136" i="4" s="1"/>
  <c r="AH135" i="4" s="1"/>
  <c r="AH134" i="4" s="1"/>
  <c r="AH133" i="4" s="1"/>
  <c r="AH132" i="4" s="1"/>
  <c r="AH131" i="4" s="1"/>
  <c r="AI203" i="4"/>
  <c r="AI202" i="4" s="1"/>
  <c r="AI201" i="4" s="1"/>
  <c r="AI200" i="4" s="1"/>
  <c r="AI199" i="4" s="1"/>
  <c r="AI198" i="4" s="1"/>
  <c r="AI197" i="4" s="1"/>
  <c r="AI196" i="4" s="1"/>
  <c r="AI195" i="4" s="1"/>
  <c r="AI194" i="4" s="1"/>
  <c r="AI193" i="4" s="1"/>
  <c r="AI192" i="4" s="1"/>
  <c r="AI191" i="4" s="1"/>
  <c r="AI190" i="4" s="1"/>
  <c r="AI189" i="4" s="1"/>
  <c r="AI188" i="4" s="1"/>
  <c r="AI187" i="4" s="1"/>
  <c r="AI186" i="4" s="1"/>
  <c r="AI185" i="4" s="1"/>
  <c r="AI184" i="4" s="1"/>
  <c r="AI183" i="4" s="1"/>
  <c r="AI182" i="4" s="1"/>
  <c r="AI181" i="4" s="1"/>
  <c r="AI180" i="4" s="1"/>
  <c r="AI179" i="4" s="1"/>
  <c r="AI178" i="4" s="1"/>
  <c r="AI177" i="4" s="1"/>
  <c r="AI176" i="4" s="1"/>
  <c r="AI175" i="4" s="1"/>
  <c r="AI174" i="4" s="1"/>
  <c r="AI173" i="4" s="1"/>
  <c r="AI172" i="4" s="1"/>
  <c r="AI171" i="4" s="1"/>
  <c r="AI170" i="4" s="1"/>
  <c r="AI169" i="4" s="1"/>
  <c r="AI168" i="4" s="1"/>
  <c r="AI167" i="4" s="1"/>
  <c r="AI166" i="4" s="1"/>
  <c r="AI165" i="4" s="1"/>
  <c r="AI164" i="4" s="1"/>
  <c r="AI163" i="4" s="1"/>
  <c r="AI162" i="4" s="1"/>
  <c r="AI161" i="4" s="1"/>
  <c r="AI160" i="4" s="1"/>
  <c r="AI159" i="4" s="1"/>
  <c r="AI158" i="4" s="1"/>
  <c r="AI157" i="4" s="1"/>
  <c r="AI156" i="4" s="1"/>
  <c r="AI155" i="4" s="1"/>
  <c r="AI154" i="4" s="1"/>
  <c r="AI153" i="4" s="1"/>
  <c r="AI152" i="4" s="1"/>
  <c r="AJ203" i="4"/>
  <c r="AJ202" i="4" s="1"/>
  <c r="AJ201" i="4" s="1"/>
  <c r="AJ200" i="4" s="1"/>
  <c r="AJ199" i="4" s="1"/>
  <c r="AJ198" i="4" s="1"/>
  <c r="AJ197" i="4" s="1"/>
  <c r="AJ196" i="4" s="1"/>
  <c r="AJ195" i="4" s="1"/>
  <c r="AJ194" i="4" s="1"/>
  <c r="AJ193" i="4" s="1"/>
  <c r="AJ192" i="4" s="1"/>
  <c r="AJ191" i="4" s="1"/>
  <c r="AJ190" i="4" s="1"/>
  <c r="AJ189" i="4" s="1"/>
  <c r="AJ188" i="4" s="1"/>
  <c r="AJ187" i="4" s="1"/>
  <c r="AJ186" i="4" s="1"/>
  <c r="AJ185" i="4" s="1"/>
  <c r="AJ184" i="4" s="1"/>
  <c r="AJ183" i="4" s="1"/>
  <c r="AJ182" i="4" s="1"/>
  <c r="AJ181" i="4" s="1"/>
  <c r="AJ180" i="4" s="1"/>
  <c r="AJ179" i="4" s="1"/>
  <c r="AJ178" i="4" s="1"/>
  <c r="AJ177" i="4" s="1"/>
  <c r="AJ176" i="4" s="1"/>
  <c r="AJ175" i="4" s="1"/>
  <c r="AJ174" i="4" s="1"/>
  <c r="AJ173" i="4" s="1"/>
  <c r="AJ172" i="4" s="1"/>
  <c r="AJ171" i="4" s="1"/>
  <c r="AJ170" i="4" s="1"/>
  <c r="AJ169" i="4" s="1"/>
  <c r="AJ168" i="4" s="1"/>
  <c r="AJ167" i="4" s="1"/>
  <c r="AJ166" i="4" s="1"/>
  <c r="AJ165" i="4" s="1"/>
  <c r="AJ164" i="4" s="1"/>
  <c r="AJ163" i="4" s="1"/>
  <c r="AJ162" i="4" s="1"/>
  <c r="AJ161" i="4" s="1"/>
  <c r="AJ160" i="4" s="1"/>
  <c r="AJ159" i="4" s="1"/>
  <c r="AJ158" i="4" s="1"/>
  <c r="AJ157" i="4" s="1"/>
  <c r="AJ156" i="4" s="1"/>
  <c r="AJ155" i="4" s="1"/>
  <c r="AJ154" i="4" s="1"/>
  <c r="AJ153" i="4" s="1"/>
  <c r="AJ152" i="4" s="1"/>
  <c r="AJ151" i="4" s="1"/>
  <c r="AJ150" i="4" s="1"/>
  <c r="AJ149" i="4" s="1"/>
  <c r="AJ148" i="4" s="1"/>
  <c r="AJ147" i="4" s="1"/>
  <c r="AJ146" i="4" s="1"/>
  <c r="AJ145" i="4" s="1"/>
  <c r="AJ144" i="4" s="1"/>
  <c r="AJ143" i="4" s="1"/>
  <c r="AJ142" i="4" s="1"/>
  <c r="AJ141" i="4" s="1"/>
  <c r="AJ140" i="4" s="1"/>
  <c r="AJ139" i="4" s="1"/>
  <c r="AJ138" i="4" s="1"/>
  <c r="AJ137" i="4" s="1"/>
  <c r="AJ136" i="4" s="1"/>
  <c r="AJ135" i="4" s="1"/>
  <c r="AJ134" i="4" s="1"/>
  <c r="AJ133" i="4" s="1"/>
  <c r="AJ132" i="4" s="1"/>
  <c r="AJ131" i="4" s="1"/>
  <c r="AJ130" i="4" s="1"/>
  <c r="AJ129" i="4" s="1"/>
  <c r="AJ128" i="4" s="1"/>
  <c r="AJ127" i="4" s="1"/>
  <c r="AJ126" i="4" s="1"/>
  <c r="AJ125" i="4" s="1"/>
  <c r="AJ124" i="4" s="1"/>
  <c r="AJ123" i="4" s="1"/>
  <c r="AJ122" i="4" s="1"/>
  <c r="AJ121" i="4" s="1"/>
  <c r="AJ120" i="4" s="1"/>
  <c r="AJ119" i="4" s="1"/>
  <c r="AJ118" i="4" s="1"/>
  <c r="AJ117" i="4" s="1"/>
  <c r="AJ116" i="4" s="1"/>
  <c r="AJ115" i="4" s="1"/>
  <c r="AJ114" i="4" s="1"/>
  <c r="AJ113" i="4" s="1"/>
  <c r="AJ112" i="4" s="1"/>
  <c r="AJ111" i="4" s="1"/>
  <c r="AJ110" i="4" s="1"/>
  <c r="AJ109" i="4" s="1"/>
  <c r="AJ108" i="4" s="1"/>
  <c r="AJ107" i="4" s="1"/>
  <c r="AK203" i="4"/>
  <c r="AK202" i="4" s="1"/>
  <c r="AK201" i="4" s="1"/>
  <c r="AK200" i="4" s="1"/>
  <c r="AK199" i="4" s="1"/>
  <c r="AK198" i="4" s="1"/>
  <c r="AK197" i="4" s="1"/>
  <c r="AK196" i="4" s="1"/>
  <c r="AK195" i="4" s="1"/>
  <c r="AK194" i="4" s="1"/>
  <c r="AL203" i="4"/>
  <c r="AL202" i="4" s="1"/>
  <c r="AL201" i="4" s="1"/>
  <c r="AL200" i="4" s="1"/>
  <c r="AL199" i="4" s="1"/>
  <c r="AL198" i="4" s="1"/>
  <c r="AL197" i="4" s="1"/>
  <c r="AL196" i="4" s="1"/>
  <c r="AL195" i="4" s="1"/>
  <c r="AL194" i="4" s="1"/>
  <c r="AL193" i="4" s="1"/>
  <c r="AL192" i="4" s="1"/>
  <c r="AL191" i="4" s="1"/>
  <c r="AL190" i="4" s="1"/>
  <c r="AL189" i="4" s="1"/>
  <c r="AL188" i="4" s="1"/>
  <c r="AL187" i="4" s="1"/>
  <c r="AL186" i="4" s="1"/>
  <c r="AL185" i="4" s="1"/>
  <c r="AL184" i="4" s="1"/>
  <c r="AL183" i="4" s="1"/>
  <c r="AL182" i="4" s="1"/>
  <c r="AL181" i="4" s="1"/>
  <c r="AL180" i="4" s="1"/>
  <c r="AL179" i="4" s="1"/>
  <c r="AL178" i="4" s="1"/>
  <c r="AL177" i="4" s="1"/>
  <c r="AL176" i="4" s="1"/>
  <c r="AL175" i="4" s="1"/>
  <c r="AL174" i="4" s="1"/>
  <c r="AL173" i="4" s="1"/>
  <c r="AL172" i="4" s="1"/>
  <c r="AL171" i="4" s="1"/>
  <c r="AL170" i="4" s="1"/>
  <c r="AL169" i="4" s="1"/>
  <c r="AL168" i="4" s="1"/>
  <c r="AL167" i="4" s="1"/>
  <c r="AL166" i="4" s="1"/>
  <c r="AL165" i="4" s="1"/>
  <c r="AL164" i="4" s="1"/>
  <c r="AL163" i="4" s="1"/>
  <c r="AL162" i="4" s="1"/>
  <c r="AL161" i="4" s="1"/>
  <c r="AL160" i="4" s="1"/>
  <c r="AL159" i="4" s="1"/>
  <c r="AL158" i="4" s="1"/>
  <c r="AL157" i="4" s="1"/>
  <c r="AL156" i="4" s="1"/>
  <c r="AL155" i="4" s="1"/>
  <c r="AL154" i="4" s="1"/>
  <c r="AL153" i="4" s="1"/>
  <c r="AL152" i="4" s="1"/>
  <c r="AM203" i="4"/>
  <c r="AM202" i="4" s="1"/>
  <c r="AM201" i="4" s="1"/>
  <c r="AM200" i="4" s="1"/>
  <c r="AM199" i="4" s="1"/>
  <c r="AM198" i="4" s="1"/>
  <c r="AM197" i="4" s="1"/>
  <c r="AM196" i="4" s="1"/>
  <c r="AM195" i="4" s="1"/>
  <c r="AM194" i="4" s="1"/>
  <c r="AM193" i="4" s="1"/>
  <c r="AM192" i="4" s="1"/>
  <c r="AM191" i="4" s="1"/>
  <c r="AM190" i="4" s="1"/>
  <c r="AM189" i="4" s="1"/>
  <c r="AM188" i="4" s="1"/>
  <c r="AM187" i="4" s="1"/>
  <c r="AM186" i="4" s="1"/>
  <c r="AM185" i="4" s="1"/>
  <c r="AM184" i="4" s="1"/>
  <c r="AM183" i="4" s="1"/>
  <c r="AM182" i="4" s="1"/>
  <c r="AM181" i="4" s="1"/>
  <c r="AM180" i="4" s="1"/>
  <c r="AM179" i="4" s="1"/>
  <c r="AM178" i="4" s="1"/>
  <c r="AM177" i="4" s="1"/>
  <c r="AM176" i="4" s="1"/>
  <c r="AM175" i="4" s="1"/>
  <c r="AM174" i="4" s="1"/>
  <c r="AM173" i="4" s="1"/>
  <c r="AM172" i="4" s="1"/>
  <c r="AM171" i="4" s="1"/>
  <c r="AM170" i="4" s="1"/>
  <c r="AM169" i="4" s="1"/>
  <c r="AM168" i="4" s="1"/>
  <c r="AM167" i="4" s="1"/>
  <c r="AM166" i="4" s="1"/>
  <c r="AM165" i="4" s="1"/>
  <c r="AM164" i="4" s="1"/>
  <c r="AM163" i="4" s="1"/>
  <c r="AM162" i="4" s="1"/>
  <c r="AM161" i="4" s="1"/>
  <c r="AM160" i="4" s="1"/>
  <c r="AM159" i="4" s="1"/>
  <c r="AM158" i="4" s="1"/>
  <c r="AM157" i="4" s="1"/>
  <c r="AM156" i="4" s="1"/>
  <c r="AM155" i="4" s="1"/>
  <c r="AM154" i="4" s="1"/>
  <c r="AM153" i="4" s="1"/>
  <c r="AM152" i="4" s="1"/>
  <c r="AN203" i="4"/>
  <c r="AN202" i="4" s="1"/>
  <c r="AN201" i="4" s="1"/>
  <c r="AN200" i="4" s="1"/>
  <c r="AN199" i="4" s="1"/>
  <c r="AN198" i="4" s="1"/>
  <c r="AN197" i="4" s="1"/>
  <c r="AN196" i="4" s="1"/>
  <c r="AN195" i="4" s="1"/>
  <c r="AN194" i="4" s="1"/>
  <c r="AN193" i="4" s="1"/>
  <c r="AN192" i="4" s="1"/>
  <c r="AN191" i="4" s="1"/>
  <c r="AN190" i="4" s="1"/>
  <c r="AN189" i="4" s="1"/>
  <c r="AN188" i="4" s="1"/>
  <c r="AN187" i="4" s="1"/>
  <c r="AN186" i="4" s="1"/>
  <c r="AN185" i="4" s="1"/>
  <c r="AN184" i="4" s="1"/>
  <c r="AN183" i="4" s="1"/>
  <c r="AN182" i="4" s="1"/>
  <c r="AN181" i="4" s="1"/>
  <c r="AN180" i="4" s="1"/>
  <c r="AN179" i="4" s="1"/>
  <c r="AN178" i="4" s="1"/>
  <c r="AN177" i="4" s="1"/>
  <c r="AN176" i="4" s="1"/>
  <c r="AN175" i="4" s="1"/>
  <c r="AN174" i="4" s="1"/>
  <c r="AN173" i="4" s="1"/>
  <c r="AN172" i="4" s="1"/>
  <c r="AN171" i="4" s="1"/>
  <c r="AN170" i="4" s="1"/>
  <c r="AN169" i="4" s="1"/>
  <c r="AN168" i="4" s="1"/>
  <c r="AN167" i="4" s="1"/>
  <c r="AN166" i="4" s="1"/>
  <c r="AN165" i="4" s="1"/>
  <c r="AN164" i="4" s="1"/>
  <c r="AN163" i="4" s="1"/>
  <c r="AN162" i="4" s="1"/>
  <c r="AN161" i="4" s="1"/>
  <c r="AN160" i="4" s="1"/>
  <c r="AN159" i="4" s="1"/>
  <c r="AN158" i="4" s="1"/>
  <c r="AN157" i="4" s="1"/>
  <c r="AN156" i="4" s="1"/>
  <c r="AN155" i="4" s="1"/>
  <c r="AN154" i="4" s="1"/>
  <c r="AN153" i="4" s="1"/>
  <c r="AN152" i="4" s="1"/>
  <c r="AN151" i="4" s="1"/>
  <c r="AN150" i="4" s="1"/>
  <c r="AN149" i="4" s="1"/>
  <c r="AN148" i="4" s="1"/>
  <c r="AN147" i="4" s="1"/>
  <c r="AN146" i="4" s="1"/>
  <c r="AN145" i="4" s="1"/>
  <c r="AN144" i="4" s="1"/>
  <c r="AN143" i="4" s="1"/>
  <c r="AN142" i="4" s="1"/>
  <c r="AN141" i="4" s="1"/>
  <c r="AN140" i="4" s="1"/>
  <c r="AN139" i="4" s="1"/>
  <c r="AN138" i="4" s="1"/>
  <c r="AN137" i="4" s="1"/>
  <c r="AN136" i="4" s="1"/>
  <c r="AN135" i="4" s="1"/>
  <c r="AN134" i="4" s="1"/>
  <c r="AN133" i="4" s="1"/>
  <c r="AN132" i="4" s="1"/>
  <c r="AO203" i="4"/>
  <c r="AO202" i="4" s="1"/>
  <c r="AO201" i="4" s="1"/>
  <c r="AO200" i="4" s="1"/>
  <c r="AO199" i="4" s="1"/>
  <c r="AO198" i="4" s="1"/>
  <c r="AO197" i="4" s="1"/>
  <c r="AO196" i="4" s="1"/>
  <c r="AO195" i="4" s="1"/>
  <c r="AO194" i="4" s="1"/>
  <c r="AO193" i="4" s="1"/>
  <c r="AO192" i="4" s="1"/>
  <c r="AO191" i="4" s="1"/>
  <c r="AO190" i="4" s="1"/>
  <c r="AO189" i="4" s="1"/>
  <c r="AO188" i="4" s="1"/>
  <c r="AO187" i="4" s="1"/>
  <c r="AO186" i="4" s="1"/>
  <c r="AO185" i="4" s="1"/>
  <c r="AO184" i="4" s="1"/>
  <c r="AO183" i="4" s="1"/>
  <c r="AO182" i="4" s="1"/>
  <c r="AO181" i="4" s="1"/>
  <c r="AO180" i="4" s="1"/>
  <c r="AO179" i="4" s="1"/>
  <c r="AO178" i="4" s="1"/>
  <c r="AO177" i="4" s="1"/>
  <c r="AO176" i="4" s="1"/>
  <c r="AO175" i="4" s="1"/>
  <c r="AO174" i="4" s="1"/>
  <c r="AO173" i="4" s="1"/>
  <c r="AO172" i="4" s="1"/>
  <c r="AO171" i="4" s="1"/>
  <c r="AO170" i="4" s="1"/>
  <c r="AO169" i="4" s="1"/>
  <c r="AO168" i="4" s="1"/>
  <c r="AO167" i="4" s="1"/>
  <c r="AO166" i="4" s="1"/>
  <c r="AO165" i="4" s="1"/>
  <c r="AO164" i="4" s="1"/>
  <c r="AO163" i="4" s="1"/>
  <c r="AO162" i="4" s="1"/>
  <c r="AO161" i="4" s="1"/>
  <c r="AO160" i="4" s="1"/>
  <c r="AO159" i="4" s="1"/>
  <c r="AO158" i="4" s="1"/>
  <c r="AO157" i="4" s="1"/>
  <c r="AO156" i="4" s="1"/>
  <c r="AO155" i="4" s="1"/>
  <c r="AO154" i="4" s="1"/>
  <c r="AO153" i="4" s="1"/>
  <c r="AP203" i="4"/>
  <c r="AP202" i="4" s="1"/>
  <c r="AP201" i="4" s="1"/>
  <c r="AP200" i="4" s="1"/>
  <c r="AP199" i="4" s="1"/>
  <c r="AP198" i="4" s="1"/>
  <c r="AP197" i="4" s="1"/>
  <c r="AP196" i="4" s="1"/>
  <c r="AP195" i="4" s="1"/>
  <c r="AP194" i="4" s="1"/>
  <c r="AP193" i="4" s="1"/>
  <c r="AP192" i="4" s="1"/>
  <c r="AP191" i="4" s="1"/>
  <c r="AP190" i="4" s="1"/>
  <c r="AP189" i="4" s="1"/>
  <c r="AP188" i="4" s="1"/>
  <c r="AP187" i="4" s="1"/>
  <c r="AP186" i="4" s="1"/>
  <c r="AP185" i="4" s="1"/>
  <c r="AP184" i="4" s="1"/>
  <c r="AP183" i="4" s="1"/>
  <c r="AP182" i="4" s="1"/>
  <c r="AP181" i="4" s="1"/>
  <c r="AP180" i="4" s="1"/>
  <c r="AP179" i="4" s="1"/>
  <c r="AP178" i="4" s="1"/>
  <c r="AP177" i="4" s="1"/>
  <c r="AP176" i="4" s="1"/>
  <c r="AP175" i="4" s="1"/>
  <c r="AP174" i="4" s="1"/>
  <c r="AP173" i="4" s="1"/>
  <c r="AP172" i="4" s="1"/>
  <c r="AP171" i="4" s="1"/>
  <c r="AP170" i="4" s="1"/>
  <c r="AP169" i="4" s="1"/>
  <c r="AP168" i="4" s="1"/>
  <c r="AP167" i="4" s="1"/>
  <c r="AP166" i="4" s="1"/>
  <c r="AP165" i="4" s="1"/>
  <c r="AP164" i="4" s="1"/>
  <c r="AP163" i="4" s="1"/>
  <c r="AP162" i="4" s="1"/>
  <c r="AP161" i="4" s="1"/>
  <c r="AP160" i="4" s="1"/>
  <c r="AP159" i="4" s="1"/>
  <c r="AP158" i="4" s="1"/>
  <c r="AP157" i="4" s="1"/>
  <c r="AP156" i="4" s="1"/>
  <c r="AP155" i="4" s="1"/>
  <c r="AP154" i="4" s="1"/>
  <c r="AP153" i="4" s="1"/>
  <c r="AQ203" i="4"/>
  <c r="AQ202" i="4" s="1"/>
  <c r="AQ201" i="4" s="1"/>
  <c r="AR203" i="4"/>
  <c r="AR202" i="4" s="1"/>
  <c r="AR201" i="4" s="1"/>
  <c r="AR200" i="4" s="1"/>
  <c r="AR199" i="4" s="1"/>
  <c r="AR198" i="4" s="1"/>
  <c r="AR197" i="4" s="1"/>
  <c r="AR196" i="4" s="1"/>
  <c r="AR195" i="4" s="1"/>
  <c r="AR194" i="4" s="1"/>
  <c r="AR193" i="4" s="1"/>
  <c r="AR192" i="4" s="1"/>
  <c r="AR191" i="4" s="1"/>
  <c r="AR190" i="4" s="1"/>
  <c r="AR189" i="4" s="1"/>
  <c r="AR188" i="4" s="1"/>
  <c r="AR187" i="4" s="1"/>
  <c r="AR186" i="4" s="1"/>
  <c r="AR185" i="4" s="1"/>
  <c r="AR184" i="4" s="1"/>
  <c r="AR183" i="4" s="1"/>
  <c r="AR182" i="4" s="1"/>
  <c r="AR181" i="4" s="1"/>
  <c r="AR180" i="4" s="1"/>
  <c r="AR179" i="4" s="1"/>
  <c r="AR178" i="4" s="1"/>
  <c r="AR177" i="4" s="1"/>
  <c r="AR176" i="4" s="1"/>
  <c r="AR175" i="4" s="1"/>
  <c r="AR174" i="4" s="1"/>
  <c r="AR173" i="4" s="1"/>
  <c r="AR172" i="4" s="1"/>
  <c r="AR171" i="4" s="1"/>
  <c r="AR170" i="4" s="1"/>
  <c r="AR169" i="4" s="1"/>
  <c r="AR168" i="4" s="1"/>
  <c r="AR167" i="4" s="1"/>
  <c r="AR166" i="4" s="1"/>
  <c r="AR165" i="4" s="1"/>
  <c r="AR164" i="4" s="1"/>
  <c r="AR163" i="4" s="1"/>
  <c r="AR162" i="4" s="1"/>
  <c r="AR161" i="4" s="1"/>
  <c r="AR160" i="4" s="1"/>
  <c r="AR159" i="4" s="1"/>
  <c r="AR158" i="4" s="1"/>
  <c r="AR157" i="4" s="1"/>
  <c r="AR156" i="4" s="1"/>
  <c r="AR155" i="4" s="1"/>
  <c r="AR154" i="4" s="1"/>
  <c r="AR153" i="4" s="1"/>
  <c r="AR152" i="4" s="1"/>
  <c r="AR151" i="4" s="1"/>
  <c r="AR150" i="4" s="1"/>
  <c r="AR149" i="4" s="1"/>
  <c r="AR148" i="4" s="1"/>
  <c r="AR147" i="4" s="1"/>
  <c r="AR146" i="4" s="1"/>
  <c r="AR145" i="4" s="1"/>
  <c r="AR144" i="4" s="1"/>
  <c r="AR143" i="4" s="1"/>
  <c r="AR142" i="4" s="1"/>
  <c r="AR141" i="4" s="1"/>
  <c r="AR140" i="4" s="1"/>
  <c r="AR139" i="4" s="1"/>
  <c r="AR138" i="4" s="1"/>
  <c r="AR137" i="4" s="1"/>
  <c r="AR136" i="4" s="1"/>
  <c r="AR135" i="4" s="1"/>
  <c r="AR134" i="4" s="1"/>
  <c r="AR133" i="4" s="1"/>
  <c r="AR132" i="4" s="1"/>
  <c r="AR131" i="4" s="1"/>
  <c r="AR130" i="4" s="1"/>
  <c r="AR129" i="4" s="1"/>
  <c r="AR128" i="4" s="1"/>
  <c r="AR127" i="4" s="1"/>
  <c r="AR126" i="4" s="1"/>
  <c r="AR125" i="4" s="1"/>
  <c r="AR124" i="4" s="1"/>
  <c r="AR123" i="4" s="1"/>
  <c r="AR122" i="4" s="1"/>
  <c r="AR121" i="4" s="1"/>
  <c r="AR120" i="4" s="1"/>
  <c r="AR119" i="4" s="1"/>
  <c r="AR118" i="4" s="1"/>
  <c r="AR117" i="4" s="1"/>
  <c r="AR116" i="4" s="1"/>
  <c r="AR115" i="4" s="1"/>
  <c r="AR114" i="4" s="1"/>
  <c r="AR113" i="4" s="1"/>
  <c r="AR112" i="4" s="1"/>
  <c r="AR111" i="4" s="1"/>
  <c r="AR110" i="4" s="1"/>
  <c r="AR109" i="4" s="1"/>
  <c r="AR108" i="4" s="1"/>
  <c r="AR107" i="4" s="1"/>
  <c r="AS203" i="4"/>
  <c r="AS202" i="4" s="1"/>
  <c r="AS201" i="4" s="1"/>
  <c r="AS200" i="4" s="1"/>
  <c r="AS199" i="4" s="1"/>
  <c r="AS198" i="4" s="1"/>
  <c r="AS197" i="4" s="1"/>
  <c r="AS196" i="4" s="1"/>
  <c r="AS195" i="4" s="1"/>
  <c r="AS194" i="4" s="1"/>
  <c r="AS193" i="4" s="1"/>
  <c r="AS192" i="4" s="1"/>
  <c r="AS191" i="4" s="1"/>
  <c r="AS190" i="4" s="1"/>
  <c r="AS189" i="4" s="1"/>
  <c r="AS188" i="4" s="1"/>
  <c r="AS187" i="4" s="1"/>
  <c r="AS186" i="4" s="1"/>
  <c r="AS185" i="4" s="1"/>
  <c r="AS184" i="4" s="1"/>
  <c r="AS183" i="4" s="1"/>
  <c r="AS182" i="4" s="1"/>
  <c r="AS181" i="4" s="1"/>
  <c r="AS180" i="4" s="1"/>
  <c r="AS179" i="4" s="1"/>
  <c r="AS178" i="4" s="1"/>
  <c r="AS177" i="4" s="1"/>
  <c r="AS176" i="4" s="1"/>
  <c r="AS175" i="4" s="1"/>
  <c r="AS174" i="4" s="1"/>
  <c r="AS173" i="4" s="1"/>
  <c r="AS172" i="4" s="1"/>
  <c r="AS171" i="4" s="1"/>
  <c r="AS170" i="4" s="1"/>
  <c r="AS169" i="4" s="1"/>
  <c r="AS168" i="4" s="1"/>
  <c r="AS167" i="4" s="1"/>
  <c r="AS166" i="4" s="1"/>
  <c r="AS165" i="4" s="1"/>
  <c r="AS164" i="4" s="1"/>
  <c r="AS163" i="4" s="1"/>
  <c r="AS162" i="4" s="1"/>
  <c r="AS161" i="4" s="1"/>
  <c r="AS160" i="4" s="1"/>
  <c r="AS159" i="4" s="1"/>
  <c r="AS158" i="4" s="1"/>
  <c r="AS157" i="4" s="1"/>
  <c r="AS156" i="4" s="1"/>
  <c r="AS155" i="4" s="1"/>
  <c r="AS154" i="4" s="1"/>
  <c r="AS153" i="4" s="1"/>
  <c r="AS152" i="4" s="1"/>
  <c r="AS151" i="4" s="1"/>
  <c r="AS150" i="4" s="1"/>
  <c r="AS149" i="4" s="1"/>
  <c r="AS148" i="4" s="1"/>
  <c r="AS147" i="4" s="1"/>
  <c r="AS146" i="4" s="1"/>
  <c r="AS145" i="4" s="1"/>
  <c r="AS144" i="4" s="1"/>
  <c r="AS143" i="4" s="1"/>
  <c r="AS142" i="4" s="1"/>
  <c r="AS141" i="4" s="1"/>
  <c r="AS140" i="4" s="1"/>
  <c r="AS139" i="4" s="1"/>
  <c r="AS138" i="4" s="1"/>
  <c r="AS137" i="4" s="1"/>
  <c r="AS136" i="4" s="1"/>
  <c r="AS135" i="4" s="1"/>
  <c r="AS134" i="4" s="1"/>
  <c r="AS133" i="4" s="1"/>
  <c r="AS132" i="4" s="1"/>
  <c r="AS131" i="4" s="1"/>
  <c r="AS130" i="4" s="1"/>
  <c r="AS129" i="4" s="1"/>
  <c r="AS128" i="4" s="1"/>
  <c r="AS127" i="4" s="1"/>
  <c r="AS126" i="4" s="1"/>
  <c r="AS125" i="4" s="1"/>
  <c r="AS124" i="4" s="1"/>
  <c r="AS123" i="4" s="1"/>
  <c r="AS122" i="4" s="1"/>
  <c r="AS121" i="4" s="1"/>
  <c r="AS120" i="4" s="1"/>
  <c r="AS119" i="4" s="1"/>
  <c r="AS118" i="4" s="1"/>
  <c r="AS117" i="4" s="1"/>
  <c r="AS116" i="4" s="1"/>
  <c r="AS115" i="4" s="1"/>
  <c r="AS114" i="4" s="1"/>
  <c r="AS113" i="4" s="1"/>
  <c r="AS112" i="4" s="1"/>
  <c r="AS111" i="4" s="1"/>
  <c r="AS110" i="4" s="1"/>
  <c r="AS109" i="4" s="1"/>
  <c r="AS108" i="4" s="1"/>
  <c r="AS107" i="4" s="1"/>
  <c r="AT203" i="4"/>
  <c r="AT202" i="4" s="1"/>
  <c r="AT201" i="4" s="1"/>
  <c r="AT200" i="4" s="1"/>
  <c r="AT199" i="4" s="1"/>
  <c r="AT198" i="4" s="1"/>
  <c r="AT197" i="4" s="1"/>
  <c r="AT196" i="4" s="1"/>
  <c r="AT195" i="4" s="1"/>
  <c r="AT194" i="4" s="1"/>
  <c r="AT193" i="4" s="1"/>
  <c r="AT192" i="4" s="1"/>
  <c r="AU203" i="4"/>
  <c r="AU202" i="4" s="1"/>
  <c r="AU201" i="4" s="1"/>
  <c r="AU200" i="4" s="1"/>
  <c r="AU199" i="4" s="1"/>
  <c r="AU198" i="4" s="1"/>
  <c r="AU197" i="4" s="1"/>
  <c r="AU196" i="4" s="1"/>
  <c r="AU195" i="4" s="1"/>
  <c r="AU194" i="4" s="1"/>
  <c r="AU193" i="4" s="1"/>
  <c r="AU192" i="4" s="1"/>
  <c r="AU191" i="4" s="1"/>
  <c r="AU190" i="4" s="1"/>
  <c r="AU189" i="4" s="1"/>
  <c r="AU188" i="4" s="1"/>
  <c r="AU187" i="4" s="1"/>
  <c r="AU186" i="4" s="1"/>
  <c r="AU185" i="4" s="1"/>
  <c r="AU184" i="4" s="1"/>
  <c r="AU183" i="4" s="1"/>
  <c r="AU182" i="4" s="1"/>
  <c r="AU181" i="4" s="1"/>
  <c r="AU180" i="4" s="1"/>
  <c r="AU179" i="4" s="1"/>
  <c r="AU178" i="4" s="1"/>
  <c r="AU177" i="4" s="1"/>
  <c r="AU176" i="4" s="1"/>
  <c r="AU175" i="4" s="1"/>
  <c r="AU174" i="4" s="1"/>
  <c r="AU173" i="4" s="1"/>
  <c r="AU172" i="4" s="1"/>
  <c r="AU171" i="4" s="1"/>
  <c r="AU170" i="4" s="1"/>
  <c r="AU169" i="4" s="1"/>
  <c r="AU168" i="4" s="1"/>
  <c r="AU167" i="4" s="1"/>
  <c r="AU166" i="4" s="1"/>
  <c r="AU165" i="4" s="1"/>
  <c r="AU164" i="4" s="1"/>
  <c r="AU163" i="4" s="1"/>
  <c r="AU162" i="4" s="1"/>
  <c r="AU161" i="4" s="1"/>
  <c r="AU160" i="4" s="1"/>
  <c r="AU159" i="4" s="1"/>
  <c r="AU158" i="4" s="1"/>
  <c r="AU157" i="4" s="1"/>
  <c r="AU156" i="4" s="1"/>
  <c r="AU155" i="4" s="1"/>
  <c r="AU154" i="4" s="1"/>
  <c r="AU153" i="4" s="1"/>
  <c r="AU152" i="4" s="1"/>
  <c r="AU151" i="4" s="1"/>
  <c r="AU150" i="4" s="1"/>
  <c r="AU149" i="4" s="1"/>
  <c r="AU148" i="4" s="1"/>
  <c r="AU147" i="4" s="1"/>
  <c r="AU146" i="4" s="1"/>
  <c r="AU145" i="4" s="1"/>
  <c r="AU144" i="4" s="1"/>
  <c r="AU143" i="4" s="1"/>
  <c r="AU142" i="4" s="1"/>
  <c r="AU141" i="4" s="1"/>
  <c r="AU140" i="4" s="1"/>
  <c r="AU139" i="4" s="1"/>
  <c r="AU138" i="4" s="1"/>
  <c r="AU137" i="4" s="1"/>
  <c r="AU136" i="4" s="1"/>
  <c r="AU135" i="4" s="1"/>
  <c r="AV203" i="4"/>
  <c r="AV202" i="4" s="1"/>
  <c r="AV201" i="4" s="1"/>
  <c r="AV200" i="4" s="1"/>
  <c r="AV199" i="4" s="1"/>
  <c r="AV198" i="4" s="1"/>
  <c r="AV197" i="4" s="1"/>
  <c r="AV196" i="4" s="1"/>
  <c r="AV195" i="4" s="1"/>
  <c r="AV194" i="4" s="1"/>
  <c r="AV193" i="4" s="1"/>
  <c r="AV192" i="4" s="1"/>
  <c r="AV191" i="4" s="1"/>
  <c r="AV190" i="4" s="1"/>
  <c r="AV189" i="4" s="1"/>
  <c r="AV188" i="4" s="1"/>
  <c r="AV187" i="4" s="1"/>
  <c r="AV186" i="4" s="1"/>
  <c r="AV185" i="4" s="1"/>
  <c r="AV184" i="4" s="1"/>
  <c r="AV183" i="4" s="1"/>
  <c r="AV182" i="4" s="1"/>
  <c r="AV181" i="4" s="1"/>
  <c r="AV180" i="4" s="1"/>
  <c r="AV179" i="4" s="1"/>
  <c r="AV178" i="4" s="1"/>
  <c r="AV177" i="4" s="1"/>
  <c r="AV176" i="4" s="1"/>
  <c r="AV175" i="4" s="1"/>
  <c r="AV174" i="4" s="1"/>
  <c r="AV173" i="4" s="1"/>
  <c r="AV172" i="4" s="1"/>
  <c r="AV171" i="4" s="1"/>
  <c r="AV170" i="4" s="1"/>
  <c r="AV169" i="4" s="1"/>
  <c r="AV168" i="4" s="1"/>
  <c r="AV167" i="4" s="1"/>
  <c r="AV166" i="4" s="1"/>
  <c r="AV165" i="4" s="1"/>
  <c r="AV164" i="4" s="1"/>
  <c r="AV163" i="4" s="1"/>
  <c r="AV162" i="4" s="1"/>
  <c r="AV161" i="4" s="1"/>
  <c r="AV160" i="4" s="1"/>
  <c r="AV159" i="4" s="1"/>
  <c r="AV158" i="4" s="1"/>
  <c r="AV157" i="4" s="1"/>
  <c r="AV156" i="4" s="1"/>
  <c r="AV155" i="4" s="1"/>
  <c r="AV154" i="4" s="1"/>
  <c r="AV153" i="4" s="1"/>
  <c r="AV152" i="4" s="1"/>
  <c r="AV151" i="4" s="1"/>
  <c r="AV150" i="4" s="1"/>
  <c r="AV149" i="4" s="1"/>
  <c r="AV148" i="4" s="1"/>
  <c r="AV147" i="4" s="1"/>
  <c r="AV146" i="4" s="1"/>
  <c r="AV145" i="4" s="1"/>
  <c r="AV144" i="4" s="1"/>
  <c r="AV143" i="4" s="1"/>
  <c r="AV142" i="4" s="1"/>
  <c r="AV141" i="4" s="1"/>
  <c r="AV140" i="4" s="1"/>
  <c r="AV139" i="4" s="1"/>
  <c r="AV138" i="4" s="1"/>
  <c r="AV137" i="4" s="1"/>
  <c r="AV136" i="4" s="1"/>
  <c r="AV135" i="4" s="1"/>
  <c r="AV134" i="4" s="1"/>
  <c r="AV133" i="4" s="1"/>
  <c r="AV132" i="4" s="1"/>
  <c r="AV131" i="4" s="1"/>
  <c r="AV130" i="4" s="1"/>
  <c r="AV129" i="4" s="1"/>
  <c r="AV128" i="4" s="1"/>
  <c r="AV127" i="4" s="1"/>
  <c r="AV126" i="4" s="1"/>
  <c r="AV125" i="4" s="1"/>
  <c r="AV124" i="4" s="1"/>
  <c r="AV123" i="4" s="1"/>
  <c r="AV122" i="4" s="1"/>
  <c r="AV121" i="4" s="1"/>
  <c r="AV120" i="4" s="1"/>
  <c r="AV119" i="4" s="1"/>
  <c r="AV118" i="4" s="1"/>
  <c r="AV117" i="4" s="1"/>
  <c r="AV116" i="4" s="1"/>
  <c r="AV115" i="4" s="1"/>
  <c r="AV114" i="4" s="1"/>
  <c r="AV113" i="4" s="1"/>
  <c r="AV112" i="4" s="1"/>
  <c r="AV111" i="4" s="1"/>
  <c r="AV110" i="4" s="1"/>
  <c r="AV109" i="4" s="1"/>
  <c r="AV108" i="4" s="1"/>
  <c r="AV107" i="4" s="1"/>
  <c r="AW203" i="4"/>
  <c r="AW202" i="4" s="1"/>
  <c r="AW201" i="4" s="1"/>
  <c r="AW200" i="4" s="1"/>
  <c r="AW199" i="4" s="1"/>
  <c r="AW198" i="4" s="1"/>
  <c r="AW197" i="4" s="1"/>
  <c r="AW196" i="4" s="1"/>
  <c r="AW195" i="4" s="1"/>
  <c r="AW194" i="4" s="1"/>
  <c r="AW193" i="4" s="1"/>
  <c r="AW192" i="4" s="1"/>
  <c r="AW191" i="4" s="1"/>
  <c r="AW190" i="4" s="1"/>
  <c r="AW189" i="4" s="1"/>
  <c r="AW188" i="4" s="1"/>
  <c r="AW187" i="4" s="1"/>
  <c r="AW186" i="4" s="1"/>
  <c r="AW185" i="4" s="1"/>
  <c r="AW184" i="4" s="1"/>
  <c r="AW183" i="4" s="1"/>
  <c r="AW182" i="4" s="1"/>
  <c r="AW181" i="4" s="1"/>
  <c r="AW180" i="4" s="1"/>
  <c r="AW179" i="4" s="1"/>
  <c r="AW178" i="4" s="1"/>
  <c r="AW177" i="4" s="1"/>
  <c r="AW176" i="4" s="1"/>
  <c r="AW175" i="4" s="1"/>
  <c r="AW174" i="4" s="1"/>
  <c r="AW173" i="4" s="1"/>
  <c r="AW172" i="4" s="1"/>
  <c r="AW171" i="4" s="1"/>
  <c r="AX203" i="4"/>
  <c r="AX202" i="4" s="1"/>
  <c r="AX201" i="4" s="1"/>
  <c r="AX200" i="4" s="1"/>
  <c r="AX199" i="4" s="1"/>
  <c r="AX198" i="4" s="1"/>
  <c r="AX197" i="4" s="1"/>
  <c r="AX196" i="4" s="1"/>
  <c r="AX195" i="4" s="1"/>
  <c r="AX194" i="4" s="1"/>
  <c r="AX193" i="4" s="1"/>
  <c r="AX192" i="4" s="1"/>
  <c r="AX191" i="4" s="1"/>
  <c r="AX190" i="4" s="1"/>
  <c r="AX189" i="4" s="1"/>
  <c r="AX188" i="4" s="1"/>
  <c r="AX187" i="4" s="1"/>
  <c r="AX186" i="4" s="1"/>
  <c r="AX185" i="4" s="1"/>
  <c r="AX184" i="4" s="1"/>
  <c r="AX183" i="4" s="1"/>
  <c r="AX182" i="4" s="1"/>
  <c r="AX181" i="4" s="1"/>
  <c r="AX180" i="4" s="1"/>
  <c r="AX179" i="4" s="1"/>
  <c r="AX178" i="4" s="1"/>
  <c r="AX177" i="4" s="1"/>
  <c r="AX176" i="4" s="1"/>
  <c r="AX175" i="4" s="1"/>
  <c r="AX174" i="4" s="1"/>
  <c r="AX173" i="4" s="1"/>
  <c r="AX172" i="4" s="1"/>
  <c r="AX171" i="4" s="1"/>
  <c r="AY203" i="4"/>
  <c r="AY202" i="4" s="1"/>
  <c r="AY201" i="4" s="1"/>
  <c r="AY200" i="4" s="1"/>
  <c r="AY199" i="4" s="1"/>
  <c r="AY198" i="4" s="1"/>
  <c r="AY197" i="4" s="1"/>
  <c r="AY196" i="4" s="1"/>
  <c r="AY195" i="4" s="1"/>
  <c r="AY194" i="4" s="1"/>
  <c r="AY193" i="4" s="1"/>
  <c r="AY192" i="4" s="1"/>
  <c r="AY191" i="4" s="1"/>
  <c r="AY190" i="4" s="1"/>
  <c r="AY189" i="4" s="1"/>
  <c r="AY188" i="4" s="1"/>
  <c r="AY187" i="4" s="1"/>
  <c r="AY186" i="4" s="1"/>
  <c r="AY185" i="4" s="1"/>
  <c r="AY184" i="4" s="1"/>
  <c r="AY183" i="4" s="1"/>
  <c r="AY182" i="4" s="1"/>
  <c r="AY181" i="4" s="1"/>
  <c r="AY180" i="4" s="1"/>
  <c r="AY179" i="4" s="1"/>
  <c r="AY178" i="4" s="1"/>
  <c r="AY177" i="4" s="1"/>
  <c r="AY176" i="4" s="1"/>
  <c r="AY175" i="4" s="1"/>
  <c r="AY174" i="4" s="1"/>
  <c r="AY173" i="4" s="1"/>
  <c r="AY172" i="4" s="1"/>
  <c r="AY171" i="4" s="1"/>
  <c r="AZ203" i="4"/>
  <c r="AZ202" i="4" s="1"/>
  <c r="AZ201" i="4" s="1"/>
  <c r="AZ200" i="4" s="1"/>
  <c r="AZ199" i="4" s="1"/>
  <c r="AZ198" i="4" s="1"/>
  <c r="AZ197" i="4" s="1"/>
  <c r="AZ196" i="4" s="1"/>
  <c r="AZ195" i="4" s="1"/>
  <c r="AZ194" i="4" s="1"/>
  <c r="AZ193" i="4" s="1"/>
  <c r="AZ192" i="4" s="1"/>
  <c r="AZ191" i="4" s="1"/>
  <c r="AZ190" i="4" s="1"/>
  <c r="AZ189" i="4" s="1"/>
  <c r="AZ188" i="4" s="1"/>
  <c r="AZ187" i="4" s="1"/>
  <c r="AZ186" i="4" s="1"/>
  <c r="AZ185" i="4" s="1"/>
  <c r="AZ184" i="4" s="1"/>
  <c r="AZ183" i="4" s="1"/>
  <c r="AZ182" i="4" s="1"/>
  <c r="AZ181" i="4" s="1"/>
  <c r="AZ180" i="4" s="1"/>
  <c r="AZ179" i="4" s="1"/>
  <c r="AZ178" i="4" s="1"/>
  <c r="AZ177" i="4" s="1"/>
  <c r="AZ176" i="4" s="1"/>
  <c r="AZ175" i="4" s="1"/>
  <c r="AZ174" i="4" s="1"/>
  <c r="AZ173" i="4" s="1"/>
  <c r="AZ172" i="4" s="1"/>
  <c r="AZ171" i="4" s="1"/>
  <c r="AZ170" i="4" s="1"/>
  <c r="AZ169" i="4" s="1"/>
  <c r="AZ168" i="4" s="1"/>
  <c r="AZ167" i="4" s="1"/>
  <c r="AZ166" i="4" s="1"/>
  <c r="AZ165" i="4" s="1"/>
  <c r="AZ164" i="4" s="1"/>
  <c r="AZ163" i="4" s="1"/>
  <c r="AZ162" i="4" s="1"/>
  <c r="AZ161" i="4" s="1"/>
  <c r="AZ160" i="4" s="1"/>
  <c r="AZ159" i="4" s="1"/>
  <c r="AZ158" i="4" s="1"/>
  <c r="BA203" i="4"/>
  <c r="BA202" i="4" s="1"/>
  <c r="BA201" i="4" s="1"/>
  <c r="BA200" i="4" s="1"/>
  <c r="BA199" i="4" s="1"/>
  <c r="BA198" i="4" s="1"/>
  <c r="BA197" i="4" s="1"/>
  <c r="BA196" i="4" s="1"/>
  <c r="BA195" i="4" s="1"/>
  <c r="BA194" i="4" s="1"/>
  <c r="BA193" i="4" s="1"/>
  <c r="BA192" i="4" s="1"/>
  <c r="BA191" i="4" s="1"/>
  <c r="BA190" i="4" s="1"/>
  <c r="BA189" i="4" s="1"/>
  <c r="BA188" i="4" s="1"/>
  <c r="BA187" i="4" s="1"/>
  <c r="BA186" i="4" s="1"/>
  <c r="BA185" i="4" s="1"/>
  <c r="BA184" i="4" s="1"/>
  <c r="BA183" i="4" s="1"/>
  <c r="BA182" i="4" s="1"/>
  <c r="BA181" i="4" s="1"/>
  <c r="BA180" i="4" s="1"/>
  <c r="BA179" i="4" s="1"/>
  <c r="BA178" i="4" s="1"/>
  <c r="BA177" i="4" s="1"/>
  <c r="BA176" i="4" s="1"/>
  <c r="BA175" i="4" s="1"/>
  <c r="BA174" i="4" s="1"/>
  <c r="BA173" i="4" s="1"/>
  <c r="BA172" i="4" s="1"/>
  <c r="BA171" i="4" s="1"/>
  <c r="BA170" i="4" s="1"/>
  <c r="BA169" i="4" s="1"/>
  <c r="BA168" i="4" s="1"/>
  <c r="BA167" i="4" s="1"/>
  <c r="BA166" i="4" s="1"/>
  <c r="BA165" i="4" s="1"/>
  <c r="BA164" i="4" s="1"/>
  <c r="BA163" i="4" s="1"/>
  <c r="BA162" i="4" s="1"/>
  <c r="BA161" i="4" s="1"/>
  <c r="BA160" i="4" s="1"/>
  <c r="BA159" i="4" s="1"/>
  <c r="BA158" i="4" s="1"/>
  <c r="BA157" i="4" s="1"/>
  <c r="BA156" i="4" s="1"/>
  <c r="BA155" i="4" s="1"/>
  <c r="BA154" i="4" s="1"/>
  <c r="BA153" i="4" s="1"/>
  <c r="BA152" i="4" s="1"/>
  <c r="BA151" i="4" s="1"/>
  <c r="BA150" i="4" s="1"/>
  <c r="BA149" i="4" s="1"/>
  <c r="BA148" i="4" s="1"/>
  <c r="BA147" i="4" s="1"/>
  <c r="BA146" i="4" s="1"/>
  <c r="BA145" i="4" s="1"/>
  <c r="BA144" i="4" s="1"/>
  <c r="BA143" i="4" s="1"/>
  <c r="BA142" i="4" s="1"/>
  <c r="BA141" i="4" s="1"/>
  <c r="BA140" i="4" s="1"/>
  <c r="BA139" i="4" s="1"/>
  <c r="BA138" i="4" s="1"/>
  <c r="BA137" i="4" s="1"/>
  <c r="BA136" i="4" s="1"/>
  <c r="BA135" i="4" s="1"/>
  <c r="BA134" i="4" s="1"/>
  <c r="BA133" i="4" s="1"/>
  <c r="BA132" i="4" s="1"/>
  <c r="BA131" i="4" s="1"/>
  <c r="BA130" i="4" s="1"/>
  <c r="BA129" i="4" s="1"/>
  <c r="BA128" i="4" s="1"/>
  <c r="BA127" i="4" s="1"/>
  <c r="BA126" i="4" s="1"/>
  <c r="BA125" i="4" s="1"/>
  <c r="BA124" i="4" s="1"/>
  <c r="BA123" i="4" s="1"/>
  <c r="BA122" i="4" s="1"/>
  <c r="BA121" i="4" s="1"/>
  <c r="BA120" i="4" s="1"/>
  <c r="BA119" i="4" s="1"/>
  <c r="BA118" i="4" s="1"/>
  <c r="BA117" i="4" s="1"/>
  <c r="BA116" i="4" s="1"/>
  <c r="BA115" i="4" s="1"/>
  <c r="BA114" i="4" s="1"/>
  <c r="BA113" i="4" s="1"/>
  <c r="BA112" i="4" s="1"/>
  <c r="BA111" i="4" s="1"/>
  <c r="BA110" i="4" s="1"/>
  <c r="BA109" i="4" s="1"/>
  <c r="BA108" i="4" s="1"/>
  <c r="BB203" i="4"/>
  <c r="BB202" i="4" s="1"/>
  <c r="BB201" i="4" s="1"/>
  <c r="BB200" i="4" s="1"/>
  <c r="BB199" i="4" s="1"/>
  <c r="BB198" i="4" s="1"/>
  <c r="BB197" i="4" s="1"/>
  <c r="BB196" i="4" s="1"/>
  <c r="BB195" i="4" s="1"/>
  <c r="BB194" i="4" s="1"/>
  <c r="BB193" i="4" s="1"/>
  <c r="BB192" i="4" s="1"/>
  <c r="BB191" i="4" s="1"/>
  <c r="BB190" i="4" s="1"/>
  <c r="BB189" i="4" s="1"/>
  <c r="BB188" i="4" s="1"/>
  <c r="BB187" i="4" s="1"/>
  <c r="BB186" i="4" s="1"/>
  <c r="BB185" i="4" s="1"/>
  <c r="BB184" i="4" s="1"/>
  <c r="BB183" i="4" s="1"/>
  <c r="BB182" i="4" s="1"/>
  <c r="BB181" i="4" s="1"/>
  <c r="BB180" i="4" s="1"/>
  <c r="BB179" i="4" s="1"/>
  <c r="BB178" i="4" s="1"/>
  <c r="BB177" i="4" s="1"/>
  <c r="BB176" i="4" s="1"/>
  <c r="BB175" i="4" s="1"/>
  <c r="BB174" i="4" s="1"/>
  <c r="BB173" i="4" s="1"/>
  <c r="BB172" i="4" s="1"/>
  <c r="BB171" i="4" s="1"/>
  <c r="BB170" i="4" s="1"/>
  <c r="BB169" i="4" s="1"/>
  <c r="BB168" i="4" s="1"/>
  <c r="BB167" i="4" s="1"/>
  <c r="BB166" i="4" s="1"/>
  <c r="BB165" i="4" s="1"/>
  <c r="BB164" i="4" s="1"/>
  <c r="BB163" i="4" s="1"/>
  <c r="BB162" i="4" s="1"/>
  <c r="BB161" i="4" s="1"/>
  <c r="BB160" i="4" s="1"/>
  <c r="BB159" i="4" s="1"/>
  <c r="BB158" i="4" s="1"/>
  <c r="BB157" i="4" s="1"/>
  <c r="BB156" i="4" s="1"/>
  <c r="BB155" i="4" s="1"/>
  <c r="BB154" i="4" s="1"/>
  <c r="BB153" i="4" s="1"/>
  <c r="BB152" i="4" s="1"/>
  <c r="BB151" i="4" s="1"/>
  <c r="BB150" i="4" s="1"/>
  <c r="BB149" i="4" s="1"/>
  <c r="BB148" i="4" s="1"/>
  <c r="BB147" i="4" s="1"/>
  <c r="BB146" i="4" s="1"/>
  <c r="BB145" i="4" s="1"/>
  <c r="BB144" i="4" s="1"/>
  <c r="BB143" i="4" s="1"/>
  <c r="BB142" i="4" s="1"/>
  <c r="BB141" i="4" s="1"/>
  <c r="BB140" i="4" s="1"/>
  <c r="BB139" i="4" s="1"/>
  <c r="BB138" i="4" s="1"/>
  <c r="BB137" i="4" s="1"/>
  <c r="BB136" i="4" s="1"/>
  <c r="BB135" i="4" s="1"/>
  <c r="BB134" i="4" s="1"/>
  <c r="BB133" i="4" s="1"/>
  <c r="BB132" i="4" s="1"/>
  <c r="BB131" i="4" s="1"/>
  <c r="BB130" i="4" s="1"/>
  <c r="BB129" i="4" s="1"/>
  <c r="BB128" i="4" s="1"/>
  <c r="BB127" i="4" s="1"/>
  <c r="BB126" i="4" s="1"/>
  <c r="BB125" i="4" s="1"/>
  <c r="BB124" i="4" s="1"/>
  <c r="BB123" i="4" s="1"/>
  <c r="BB122" i="4" s="1"/>
  <c r="BB121" i="4" s="1"/>
  <c r="BB120" i="4" s="1"/>
  <c r="BB119" i="4" s="1"/>
  <c r="BB118" i="4" s="1"/>
  <c r="BB117" i="4" s="1"/>
  <c r="BB116" i="4" s="1"/>
  <c r="BB115" i="4" s="1"/>
  <c r="BB114" i="4" s="1"/>
  <c r="BB113" i="4" s="1"/>
  <c r="BB112" i="4" s="1"/>
  <c r="BB111" i="4" s="1"/>
  <c r="BB110" i="4" s="1"/>
  <c r="BB109" i="4" s="1"/>
  <c r="BB108" i="4" s="1"/>
  <c r="BB107" i="4" s="1"/>
  <c r="BC203" i="4"/>
  <c r="BC202" i="4" s="1"/>
  <c r="BC201" i="4" s="1"/>
  <c r="BC200" i="4" s="1"/>
  <c r="BC199" i="4" s="1"/>
  <c r="BC198" i="4" s="1"/>
  <c r="BC197" i="4" s="1"/>
  <c r="BC196" i="4" s="1"/>
  <c r="BC195" i="4" s="1"/>
  <c r="BC194" i="4" s="1"/>
  <c r="BC193" i="4" s="1"/>
  <c r="BC192" i="4" s="1"/>
  <c r="BC191" i="4" s="1"/>
  <c r="BC190" i="4" s="1"/>
  <c r="BC189" i="4" s="1"/>
  <c r="BC188" i="4" s="1"/>
  <c r="BC187" i="4" s="1"/>
  <c r="BC186" i="4" s="1"/>
  <c r="BC185" i="4" s="1"/>
  <c r="BC184" i="4" s="1"/>
  <c r="BC183" i="4" s="1"/>
  <c r="BC182" i="4" s="1"/>
  <c r="BC181" i="4" s="1"/>
  <c r="BC180" i="4" s="1"/>
  <c r="BC179" i="4" s="1"/>
  <c r="BC178" i="4" s="1"/>
  <c r="BC177" i="4" s="1"/>
  <c r="BC176" i="4" s="1"/>
  <c r="BC175" i="4" s="1"/>
  <c r="BC174" i="4" s="1"/>
  <c r="BC173" i="4" s="1"/>
  <c r="BC172" i="4" s="1"/>
  <c r="BC171" i="4" s="1"/>
  <c r="BC170" i="4" s="1"/>
  <c r="BC169" i="4" s="1"/>
  <c r="BC168" i="4" s="1"/>
  <c r="BC167" i="4" s="1"/>
  <c r="BC166" i="4" s="1"/>
  <c r="BC165" i="4" s="1"/>
  <c r="BC164" i="4" s="1"/>
  <c r="BC163" i="4" s="1"/>
  <c r="BC162" i="4" s="1"/>
  <c r="BC161" i="4" s="1"/>
  <c r="BC160" i="4" s="1"/>
  <c r="BC159" i="4" s="1"/>
  <c r="BC158" i="4" s="1"/>
  <c r="BC157" i="4" s="1"/>
  <c r="BC156" i="4" s="1"/>
  <c r="BC155" i="4" s="1"/>
  <c r="BC154" i="4" s="1"/>
  <c r="BC153" i="4" s="1"/>
  <c r="BC152" i="4" s="1"/>
  <c r="BC151" i="4" s="1"/>
  <c r="BC150" i="4" s="1"/>
  <c r="BC149" i="4" s="1"/>
  <c r="BC148" i="4" s="1"/>
  <c r="BC147" i="4" s="1"/>
  <c r="BC146" i="4" s="1"/>
  <c r="BC145" i="4" s="1"/>
  <c r="BC144" i="4" s="1"/>
  <c r="BC143" i="4" s="1"/>
  <c r="BC142" i="4" s="1"/>
  <c r="BC141" i="4" s="1"/>
  <c r="BC140" i="4" s="1"/>
  <c r="BC139" i="4" s="1"/>
  <c r="BC138" i="4" s="1"/>
  <c r="BC137" i="4" s="1"/>
  <c r="BC136" i="4" s="1"/>
  <c r="BC135" i="4" s="1"/>
  <c r="BC134" i="4" s="1"/>
  <c r="BC133" i="4" s="1"/>
  <c r="BC132" i="4" s="1"/>
  <c r="BC131" i="4" s="1"/>
  <c r="BC130" i="4" s="1"/>
  <c r="BC129" i="4" s="1"/>
  <c r="BC128" i="4" s="1"/>
  <c r="BC127" i="4" s="1"/>
  <c r="BC126" i="4" s="1"/>
  <c r="BC125" i="4" s="1"/>
  <c r="BC124" i="4" s="1"/>
  <c r="BC123" i="4" s="1"/>
  <c r="BC122" i="4" s="1"/>
  <c r="BC121" i="4" s="1"/>
  <c r="BC120" i="4" s="1"/>
  <c r="BC119" i="4" s="1"/>
  <c r="BC118" i="4" s="1"/>
  <c r="BC117" i="4" s="1"/>
  <c r="BC116" i="4" s="1"/>
  <c r="BC115" i="4" s="1"/>
  <c r="BC114" i="4" s="1"/>
  <c r="BC113" i="4" s="1"/>
  <c r="BC112" i="4" s="1"/>
  <c r="BC111" i="4" s="1"/>
  <c r="BC110" i="4" s="1"/>
  <c r="BC109" i="4" s="1"/>
  <c r="BC108" i="4" s="1"/>
  <c r="BC107" i="4" s="1"/>
  <c r="BD203" i="4"/>
  <c r="BD202" i="4" s="1"/>
  <c r="BD201" i="4" s="1"/>
  <c r="BD200" i="4" s="1"/>
  <c r="BD199" i="4" s="1"/>
  <c r="BD198" i="4" s="1"/>
  <c r="BD197" i="4" s="1"/>
  <c r="BD196" i="4" s="1"/>
  <c r="BD195" i="4" s="1"/>
  <c r="BD194" i="4" s="1"/>
  <c r="BD193" i="4" s="1"/>
  <c r="BD192" i="4" s="1"/>
  <c r="BD191" i="4" s="1"/>
  <c r="BD190" i="4" s="1"/>
  <c r="BD189" i="4" s="1"/>
  <c r="BD188" i="4" s="1"/>
  <c r="BD187" i="4" s="1"/>
  <c r="BD186" i="4" s="1"/>
  <c r="BD185" i="4" s="1"/>
  <c r="BD184" i="4" s="1"/>
  <c r="BD183" i="4" s="1"/>
  <c r="BD182" i="4" s="1"/>
  <c r="BD181" i="4" s="1"/>
  <c r="BD180" i="4" s="1"/>
  <c r="BD179" i="4" s="1"/>
  <c r="BD178" i="4" s="1"/>
  <c r="BD177" i="4" s="1"/>
  <c r="BD176" i="4" s="1"/>
  <c r="BD175" i="4" s="1"/>
  <c r="BD174" i="4" s="1"/>
  <c r="BD173" i="4" s="1"/>
  <c r="BD172" i="4" s="1"/>
  <c r="BD171" i="4" s="1"/>
  <c r="BD170" i="4" s="1"/>
  <c r="BD169" i="4" s="1"/>
  <c r="BD168" i="4" s="1"/>
  <c r="BD167" i="4" s="1"/>
  <c r="BD166" i="4" s="1"/>
  <c r="BD165" i="4" s="1"/>
  <c r="BD164" i="4" s="1"/>
  <c r="BD163" i="4" s="1"/>
  <c r="BD162" i="4" s="1"/>
  <c r="BD161" i="4" s="1"/>
  <c r="BD160" i="4" s="1"/>
  <c r="BD159" i="4" s="1"/>
  <c r="BD158" i="4" s="1"/>
  <c r="BD157" i="4" s="1"/>
  <c r="BD156" i="4" s="1"/>
  <c r="BD155" i="4" s="1"/>
  <c r="BD154" i="4" s="1"/>
  <c r="BD153" i="4" s="1"/>
  <c r="BD152" i="4" s="1"/>
  <c r="BD151" i="4" s="1"/>
  <c r="BD150" i="4" s="1"/>
  <c r="BD149" i="4" s="1"/>
  <c r="BD148" i="4" s="1"/>
  <c r="BD147" i="4" s="1"/>
  <c r="BD146" i="4" s="1"/>
  <c r="BD145" i="4" s="1"/>
  <c r="BD144" i="4" s="1"/>
  <c r="BD143" i="4" s="1"/>
  <c r="BD142" i="4" s="1"/>
  <c r="BD141" i="4" s="1"/>
  <c r="BD140" i="4" s="1"/>
  <c r="BD139" i="4" s="1"/>
  <c r="BD138" i="4" s="1"/>
  <c r="BD137" i="4" s="1"/>
  <c r="BD136" i="4" s="1"/>
  <c r="BD135" i="4" s="1"/>
  <c r="BD134" i="4" s="1"/>
  <c r="BD133" i="4" s="1"/>
  <c r="BD132" i="4" s="1"/>
  <c r="BD131" i="4" s="1"/>
  <c r="BD130" i="4" s="1"/>
  <c r="BD129" i="4" s="1"/>
  <c r="BD128" i="4" s="1"/>
  <c r="BD127" i="4" s="1"/>
  <c r="BD126" i="4" s="1"/>
  <c r="BD125" i="4" s="1"/>
  <c r="BD124" i="4" s="1"/>
  <c r="BD123" i="4" s="1"/>
  <c r="BD122" i="4" s="1"/>
  <c r="BD121" i="4" s="1"/>
  <c r="BD120" i="4" s="1"/>
  <c r="BD119" i="4" s="1"/>
  <c r="BD118" i="4" s="1"/>
  <c r="BD117" i="4" s="1"/>
  <c r="BD116" i="4" s="1"/>
  <c r="BD115" i="4" s="1"/>
  <c r="BD114" i="4" s="1"/>
  <c r="BD113" i="4" s="1"/>
  <c r="BD112" i="4" s="1"/>
  <c r="BD111" i="4" s="1"/>
  <c r="BD110" i="4" s="1"/>
  <c r="BD109" i="4" s="1"/>
  <c r="BD108" i="4" s="1"/>
  <c r="BD107" i="4" s="1"/>
  <c r="BE203" i="4"/>
  <c r="BE202" i="4" s="1"/>
  <c r="BE201" i="4" s="1"/>
  <c r="BE200" i="4" s="1"/>
  <c r="BE199" i="4" s="1"/>
  <c r="BE198" i="4" s="1"/>
  <c r="BE197" i="4" s="1"/>
  <c r="BE196" i="4" s="1"/>
  <c r="BE195" i="4" s="1"/>
  <c r="BE194" i="4" s="1"/>
  <c r="BE193" i="4" s="1"/>
  <c r="BE192" i="4" s="1"/>
  <c r="BE191" i="4" s="1"/>
  <c r="BE190" i="4" s="1"/>
  <c r="BE189" i="4" s="1"/>
  <c r="BE188" i="4" s="1"/>
  <c r="BE187" i="4" s="1"/>
  <c r="BE186" i="4" s="1"/>
  <c r="BE185" i="4" s="1"/>
  <c r="BE184" i="4" s="1"/>
  <c r="BE183" i="4" s="1"/>
  <c r="BE182" i="4" s="1"/>
  <c r="BE181" i="4" s="1"/>
  <c r="BE180" i="4" s="1"/>
  <c r="BE179" i="4" s="1"/>
  <c r="BE178" i="4" s="1"/>
  <c r="BE177" i="4" s="1"/>
  <c r="BE176" i="4" s="1"/>
  <c r="BE175" i="4" s="1"/>
  <c r="BE174" i="4" s="1"/>
  <c r="BE173" i="4" s="1"/>
  <c r="BE172" i="4" s="1"/>
  <c r="BE171" i="4" s="1"/>
  <c r="BE170" i="4" s="1"/>
  <c r="BE169" i="4" s="1"/>
  <c r="BE168" i="4" s="1"/>
  <c r="BE167" i="4" s="1"/>
  <c r="BE166" i="4" s="1"/>
  <c r="BE165" i="4" s="1"/>
  <c r="BE164" i="4" s="1"/>
  <c r="BE163" i="4" s="1"/>
  <c r="BE162" i="4" s="1"/>
  <c r="BE161" i="4" s="1"/>
  <c r="BE160" i="4" s="1"/>
  <c r="BE159" i="4" s="1"/>
  <c r="BE158" i="4" s="1"/>
  <c r="BE157" i="4" s="1"/>
  <c r="BE156" i="4" s="1"/>
  <c r="BE155" i="4" s="1"/>
  <c r="BE154" i="4" s="1"/>
  <c r="BE153" i="4" s="1"/>
  <c r="BE152" i="4" s="1"/>
  <c r="BE151" i="4" s="1"/>
  <c r="BE150" i="4" s="1"/>
  <c r="BE149" i="4" s="1"/>
  <c r="BE148" i="4" s="1"/>
  <c r="BE147" i="4" s="1"/>
  <c r="BE146" i="4" s="1"/>
  <c r="BE145" i="4" s="1"/>
  <c r="BE144" i="4" s="1"/>
  <c r="BE143" i="4" s="1"/>
  <c r="BE142" i="4" s="1"/>
  <c r="BE141" i="4" s="1"/>
  <c r="BE140" i="4" s="1"/>
  <c r="BE139" i="4" s="1"/>
  <c r="BE138" i="4" s="1"/>
  <c r="BE137" i="4" s="1"/>
  <c r="BE136" i="4" s="1"/>
  <c r="BE135" i="4" s="1"/>
  <c r="BE134" i="4" s="1"/>
  <c r="BE133" i="4" s="1"/>
  <c r="BE132" i="4" s="1"/>
  <c r="BE131" i="4" s="1"/>
  <c r="BE130" i="4" s="1"/>
  <c r="BE129" i="4" s="1"/>
  <c r="BE128" i="4" s="1"/>
  <c r="BE127" i="4" s="1"/>
  <c r="BE126" i="4" s="1"/>
  <c r="BE125" i="4" s="1"/>
  <c r="BE124" i="4" s="1"/>
  <c r="BE123" i="4" s="1"/>
  <c r="BE122" i="4" s="1"/>
  <c r="BE121" i="4" s="1"/>
  <c r="BE120" i="4" s="1"/>
  <c r="BE119" i="4" s="1"/>
  <c r="BE118" i="4" s="1"/>
  <c r="BE117" i="4" s="1"/>
  <c r="BE116" i="4" s="1"/>
  <c r="BE115" i="4" s="1"/>
  <c r="BE114" i="4" s="1"/>
  <c r="BE113" i="4" s="1"/>
  <c r="BE112" i="4" s="1"/>
  <c r="BE111" i="4" s="1"/>
  <c r="BE110" i="4" s="1"/>
  <c r="BE109" i="4" s="1"/>
  <c r="BE108" i="4" s="1"/>
  <c r="BE107" i="4" s="1"/>
  <c r="BF203" i="4"/>
  <c r="BF202" i="4" s="1"/>
  <c r="BF201" i="4" s="1"/>
  <c r="BF200" i="4" s="1"/>
  <c r="BF199" i="4" s="1"/>
  <c r="BF198" i="4" s="1"/>
  <c r="BF197" i="4" s="1"/>
  <c r="BF196" i="4" s="1"/>
  <c r="BF195" i="4" s="1"/>
  <c r="BG203" i="4"/>
  <c r="BG202" i="4" s="1"/>
  <c r="BG201" i="4" s="1"/>
  <c r="BG200" i="4" s="1"/>
  <c r="BG199" i="4" s="1"/>
  <c r="BG198" i="4" s="1"/>
  <c r="BG197" i="4" s="1"/>
  <c r="BG196" i="4" s="1"/>
  <c r="BG195" i="4" s="1"/>
  <c r="BG194" i="4" s="1"/>
  <c r="BG193" i="4" s="1"/>
  <c r="BG192" i="4" s="1"/>
  <c r="BG191" i="4" s="1"/>
  <c r="BG190" i="4" s="1"/>
  <c r="BG189" i="4" s="1"/>
  <c r="BG188" i="4" s="1"/>
  <c r="BG187" i="4" s="1"/>
  <c r="BG186" i="4" s="1"/>
  <c r="BG185" i="4" s="1"/>
  <c r="BG184" i="4" s="1"/>
  <c r="BG183" i="4" s="1"/>
  <c r="BG182" i="4" s="1"/>
  <c r="BG181" i="4" s="1"/>
  <c r="BG180" i="4" s="1"/>
  <c r="BG179" i="4" s="1"/>
  <c r="BG178" i="4" s="1"/>
  <c r="BG177" i="4" s="1"/>
  <c r="BG176" i="4" s="1"/>
  <c r="BG175" i="4" s="1"/>
  <c r="BG174" i="4" s="1"/>
  <c r="BG173" i="4" s="1"/>
  <c r="BG172" i="4" s="1"/>
  <c r="BG171" i="4" s="1"/>
  <c r="BG170" i="4" s="1"/>
  <c r="BG169" i="4" s="1"/>
  <c r="BG168" i="4" s="1"/>
  <c r="BG167" i="4" s="1"/>
  <c r="BG166" i="4" s="1"/>
  <c r="BG165" i="4" s="1"/>
  <c r="BG164" i="4" s="1"/>
  <c r="BG163" i="4" s="1"/>
  <c r="BG162" i="4" s="1"/>
  <c r="BG161" i="4" s="1"/>
  <c r="BG160" i="4" s="1"/>
  <c r="BG159" i="4" s="1"/>
  <c r="BG158" i="4" s="1"/>
  <c r="BG157" i="4" s="1"/>
  <c r="BG156" i="4" s="1"/>
  <c r="BG155" i="4" s="1"/>
  <c r="BG154" i="4" s="1"/>
  <c r="BG153" i="4" s="1"/>
  <c r="BG152" i="4" s="1"/>
  <c r="BG151" i="4" s="1"/>
  <c r="BG150" i="4" s="1"/>
  <c r="BG149" i="4" s="1"/>
  <c r="BG148" i="4" s="1"/>
  <c r="BG147" i="4" s="1"/>
  <c r="BG146" i="4" s="1"/>
  <c r="BG145" i="4" s="1"/>
  <c r="BG144" i="4" s="1"/>
  <c r="BG143" i="4" s="1"/>
  <c r="BG142" i="4" s="1"/>
  <c r="BG141" i="4" s="1"/>
  <c r="BG140" i="4" s="1"/>
  <c r="BG139" i="4" s="1"/>
  <c r="BG138" i="4" s="1"/>
  <c r="BG137" i="4" s="1"/>
  <c r="BG136" i="4" s="1"/>
  <c r="BG135" i="4" s="1"/>
  <c r="BH203" i="4"/>
  <c r="BH202" i="4" s="1"/>
  <c r="BH201" i="4" s="1"/>
  <c r="BH200" i="4" s="1"/>
  <c r="BH199" i="4" s="1"/>
  <c r="BH198" i="4" s="1"/>
  <c r="BH197" i="4" s="1"/>
  <c r="BH196" i="4" s="1"/>
  <c r="BH195" i="4" s="1"/>
  <c r="BH194" i="4" s="1"/>
  <c r="BH193" i="4" s="1"/>
  <c r="BH192" i="4" s="1"/>
  <c r="BH191" i="4" s="1"/>
  <c r="BH190" i="4" s="1"/>
  <c r="BH189" i="4" s="1"/>
  <c r="BH188" i="4" s="1"/>
  <c r="BH187" i="4" s="1"/>
  <c r="BH186" i="4" s="1"/>
  <c r="BH185" i="4" s="1"/>
  <c r="BH184" i="4" s="1"/>
  <c r="BH183" i="4" s="1"/>
  <c r="BH182" i="4" s="1"/>
  <c r="BH181" i="4" s="1"/>
  <c r="BH180" i="4" s="1"/>
  <c r="BH179" i="4" s="1"/>
  <c r="BH178" i="4" s="1"/>
  <c r="BH177" i="4" s="1"/>
  <c r="BH176" i="4" s="1"/>
  <c r="BH175" i="4" s="1"/>
  <c r="BH174" i="4" s="1"/>
  <c r="BH173" i="4" s="1"/>
  <c r="BH172" i="4" s="1"/>
  <c r="BH171" i="4" s="1"/>
  <c r="BH170" i="4" s="1"/>
  <c r="BH169" i="4" s="1"/>
  <c r="BH168" i="4" s="1"/>
  <c r="BH167" i="4" s="1"/>
  <c r="BH166" i="4" s="1"/>
  <c r="BH165" i="4" s="1"/>
  <c r="BH164" i="4" s="1"/>
  <c r="BH163" i="4" s="1"/>
  <c r="BH162" i="4" s="1"/>
  <c r="BH161" i="4" s="1"/>
  <c r="BH160" i="4" s="1"/>
  <c r="BH159" i="4" s="1"/>
  <c r="BH158" i="4" s="1"/>
  <c r="BH157" i="4" s="1"/>
  <c r="BH156" i="4" s="1"/>
  <c r="BH155" i="4" s="1"/>
  <c r="BH154" i="4" s="1"/>
  <c r="BH153" i="4" s="1"/>
  <c r="BH152" i="4" s="1"/>
  <c r="BH151" i="4" s="1"/>
  <c r="BH150" i="4" s="1"/>
  <c r="BH149" i="4" s="1"/>
  <c r="BH148" i="4" s="1"/>
  <c r="BH147" i="4" s="1"/>
  <c r="BH146" i="4" s="1"/>
  <c r="BH145" i="4" s="1"/>
  <c r="BH144" i="4" s="1"/>
  <c r="BH143" i="4" s="1"/>
  <c r="BH142" i="4" s="1"/>
  <c r="BH141" i="4" s="1"/>
  <c r="BH140" i="4" s="1"/>
  <c r="BH139" i="4" s="1"/>
  <c r="BH138" i="4" s="1"/>
  <c r="BH137" i="4" s="1"/>
  <c r="BH136" i="4" s="1"/>
  <c r="BH135" i="4" s="1"/>
  <c r="BH134" i="4" s="1"/>
  <c r="BH133" i="4" s="1"/>
  <c r="BH132" i="4" s="1"/>
  <c r="BH131" i="4" s="1"/>
  <c r="BH130" i="4" s="1"/>
  <c r="BH129" i="4" s="1"/>
  <c r="BH128" i="4" s="1"/>
  <c r="BH127" i="4" s="1"/>
  <c r="BH126" i="4" s="1"/>
  <c r="BH125" i="4" s="1"/>
  <c r="BH124" i="4" s="1"/>
  <c r="BH123" i="4" s="1"/>
  <c r="BH122" i="4" s="1"/>
  <c r="BH121" i="4" s="1"/>
  <c r="BH120" i="4" s="1"/>
  <c r="BH119" i="4" s="1"/>
  <c r="BH118" i="4" s="1"/>
  <c r="BH117" i="4" s="1"/>
  <c r="BH116" i="4" s="1"/>
  <c r="BH115" i="4" s="1"/>
  <c r="BH114" i="4" s="1"/>
  <c r="BH113" i="4" s="1"/>
  <c r="BH112" i="4" s="1"/>
  <c r="BH111" i="4" s="1"/>
  <c r="BH110" i="4" s="1"/>
  <c r="BH109" i="4" s="1"/>
  <c r="BH108" i="4" s="1"/>
  <c r="BH107" i="4" s="1"/>
  <c r="BI203" i="4"/>
  <c r="BI202" i="4" s="1"/>
  <c r="BI201" i="4" s="1"/>
  <c r="BI200" i="4" s="1"/>
  <c r="BI199" i="4" s="1"/>
  <c r="BI198" i="4" s="1"/>
  <c r="BI197" i="4" s="1"/>
  <c r="BI196" i="4" s="1"/>
  <c r="BI195" i="4" s="1"/>
  <c r="BI194" i="4" s="1"/>
  <c r="BI193" i="4" s="1"/>
  <c r="BI192" i="4" s="1"/>
  <c r="BI191" i="4" s="1"/>
  <c r="BI190" i="4" s="1"/>
  <c r="BI189" i="4" s="1"/>
  <c r="BI188" i="4" s="1"/>
  <c r="BI187" i="4" s="1"/>
  <c r="BI186" i="4" s="1"/>
  <c r="BI185" i="4" s="1"/>
  <c r="BI184" i="4" s="1"/>
  <c r="BI183" i="4" s="1"/>
  <c r="BI182" i="4" s="1"/>
  <c r="BI181" i="4" s="1"/>
  <c r="BI180" i="4" s="1"/>
  <c r="BI179" i="4" s="1"/>
  <c r="BI178" i="4" s="1"/>
  <c r="BI177" i="4" s="1"/>
  <c r="BI176" i="4" s="1"/>
  <c r="BI175" i="4" s="1"/>
  <c r="BI174" i="4" s="1"/>
  <c r="BI173" i="4" s="1"/>
  <c r="BI172" i="4" s="1"/>
  <c r="BI171" i="4" s="1"/>
  <c r="BJ203" i="4"/>
  <c r="BJ202" i="4" s="1"/>
  <c r="BJ201" i="4" s="1"/>
  <c r="BJ200" i="4" s="1"/>
  <c r="BJ199" i="4" s="1"/>
  <c r="BJ198" i="4" s="1"/>
  <c r="BJ197" i="4" s="1"/>
  <c r="BJ196" i="4" s="1"/>
  <c r="BJ195" i="4" s="1"/>
  <c r="BJ194" i="4" s="1"/>
  <c r="BJ193" i="4" s="1"/>
  <c r="BJ192" i="4" s="1"/>
  <c r="BJ191" i="4" s="1"/>
  <c r="BJ190" i="4" s="1"/>
  <c r="BJ189" i="4" s="1"/>
  <c r="BJ188" i="4" s="1"/>
  <c r="BJ187" i="4" s="1"/>
  <c r="BJ186" i="4" s="1"/>
  <c r="BJ185" i="4" s="1"/>
  <c r="BJ184" i="4" s="1"/>
  <c r="BJ183" i="4" s="1"/>
  <c r="BJ182" i="4" s="1"/>
  <c r="BJ181" i="4" s="1"/>
  <c r="BJ180" i="4" s="1"/>
  <c r="BJ179" i="4" s="1"/>
  <c r="BJ178" i="4" s="1"/>
  <c r="BJ177" i="4" s="1"/>
  <c r="BJ176" i="4" s="1"/>
  <c r="BJ175" i="4" s="1"/>
  <c r="BJ174" i="4" s="1"/>
  <c r="BJ173" i="4" s="1"/>
  <c r="BJ172" i="4" s="1"/>
  <c r="BJ171" i="4" s="1"/>
  <c r="BK203" i="4"/>
  <c r="BK202" i="4" s="1"/>
  <c r="BK201" i="4" s="1"/>
  <c r="BK200" i="4" s="1"/>
  <c r="BK199" i="4" s="1"/>
  <c r="BK198" i="4" s="1"/>
  <c r="BK197" i="4" s="1"/>
  <c r="BK196" i="4" s="1"/>
  <c r="BK195" i="4" s="1"/>
  <c r="BK194" i="4" s="1"/>
  <c r="BK193" i="4" s="1"/>
  <c r="BK192" i="4" s="1"/>
  <c r="BK191" i="4" s="1"/>
  <c r="BK190" i="4" s="1"/>
  <c r="BK189" i="4" s="1"/>
  <c r="BK188" i="4" s="1"/>
  <c r="BK187" i="4" s="1"/>
  <c r="BK186" i="4" s="1"/>
  <c r="BK185" i="4" s="1"/>
  <c r="BK184" i="4" s="1"/>
  <c r="BK183" i="4" s="1"/>
  <c r="BK182" i="4" s="1"/>
  <c r="BK181" i="4" s="1"/>
  <c r="BK180" i="4" s="1"/>
  <c r="BK179" i="4" s="1"/>
  <c r="BK178" i="4" s="1"/>
  <c r="BK177" i="4" s="1"/>
  <c r="BK176" i="4" s="1"/>
  <c r="BK175" i="4" s="1"/>
  <c r="BK174" i="4" s="1"/>
  <c r="BK173" i="4" s="1"/>
  <c r="BK172" i="4" s="1"/>
  <c r="BK171" i="4" s="1"/>
  <c r="BL203" i="4"/>
  <c r="BL202" i="4" s="1"/>
  <c r="BL201" i="4" s="1"/>
  <c r="BL200" i="4" s="1"/>
  <c r="BL199" i="4" s="1"/>
  <c r="BL198" i="4" s="1"/>
  <c r="BL197" i="4" s="1"/>
  <c r="BL196" i="4" s="1"/>
  <c r="BM203" i="4"/>
  <c r="BM202" i="4" s="1"/>
  <c r="BM201" i="4" s="1"/>
  <c r="BM200" i="4" s="1"/>
  <c r="BM199" i="4" s="1"/>
  <c r="BM198" i="4" s="1"/>
  <c r="BM197" i="4" s="1"/>
  <c r="BM196" i="4" s="1"/>
  <c r="BM195" i="4" s="1"/>
  <c r="BM194" i="4" s="1"/>
  <c r="BM193" i="4" s="1"/>
  <c r="BM192" i="4" s="1"/>
  <c r="BM191" i="4" s="1"/>
  <c r="BM190" i="4" s="1"/>
  <c r="BM189" i="4" s="1"/>
  <c r="BM188" i="4" s="1"/>
  <c r="BM187" i="4" s="1"/>
  <c r="BM186" i="4" s="1"/>
  <c r="BM185" i="4" s="1"/>
  <c r="BM184" i="4" s="1"/>
  <c r="BM183" i="4" s="1"/>
  <c r="BM182" i="4" s="1"/>
  <c r="BM181" i="4" s="1"/>
  <c r="BM180" i="4" s="1"/>
  <c r="BM179" i="4" s="1"/>
  <c r="BM178" i="4" s="1"/>
  <c r="BM177" i="4" s="1"/>
  <c r="BM176" i="4" s="1"/>
  <c r="BM175" i="4" s="1"/>
  <c r="BM174" i="4" s="1"/>
  <c r="BM173" i="4" s="1"/>
  <c r="BM172" i="4" s="1"/>
  <c r="BM171" i="4" s="1"/>
  <c r="BM170" i="4" s="1"/>
  <c r="BM169" i="4" s="1"/>
  <c r="BM168" i="4" s="1"/>
  <c r="BM167" i="4" s="1"/>
  <c r="BM166" i="4" s="1"/>
  <c r="BM165" i="4" s="1"/>
  <c r="BM164" i="4" s="1"/>
  <c r="BM163" i="4" s="1"/>
  <c r="BM162" i="4" s="1"/>
  <c r="BM161" i="4" s="1"/>
  <c r="BM160" i="4" s="1"/>
  <c r="BM159" i="4" s="1"/>
  <c r="BM158" i="4" s="1"/>
  <c r="BM157" i="4" s="1"/>
  <c r="BM156" i="4" s="1"/>
  <c r="BM155" i="4" s="1"/>
  <c r="BM154" i="4" s="1"/>
  <c r="BM153" i="4" s="1"/>
  <c r="BM152" i="4" s="1"/>
  <c r="BM151" i="4" s="1"/>
  <c r="BM150" i="4" s="1"/>
  <c r="BM149" i="4" s="1"/>
  <c r="BM148" i="4" s="1"/>
  <c r="BM147" i="4" s="1"/>
  <c r="BM146" i="4" s="1"/>
  <c r="BM145" i="4" s="1"/>
  <c r="BM144" i="4" s="1"/>
  <c r="BM143" i="4" s="1"/>
  <c r="BM142" i="4" s="1"/>
  <c r="BM141" i="4" s="1"/>
  <c r="BM140" i="4" s="1"/>
  <c r="BM139" i="4" s="1"/>
  <c r="BM138" i="4" s="1"/>
  <c r="BM137" i="4" s="1"/>
  <c r="BM136" i="4" s="1"/>
  <c r="BM135" i="4" s="1"/>
  <c r="BM134" i="4" s="1"/>
  <c r="BM133" i="4" s="1"/>
  <c r="BM132" i="4" s="1"/>
  <c r="BM131" i="4" s="1"/>
  <c r="BM130" i="4" s="1"/>
  <c r="BM129" i="4" s="1"/>
  <c r="BM128" i="4" s="1"/>
  <c r="BM127" i="4" s="1"/>
  <c r="BM126" i="4" s="1"/>
  <c r="BM125" i="4" s="1"/>
  <c r="BM124" i="4" s="1"/>
  <c r="BM123" i="4" s="1"/>
  <c r="BM122" i="4" s="1"/>
  <c r="BM121" i="4" s="1"/>
  <c r="BM120" i="4" s="1"/>
  <c r="BM119" i="4" s="1"/>
  <c r="BM118" i="4" s="1"/>
  <c r="BM117" i="4" s="1"/>
  <c r="BM116" i="4" s="1"/>
  <c r="BM115" i="4" s="1"/>
  <c r="BM114" i="4" s="1"/>
  <c r="BM113" i="4" s="1"/>
  <c r="BM112" i="4" s="1"/>
  <c r="BM111" i="4" s="1"/>
  <c r="BM110" i="4" s="1"/>
  <c r="BM109" i="4" s="1"/>
  <c r="BM108" i="4" s="1"/>
  <c r="BN203" i="4"/>
  <c r="BN202" i="4" s="1"/>
  <c r="BN201" i="4" s="1"/>
  <c r="BN200" i="4" s="1"/>
  <c r="BN199" i="4" s="1"/>
  <c r="BN198" i="4" s="1"/>
  <c r="BN197" i="4" s="1"/>
  <c r="BN196" i="4" s="1"/>
  <c r="BN195" i="4" s="1"/>
  <c r="BN194" i="4" s="1"/>
  <c r="BN193" i="4" s="1"/>
  <c r="BN192" i="4" s="1"/>
  <c r="BN191" i="4" s="1"/>
  <c r="BN190" i="4" s="1"/>
  <c r="BN189" i="4" s="1"/>
  <c r="BN188" i="4" s="1"/>
  <c r="BN187" i="4" s="1"/>
  <c r="BN186" i="4" s="1"/>
  <c r="BN185" i="4" s="1"/>
  <c r="BN184" i="4" s="1"/>
  <c r="BN183" i="4" s="1"/>
  <c r="BN182" i="4" s="1"/>
  <c r="BN181" i="4" s="1"/>
  <c r="BN180" i="4" s="1"/>
  <c r="BN179" i="4" s="1"/>
  <c r="BN178" i="4" s="1"/>
  <c r="BN177" i="4" s="1"/>
  <c r="BN176" i="4" s="1"/>
  <c r="BN175" i="4" s="1"/>
  <c r="BN174" i="4" s="1"/>
  <c r="BN173" i="4" s="1"/>
  <c r="BN172" i="4" s="1"/>
  <c r="BN171" i="4" s="1"/>
  <c r="BN170" i="4" s="1"/>
  <c r="BN169" i="4" s="1"/>
  <c r="BN168" i="4" s="1"/>
  <c r="BN167" i="4" s="1"/>
  <c r="BN166" i="4" s="1"/>
  <c r="BN165" i="4" s="1"/>
  <c r="BN164" i="4" s="1"/>
  <c r="BN163" i="4" s="1"/>
  <c r="BN162" i="4" s="1"/>
  <c r="BN161" i="4" s="1"/>
  <c r="BN160" i="4" s="1"/>
  <c r="BN159" i="4" s="1"/>
  <c r="BN158" i="4" s="1"/>
  <c r="BN157" i="4" s="1"/>
  <c r="BN156" i="4" s="1"/>
  <c r="BN155" i="4" s="1"/>
  <c r="BN154" i="4" s="1"/>
  <c r="BN153" i="4" s="1"/>
  <c r="BN152" i="4" s="1"/>
  <c r="BN151" i="4" s="1"/>
  <c r="BN150" i="4" s="1"/>
  <c r="BN149" i="4" s="1"/>
  <c r="BN148" i="4" s="1"/>
  <c r="BN147" i="4" s="1"/>
  <c r="BN146" i="4" s="1"/>
  <c r="BN145" i="4" s="1"/>
  <c r="BN144" i="4" s="1"/>
  <c r="BN143" i="4" s="1"/>
  <c r="BN142" i="4" s="1"/>
  <c r="BN141" i="4" s="1"/>
  <c r="BN140" i="4" s="1"/>
  <c r="BN139" i="4" s="1"/>
  <c r="BN138" i="4" s="1"/>
  <c r="BN137" i="4" s="1"/>
  <c r="BN136" i="4" s="1"/>
  <c r="BN135" i="4" s="1"/>
  <c r="BN134" i="4" s="1"/>
  <c r="BN133" i="4" s="1"/>
  <c r="BN132" i="4" s="1"/>
  <c r="BN131" i="4" s="1"/>
  <c r="BN130" i="4" s="1"/>
  <c r="BN129" i="4" s="1"/>
  <c r="BN128" i="4" s="1"/>
  <c r="BN127" i="4" s="1"/>
  <c r="BN126" i="4" s="1"/>
  <c r="BN125" i="4" s="1"/>
  <c r="BN124" i="4" s="1"/>
  <c r="BN123" i="4" s="1"/>
  <c r="BN122" i="4" s="1"/>
  <c r="BN121" i="4" s="1"/>
  <c r="BN120" i="4" s="1"/>
  <c r="BN119" i="4" s="1"/>
  <c r="BN118" i="4" s="1"/>
  <c r="BN117" i="4" s="1"/>
  <c r="BN116" i="4" s="1"/>
  <c r="BN115" i="4" s="1"/>
  <c r="BN114" i="4" s="1"/>
  <c r="BN113" i="4" s="1"/>
  <c r="BN112" i="4" s="1"/>
  <c r="BN111" i="4" s="1"/>
  <c r="BN110" i="4" s="1"/>
  <c r="BN109" i="4" s="1"/>
  <c r="BN108" i="4" s="1"/>
  <c r="BN107" i="4" s="1"/>
  <c r="BO203" i="4"/>
  <c r="BO202" i="4" s="1"/>
  <c r="BO201" i="4" s="1"/>
  <c r="BO200" i="4" s="1"/>
  <c r="BO199" i="4" s="1"/>
  <c r="BO198" i="4" s="1"/>
  <c r="BO197" i="4" s="1"/>
  <c r="BO196" i="4" s="1"/>
  <c r="BO195" i="4" s="1"/>
  <c r="BO194" i="4" s="1"/>
  <c r="BO193" i="4" s="1"/>
  <c r="BO192" i="4" s="1"/>
  <c r="BO191" i="4" s="1"/>
  <c r="BO190" i="4" s="1"/>
  <c r="BO189" i="4" s="1"/>
  <c r="BO188" i="4" s="1"/>
  <c r="BO187" i="4" s="1"/>
  <c r="BO186" i="4" s="1"/>
  <c r="BO185" i="4" s="1"/>
  <c r="BO184" i="4" s="1"/>
  <c r="BO183" i="4" s="1"/>
  <c r="BO182" i="4" s="1"/>
  <c r="BO181" i="4" s="1"/>
  <c r="BO180" i="4" s="1"/>
  <c r="BO179" i="4" s="1"/>
  <c r="BO178" i="4" s="1"/>
  <c r="BO177" i="4" s="1"/>
  <c r="BO176" i="4" s="1"/>
  <c r="BO175" i="4" s="1"/>
  <c r="BO174" i="4" s="1"/>
  <c r="BO173" i="4" s="1"/>
  <c r="BO172" i="4" s="1"/>
  <c r="BO171" i="4" s="1"/>
  <c r="BO170" i="4" s="1"/>
  <c r="BO169" i="4" s="1"/>
  <c r="BO168" i="4" s="1"/>
  <c r="BO167" i="4" s="1"/>
  <c r="BO166" i="4" s="1"/>
  <c r="BO165" i="4" s="1"/>
  <c r="BO164" i="4" s="1"/>
  <c r="BO163" i="4" s="1"/>
  <c r="BO162" i="4" s="1"/>
  <c r="BO161" i="4" s="1"/>
  <c r="BO160" i="4" s="1"/>
  <c r="BO159" i="4" s="1"/>
  <c r="BO158" i="4" s="1"/>
  <c r="BO157" i="4" s="1"/>
  <c r="BO156" i="4" s="1"/>
  <c r="BO155" i="4" s="1"/>
  <c r="BO154" i="4" s="1"/>
  <c r="BO153" i="4" s="1"/>
  <c r="BO152" i="4" s="1"/>
  <c r="BO151" i="4" s="1"/>
  <c r="BO150" i="4" s="1"/>
  <c r="BO149" i="4" s="1"/>
  <c r="BO148" i="4" s="1"/>
  <c r="BO147" i="4" s="1"/>
  <c r="BO146" i="4" s="1"/>
  <c r="BO145" i="4" s="1"/>
  <c r="BO144" i="4" s="1"/>
  <c r="BO143" i="4" s="1"/>
  <c r="BO142" i="4" s="1"/>
  <c r="BO141" i="4" s="1"/>
  <c r="BO140" i="4" s="1"/>
  <c r="BO139" i="4" s="1"/>
  <c r="BO138" i="4" s="1"/>
  <c r="BO137" i="4" s="1"/>
  <c r="BO136" i="4" s="1"/>
  <c r="BO135" i="4" s="1"/>
  <c r="BO134" i="4" s="1"/>
  <c r="BO133" i="4" s="1"/>
  <c r="BO132" i="4" s="1"/>
  <c r="BO131" i="4" s="1"/>
  <c r="BO130" i="4" s="1"/>
  <c r="BO129" i="4" s="1"/>
  <c r="BO128" i="4" s="1"/>
  <c r="BO127" i="4" s="1"/>
  <c r="BO126" i="4" s="1"/>
  <c r="BO125" i="4" s="1"/>
  <c r="BO124" i="4" s="1"/>
  <c r="BO123" i="4" s="1"/>
  <c r="BO122" i="4" s="1"/>
  <c r="BO121" i="4" s="1"/>
  <c r="BO120" i="4" s="1"/>
  <c r="BO119" i="4" s="1"/>
  <c r="BO118" i="4" s="1"/>
  <c r="BO117" i="4" s="1"/>
  <c r="BO116" i="4" s="1"/>
  <c r="BO115" i="4" s="1"/>
  <c r="BO114" i="4" s="1"/>
  <c r="BO113" i="4" s="1"/>
  <c r="BO112" i="4" s="1"/>
  <c r="BO111" i="4" s="1"/>
  <c r="BO110" i="4" s="1"/>
  <c r="BO109" i="4" s="1"/>
  <c r="BO108" i="4" s="1"/>
  <c r="BO107" i="4" s="1"/>
  <c r="BP203" i="4"/>
  <c r="BP202" i="4" s="1"/>
  <c r="BP201" i="4" s="1"/>
  <c r="BP200" i="4" s="1"/>
  <c r="BP199" i="4" s="1"/>
  <c r="BP198" i="4" s="1"/>
  <c r="BP197" i="4" s="1"/>
  <c r="BP196" i="4" s="1"/>
  <c r="BP195" i="4" s="1"/>
  <c r="BP194" i="4" s="1"/>
  <c r="BP193" i="4" s="1"/>
  <c r="BP192" i="4" s="1"/>
  <c r="BP191" i="4" s="1"/>
  <c r="BP190" i="4" s="1"/>
  <c r="BP189" i="4" s="1"/>
  <c r="BP188" i="4" s="1"/>
  <c r="BP187" i="4" s="1"/>
  <c r="BP186" i="4" s="1"/>
  <c r="BP185" i="4" s="1"/>
  <c r="BP184" i="4" s="1"/>
  <c r="BP183" i="4" s="1"/>
  <c r="BP182" i="4" s="1"/>
  <c r="BP181" i="4" s="1"/>
  <c r="BP180" i="4" s="1"/>
  <c r="BP179" i="4" s="1"/>
  <c r="BP178" i="4" s="1"/>
  <c r="BP177" i="4" s="1"/>
  <c r="BP176" i="4" s="1"/>
  <c r="BP175" i="4" s="1"/>
  <c r="BP174" i="4" s="1"/>
  <c r="BP173" i="4" s="1"/>
  <c r="BP172" i="4" s="1"/>
  <c r="BP171" i="4" s="1"/>
  <c r="BP170" i="4" s="1"/>
  <c r="BP169" i="4" s="1"/>
  <c r="BP168" i="4" s="1"/>
  <c r="BP167" i="4" s="1"/>
  <c r="BP166" i="4" s="1"/>
  <c r="BP165" i="4" s="1"/>
  <c r="BP164" i="4" s="1"/>
  <c r="BP163" i="4" s="1"/>
  <c r="BP162" i="4" s="1"/>
  <c r="BP161" i="4" s="1"/>
  <c r="BP160" i="4" s="1"/>
  <c r="BP159" i="4" s="1"/>
  <c r="BP158" i="4" s="1"/>
  <c r="BP157" i="4" s="1"/>
  <c r="BP156" i="4" s="1"/>
  <c r="BP155" i="4" s="1"/>
  <c r="BP154" i="4" s="1"/>
  <c r="BP153" i="4" s="1"/>
  <c r="BP152" i="4" s="1"/>
  <c r="BP151" i="4" s="1"/>
  <c r="BP150" i="4" s="1"/>
  <c r="BP149" i="4" s="1"/>
  <c r="BP148" i="4" s="1"/>
  <c r="BP147" i="4" s="1"/>
  <c r="BP146" i="4" s="1"/>
  <c r="BP145" i="4" s="1"/>
  <c r="BP144" i="4" s="1"/>
  <c r="BP143" i="4" s="1"/>
  <c r="BP142" i="4" s="1"/>
  <c r="BP141" i="4" s="1"/>
  <c r="BP140" i="4" s="1"/>
  <c r="BP139" i="4" s="1"/>
  <c r="BP138" i="4" s="1"/>
  <c r="BP137" i="4" s="1"/>
  <c r="BP136" i="4" s="1"/>
  <c r="BP135" i="4" s="1"/>
  <c r="BP134" i="4" s="1"/>
  <c r="BP133" i="4" s="1"/>
  <c r="BP132" i="4" s="1"/>
  <c r="BP131" i="4" s="1"/>
  <c r="BP130" i="4" s="1"/>
  <c r="BP129" i="4" s="1"/>
  <c r="BP128" i="4" s="1"/>
  <c r="BP127" i="4" s="1"/>
  <c r="BP126" i="4" s="1"/>
  <c r="BP125" i="4" s="1"/>
  <c r="BP124" i="4" s="1"/>
  <c r="BP123" i="4" s="1"/>
  <c r="BP122" i="4" s="1"/>
  <c r="BP121" i="4" s="1"/>
  <c r="BP120" i="4" s="1"/>
  <c r="BP119" i="4" s="1"/>
  <c r="BP118" i="4" s="1"/>
  <c r="BP117" i="4" s="1"/>
  <c r="BP116" i="4" s="1"/>
  <c r="BP115" i="4" s="1"/>
  <c r="BP114" i="4" s="1"/>
  <c r="BP113" i="4" s="1"/>
  <c r="BP112" i="4" s="1"/>
  <c r="BP111" i="4" s="1"/>
  <c r="BP110" i="4" s="1"/>
  <c r="BP109" i="4" s="1"/>
  <c r="BP108" i="4" s="1"/>
  <c r="BP107" i="4" s="1"/>
  <c r="BQ203" i="4"/>
  <c r="BQ202" i="4" s="1"/>
  <c r="BQ201" i="4" s="1"/>
  <c r="BQ200" i="4" s="1"/>
  <c r="BQ199" i="4" s="1"/>
  <c r="BQ198" i="4" s="1"/>
  <c r="BQ197" i="4" s="1"/>
  <c r="BQ196" i="4" s="1"/>
  <c r="BQ195" i="4" s="1"/>
  <c r="BQ194" i="4" s="1"/>
  <c r="BQ193" i="4" s="1"/>
  <c r="BQ192" i="4" s="1"/>
  <c r="BQ191" i="4" s="1"/>
  <c r="BQ190" i="4" s="1"/>
  <c r="BQ189" i="4" s="1"/>
  <c r="BQ188" i="4" s="1"/>
  <c r="BQ187" i="4" s="1"/>
  <c r="BQ186" i="4" s="1"/>
  <c r="BQ185" i="4" s="1"/>
  <c r="BQ184" i="4" s="1"/>
  <c r="BQ183" i="4" s="1"/>
  <c r="BQ182" i="4" s="1"/>
  <c r="BQ181" i="4" s="1"/>
  <c r="BQ180" i="4" s="1"/>
  <c r="BQ179" i="4" s="1"/>
  <c r="BQ178" i="4" s="1"/>
  <c r="BQ177" i="4" s="1"/>
  <c r="BQ176" i="4" s="1"/>
  <c r="BQ175" i="4" s="1"/>
  <c r="BQ174" i="4" s="1"/>
  <c r="BQ173" i="4" s="1"/>
  <c r="BQ172" i="4" s="1"/>
  <c r="BQ171" i="4" s="1"/>
  <c r="BQ170" i="4" s="1"/>
  <c r="BQ169" i="4" s="1"/>
  <c r="BQ168" i="4" s="1"/>
  <c r="BQ167" i="4" s="1"/>
  <c r="BQ166" i="4" s="1"/>
  <c r="BQ165" i="4" s="1"/>
  <c r="BQ164" i="4" s="1"/>
  <c r="BQ163" i="4" s="1"/>
  <c r="BQ162" i="4" s="1"/>
  <c r="BQ161" i="4" s="1"/>
  <c r="BQ160" i="4" s="1"/>
  <c r="BQ159" i="4" s="1"/>
  <c r="BQ158" i="4" s="1"/>
  <c r="BQ157" i="4" s="1"/>
  <c r="BQ156" i="4" s="1"/>
  <c r="BQ155" i="4" s="1"/>
  <c r="BQ154" i="4" s="1"/>
  <c r="BQ153" i="4" s="1"/>
  <c r="BQ152" i="4" s="1"/>
  <c r="BQ151" i="4" s="1"/>
  <c r="BQ150" i="4" s="1"/>
  <c r="BQ149" i="4" s="1"/>
  <c r="BQ148" i="4" s="1"/>
  <c r="BQ147" i="4" s="1"/>
  <c r="BQ146" i="4" s="1"/>
  <c r="BQ145" i="4" s="1"/>
  <c r="BQ144" i="4" s="1"/>
  <c r="BQ143" i="4" s="1"/>
  <c r="BQ142" i="4" s="1"/>
  <c r="BQ141" i="4" s="1"/>
  <c r="BQ140" i="4" s="1"/>
  <c r="BQ139" i="4" s="1"/>
  <c r="BQ138" i="4" s="1"/>
  <c r="BQ137" i="4" s="1"/>
  <c r="BQ136" i="4" s="1"/>
  <c r="BQ135" i="4" s="1"/>
  <c r="BQ134" i="4" s="1"/>
  <c r="BQ133" i="4" s="1"/>
  <c r="BQ132" i="4" s="1"/>
  <c r="BQ131" i="4" s="1"/>
  <c r="BQ130" i="4" s="1"/>
  <c r="BQ129" i="4" s="1"/>
  <c r="BQ128" i="4" s="1"/>
  <c r="BQ127" i="4" s="1"/>
  <c r="BQ126" i="4" s="1"/>
  <c r="BQ125" i="4" s="1"/>
  <c r="BQ124" i="4" s="1"/>
  <c r="BQ123" i="4" s="1"/>
  <c r="BQ122" i="4" s="1"/>
  <c r="BQ121" i="4" s="1"/>
  <c r="BQ120" i="4" s="1"/>
  <c r="BQ119" i="4" s="1"/>
  <c r="BQ118" i="4" s="1"/>
  <c r="BQ117" i="4" s="1"/>
  <c r="BQ116" i="4" s="1"/>
  <c r="BQ115" i="4" s="1"/>
  <c r="BQ114" i="4" s="1"/>
  <c r="BQ113" i="4" s="1"/>
  <c r="BQ112" i="4" s="1"/>
  <c r="BQ111" i="4" s="1"/>
  <c r="BQ110" i="4" s="1"/>
  <c r="BQ109" i="4" s="1"/>
  <c r="BQ108" i="4" s="1"/>
  <c r="BQ107" i="4" s="1"/>
  <c r="BR203" i="4"/>
  <c r="BR202" i="4" s="1"/>
  <c r="BR201" i="4" s="1"/>
  <c r="BR200" i="4" s="1"/>
  <c r="BR199" i="4" s="1"/>
  <c r="BR198" i="4" s="1"/>
  <c r="BR197" i="4" s="1"/>
  <c r="BR196" i="4" s="1"/>
  <c r="BR195" i="4" s="1"/>
  <c r="BR194" i="4" s="1"/>
  <c r="BR193" i="4" s="1"/>
  <c r="BR192" i="4" s="1"/>
  <c r="BR191" i="4" s="1"/>
  <c r="BR190" i="4" s="1"/>
  <c r="BR189" i="4" s="1"/>
  <c r="BR188" i="4" s="1"/>
  <c r="BR187" i="4" s="1"/>
  <c r="BR186" i="4" s="1"/>
  <c r="BR185" i="4" s="1"/>
  <c r="BR184" i="4" s="1"/>
  <c r="BR183" i="4" s="1"/>
  <c r="BR182" i="4" s="1"/>
  <c r="BR181" i="4" s="1"/>
  <c r="BR180" i="4" s="1"/>
  <c r="BR179" i="4" s="1"/>
  <c r="BR178" i="4" s="1"/>
  <c r="BR177" i="4" s="1"/>
  <c r="BR176" i="4" s="1"/>
  <c r="BR175" i="4" s="1"/>
  <c r="BR174" i="4" s="1"/>
  <c r="BR173" i="4" s="1"/>
  <c r="BR172" i="4" s="1"/>
  <c r="BR171" i="4" s="1"/>
  <c r="BR170" i="4" s="1"/>
  <c r="BR169" i="4" s="1"/>
  <c r="BR168" i="4" s="1"/>
  <c r="BR167" i="4" s="1"/>
  <c r="BR166" i="4" s="1"/>
  <c r="BR165" i="4" s="1"/>
  <c r="BR164" i="4" s="1"/>
  <c r="BR163" i="4" s="1"/>
  <c r="BR162" i="4" s="1"/>
  <c r="BR161" i="4" s="1"/>
  <c r="BR160" i="4" s="1"/>
  <c r="BR159" i="4" s="1"/>
  <c r="BR158" i="4" s="1"/>
  <c r="BR157" i="4" s="1"/>
  <c r="BR156" i="4" s="1"/>
  <c r="BR155" i="4" s="1"/>
  <c r="BR154" i="4" s="1"/>
  <c r="BR153" i="4" s="1"/>
  <c r="BR152" i="4" s="1"/>
  <c r="BR151" i="4" s="1"/>
  <c r="BR150" i="4" s="1"/>
  <c r="BR149" i="4" s="1"/>
  <c r="BR148" i="4" s="1"/>
  <c r="BR147" i="4" s="1"/>
  <c r="BR146" i="4" s="1"/>
  <c r="BR145" i="4" s="1"/>
  <c r="BR144" i="4" s="1"/>
  <c r="BR143" i="4" s="1"/>
  <c r="BR142" i="4" s="1"/>
  <c r="BR141" i="4" s="1"/>
  <c r="BR140" i="4" s="1"/>
  <c r="BR139" i="4" s="1"/>
  <c r="BR138" i="4" s="1"/>
  <c r="BR137" i="4" s="1"/>
  <c r="BR136" i="4" s="1"/>
  <c r="BR135" i="4" s="1"/>
  <c r="BR134" i="4" s="1"/>
  <c r="BR133" i="4" s="1"/>
  <c r="BR132" i="4" s="1"/>
  <c r="BR131" i="4" s="1"/>
  <c r="BR130" i="4" s="1"/>
  <c r="BR129" i="4" s="1"/>
  <c r="BR128" i="4" s="1"/>
  <c r="BR127" i="4" s="1"/>
  <c r="BR126" i="4" s="1"/>
  <c r="BR125" i="4" s="1"/>
  <c r="BR124" i="4" s="1"/>
  <c r="BR123" i="4" s="1"/>
  <c r="BR122" i="4" s="1"/>
  <c r="BR121" i="4" s="1"/>
  <c r="BR120" i="4" s="1"/>
  <c r="BR119" i="4" s="1"/>
  <c r="BR118" i="4" s="1"/>
  <c r="BR117" i="4" s="1"/>
  <c r="BR116" i="4" s="1"/>
  <c r="BR115" i="4" s="1"/>
  <c r="BR114" i="4" s="1"/>
  <c r="BR113" i="4" s="1"/>
  <c r="BR112" i="4" s="1"/>
  <c r="BR111" i="4" s="1"/>
  <c r="BR110" i="4" s="1"/>
  <c r="BR109" i="4" s="1"/>
  <c r="BR108" i="4" s="1"/>
  <c r="BR107" i="4" s="1"/>
  <c r="BS203" i="4"/>
  <c r="BS202" i="4" s="1"/>
  <c r="BS201" i="4" s="1"/>
  <c r="BS200" i="4" s="1"/>
  <c r="BS199" i="4" s="1"/>
  <c r="BS198" i="4" s="1"/>
  <c r="BS197" i="4" s="1"/>
  <c r="BS196" i="4" s="1"/>
  <c r="BS195" i="4" s="1"/>
  <c r="BS194" i="4" s="1"/>
  <c r="BS193" i="4" s="1"/>
  <c r="BS192" i="4" s="1"/>
  <c r="BS191" i="4" s="1"/>
  <c r="BS190" i="4" s="1"/>
  <c r="BS189" i="4" s="1"/>
  <c r="BS188" i="4" s="1"/>
  <c r="BS187" i="4" s="1"/>
  <c r="BS186" i="4" s="1"/>
  <c r="BS185" i="4" s="1"/>
  <c r="BS184" i="4" s="1"/>
  <c r="BS183" i="4" s="1"/>
  <c r="BS182" i="4" s="1"/>
  <c r="BS181" i="4" s="1"/>
  <c r="BS180" i="4" s="1"/>
  <c r="BS179" i="4" s="1"/>
  <c r="BS178" i="4" s="1"/>
  <c r="BS177" i="4" s="1"/>
  <c r="BS176" i="4" s="1"/>
  <c r="BS175" i="4" s="1"/>
  <c r="BS174" i="4" s="1"/>
  <c r="BS173" i="4" s="1"/>
  <c r="BS172" i="4" s="1"/>
  <c r="BS171" i="4" s="1"/>
  <c r="BS170" i="4" s="1"/>
  <c r="BS169" i="4" s="1"/>
  <c r="BS168" i="4" s="1"/>
  <c r="BS167" i="4" s="1"/>
  <c r="BS166" i="4" s="1"/>
  <c r="BS165" i="4" s="1"/>
  <c r="BS164" i="4" s="1"/>
  <c r="BS163" i="4" s="1"/>
  <c r="BS162" i="4" s="1"/>
  <c r="BS161" i="4" s="1"/>
  <c r="BS160" i="4" s="1"/>
  <c r="BS159" i="4" s="1"/>
  <c r="BS158" i="4" s="1"/>
  <c r="BS157" i="4" s="1"/>
  <c r="BS156" i="4" s="1"/>
  <c r="BS155" i="4" s="1"/>
  <c r="BS154" i="4" s="1"/>
  <c r="BS153" i="4" s="1"/>
  <c r="BS152" i="4" s="1"/>
  <c r="BS151" i="4" s="1"/>
  <c r="BS150" i="4" s="1"/>
  <c r="BS149" i="4" s="1"/>
  <c r="BS148" i="4" s="1"/>
  <c r="BS147" i="4" s="1"/>
  <c r="BS146" i="4" s="1"/>
  <c r="BS145" i="4" s="1"/>
  <c r="BS144" i="4" s="1"/>
  <c r="BS143" i="4" s="1"/>
  <c r="BS142" i="4" s="1"/>
  <c r="BS141" i="4" s="1"/>
  <c r="BS140" i="4" s="1"/>
  <c r="BS139" i="4" s="1"/>
  <c r="BS138" i="4" s="1"/>
  <c r="BS137" i="4" s="1"/>
  <c r="BS136" i="4" s="1"/>
  <c r="BS135" i="4" s="1"/>
  <c r="BS134" i="4" s="1"/>
  <c r="BS133" i="4" s="1"/>
  <c r="BS132" i="4" s="1"/>
  <c r="BS131" i="4" s="1"/>
  <c r="BS130" i="4" s="1"/>
  <c r="BS129" i="4" s="1"/>
  <c r="BS128" i="4" s="1"/>
  <c r="BS127" i="4" s="1"/>
  <c r="BS126" i="4" s="1"/>
  <c r="BS125" i="4" s="1"/>
  <c r="BS124" i="4" s="1"/>
  <c r="BS123" i="4" s="1"/>
  <c r="BS122" i="4" s="1"/>
  <c r="BS121" i="4" s="1"/>
  <c r="BS120" i="4" s="1"/>
  <c r="BS119" i="4" s="1"/>
  <c r="BS118" i="4" s="1"/>
  <c r="BS117" i="4" s="1"/>
  <c r="BS116" i="4" s="1"/>
  <c r="BS115" i="4" s="1"/>
  <c r="BS114" i="4" s="1"/>
  <c r="BS113" i="4" s="1"/>
  <c r="BS112" i="4" s="1"/>
  <c r="BS111" i="4" s="1"/>
  <c r="BS110" i="4" s="1"/>
  <c r="BS109" i="4" s="1"/>
  <c r="BS108" i="4" s="1"/>
  <c r="BS107" i="4" s="1"/>
  <c r="BT203" i="4"/>
  <c r="BT202" i="4" s="1"/>
  <c r="BT201" i="4" s="1"/>
  <c r="BT200" i="4" s="1"/>
  <c r="BT199" i="4" s="1"/>
  <c r="BT198" i="4" s="1"/>
  <c r="BT197" i="4" s="1"/>
  <c r="BT196" i="4" s="1"/>
  <c r="BT195" i="4" s="1"/>
  <c r="BT194" i="4" s="1"/>
  <c r="BT193" i="4" s="1"/>
  <c r="BT192" i="4" s="1"/>
  <c r="BT191" i="4" s="1"/>
  <c r="BT190" i="4" s="1"/>
  <c r="BT189" i="4" s="1"/>
  <c r="BT188" i="4" s="1"/>
  <c r="BT187" i="4" s="1"/>
  <c r="BT186" i="4" s="1"/>
  <c r="BT185" i="4" s="1"/>
  <c r="BT184" i="4" s="1"/>
  <c r="BT183" i="4" s="1"/>
  <c r="BT182" i="4" s="1"/>
  <c r="BT181" i="4" s="1"/>
  <c r="BT180" i="4" s="1"/>
  <c r="BT179" i="4" s="1"/>
  <c r="BT178" i="4" s="1"/>
  <c r="BT177" i="4" s="1"/>
  <c r="BT176" i="4" s="1"/>
  <c r="BT175" i="4" s="1"/>
  <c r="BT174" i="4" s="1"/>
  <c r="BT173" i="4" s="1"/>
  <c r="BT172" i="4" s="1"/>
  <c r="BT171" i="4" s="1"/>
  <c r="BT170" i="4" s="1"/>
  <c r="BT169" i="4" s="1"/>
  <c r="BT168" i="4" s="1"/>
  <c r="BT167" i="4" s="1"/>
  <c r="BT166" i="4" s="1"/>
  <c r="BT165" i="4" s="1"/>
  <c r="BT164" i="4" s="1"/>
  <c r="BT163" i="4" s="1"/>
  <c r="BT162" i="4" s="1"/>
  <c r="BT161" i="4" s="1"/>
  <c r="BT160" i="4" s="1"/>
  <c r="BT159" i="4" s="1"/>
  <c r="BT158" i="4" s="1"/>
  <c r="BT157" i="4" s="1"/>
  <c r="BT156" i="4" s="1"/>
  <c r="BT155" i="4" s="1"/>
  <c r="BT154" i="4" s="1"/>
  <c r="BT153" i="4" s="1"/>
  <c r="BT152" i="4" s="1"/>
  <c r="BT151" i="4" s="1"/>
  <c r="BT150" i="4" s="1"/>
  <c r="BT149" i="4" s="1"/>
  <c r="BT148" i="4" s="1"/>
  <c r="BT147" i="4" s="1"/>
  <c r="BT146" i="4" s="1"/>
  <c r="BT145" i="4" s="1"/>
  <c r="BT144" i="4" s="1"/>
  <c r="BT143" i="4" s="1"/>
  <c r="BT142" i="4" s="1"/>
  <c r="BT141" i="4" s="1"/>
  <c r="BT140" i="4" s="1"/>
  <c r="BT139" i="4" s="1"/>
  <c r="BT138" i="4" s="1"/>
  <c r="BT137" i="4" s="1"/>
  <c r="BT136" i="4" s="1"/>
  <c r="BT135" i="4" s="1"/>
  <c r="BT134" i="4" s="1"/>
  <c r="BT133" i="4" s="1"/>
  <c r="BT132" i="4" s="1"/>
  <c r="BT131" i="4" s="1"/>
  <c r="BT130" i="4" s="1"/>
  <c r="BT129" i="4" s="1"/>
  <c r="BT128" i="4" s="1"/>
  <c r="BT127" i="4" s="1"/>
  <c r="BT126" i="4" s="1"/>
  <c r="BT125" i="4" s="1"/>
  <c r="BT124" i="4" s="1"/>
  <c r="BT123" i="4" s="1"/>
  <c r="BT122" i="4" s="1"/>
  <c r="BT121" i="4" s="1"/>
  <c r="BT120" i="4" s="1"/>
  <c r="BT119" i="4" s="1"/>
  <c r="BT118" i="4" s="1"/>
  <c r="BT117" i="4" s="1"/>
  <c r="BT116" i="4" s="1"/>
  <c r="BT115" i="4" s="1"/>
  <c r="BT114" i="4" s="1"/>
  <c r="BT113" i="4" s="1"/>
  <c r="BT112" i="4" s="1"/>
  <c r="BT111" i="4" s="1"/>
  <c r="BT110" i="4" s="1"/>
  <c r="BT109" i="4" s="1"/>
  <c r="BT108" i="4" s="1"/>
  <c r="BT107" i="4" s="1"/>
  <c r="BU203" i="4"/>
  <c r="BU202" i="4" s="1"/>
  <c r="BU201" i="4" s="1"/>
  <c r="BU200" i="4" s="1"/>
  <c r="BU199" i="4" s="1"/>
  <c r="BU198" i="4" s="1"/>
  <c r="BU197" i="4" s="1"/>
  <c r="BU196" i="4" s="1"/>
  <c r="BU195" i="4" s="1"/>
  <c r="BU194" i="4" s="1"/>
  <c r="BU193" i="4" s="1"/>
  <c r="BU192" i="4" s="1"/>
  <c r="BU191" i="4" s="1"/>
  <c r="BU190" i="4" s="1"/>
  <c r="BU189" i="4" s="1"/>
  <c r="BU188" i="4" s="1"/>
  <c r="BU187" i="4" s="1"/>
  <c r="BU186" i="4" s="1"/>
  <c r="BU185" i="4" s="1"/>
  <c r="BU184" i="4" s="1"/>
  <c r="BU183" i="4" s="1"/>
  <c r="BU182" i="4" s="1"/>
  <c r="BU181" i="4" s="1"/>
  <c r="BU180" i="4" s="1"/>
  <c r="BU179" i="4" s="1"/>
  <c r="BU178" i="4" s="1"/>
  <c r="BU177" i="4" s="1"/>
  <c r="BU176" i="4" s="1"/>
  <c r="BU175" i="4" s="1"/>
  <c r="BU174" i="4" s="1"/>
  <c r="BU173" i="4" s="1"/>
  <c r="BU172" i="4" s="1"/>
  <c r="BU171" i="4" s="1"/>
  <c r="BU170" i="4" s="1"/>
  <c r="BU169" i="4" s="1"/>
  <c r="BU168" i="4" s="1"/>
  <c r="BU167" i="4" s="1"/>
  <c r="BU166" i="4" s="1"/>
  <c r="BU165" i="4" s="1"/>
  <c r="BU164" i="4" s="1"/>
  <c r="BU163" i="4" s="1"/>
  <c r="BU162" i="4" s="1"/>
  <c r="BU161" i="4" s="1"/>
  <c r="BU160" i="4" s="1"/>
  <c r="BU159" i="4" s="1"/>
  <c r="BU158" i="4" s="1"/>
  <c r="BU157" i="4" s="1"/>
  <c r="BU156" i="4" s="1"/>
  <c r="BU155" i="4" s="1"/>
  <c r="BU154" i="4" s="1"/>
  <c r="BU153" i="4" s="1"/>
  <c r="BU152" i="4" s="1"/>
  <c r="BU151" i="4" s="1"/>
  <c r="BU150" i="4" s="1"/>
  <c r="BU149" i="4" s="1"/>
  <c r="BU148" i="4" s="1"/>
  <c r="BU147" i="4" s="1"/>
  <c r="BU146" i="4" s="1"/>
  <c r="BU145" i="4" s="1"/>
  <c r="BU144" i="4" s="1"/>
  <c r="BU143" i="4" s="1"/>
  <c r="BU142" i="4" s="1"/>
  <c r="BU141" i="4" s="1"/>
  <c r="BU140" i="4" s="1"/>
  <c r="BU139" i="4" s="1"/>
  <c r="BU138" i="4" s="1"/>
  <c r="BU137" i="4" s="1"/>
  <c r="BU136" i="4" s="1"/>
  <c r="BU135" i="4" s="1"/>
  <c r="BU134" i="4" s="1"/>
  <c r="BU133" i="4" s="1"/>
  <c r="BU132" i="4" s="1"/>
  <c r="BU131" i="4" s="1"/>
  <c r="BU130" i="4" s="1"/>
  <c r="BU129" i="4" s="1"/>
  <c r="BU128" i="4" s="1"/>
  <c r="BU127" i="4" s="1"/>
  <c r="BU126" i="4" s="1"/>
  <c r="BU125" i="4" s="1"/>
  <c r="BU124" i="4" s="1"/>
  <c r="BU123" i="4" s="1"/>
  <c r="BU122" i="4" s="1"/>
  <c r="BU121" i="4" s="1"/>
  <c r="BU120" i="4" s="1"/>
  <c r="BU119" i="4" s="1"/>
  <c r="BU118" i="4" s="1"/>
  <c r="BU117" i="4" s="1"/>
  <c r="BU116" i="4" s="1"/>
  <c r="BU115" i="4" s="1"/>
  <c r="BU114" i="4" s="1"/>
  <c r="BU113" i="4" s="1"/>
  <c r="BU112" i="4" s="1"/>
  <c r="BU111" i="4" s="1"/>
  <c r="BU110" i="4" s="1"/>
  <c r="BU109" i="4" s="1"/>
  <c r="BU108" i="4" s="1"/>
  <c r="BU107" i="4" s="1"/>
  <c r="BV203" i="4"/>
  <c r="BV202" i="4" s="1"/>
  <c r="BV201" i="4" s="1"/>
  <c r="BV200" i="4" s="1"/>
  <c r="BV199" i="4" s="1"/>
  <c r="BV198" i="4" s="1"/>
  <c r="BV197" i="4" s="1"/>
  <c r="BV196" i="4" s="1"/>
  <c r="BV195" i="4" s="1"/>
  <c r="BV194" i="4" s="1"/>
  <c r="BV193" i="4" s="1"/>
  <c r="BV192" i="4" s="1"/>
  <c r="BV191" i="4" s="1"/>
  <c r="BV190" i="4" s="1"/>
  <c r="BV189" i="4" s="1"/>
  <c r="BV188" i="4" s="1"/>
  <c r="BV187" i="4" s="1"/>
  <c r="BV186" i="4" s="1"/>
  <c r="BV185" i="4" s="1"/>
  <c r="BV184" i="4" s="1"/>
  <c r="BV183" i="4" s="1"/>
  <c r="BV182" i="4" s="1"/>
  <c r="BV181" i="4" s="1"/>
  <c r="BV180" i="4" s="1"/>
  <c r="BV179" i="4" s="1"/>
  <c r="BV178" i="4" s="1"/>
  <c r="BV177" i="4" s="1"/>
  <c r="BV176" i="4" s="1"/>
  <c r="BV175" i="4" s="1"/>
  <c r="BV174" i="4" s="1"/>
  <c r="BV173" i="4" s="1"/>
  <c r="BV172" i="4" s="1"/>
  <c r="BV171" i="4" s="1"/>
  <c r="BV170" i="4" s="1"/>
  <c r="BV169" i="4" s="1"/>
  <c r="BV168" i="4" s="1"/>
  <c r="BV167" i="4" s="1"/>
  <c r="BV166" i="4" s="1"/>
  <c r="BV165" i="4" s="1"/>
  <c r="BV164" i="4" s="1"/>
  <c r="BV163" i="4" s="1"/>
  <c r="BV162" i="4" s="1"/>
  <c r="BV161" i="4" s="1"/>
  <c r="BV160" i="4" s="1"/>
  <c r="BV159" i="4" s="1"/>
  <c r="BV158" i="4" s="1"/>
  <c r="BV157" i="4" s="1"/>
  <c r="BV156" i="4" s="1"/>
  <c r="BV155" i="4" s="1"/>
  <c r="BV154" i="4" s="1"/>
  <c r="BV153" i="4" s="1"/>
  <c r="BV152" i="4" s="1"/>
  <c r="BV151" i="4" s="1"/>
  <c r="BV150" i="4" s="1"/>
  <c r="BV149" i="4" s="1"/>
  <c r="BV148" i="4" s="1"/>
  <c r="BV147" i="4" s="1"/>
  <c r="BV146" i="4" s="1"/>
  <c r="BV145" i="4" s="1"/>
  <c r="BV144" i="4" s="1"/>
  <c r="BV143" i="4" s="1"/>
  <c r="BV142" i="4" s="1"/>
  <c r="BV141" i="4" s="1"/>
  <c r="BV140" i="4" s="1"/>
  <c r="BV139" i="4" s="1"/>
  <c r="BV138" i="4" s="1"/>
  <c r="BV137" i="4" s="1"/>
  <c r="BV136" i="4" s="1"/>
  <c r="BV135" i="4" s="1"/>
  <c r="BV134" i="4" s="1"/>
  <c r="BV133" i="4" s="1"/>
  <c r="BV132" i="4" s="1"/>
  <c r="BV131" i="4" s="1"/>
  <c r="BV130" i="4" s="1"/>
  <c r="BV129" i="4" s="1"/>
  <c r="BV128" i="4" s="1"/>
  <c r="BV127" i="4" s="1"/>
  <c r="BV126" i="4" s="1"/>
  <c r="BV125" i="4" s="1"/>
  <c r="BV124" i="4" s="1"/>
  <c r="BV123" i="4" s="1"/>
  <c r="BV122" i="4" s="1"/>
  <c r="BV121" i="4" s="1"/>
  <c r="BV120" i="4" s="1"/>
  <c r="BV119" i="4" s="1"/>
  <c r="BV118" i="4" s="1"/>
  <c r="BV117" i="4" s="1"/>
  <c r="BV116" i="4" s="1"/>
  <c r="BV115" i="4" s="1"/>
  <c r="BV114" i="4" s="1"/>
  <c r="BV113" i="4" s="1"/>
  <c r="BV112" i="4" s="1"/>
  <c r="BV111" i="4" s="1"/>
  <c r="BV110" i="4" s="1"/>
  <c r="BV109" i="4" s="1"/>
  <c r="BV108" i="4" s="1"/>
  <c r="BV107" i="4" s="1"/>
  <c r="BW203" i="4"/>
  <c r="BW202" i="4" s="1"/>
  <c r="BW201" i="4" s="1"/>
  <c r="BW200" i="4" s="1"/>
  <c r="BW199" i="4" s="1"/>
  <c r="BW198" i="4" s="1"/>
  <c r="BW197" i="4" s="1"/>
  <c r="BW196" i="4" s="1"/>
  <c r="BW195" i="4" s="1"/>
  <c r="BW194" i="4" s="1"/>
  <c r="BW193" i="4" s="1"/>
  <c r="BW192" i="4" s="1"/>
  <c r="BW191" i="4" s="1"/>
  <c r="BW190" i="4" s="1"/>
  <c r="BW189" i="4" s="1"/>
  <c r="BW188" i="4" s="1"/>
  <c r="BW187" i="4" s="1"/>
  <c r="BW186" i="4" s="1"/>
  <c r="BW185" i="4" s="1"/>
  <c r="BW184" i="4" s="1"/>
  <c r="BW183" i="4" s="1"/>
  <c r="BW182" i="4" s="1"/>
  <c r="BW181" i="4" s="1"/>
  <c r="BW180" i="4" s="1"/>
  <c r="BW179" i="4" s="1"/>
  <c r="BW178" i="4" s="1"/>
  <c r="BW177" i="4" s="1"/>
  <c r="BW176" i="4" s="1"/>
  <c r="BW175" i="4" s="1"/>
  <c r="BW174" i="4" s="1"/>
  <c r="BW173" i="4" s="1"/>
  <c r="BW172" i="4" s="1"/>
  <c r="BW171" i="4" s="1"/>
  <c r="BW170" i="4" s="1"/>
  <c r="BW169" i="4" s="1"/>
  <c r="BW168" i="4" s="1"/>
  <c r="BW167" i="4" s="1"/>
  <c r="BW166" i="4" s="1"/>
  <c r="BW165" i="4" s="1"/>
  <c r="BW164" i="4" s="1"/>
  <c r="BW163" i="4" s="1"/>
  <c r="BW162" i="4" s="1"/>
  <c r="BW161" i="4" s="1"/>
  <c r="BW160" i="4" s="1"/>
  <c r="BW159" i="4" s="1"/>
  <c r="BW158" i="4" s="1"/>
  <c r="BW157" i="4" s="1"/>
  <c r="BW156" i="4" s="1"/>
  <c r="BW155" i="4" s="1"/>
  <c r="BW154" i="4" s="1"/>
  <c r="BW153" i="4" s="1"/>
  <c r="BW152" i="4" s="1"/>
  <c r="BW151" i="4" s="1"/>
  <c r="BW150" i="4" s="1"/>
  <c r="BW149" i="4" s="1"/>
  <c r="BW148" i="4" s="1"/>
  <c r="BW147" i="4" s="1"/>
  <c r="BW146" i="4" s="1"/>
  <c r="BW145" i="4" s="1"/>
  <c r="BW144" i="4" s="1"/>
  <c r="BW143" i="4" s="1"/>
  <c r="BW142" i="4" s="1"/>
  <c r="BW141" i="4" s="1"/>
  <c r="BW140" i="4" s="1"/>
  <c r="BW139" i="4" s="1"/>
  <c r="BW138" i="4" s="1"/>
  <c r="BW137" i="4" s="1"/>
  <c r="BW136" i="4" s="1"/>
  <c r="BW135" i="4" s="1"/>
  <c r="BW134" i="4" s="1"/>
  <c r="BW133" i="4" s="1"/>
  <c r="BW132" i="4" s="1"/>
  <c r="BW131" i="4" s="1"/>
  <c r="BW130" i="4" s="1"/>
  <c r="BW129" i="4" s="1"/>
  <c r="BW128" i="4" s="1"/>
  <c r="BW127" i="4" s="1"/>
  <c r="BW126" i="4" s="1"/>
  <c r="BW125" i="4" s="1"/>
  <c r="BW124" i="4" s="1"/>
  <c r="BW123" i="4" s="1"/>
  <c r="BW122" i="4" s="1"/>
  <c r="BW121" i="4" s="1"/>
  <c r="BW120" i="4" s="1"/>
  <c r="BW119" i="4" s="1"/>
  <c r="BW118" i="4" s="1"/>
  <c r="BW117" i="4" s="1"/>
  <c r="BW116" i="4" s="1"/>
  <c r="BW115" i="4" s="1"/>
  <c r="BW114" i="4" s="1"/>
  <c r="BW113" i="4" s="1"/>
  <c r="BW112" i="4" s="1"/>
  <c r="BW111" i="4" s="1"/>
  <c r="BW110" i="4" s="1"/>
  <c r="BW109" i="4" s="1"/>
  <c r="BW108" i="4" s="1"/>
  <c r="BW107" i="4" s="1"/>
  <c r="BX203" i="4"/>
  <c r="BX202" i="4" s="1"/>
  <c r="BX201" i="4" s="1"/>
  <c r="BX200" i="4" s="1"/>
  <c r="BX199" i="4" s="1"/>
  <c r="BX198" i="4" s="1"/>
  <c r="BX197" i="4" s="1"/>
  <c r="BX196" i="4" s="1"/>
  <c r="BX195" i="4" s="1"/>
  <c r="BX194" i="4" s="1"/>
  <c r="BX193" i="4" s="1"/>
  <c r="BX192" i="4" s="1"/>
  <c r="BX191" i="4" s="1"/>
  <c r="BX190" i="4" s="1"/>
  <c r="BX189" i="4" s="1"/>
  <c r="BX188" i="4" s="1"/>
  <c r="BX187" i="4" s="1"/>
  <c r="BX186" i="4" s="1"/>
  <c r="BX185" i="4" s="1"/>
  <c r="BX184" i="4" s="1"/>
  <c r="BX183" i="4" s="1"/>
  <c r="BX182" i="4" s="1"/>
  <c r="BX181" i="4" s="1"/>
  <c r="BX180" i="4" s="1"/>
  <c r="BX179" i="4" s="1"/>
  <c r="BX178" i="4" s="1"/>
  <c r="BX177" i="4" s="1"/>
  <c r="BX176" i="4" s="1"/>
  <c r="BX175" i="4" s="1"/>
  <c r="BX174" i="4" s="1"/>
  <c r="BX173" i="4" s="1"/>
  <c r="BX172" i="4" s="1"/>
  <c r="BX171" i="4" s="1"/>
  <c r="BX170" i="4" s="1"/>
  <c r="BX169" i="4" s="1"/>
  <c r="BX168" i="4" s="1"/>
  <c r="BX167" i="4" s="1"/>
  <c r="BX166" i="4" s="1"/>
  <c r="BX165" i="4" s="1"/>
  <c r="BX164" i="4" s="1"/>
  <c r="BX163" i="4" s="1"/>
  <c r="BX162" i="4" s="1"/>
  <c r="BX161" i="4" s="1"/>
  <c r="BX160" i="4" s="1"/>
  <c r="BX159" i="4" s="1"/>
  <c r="BX158" i="4" s="1"/>
  <c r="BX157" i="4" s="1"/>
  <c r="BX156" i="4" s="1"/>
  <c r="BX155" i="4" s="1"/>
  <c r="BX154" i="4" s="1"/>
  <c r="BX153" i="4" s="1"/>
  <c r="BX152" i="4" s="1"/>
  <c r="BX151" i="4" s="1"/>
  <c r="BX150" i="4" s="1"/>
  <c r="BX149" i="4" s="1"/>
  <c r="BX148" i="4" s="1"/>
  <c r="BX147" i="4" s="1"/>
  <c r="BX146" i="4" s="1"/>
  <c r="BY203" i="4"/>
  <c r="BY202" i="4" s="1"/>
  <c r="BY201" i="4" s="1"/>
  <c r="BY200" i="4" s="1"/>
  <c r="BY199" i="4" s="1"/>
  <c r="BY198" i="4" s="1"/>
  <c r="BY197" i="4" s="1"/>
  <c r="BY196" i="4" s="1"/>
  <c r="BY195" i="4" s="1"/>
  <c r="BY194" i="4" s="1"/>
  <c r="BY193" i="4" s="1"/>
  <c r="BY192" i="4" s="1"/>
  <c r="BY191" i="4" s="1"/>
  <c r="BY190" i="4" s="1"/>
  <c r="BY189" i="4" s="1"/>
  <c r="BY188" i="4" s="1"/>
  <c r="BY187" i="4" s="1"/>
  <c r="BY186" i="4" s="1"/>
  <c r="BY185" i="4" s="1"/>
  <c r="BY184" i="4" s="1"/>
  <c r="BY183" i="4" s="1"/>
  <c r="BY182" i="4" s="1"/>
  <c r="BY181" i="4" s="1"/>
  <c r="BY180" i="4" s="1"/>
  <c r="BY179" i="4" s="1"/>
  <c r="BY178" i="4" s="1"/>
  <c r="BY177" i="4" s="1"/>
  <c r="BY176" i="4" s="1"/>
  <c r="BY175" i="4" s="1"/>
  <c r="BY174" i="4" s="1"/>
  <c r="BY173" i="4" s="1"/>
  <c r="BY172" i="4" s="1"/>
  <c r="BY171" i="4" s="1"/>
  <c r="BY170" i="4" s="1"/>
  <c r="BY169" i="4" s="1"/>
  <c r="BY168" i="4" s="1"/>
  <c r="BY167" i="4" s="1"/>
  <c r="BY166" i="4" s="1"/>
  <c r="BY165" i="4" s="1"/>
  <c r="BY164" i="4" s="1"/>
  <c r="BY163" i="4" s="1"/>
  <c r="BY162" i="4" s="1"/>
  <c r="BZ203" i="4"/>
  <c r="BZ202" i="4" s="1"/>
  <c r="BZ201" i="4" s="1"/>
  <c r="BZ200" i="4" s="1"/>
  <c r="BZ199" i="4" s="1"/>
  <c r="BZ198" i="4" s="1"/>
  <c r="BZ197" i="4" s="1"/>
  <c r="BZ196" i="4" s="1"/>
  <c r="BZ195" i="4" s="1"/>
  <c r="BZ194" i="4" s="1"/>
  <c r="BZ193" i="4" s="1"/>
  <c r="BZ192" i="4" s="1"/>
  <c r="BZ191" i="4" s="1"/>
  <c r="BZ190" i="4" s="1"/>
  <c r="BZ189" i="4" s="1"/>
  <c r="BZ188" i="4" s="1"/>
  <c r="BZ187" i="4" s="1"/>
  <c r="BZ186" i="4" s="1"/>
  <c r="BZ185" i="4" s="1"/>
  <c r="BZ184" i="4" s="1"/>
  <c r="BZ183" i="4" s="1"/>
  <c r="BZ182" i="4" s="1"/>
  <c r="BZ181" i="4" s="1"/>
  <c r="BZ180" i="4" s="1"/>
  <c r="BZ179" i="4" s="1"/>
  <c r="BZ178" i="4" s="1"/>
  <c r="BZ177" i="4" s="1"/>
  <c r="BZ176" i="4" s="1"/>
  <c r="BZ175" i="4" s="1"/>
  <c r="BZ174" i="4" s="1"/>
  <c r="BZ173" i="4" s="1"/>
  <c r="BZ172" i="4" s="1"/>
  <c r="BZ171" i="4" s="1"/>
  <c r="BZ170" i="4" s="1"/>
  <c r="BZ169" i="4" s="1"/>
  <c r="BZ168" i="4" s="1"/>
  <c r="BZ167" i="4" s="1"/>
  <c r="BZ166" i="4" s="1"/>
  <c r="BZ165" i="4" s="1"/>
  <c r="BZ164" i="4" s="1"/>
  <c r="BZ163" i="4" s="1"/>
  <c r="BZ162" i="4" s="1"/>
  <c r="BZ161" i="4" s="1"/>
  <c r="BZ160" i="4" s="1"/>
  <c r="BZ159" i="4" s="1"/>
  <c r="BZ158" i="4" s="1"/>
  <c r="BZ157" i="4" s="1"/>
  <c r="BZ156" i="4" s="1"/>
  <c r="BZ155" i="4" s="1"/>
  <c r="BZ154" i="4" s="1"/>
  <c r="BZ153" i="4" s="1"/>
  <c r="BZ152" i="4" s="1"/>
  <c r="BZ151" i="4" s="1"/>
  <c r="BZ150" i="4" s="1"/>
  <c r="BZ149" i="4" s="1"/>
  <c r="BZ148" i="4" s="1"/>
  <c r="BZ147" i="4" s="1"/>
  <c r="BZ146" i="4" s="1"/>
  <c r="BZ145" i="4" s="1"/>
  <c r="BZ144" i="4" s="1"/>
  <c r="BZ143" i="4" s="1"/>
  <c r="BZ142" i="4" s="1"/>
  <c r="BZ141" i="4" s="1"/>
  <c r="BZ140" i="4" s="1"/>
  <c r="BZ139" i="4" s="1"/>
  <c r="BZ138" i="4" s="1"/>
  <c r="BZ137" i="4" s="1"/>
  <c r="BZ136" i="4" s="1"/>
  <c r="BZ135" i="4" s="1"/>
  <c r="BZ134" i="4" s="1"/>
  <c r="BZ133" i="4" s="1"/>
  <c r="BZ132" i="4" s="1"/>
  <c r="BZ131" i="4" s="1"/>
  <c r="BZ130" i="4" s="1"/>
  <c r="BZ129" i="4" s="1"/>
  <c r="BZ128" i="4" s="1"/>
  <c r="BZ127" i="4" s="1"/>
  <c r="BZ126" i="4" s="1"/>
  <c r="BZ125" i="4" s="1"/>
  <c r="BZ124" i="4" s="1"/>
  <c r="BZ123" i="4" s="1"/>
  <c r="BZ122" i="4" s="1"/>
  <c r="BZ121" i="4" s="1"/>
  <c r="BZ120" i="4" s="1"/>
  <c r="BZ119" i="4" s="1"/>
  <c r="BZ118" i="4" s="1"/>
  <c r="BZ117" i="4" s="1"/>
  <c r="BZ116" i="4" s="1"/>
  <c r="BZ115" i="4" s="1"/>
  <c r="BZ114" i="4" s="1"/>
  <c r="BZ113" i="4" s="1"/>
  <c r="BZ112" i="4" s="1"/>
  <c r="BZ111" i="4" s="1"/>
  <c r="BZ110" i="4" s="1"/>
  <c r="BZ109" i="4" s="1"/>
  <c r="BZ108" i="4" s="1"/>
  <c r="BZ107" i="4" s="1"/>
  <c r="CA203" i="4"/>
  <c r="CA202" i="4" s="1"/>
  <c r="CA201" i="4" s="1"/>
  <c r="CA200" i="4" s="1"/>
  <c r="CA199" i="4" s="1"/>
  <c r="CA198" i="4" s="1"/>
  <c r="CA197" i="4" s="1"/>
  <c r="CA196" i="4" s="1"/>
  <c r="CA195" i="4" s="1"/>
  <c r="CA194" i="4" s="1"/>
  <c r="CA193" i="4" s="1"/>
  <c r="CA192" i="4" s="1"/>
  <c r="CA191" i="4" s="1"/>
  <c r="CA190" i="4" s="1"/>
  <c r="CA189" i="4" s="1"/>
  <c r="CA188" i="4" s="1"/>
  <c r="CA187" i="4" s="1"/>
  <c r="CA186" i="4" s="1"/>
  <c r="CA185" i="4" s="1"/>
  <c r="CA184" i="4" s="1"/>
  <c r="CA183" i="4" s="1"/>
  <c r="CA182" i="4" s="1"/>
  <c r="CA181" i="4" s="1"/>
  <c r="CA180" i="4" s="1"/>
  <c r="CA179" i="4" s="1"/>
  <c r="CA178" i="4" s="1"/>
  <c r="CA177" i="4" s="1"/>
  <c r="CA176" i="4" s="1"/>
  <c r="CA175" i="4" s="1"/>
  <c r="CA174" i="4" s="1"/>
  <c r="CA173" i="4" s="1"/>
  <c r="CB203" i="4"/>
  <c r="CB202" i="4" s="1"/>
  <c r="CB201" i="4" s="1"/>
  <c r="CB200" i="4" s="1"/>
  <c r="CB199" i="4" s="1"/>
  <c r="CB198" i="4" s="1"/>
  <c r="CB197" i="4" s="1"/>
  <c r="CB196" i="4" s="1"/>
  <c r="CB195" i="4" s="1"/>
  <c r="CB194" i="4" s="1"/>
  <c r="CB193" i="4" s="1"/>
  <c r="CB192" i="4" s="1"/>
  <c r="CB191" i="4" s="1"/>
  <c r="CB190" i="4" s="1"/>
  <c r="CB189" i="4" s="1"/>
  <c r="CB188" i="4" s="1"/>
  <c r="CB187" i="4" s="1"/>
  <c r="CB186" i="4" s="1"/>
  <c r="CB185" i="4" s="1"/>
  <c r="CB184" i="4" s="1"/>
  <c r="CB183" i="4" s="1"/>
  <c r="CB182" i="4" s="1"/>
  <c r="CB181" i="4" s="1"/>
  <c r="CB180" i="4" s="1"/>
  <c r="CB179" i="4" s="1"/>
  <c r="CB178" i="4" s="1"/>
  <c r="CB177" i="4" s="1"/>
  <c r="CB176" i="4" s="1"/>
  <c r="CB175" i="4" s="1"/>
  <c r="CB174" i="4" s="1"/>
  <c r="CB173" i="4" s="1"/>
  <c r="CB172" i="4" s="1"/>
  <c r="CB171" i="4" s="1"/>
  <c r="CB170" i="4" s="1"/>
  <c r="CB169" i="4" s="1"/>
  <c r="CB168" i="4" s="1"/>
  <c r="CB167" i="4" s="1"/>
  <c r="CB166" i="4" s="1"/>
  <c r="CB165" i="4" s="1"/>
  <c r="CC203" i="4"/>
  <c r="CC202" i="4" s="1"/>
  <c r="CC201" i="4" s="1"/>
  <c r="CC200" i="4" s="1"/>
  <c r="CC199" i="4" s="1"/>
  <c r="CC198" i="4" s="1"/>
  <c r="CC197" i="4" s="1"/>
  <c r="CC196" i="4" s="1"/>
  <c r="CC195" i="4" s="1"/>
  <c r="CC194" i="4" s="1"/>
  <c r="CC193" i="4" s="1"/>
  <c r="CC192" i="4" s="1"/>
  <c r="CC191" i="4" s="1"/>
  <c r="CC190" i="4" s="1"/>
  <c r="CC189" i="4" s="1"/>
  <c r="CC188" i="4" s="1"/>
  <c r="CC187" i="4" s="1"/>
  <c r="CC186" i="4" s="1"/>
  <c r="CC185" i="4" s="1"/>
  <c r="CC184" i="4" s="1"/>
  <c r="CC183" i="4" s="1"/>
  <c r="CC182" i="4" s="1"/>
  <c r="CC181" i="4" s="1"/>
  <c r="CC180" i="4" s="1"/>
  <c r="CC179" i="4" s="1"/>
  <c r="CC178" i="4" s="1"/>
  <c r="CC177" i="4" s="1"/>
  <c r="CC176" i="4" s="1"/>
  <c r="CC175" i="4" s="1"/>
  <c r="CC174" i="4" s="1"/>
  <c r="CC173" i="4" s="1"/>
  <c r="CC172" i="4" s="1"/>
  <c r="CC171" i="4" s="1"/>
  <c r="CC170" i="4" s="1"/>
  <c r="CC169" i="4" s="1"/>
  <c r="CC168" i="4" s="1"/>
  <c r="CC167" i="4" s="1"/>
  <c r="CC166" i="4" s="1"/>
  <c r="CC165" i="4" s="1"/>
  <c r="CD203" i="4"/>
  <c r="CD202" i="4" s="1"/>
  <c r="CD201" i="4" s="1"/>
  <c r="CD200" i="4" s="1"/>
  <c r="CD199" i="4" s="1"/>
  <c r="CD198" i="4" s="1"/>
  <c r="CD197" i="4" s="1"/>
  <c r="CD196" i="4" s="1"/>
  <c r="CD195" i="4" s="1"/>
  <c r="CD194" i="4" s="1"/>
  <c r="CD193" i="4" s="1"/>
  <c r="CD192" i="4" s="1"/>
  <c r="CD191" i="4" s="1"/>
  <c r="CD190" i="4" s="1"/>
  <c r="CD189" i="4" s="1"/>
  <c r="CD188" i="4" s="1"/>
  <c r="CD187" i="4" s="1"/>
  <c r="CD186" i="4" s="1"/>
  <c r="CD185" i="4" s="1"/>
  <c r="CD184" i="4" s="1"/>
  <c r="CD183" i="4" s="1"/>
  <c r="CD182" i="4" s="1"/>
  <c r="CD181" i="4" s="1"/>
  <c r="CD180" i="4" s="1"/>
  <c r="CD179" i="4" s="1"/>
  <c r="CD178" i="4" s="1"/>
  <c r="CD177" i="4" s="1"/>
  <c r="CD176" i="4" s="1"/>
  <c r="CD175" i="4" s="1"/>
  <c r="CD174" i="4" s="1"/>
  <c r="CD173" i="4" s="1"/>
  <c r="CD172" i="4" s="1"/>
  <c r="CD171" i="4" s="1"/>
  <c r="CD170" i="4" s="1"/>
  <c r="CD169" i="4" s="1"/>
  <c r="CD168" i="4" s="1"/>
  <c r="CD167" i="4" s="1"/>
  <c r="CD166" i="4" s="1"/>
  <c r="CD165" i="4" s="1"/>
  <c r="CD164" i="4" s="1"/>
  <c r="CD163" i="4" s="1"/>
  <c r="CD162" i="4" s="1"/>
  <c r="CD161" i="4" s="1"/>
  <c r="CD160" i="4" s="1"/>
  <c r="CD159" i="4" s="1"/>
  <c r="CD158" i="4" s="1"/>
  <c r="CD157" i="4" s="1"/>
  <c r="CD156" i="4" s="1"/>
  <c r="CD155" i="4" s="1"/>
  <c r="CD154" i="4" s="1"/>
  <c r="CD153" i="4" s="1"/>
  <c r="CD152" i="4" s="1"/>
  <c r="CD151" i="4" s="1"/>
  <c r="CD150" i="4" s="1"/>
  <c r="CD149" i="4" s="1"/>
  <c r="CD148" i="4" s="1"/>
  <c r="CD147" i="4" s="1"/>
  <c r="CD146" i="4" s="1"/>
  <c r="CE203" i="4"/>
  <c r="CE202" i="4" s="1"/>
  <c r="CE201" i="4" s="1"/>
  <c r="CE200" i="4" s="1"/>
  <c r="CE199" i="4" s="1"/>
  <c r="CE198" i="4" s="1"/>
  <c r="CE197" i="4" s="1"/>
  <c r="CE196" i="4" s="1"/>
  <c r="CE195" i="4" s="1"/>
  <c r="CE194" i="4" s="1"/>
  <c r="CE193" i="4" s="1"/>
  <c r="CE192" i="4" s="1"/>
  <c r="CE191" i="4" s="1"/>
  <c r="CE190" i="4" s="1"/>
  <c r="CE189" i="4" s="1"/>
  <c r="CE188" i="4" s="1"/>
  <c r="CE187" i="4" s="1"/>
  <c r="CE186" i="4" s="1"/>
  <c r="CE185" i="4" s="1"/>
  <c r="CE184" i="4" s="1"/>
  <c r="CE183" i="4" s="1"/>
  <c r="CE182" i="4" s="1"/>
  <c r="CE181" i="4" s="1"/>
  <c r="CE180" i="4" s="1"/>
  <c r="CE179" i="4" s="1"/>
  <c r="CE178" i="4" s="1"/>
  <c r="CE177" i="4" s="1"/>
  <c r="CE176" i="4" s="1"/>
  <c r="CE175" i="4" s="1"/>
  <c r="CE174" i="4" s="1"/>
  <c r="CE173" i="4" s="1"/>
  <c r="CE172" i="4" s="1"/>
  <c r="CE171" i="4" s="1"/>
  <c r="CE170" i="4" s="1"/>
  <c r="CE169" i="4" s="1"/>
  <c r="CE168" i="4" s="1"/>
  <c r="CE167" i="4" s="1"/>
  <c r="CE166" i="4" s="1"/>
  <c r="CE165" i="4" s="1"/>
  <c r="CE164" i="4" s="1"/>
  <c r="CE163" i="4" s="1"/>
  <c r="CE162" i="4" s="1"/>
  <c r="CE161" i="4" s="1"/>
  <c r="CE160" i="4" s="1"/>
  <c r="CE159" i="4" s="1"/>
  <c r="CE158" i="4" s="1"/>
  <c r="CF203" i="4"/>
  <c r="CF202" i="4" s="1"/>
  <c r="CF201" i="4" s="1"/>
  <c r="CF200" i="4" s="1"/>
  <c r="CF199" i="4" s="1"/>
  <c r="CF198" i="4" s="1"/>
  <c r="CF197" i="4" s="1"/>
  <c r="CF196" i="4" s="1"/>
  <c r="CF195" i="4" s="1"/>
  <c r="CF194" i="4" s="1"/>
  <c r="CF193" i="4" s="1"/>
  <c r="CF192" i="4" s="1"/>
  <c r="CF191" i="4" s="1"/>
  <c r="CF190" i="4" s="1"/>
  <c r="CF189" i="4" s="1"/>
  <c r="CF188" i="4" s="1"/>
  <c r="CF187" i="4" s="1"/>
  <c r="CF186" i="4" s="1"/>
  <c r="CF185" i="4" s="1"/>
  <c r="CF184" i="4" s="1"/>
  <c r="CF183" i="4" s="1"/>
  <c r="CF182" i="4" s="1"/>
  <c r="CF181" i="4" s="1"/>
  <c r="CF180" i="4" s="1"/>
  <c r="CF179" i="4" s="1"/>
  <c r="CF178" i="4" s="1"/>
  <c r="CF177" i="4" s="1"/>
  <c r="CF176" i="4" s="1"/>
  <c r="CF175" i="4" s="1"/>
  <c r="CF174" i="4" s="1"/>
  <c r="CF173" i="4" s="1"/>
  <c r="CF172" i="4" s="1"/>
  <c r="CF171" i="4" s="1"/>
  <c r="CF170" i="4" s="1"/>
  <c r="CF169" i="4" s="1"/>
  <c r="CF168" i="4" s="1"/>
  <c r="CF167" i="4" s="1"/>
  <c r="CF166" i="4" s="1"/>
  <c r="CF165" i="4" s="1"/>
  <c r="CF164" i="4" s="1"/>
  <c r="CF163" i="4" s="1"/>
  <c r="CF162" i="4" s="1"/>
  <c r="CF161" i="4" s="1"/>
  <c r="CF160" i="4" s="1"/>
  <c r="CF159" i="4" s="1"/>
  <c r="CF158" i="4" s="1"/>
  <c r="CF157" i="4" s="1"/>
  <c r="CF156" i="4" s="1"/>
  <c r="CF155" i="4" s="1"/>
  <c r="CF154" i="4" s="1"/>
  <c r="CF153" i="4" s="1"/>
  <c r="CF152" i="4" s="1"/>
  <c r="CF151" i="4" s="1"/>
  <c r="CF150" i="4" s="1"/>
  <c r="CF149" i="4" s="1"/>
  <c r="CF148" i="4" s="1"/>
  <c r="CF147" i="4" s="1"/>
  <c r="CF146" i="4" s="1"/>
  <c r="CF145" i="4" s="1"/>
  <c r="CF144" i="4" s="1"/>
  <c r="CF143" i="4" s="1"/>
  <c r="CF142" i="4" s="1"/>
  <c r="CF141" i="4" s="1"/>
  <c r="CF140" i="4" s="1"/>
  <c r="CF139" i="4" s="1"/>
  <c r="CF138" i="4" s="1"/>
  <c r="CF137" i="4" s="1"/>
  <c r="CF136" i="4" s="1"/>
  <c r="CF135" i="4" s="1"/>
  <c r="CF134" i="4" s="1"/>
  <c r="CF133" i="4" s="1"/>
  <c r="CF132" i="4" s="1"/>
  <c r="CF131" i="4" s="1"/>
  <c r="CF130" i="4" s="1"/>
  <c r="CF129" i="4" s="1"/>
  <c r="CF128" i="4" s="1"/>
  <c r="CF127" i="4" s="1"/>
  <c r="CF126" i="4" s="1"/>
  <c r="CF125" i="4" s="1"/>
  <c r="CF124" i="4" s="1"/>
  <c r="CF123" i="4" s="1"/>
  <c r="CF122" i="4" s="1"/>
  <c r="CF121" i="4" s="1"/>
  <c r="CF120" i="4" s="1"/>
  <c r="CF119" i="4" s="1"/>
  <c r="CF118" i="4" s="1"/>
  <c r="CF117" i="4" s="1"/>
  <c r="CF116" i="4" s="1"/>
  <c r="CF115" i="4" s="1"/>
  <c r="CF114" i="4" s="1"/>
  <c r="CF113" i="4" s="1"/>
  <c r="CF112" i="4" s="1"/>
  <c r="CF111" i="4" s="1"/>
  <c r="CF110" i="4" s="1"/>
  <c r="CF109" i="4" s="1"/>
  <c r="CH203" i="4"/>
  <c r="CH202" i="4" s="1"/>
  <c r="CH201" i="4" s="1"/>
  <c r="CH200" i="4" s="1"/>
  <c r="CH199" i="4" s="1"/>
  <c r="CH198" i="4" s="1"/>
  <c r="CH197" i="4" s="1"/>
  <c r="CH196" i="4" s="1"/>
  <c r="CH195" i="4" s="1"/>
  <c r="CH194" i="4" s="1"/>
  <c r="CH193" i="4" s="1"/>
  <c r="CH192" i="4" s="1"/>
  <c r="CH191" i="4" s="1"/>
  <c r="CH190" i="4" s="1"/>
  <c r="CH189" i="4" s="1"/>
  <c r="CH188" i="4" s="1"/>
  <c r="CH187" i="4" s="1"/>
  <c r="CH186" i="4" s="1"/>
  <c r="CH185" i="4" s="1"/>
  <c r="CH184" i="4" s="1"/>
  <c r="CH183" i="4" s="1"/>
  <c r="CH182" i="4" s="1"/>
  <c r="CH181" i="4" s="1"/>
  <c r="CH180" i="4" s="1"/>
  <c r="CH179" i="4" s="1"/>
  <c r="CH178" i="4" s="1"/>
  <c r="CH177" i="4" s="1"/>
  <c r="CH176" i="4" s="1"/>
  <c r="CH175" i="4" s="1"/>
  <c r="CH174" i="4" s="1"/>
  <c r="CH173" i="4" s="1"/>
  <c r="CH172" i="4" s="1"/>
  <c r="CH171" i="4" s="1"/>
  <c r="CH170" i="4" s="1"/>
  <c r="CH169" i="4" s="1"/>
  <c r="CH168" i="4" s="1"/>
  <c r="CH167" i="4" s="1"/>
  <c r="CH166" i="4" s="1"/>
  <c r="CH165" i="4" s="1"/>
  <c r="CH164" i="4" s="1"/>
  <c r="CH163" i="4" s="1"/>
  <c r="CH162" i="4" s="1"/>
  <c r="CH161" i="4" s="1"/>
  <c r="CH160" i="4" s="1"/>
  <c r="CH159" i="4" s="1"/>
  <c r="CH158" i="4" s="1"/>
  <c r="CI203" i="4"/>
  <c r="CI202" i="4" s="1"/>
  <c r="CI201" i="4" s="1"/>
  <c r="CI200" i="4" s="1"/>
  <c r="CI199" i="4" s="1"/>
  <c r="CI198" i="4" s="1"/>
  <c r="CI197" i="4" s="1"/>
  <c r="CI196" i="4" s="1"/>
  <c r="CI195" i="4" s="1"/>
  <c r="CI194" i="4" s="1"/>
  <c r="CI193" i="4" s="1"/>
  <c r="CI192" i="4" s="1"/>
  <c r="CI191" i="4" s="1"/>
  <c r="CI190" i="4" s="1"/>
  <c r="CI189" i="4" s="1"/>
  <c r="CI188" i="4" s="1"/>
  <c r="CI187" i="4" s="1"/>
  <c r="CI186" i="4" s="1"/>
  <c r="CI185" i="4" s="1"/>
  <c r="CI184" i="4" s="1"/>
  <c r="CI183" i="4" s="1"/>
  <c r="CI182" i="4" s="1"/>
  <c r="CI181" i="4" s="1"/>
  <c r="CI180" i="4" s="1"/>
  <c r="CI179" i="4" s="1"/>
  <c r="CI178" i="4" s="1"/>
  <c r="CI177" i="4" s="1"/>
  <c r="CI176" i="4" s="1"/>
  <c r="CI175" i="4" s="1"/>
  <c r="CI174" i="4" s="1"/>
  <c r="CI173" i="4" s="1"/>
  <c r="CI172" i="4" s="1"/>
  <c r="CI171" i="4" s="1"/>
  <c r="CI170" i="4" s="1"/>
  <c r="CI169" i="4" s="1"/>
  <c r="CI168" i="4" s="1"/>
  <c r="CI167" i="4" s="1"/>
  <c r="CI166" i="4" s="1"/>
  <c r="CI165" i="4" s="1"/>
  <c r="CI164" i="4" s="1"/>
  <c r="CI163" i="4" s="1"/>
  <c r="CI162" i="4" s="1"/>
  <c r="CI161" i="4" s="1"/>
  <c r="CI160" i="4" s="1"/>
  <c r="CI159" i="4" s="1"/>
  <c r="CI158" i="4" s="1"/>
  <c r="CJ203" i="4"/>
  <c r="CJ202" i="4" s="1"/>
  <c r="CJ201" i="4" s="1"/>
  <c r="CJ200" i="4" s="1"/>
  <c r="CJ199" i="4" s="1"/>
  <c r="CJ198" i="4" s="1"/>
  <c r="CJ197" i="4" s="1"/>
  <c r="CJ196" i="4" s="1"/>
  <c r="CJ195" i="4" s="1"/>
  <c r="CJ194" i="4" s="1"/>
  <c r="CJ193" i="4" s="1"/>
  <c r="CJ192" i="4" s="1"/>
  <c r="CJ191" i="4" s="1"/>
  <c r="CJ190" i="4" s="1"/>
  <c r="CJ189" i="4" s="1"/>
  <c r="CJ188" i="4" s="1"/>
  <c r="CJ187" i="4" s="1"/>
  <c r="CJ186" i="4" s="1"/>
  <c r="CJ185" i="4" s="1"/>
  <c r="CJ184" i="4" s="1"/>
  <c r="CJ183" i="4" s="1"/>
  <c r="CJ182" i="4" s="1"/>
  <c r="CJ181" i="4" s="1"/>
  <c r="CJ180" i="4" s="1"/>
  <c r="CJ179" i="4" s="1"/>
  <c r="CJ178" i="4" s="1"/>
  <c r="CJ177" i="4" s="1"/>
  <c r="CJ176" i="4" s="1"/>
  <c r="CJ175" i="4" s="1"/>
  <c r="CJ174" i="4" s="1"/>
  <c r="CJ173" i="4" s="1"/>
  <c r="CJ172" i="4" s="1"/>
  <c r="CJ171" i="4" s="1"/>
  <c r="CJ170" i="4" s="1"/>
  <c r="CJ169" i="4" s="1"/>
  <c r="CJ168" i="4" s="1"/>
  <c r="CJ167" i="4" s="1"/>
  <c r="CJ166" i="4" s="1"/>
  <c r="CJ165" i="4" s="1"/>
  <c r="CJ164" i="4" s="1"/>
  <c r="CJ163" i="4" s="1"/>
  <c r="CJ162" i="4" s="1"/>
  <c r="CJ161" i="4" s="1"/>
  <c r="CJ160" i="4" s="1"/>
  <c r="CJ159" i="4" s="1"/>
  <c r="CJ158" i="4" s="1"/>
  <c r="CJ157" i="4" s="1"/>
  <c r="CJ156" i="4" s="1"/>
  <c r="CJ155" i="4" s="1"/>
  <c r="CJ154" i="4" s="1"/>
  <c r="CJ153" i="4" s="1"/>
  <c r="CJ152" i="4" s="1"/>
  <c r="CJ151" i="4" s="1"/>
  <c r="CJ150" i="4" s="1"/>
  <c r="CJ149" i="4" s="1"/>
  <c r="CJ148" i="4" s="1"/>
  <c r="CJ147" i="4" s="1"/>
  <c r="CJ146" i="4" s="1"/>
  <c r="CJ145" i="4" s="1"/>
  <c r="CJ144" i="4" s="1"/>
  <c r="CJ143" i="4" s="1"/>
  <c r="CJ142" i="4" s="1"/>
  <c r="CJ141" i="4" s="1"/>
  <c r="CJ140" i="4" s="1"/>
  <c r="CJ139" i="4" s="1"/>
  <c r="CJ138" i="4" s="1"/>
  <c r="CJ137" i="4" s="1"/>
  <c r="CJ136" i="4" s="1"/>
  <c r="CJ135" i="4" s="1"/>
  <c r="CJ134" i="4" s="1"/>
  <c r="CJ133" i="4" s="1"/>
  <c r="CJ132" i="4" s="1"/>
  <c r="CJ131" i="4" s="1"/>
  <c r="CK203" i="4"/>
  <c r="CK202" i="4" s="1"/>
  <c r="CK201" i="4" s="1"/>
  <c r="CK200" i="4" s="1"/>
  <c r="CK199" i="4" s="1"/>
  <c r="CK198" i="4" s="1"/>
  <c r="CK197" i="4" s="1"/>
  <c r="CK196" i="4" s="1"/>
  <c r="CK195" i="4" s="1"/>
  <c r="CK194" i="4" s="1"/>
  <c r="CK193" i="4" s="1"/>
  <c r="CK192" i="4" s="1"/>
  <c r="CK191" i="4" s="1"/>
  <c r="CK190" i="4" s="1"/>
  <c r="CK189" i="4" s="1"/>
  <c r="CK188" i="4" s="1"/>
  <c r="CK187" i="4" s="1"/>
  <c r="CK186" i="4" s="1"/>
  <c r="CK185" i="4" s="1"/>
  <c r="CK184" i="4" s="1"/>
  <c r="CK183" i="4" s="1"/>
  <c r="CK182" i="4" s="1"/>
  <c r="CK181" i="4" s="1"/>
  <c r="CK180" i="4" s="1"/>
  <c r="CK179" i="4" s="1"/>
  <c r="CK178" i="4" s="1"/>
  <c r="CK177" i="4" s="1"/>
  <c r="CK176" i="4" s="1"/>
  <c r="CK175" i="4" s="1"/>
  <c r="CK174" i="4" s="1"/>
  <c r="CK173" i="4" s="1"/>
  <c r="CK172" i="4" s="1"/>
  <c r="CK171" i="4" s="1"/>
  <c r="CK170" i="4" s="1"/>
  <c r="CK169" i="4" s="1"/>
  <c r="CK168" i="4" s="1"/>
  <c r="CK167" i="4" s="1"/>
  <c r="CK166" i="4" s="1"/>
  <c r="CK165" i="4" s="1"/>
  <c r="CK164" i="4" s="1"/>
  <c r="CK163" i="4" s="1"/>
  <c r="CK162" i="4" s="1"/>
  <c r="CK161" i="4" s="1"/>
  <c r="CK160" i="4" s="1"/>
  <c r="CK159" i="4" s="1"/>
  <c r="CK158" i="4" s="1"/>
  <c r="CK157" i="4" s="1"/>
  <c r="CL203" i="4"/>
  <c r="CL202" i="4" s="1"/>
  <c r="CL201" i="4" s="1"/>
  <c r="CL200" i="4" s="1"/>
  <c r="CL199" i="4" s="1"/>
  <c r="CL198" i="4" s="1"/>
  <c r="CL197" i="4" s="1"/>
  <c r="CL196" i="4" s="1"/>
  <c r="CL195" i="4" s="1"/>
  <c r="CL194" i="4" s="1"/>
  <c r="CL193" i="4" s="1"/>
  <c r="CL192" i="4" s="1"/>
  <c r="CL191" i="4" s="1"/>
  <c r="CL190" i="4" s="1"/>
  <c r="CL189" i="4" s="1"/>
  <c r="CL188" i="4" s="1"/>
  <c r="CL187" i="4" s="1"/>
  <c r="CL186" i="4" s="1"/>
  <c r="CL185" i="4" s="1"/>
  <c r="CL184" i="4" s="1"/>
  <c r="CL183" i="4" s="1"/>
  <c r="CL182" i="4" s="1"/>
  <c r="CL181" i="4" s="1"/>
  <c r="CL180" i="4" s="1"/>
  <c r="CL179" i="4" s="1"/>
  <c r="CL178" i="4" s="1"/>
  <c r="CL177" i="4" s="1"/>
  <c r="CL176" i="4" s="1"/>
  <c r="CL175" i="4" s="1"/>
  <c r="CL174" i="4" s="1"/>
  <c r="CL173" i="4" s="1"/>
  <c r="CL172" i="4" s="1"/>
  <c r="CL171" i="4" s="1"/>
  <c r="CL170" i="4" s="1"/>
  <c r="CL169" i="4" s="1"/>
  <c r="CL168" i="4" s="1"/>
  <c r="CL167" i="4" s="1"/>
  <c r="CL166" i="4" s="1"/>
  <c r="CL165" i="4" s="1"/>
  <c r="CL164" i="4" s="1"/>
  <c r="CL163" i="4" s="1"/>
  <c r="CL162" i="4" s="1"/>
  <c r="CL161" i="4" s="1"/>
  <c r="CL160" i="4" s="1"/>
  <c r="CL159" i="4" s="1"/>
  <c r="CL158" i="4" s="1"/>
  <c r="CL157" i="4" s="1"/>
  <c r="CL156" i="4" s="1"/>
  <c r="CL155" i="4" s="1"/>
  <c r="CL154" i="4" s="1"/>
  <c r="CL153" i="4" s="1"/>
  <c r="CL152" i="4" s="1"/>
  <c r="CL151" i="4" s="1"/>
  <c r="CL150" i="4" s="1"/>
  <c r="CL149" i="4" s="1"/>
  <c r="CL148" i="4" s="1"/>
  <c r="CL147" i="4" s="1"/>
  <c r="CL146" i="4" s="1"/>
  <c r="CL145" i="4" s="1"/>
  <c r="CL144" i="4" s="1"/>
  <c r="CL143" i="4" s="1"/>
  <c r="CL142" i="4" s="1"/>
  <c r="CL141" i="4" s="1"/>
  <c r="CL140" i="4" s="1"/>
  <c r="CL139" i="4" s="1"/>
  <c r="CL138" i="4" s="1"/>
  <c r="CL137" i="4" s="1"/>
  <c r="CL136" i="4" s="1"/>
  <c r="CL135" i="4" s="1"/>
  <c r="CL134" i="4" s="1"/>
  <c r="CL133" i="4" s="1"/>
  <c r="CL132" i="4" s="1"/>
  <c r="CL131" i="4" s="1"/>
  <c r="CL130" i="4" s="1"/>
  <c r="CL129" i="4" s="1"/>
  <c r="CL128" i="4" s="1"/>
  <c r="CL127" i="4" s="1"/>
  <c r="CL126" i="4" s="1"/>
  <c r="CL125" i="4" s="1"/>
  <c r="CL124" i="4" s="1"/>
  <c r="CL123" i="4" s="1"/>
  <c r="CL122" i="4" s="1"/>
  <c r="CL121" i="4" s="1"/>
  <c r="CL120" i="4" s="1"/>
  <c r="CL119" i="4" s="1"/>
  <c r="CL118" i="4" s="1"/>
  <c r="CL117" i="4" s="1"/>
  <c r="CL116" i="4" s="1"/>
  <c r="CL115" i="4" s="1"/>
  <c r="CL114" i="4" s="1"/>
  <c r="CL113" i="4" s="1"/>
  <c r="CL112" i="4" s="1"/>
  <c r="CL111" i="4" s="1"/>
  <c r="CL110" i="4" s="1"/>
  <c r="CL109" i="4" s="1"/>
  <c r="CM203" i="4"/>
  <c r="CM202" i="4" s="1"/>
  <c r="CM201" i="4" s="1"/>
  <c r="CM200" i="4" s="1"/>
  <c r="CM199" i="4" s="1"/>
  <c r="CM198" i="4" s="1"/>
  <c r="CM197" i="4" s="1"/>
  <c r="CM196" i="4" s="1"/>
  <c r="CM195" i="4" s="1"/>
  <c r="CM194" i="4" s="1"/>
  <c r="CM193" i="4" s="1"/>
  <c r="CM192" i="4" s="1"/>
  <c r="CM191" i="4" s="1"/>
  <c r="CM190" i="4" s="1"/>
  <c r="CM189" i="4" s="1"/>
  <c r="CM188" i="4" s="1"/>
  <c r="CM187" i="4" s="1"/>
  <c r="CM186" i="4" s="1"/>
  <c r="CM185" i="4" s="1"/>
  <c r="CM184" i="4" s="1"/>
  <c r="CM183" i="4" s="1"/>
  <c r="CM182" i="4" s="1"/>
  <c r="CM181" i="4" s="1"/>
  <c r="CM180" i="4" s="1"/>
  <c r="CM179" i="4" s="1"/>
  <c r="CM178" i="4" s="1"/>
  <c r="CM177" i="4" s="1"/>
  <c r="CM176" i="4" s="1"/>
  <c r="CM175" i="4" s="1"/>
  <c r="CM174" i="4" s="1"/>
  <c r="CM173" i="4" s="1"/>
  <c r="CN203" i="4"/>
  <c r="CN202" i="4" s="1"/>
  <c r="CN201" i="4" s="1"/>
  <c r="CN200" i="4" s="1"/>
  <c r="CN199" i="4" s="1"/>
  <c r="CN198" i="4" s="1"/>
  <c r="CN197" i="4" s="1"/>
  <c r="CN196" i="4" s="1"/>
  <c r="CN195" i="4" s="1"/>
  <c r="CN194" i="4" s="1"/>
  <c r="CN193" i="4" s="1"/>
  <c r="CN192" i="4" s="1"/>
  <c r="CN191" i="4" s="1"/>
  <c r="CN190" i="4" s="1"/>
  <c r="CN189" i="4" s="1"/>
  <c r="CN188" i="4" s="1"/>
  <c r="CN187" i="4" s="1"/>
  <c r="CN186" i="4" s="1"/>
  <c r="CN185" i="4" s="1"/>
  <c r="CN184" i="4" s="1"/>
  <c r="CN183" i="4" s="1"/>
  <c r="CN182" i="4" s="1"/>
  <c r="CN181" i="4" s="1"/>
  <c r="CN180" i="4" s="1"/>
  <c r="CN179" i="4" s="1"/>
  <c r="CN178" i="4" s="1"/>
  <c r="CN177" i="4" s="1"/>
  <c r="CN176" i="4" s="1"/>
  <c r="CN175" i="4" s="1"/>
  <c r="CN174" i="4" s="1"/>
  <c r="CN173" i="4" s="1"/>
  <c r="CN172" i="4" s="1"/>
  <c r="CN171" i="4" s="1"/>
  <c r="CN170" i="4" s="1"/>
  <c r="CN169" i="4" s="1"/>
  <c r="CN168" i="4" s="1"/>
  <c r="CN167" i="4" s="1"/>
  <c r="CN166" i="4" s="1"/>
  <c r="CN165" i="4" s="1"/>
  <c r="CN164" i="4" s="1"/>
  <c r="CN163" i="4" s="1"/>
  <c r="CN162" i="4" s="1"/>
  <c r="CO203" i="4"/>
  <c r="CO202" i="4" s="1"/>
  <c r="CO201" i="4" s="1"/>
  <c r="CO200" i="4" s="1"/>
  <c r="CO199" i="4" s="1"/>
  <c r="CO198" i="4" s="1"/>
  <c r="CO197" i="4" s="1"/>
  <c r="CO196" i="4" s="1"/>
  <c r="CO195" i="4" s="1"/>
  <c r="CO194" i="4" s="1"/>
  <c r="CO193" i="4" s="1"/>
  <c r="CO192" i="4" s="1"/>
  <c r="CO191" i="4" s="1"/>
  <c r="CO190" i="4" s="1"/>
  <c r="CO189" i="4" s="1"/>
  <c r="CO188" i="4" s="1"/>
  <c r="CO187" i="4" s="1"/>
  <c r="CO186" i="4" s="1"/>
  <c r="CO185" i="4" s="1"/>
  <c r="CO184" i="4" s="1"/>
  <c r="CO183" i="4" s="1"/>
  <c r="CO182" i="4" s="1"/>
  <c r="CO181" i="4" s="1"/>
  <c r="CO180" i="4" s="1"/>
  <c r="CO179" i="4" s="1"/>
  <c r="CO178" i="4" s="1"/>
  <c r="CO177" i="4" s="1"/>
  <c r="CO176" i="4" s="1"/>
  <c r="CO175" i="4" s="1"/>
  <c r="CO174" i="4" s="1"/>
  <c r="CO173" i="4" s="1"/>
  <c r="CO172" i="4" s="1"/>
  <c r="CO171" i="4" s="1"/>
  <c r="CO170" i="4" s="1"/>
  <c r="CO169" i="4" s="1"/>
  <c r="CO168" i="4" s="1"/>
  <c r="CO167" i="4" s="1"/>
  <c r="CO166" i="4" s="1"/>
  <c r="CO165" i="4" s="1"/>
  <c r="CO164" i="4" s="1"/>
  <c r="CO163" i="4" s="1"/>
  <c r="CO162" i="4" s="1"/>
  <c r="CP203" i="4"/>
  <c r="CP202" i="4" s="1"/>
  <c r="CP201" i="4" s="1"/>
  <c r="CP200" i="4" s="1"/>
  <c r="CP199" i="4" s="1"/>
  <c r="CP198" i="4" s="1"/>
  <c r="CP197" i="4" s="1"/>
  <c r="CP196" i="4" s="1"/>
  <c r="CP195" i="4" s="1"/>
  <c r="CP194" i="4" s="1"/>
  <c r="CP193" i="4" s="1"/>
  <c r="CP192" i="4" s="1"/>
  <c r="CP191" i="4" s="1"/>
  <c r="CP190" i="4" s="1"/>
  <c r="CP189" i="4" s="1"/>
  <c r="CP188" i="4" s="1"/>
  <c r="CP187" i="4" s="1"/>
  <c r="CP186" i="4" s="1"/>
  <c r="CP185" i="4" s="1"/>
  <c r="CP184" i="4" s="1"/>
  <c r="CP183" i="4" s="1"/>
  <c r="CP182" i="4" s="1"/>
  <c r="CP181" i="4" s="1"/>
  <c r="CP180" i="4" s="1"/>
  <c r="CP179" i="4" s="1"/>
  <c r="CP178" i="4" s="1"/>
  <c r="CP177" i="4" s="1"/>
  <c r="CP176" i="4" s="1"/>
  <c r="CP175" i="4" s="1"/>
  <c r="CP174" i="4" s="1"/>
  <c r="CP173" i="4" s="1"/>
  <c r="CP172" i="4" s="1"/>
  <c r="CP171" i="4" s="1"/>
  <c r="CP170" i="4" s="1"/>
  <c r="CP169" i="4" s="1"/>
  <c r="CP168" i="4" s="1"/>
  <c r="CP167" i="4" s="1"/>
  <c r="CP166" i="4" s="1"/>
  <c r="CP165" i="4" s="1"/>
  <c r="CP164" i="4" s="1"/>
  <c r="CP163" i="4" s="1"/>
  <c r="CP162" i="4" s="1"/>
  <c r="CP161" i="4" s="1"/>
  <c r="CP160" i="4" s="1"/>
  <c r="CP159" i="4" s="1"/>
  <c r="CP158" i="4" s="1"/>
  <c r="CP157" i="4" s="1"/>
  <c r="CP156" i="4" s="1"/>
  <c r="CP155" i="4" s="1"/>
  <c r="CP154" i="4" s="1"/>
  <c r="CP153" i="4" s="1"/>
  <c r="CP152" i="4" s="1"/>
  <c r="CP151" i="4" s="1"/>
  <c r="CP150" i="4" s="1"/>
  <c r="CP149" i="4" s="1"/>
  <c r="CP148" i="4" s="1"/>
  <c r="CP147" i="4" s="1"/>
  <c r="CP146" i="4" s="1"/>
  <c r="CP145" i="4" s="1"/>
  <c r="CP144" i="4" s="1"/>
  <c r="CP143" i="4" s="1"/>
  <c r="CP142" i="4" s="1"/>
  <c r="CP141" i="4" s="1"/>
  <c r="CP140" i="4" s="1"/>
  <c r="CP139" i="4" s="1"/>
  <c r="CP138" i="4" s="1"/>
  <c r="CP137" i="4" s="1"/>
  <c r="CP136" i="4" s="1"/>
  <c r="CP135" i="4" s="1"/>
  <c r="CP134" i="4" s="1"/>
  <c r="CP133" i="4" s="1"/>
  <c r="CP132" i="4" s="1"/>
  <c r="CP131" i="4" s="1"/>
  <c r="CQ203" i="4"/>
  <c r="CQ202" i="4" s="1"/>
  <c r="CQ201" i="4" s="1"/>
  <c r="CQ200" i="4" s="1"/>
  <c r="CQ199" i="4" s="1"/>
  <c r="CQ198" i="4" s="1"/>
  <c r="CQ197" i="4" s="1"/>
  <c r="CQ196" i="4" s="1"/>
  <c r="CQ195" i="4" s="1"/>
  <c r="CQ194" i="4" s="1"/>
  <c r="CQ193" i="4" s="1"/>
  <c r="CQ192" i="4" s="1"/>
  <c r="CQ191" i="4" s="1"/>
  <c r="CQ190" i="4" s="1"/>
  <c r="CQ189" i="4" s="1"/>
  <c r="CQ188" i="4" s="1"/>
  <c r="CQ187" i="4" s="1"/>
  <c r="CQ186" i="4" s="1"/>
  <c r="CQ185" i="4" s="1"/>
  <c r="CQ184" i="4" s="1"/>
  <c r="CQ183" i="4" s="1"/>
  <c r="CQ182" i="4" s="1"/>
  <c r="CQ181" i="4" s="1"/>
  <c r="CQ180" i="4" s="1"/>
  <c r="CQ179" i="4" s="1"/>
  <c r="CQ178" i="4" s="1"/>
  <c r="CQ177" i="4" s="1"/>
  <c r="CQ176" i="4" s="1"/>
  <c r="CQ175" i="4" s="1"/>
  <c r="CQ174" i="4" s="1"/>
  <c r="CQ173" i="4" s="1"/>
  <c r="CQ172" i="4" s="1"/>
  <c r="CQ171" i="4" s="1"/>
  <c r="CQ170" i="4" s="1"/>
  <c r="CQ169" i="4" s="1"/>
  <c r="CQ168" i="4" s="1"/>
  <c r="CQ167" i="4" s="1"/>
  <c r="CQ166" i="4" s="1"/>
  <c r="CQ165" i="4" s="1"/>
  <c r="CQ164" i="4" s="1"/>
  <c r="CQ163" i="4" s="1"/>
  <c r="CQ162" i="4" s="1"/>
  <c r="CQ161" i="4" s="1"/>
  <c r="CQ160" i="4" s="1"/>
  <c r="CQ159" i="4" s="1"/>
  <c r="CQ158" i="4" s="1"/>
  <c r="CQ157" i="4" s="1"/>
  <c r="CQ156" i="4" s="1"/>
  <c r="CR203" i="4"/>
  <c r="CR202" i="4" s="1"/>
  <c r="CR201" i="4" s="1"/>
  <c r="CR200" i="4" s="1"/>
  <c r="CR199" i="4" s="1"/>
  <c r="CR198" i="4" s="1"/>
  <c r="CR197" i="4" s="1"/>
  <c r="CR196" i="4" s="1"/>
  <c r="CR195" i="4" s="1"/>
  <c r="CR194" i="4" s="1"/>
  <c r="CR193" i="4" s="1"/>
  <c r="CR192" i="4" s="1"/>
  <c r="CR191" i="4" s="1"/>
  <c r="CR190" i="4" s="1"/>
  <c r="CR189" i="4" s="1"/>
  <c r="CR188" i="4" s="1"/>
  <c r="CR187" i="4" s="1"/>
  <c r="CR186" i="4" s="1"/>
  <c r="CR185" i="4" s="1"/>
  <c r="CR184" i="4" s="1"/>
  <c r="CR183" i="4" s="1"/>
  <c r="CR182" i="4" s="1"/>
  <c r="CR181" i="4" s="1"/>
  <c r="CR180" i="4" s="1"/>
  <c r="CR179" i="4" s="1"/>
  <c r="CR178" i="4" s="1"/>
  <c r="CR177" i="4" s="1"/>
  <c r="CR176" i="4" s="1"/>
  <c r="CR175" i="4" s="1"/>
  <c r="CR174" i="4" s="1"/>
  <c r="CR173" i="4" s="1"/>
  <c r="CR172" i="4" s="1"/>
  <c r="CR171" i="4" s="1"/>
  <c r="CR170" i="4" s="1"/>
  <c r="CR169" i="4" s="1"/>
  <c r="CR168" i="4" s="1"/>
  <c r="CR167" i="4" s="1"/>
  <c r="CR166" i="4" s="1"/>
  <c r="CR165" i="4" s="1"/>
  <c r="CR164" i="4" s="1"/>
  <c r="CR163" i="4" s="1"/>
  <c r="CR162" i="4" s="1"/>
  <c r="CR161" i="4" s="1"/>
  <c r="CR160" i="4" s="1"/>
  <c r="CR159" i="4" s="1"/>
  <c r="CR158" i="4" s="1"/>
  <c r="CR157" i="4" s="1"/>
  <c r="CR156" i="4" s="1"/>
  <c r="CR155" i="4" s="1"/>
  <c r="CR154" i="4" s="1"/>
  <c r="CR153" i="4" s="1"/>
  <c r="CR152" i="4" s="1"/>
  <c r="CR151" i="4" s="1"/>
  <c r="CR150" i="4" s="1"/>
  <c r="CR149" i="4" s="1"/>
  <c r="CR148" i="4" s="1"/>
  <c r="CR147" i="4" s="1"/>
  <c r="CR146" i="4" s="1"/>
  <c r="CR145" i="4" s="1"/>
  <c r="CR144" i="4" s="1"/>
  <c r="CR143" i="4" s="1"/>
  <c r="CR142" i="4" s="1"/>
  <c r="CR141" i="4" s="1"/>
  <c r="CR140" i="4" s="1"/>
  <c r="CR139" i="4" s="1"/>
  <c r="CR138" i="4" s="1"/>
  <c r="CR137" i="4" s="1"/>
  <c r="CR136" i="4" s="1"/>
  <c r="CR135" i="4" s="1"/>
  <c r="CR134" i="4" s="1"/>
  <c r="CR133" i="4" s="1"/>
  <c r="CR132" i="4" s="1"/>
  <c r="CR131" i="4" s="1"/>
  <c r="CR130" i="4" s="1"/>
  <c r="CR129" i="4" s="1"/>
  <c r="CR128" i="4" s="1"/>
  <c r="CR127" i="4" s="1"/>
  <c r="CR126" i="4" s="1"/>
  <c r="CR125" i="4" s="1"/>
  <c r="CR124" i="4" s="1"/>
  <c r="CR123" i="4" s="1"/>
  <c r="CR122" i="4" s="1"/>
  <c r="CR121" i="4" s="1"/>
  <c r="CR120" i="4" s="1"/>
  <c r="CR119" i="4" s="1"/>
  <c r="CR118" i="4" s="1"/>
  <c r="CR117" i="4" s="1"/>
  <c r="CR116" i="4" s="1"/>
  <c r="CR115" i="4" s="1"/>
  <c r="CR114" i="4" s="1"/>
  <c r="CR113" i="4" s="1"/>
  <c r="CR112" i="4" s="1"/>
  <c r="CR111" i="4" s="1"/>
  <c r="CR110" i="4" s="1"/>
  <c r="CR109" i="4" s="1"/>
  <c r="CS203" i="4"/>
  <c r="CS202" i="4" s="1"/>
  <c r="CS201" i="4" s="1"/>
  <c r="CS200" i="4" s="1"/>
  <c r="CS199" i="4" s="1"/>
  <c r="CS198" i="4" s="1"/>
  <c r="CS197" i="4" s="1"/>
  <c r="CS196" i="4" s="1"/>
  <c r="CS195" i="4" s="1"/>
  <c r="CS194" i="4" s="1"/>
  <c r="CS193" i="4" s="1"/>
  <c r="CS192" i="4" s="1"/>
  <c r="CS191" i="4" s="1"/>
  <c r="CS190" i="4" s="1"/>
  <c r="CS189" i="4" s="1"/>
  <c r="CS188" i="4" s="1"/>
  <c r="CS187" i="4" s="1"/>
  <c r="CT203" i="4"/>
  <c r="CT202" i="4" s="1"/>
  <c r="CT201" i="4" s="1"/>
  <c r="CT200" i="4" s="1"/>
  <c r="CT199" i="4" s="1"/>
  <c r="CT198" i="4" s="1"/>
  <c r="CT197" i="4" s="1"/>
  <c r="CT196" i="4" s="1"/>
  <c r="CT195" i="4" s="1"/>
  <c r="CT194" i="4" s="1"/>
  <c r="CT193" i="4" s="1"/>
  <c r="CT192" i="4" s="1"/>
  <c r="CT191" i="4" s="1"/>
  <c r="CT190" i="4" s="1"/>
  <c r="CT189" i="4" s="1"/>
  <c r="CT188" i="4" s="1"/>
  <c r="CT187" i="4" s="1"/>
  <c r="CT186" i="4" s="1"/>
  <c r="CT185" i="4" s="1"/>
  <c r="CT184" i="4" s="1"/>
  <c r="CT183" i="4" s="1"/>
  <c r="CT182" i="4" s="1"/>
  <c r="CT181" i="4" s="1"/>
  <c r="CT180" i="4" s="1"/>
  <c r="CT179" i="4" s="1"/>
  <c r="CT178" i="4" s="1"/>
  <c r="CT177" i="4" s="1"/>
  <c r="CT176" i="4" s="1"/>
  <c r="CT175" i="4" s="1"/>
  <c r="CT174" i="4" s="1"/>
  <c r="CT173" i="4" s="1"/>
  <c r="CT172" i="4" s="1"/>
  <c r="CT171" i="4" s="1"/>
  <c r="CT170" i="4" s="1"/>
  <c r="CT169" i="4" s="1"/>
  <c r="CT168" i="4" s="1"/>
  <c r="CT167" i="4" s="1"/>
  <c r="CT166" i="4" s="1"/>
  <c r="CT165" i="4" s="1"/>
  <c r="CT164" i="4" s="1"/>
  <c r="CT163" i="4" s="1"/>
  <c r="CT162" i="4" s="1"/>
  <c r="CU203" i="4"/>
  <c r="CU202" i="4" s="1"/>
  <c r="CU201" i="4" s="1"/>
  <c r="CU200" i="4" s="1"/>
  <c r="CU199" i="4" s="1"/>
  <c r="CU198" i="4" s="1"/>
  <c r="CU197" i="4" s="1"/>
  <c r="CU196" i="4" s="1"/>
  <c r="CU195" i="4" s="1"/>
  <c r="CU194" i="4" s="1"/>
  <c r="CU193" i="4" s="1"/>
  <c r="CU192" i="4" s="1"/>
  <c r="CU191" i="4" s="1"/>
  <c r="CU190" i="4" s="1"/>
  <c r="CU189" i="4" s="1"/>
  <c r="CU188" i="4" s="1"/>
  <c r="CU187" i="4" s="1"/>
  <c r="CU186" i="4" s="1"/>
  <c r="CU185" i="4" s="1"/>
  <c r="CU184" i="4" s="1"/>
  <c r="CU183" i="4" s="1"/>
  <c r="CU182" i="4" s="1"/>
  <c r="CU181" i="4" s="1"/>
  <c r="CU180" i="4" s="1"/>
  <c r="CU179" i="4" s="1"/>
  <c r="CU178" i="4" s="1"/>
  <c r="CU177" i="4" s="1"/>
  <c r="CU176" i="4" s="1"/>
  <c r="CU175" i="4" s="1"/>
  <c r="CU174" i="4" s="1"/>
  <c r="CU173" i="4" s="1"/>
  <c r="CU172" i="4" s="1"/>
  <c r="CU171" i="4" s="1"/>
  <c r="CU170" i="4" s="1"/>
  <c r="CU169" i="4" s="1"/>
  <c r="CU168" i="4" s="1"/>
  <c r="CU167" i="4" s="1"/>
  <c r="CU166" i="4" s="1"/>
  <c r="CU165" i="4" s="1"/>
  <c r="CU164" i="4" s="1"/>
  <c r="CU163" i="4" s="1"/>
  <c r="CU162" i="4" s="1"/>
  <c r="CV203" i="4"/>
  <c r="CV202" i="4" s="1"/>
  <c r="CV201" i="4" s="1"/>
  <c r="CV200" i="4" s="1"/>
  <c r="CV199" i="4" s="1"/>
  <c r="CV198" i="4" s="1"/>
  <c r="CV197" i="4" s="1"/>
  <c r="CV196" i="4" s="1"/>
  <c r="CV195" i="4" s="1"/>
  <c r="CV194" i="4" s="1"/>
  <c r="CV193" i="4" s="1"/>
  <c r="CV192" i="4" s="1"/>
  <c r="CV191" i="4" s="1"/>
  <c r="CV190" i="4" s="1"/>
  <c r="CV189" i="4" s="1"/>
  <c r="CV188" i="4" s="1"/>
  <c r="CV187" i="4" s="1"/>
  <c r="CV186" i="4" s="1"/>
  <c r="CV185" i="4" s="1"/>
  <c r="CV184" i="4" s="1"/>
  <c r="CV183" i="4" s="1"/>
  <c r="CV182" i="4" s="1"/>
  <c r="CV181" i="4" s="1"/>
  <c r="CV180" i="4" s="1"/>
  <c r="CV179" i="4" s="1"/>
  <c r="CV178" i="4" s="1"/>
  <c r="CV177" i="4" s="1"/>
  <c r="CV176" i="4" s="1"/>
  <c r="CV175" i="4" s="1"/>
  <c r="CV174" i="4" s="1"/>
  <c r="CV173" i="4" s="1"/>
  <c r="CV172" i="4" s="1"/>
  <c r="CV171" i="4" s="1"/>
  <c r="CV170" i="4" s="1"/>
  <c r="CV169" i="4" s="1"/>
  <c r="CV168" i="4" s="1"/>
  <c r="CV167" i="4" s="1"/>
  <c r="CV166" i="4" s="1"/>
  <c r="CV165" i="4" s="1"/>
  <c r="CV164" i="4" s="1"/>
  <c r="CV163" i="4" s="1"/>
  <c r="CV162" i="4" s="1"/>
  <c r="CV161" i="4" s="1"/>
  <c r="CV160" i="4" s="1"/>
  <c r="CV159" i="4" s="1"/>
  <c r="CV158" i="4" s="1"/>
  <c r="CV157" i="4" s="1"/>
  <c r="CV156" i="4" s="1"/>
  <c r="CV155" i="4" s="1"/>
  <c r="CV154" i="4" s="1"/>
  <c r="CV153" i="4" s="1"/>
  <c r="CV152" i="4" s="1"/>
  <c r="CV151" i="4" s="1"/>
  <c r="CV150" i="4" s="1"/>
  <c r="CV149" i="4" s="1"/>
  <c r="CV148" i="4" s="1"/>
  <c r="CV147" i="4" s="1"/>
  <c r="CV146" i="4" s="1"/>
  <c r="CV145" i="4" s="1"/>
  <c r="CV144" i="4" s="1"/>
  <c r="CV143" i="4" s="1"/>
  <c r="CV142" i="4" s="1"/>
  <c r="CV141" i="4" s="1"/>
  <c r="CV140" i="4" s="1"/>
  <c r="CV139" i="4" s="1"/>
  <c r="CV138" i="4" s="1"/>
  <c r="CV137" i="4" s="1"/>
  <c r="CV136" i="4" s="1"/>
  <c r="CV135" i="4" s="1"/>
  <c r="CV134" i="4" s="1"/>
  <c r="CV133" i="4" s="1"/>
  <c r="CV132" i="4" s="1"/>
  <c r="CV131" i="4" s="1"/>
  <c r="CW203" i="4"/>
  <c r="CW202" i="4" s="1"/>
  <c r="CW201" i="4" s="1"/>
  <c r="CW200" i="4" s="1"/>
  <c r="CW199" i="4" s="1"/>
  <c r="CW198" i="4" s="1"/>
  <c r="CW197" i="4" s="1"/>
  <c r="CW196" i="4" s="1"/>
  <c r="CW195" i="4" s="1"/>
  <c r="CW194" i="4" s="1"/>
  <c r="CW193" i="4" s="1"/>
  <c r="CW192" i="4" s="1"/>
  <c r="CW191" i="4" s="1"/>
  <c r="CW190" i="4" s="1"/>
  <c r="CW189" i="4" s="1"/>
  <c r="CW188" i="4" s="1"/>
  <c r="CW187" i="4" s="1"/>
  <c r="CW186" i="4" s="1"/>
  <c r="CW185" i="4" s="1"/>
  <c r="CW184" i="4" s="1"/>
  <c r="CW183" i="4" s="1"/>
  <c r="CW182" i="4" s="1"/>
  <c r="CW181" i="4" s="1"/>
  <c r="CW180" i="4" s="1"/>
  <c r="CW179" i="4" s="1"/>
  <c r="CW178" i="4" s="1"/>
  <c r="CW177" i="4" s="1"/>
  <c r="CW176" i="4" s="1"/>
  <c r="CW175" i="4" s="1"/>
  <c r="CW174" i="4" s="1"/>
  <c r="CW173" i="4" s="1"/>
  <c r="CW172" i="4" s="1"/>
  <c r="CW171" i="4" s="1"/>
  <c r="CW170" i="4" s="1"/>
  <c r="CW169" i="4" s="1"/>
  <c r="CW168" i="4" s="1"/>
  <c r="CW167" i="4" s="1"/>
  <c r="CW166" i="4" s="1"/>
  <c r="CW165" i="4" s="1"/>
  <c r="CW164" i="4" s="1"/>
  <c r="CW163" i="4" s="1"/>
  <c r="CW162" i="4" s="1"/>
  <c r="CW161" i="4" s="1"/>
  <c r="CW160" i="4" s="1"/>
  <c r="CW159" i="4" s="1"/>
  <c r="CW158" i="4" s="1"/>
  <c r="CW157" i="4" s="1"/>
  <c r="CW156" i="4" s="1"/>
  <c r="CW155" i="4" s="1"/>
  <c r="CW154" i="4" s="1"/>
  <c r="CW153" i="4" s="1"/>
  <c r="CW152" i="4" s="1"/>
  <c r="CW151" i="4" s="1"/>
  <c r="CW150" i="4" s="1"/>
  <c r="CX203" i="4"/>
  <c r="CX202" i="4" s="1"/>
  <c r="CX201" i="4" s="1"/>
  <c r="CX200" i="4" s="1"/>
  <c r="CX199" i="4" s="1"/>
  <c r="CX198" i="4" s="1"/>
  <c r="CX197" i="4" s="1"/>
  <c r="CX196" i="4" s="1"/>
  <c r="CX195" i="4" s="1"/>
  <c r="CX194" i="4" s="1"/>
  <c r="CX193" i="4" s="1"/>
  <c r="CX192" i="4" s="1"/>
  <c r="CX191" i="4" s="1"/>
  <c r="CX190" i="4" s="1"/>
  <c r="CX189" i="4" s="1"/>
  <c r="CX188" i="4" s="1"/>
  <c r="CX187" i="4" s="1"/>
  <c r="CX186" i="4" s="1"/>
  <c r="CX185" i="4" s="1"/>
  <c r="CX184" i="4" s="1"/>
  <c r="CX183" i="4" s="1"/>
  <c r="CX182" i="4" s="1"/>
  <c r="CX181" i="4" s="1"/>
  <c r="CX180" i="4" s="1"/>
  <c r="CX179" i="4" s="1"/>
  <c r="CX178" i="4" s="1"/>
  <c r="CX177" i="4" s="1"/>
  <c r="CX176" i="4" s="1"/>
  <c r="CX175" i="4" s="1"/>
  <c r="CX174" i="4" s="1"/>
  <c r="CX173" i="4" s="1"/>
  <c r="CX172" i="4" s="1"/>
  <c r="CX171" i="4" s="1"/>
  <c r="CX170" i="4" s="1"/>
  <c r="CX169" i="4" s="1"/>
  <c r="CX168" i="4" s="1"/>
  <c r="CX167" i="4" s="1"/>
  <c r="CX166" i="4" s="1"/>
  <c r="CX165" i="4" s="1"/>
  <c r="CX164" i="4" s="1"/>
  <c r="CX163" i="4" s="1"/>
  <c r="CX162" i="4" s="1"/>
  <c r="CX161" i="4" s="1"/>
  <c r="CX160" i="4" s="1"/>
  <c r="CX159" i="4" s="1"/>
  <c r="CX158" i="4" s="1"/>
  <c r="CX157" i="4" s="1"/>
  <c r="CX156" i="4" s="1"/>
  <c r="CX155" i="4" s="1"/>
  <c r="CX154" i="4" s="1"/>
  <c r="CX153" i="4" s="1"/>
  <c r="CX152" i="4" s="1"/>
  <c r="CX151" i="4" s="1"/>
  <c r="CX150" i="4" s="1"/>
  <c r="CX149" i="4" s="1"/>
  <c r="CX148" i="4" s="1"/>
  <c r="CX147" i="4" s="1"/>
  <c r="CX146" i="4" s="1"/>
  <c r="CX145" i="4" s="1"/>
  <c r="CX144" i="4" s="1"/>
  <c r="CX143" i="4" s="1"/>
  <c r="CX142" i="4" s="1"/>
  <c r="CX141" i="4" s="1"/>
  <c r="CX140" i="4" s="1"/>
  <c r="CX139" i="4" s="1"/>
  <c r="CX138" i="4" s="1"/>
  <c r="CX137" i="4" s="1"/>
  <c r="CX136" i="4" s="1"/>
  <c r="CX135" i="4" s="1"/>
  <c r="CX134" i="4" s="1"/>
  <c r="CX133" i="4" s="1"/>
  <c r="CX132" i="4" s="1"/>
  <c r="CX131" i="4" s="1"/>
  <c r="CX130" i="4" s="1"/>
  <c r="CX129" i="4" s="1"/>
  <c r="CX128" i="4" s="1"/>
  <c r="CX127" i="4" s="1"/>
  <c r="CX126" i="4" s="1"/>
  <c r="CX125" i="4" s="1"/>
  <c r="CX124" i="4" s="1"/>
  <c r="CX123" i="4" s="1"/>
  <c r="CX122" i="4" s="1"/>
  <c r="CX121" i="4" s="1"/>
  <c r="CX120" i="4" s="1"/>
  <c r="CX119" i="4" s="1"/>
  <c r="CX118" i="4" s="1"/>
  <c r="CX117" i="4" s="1"/>
  <c r="CX116" i="4" s="1"/>
  <c r="CX115" i="4" s="1"/>
  <c r="CX114" i="4" s="1"/>
  <c r="CX113" i="4" s="1"/>
  <c r="CX112" i="4" s="1"/>
  <c r="CX111" i="4" s="1"/>
  <c r="CX110" i="4" s="1"/>
  <c r="CX109" i="4" s="1"/>
  <c r="CY203" i="4"/>
  <c r="CY202" i="4" s="1"/>
  <c r="CY201" i="4" s="1"/>
  <c r="CY200" i="4" s="1"/>
  <c r="CY199" i="4" s="1"/>
  <c r="CY198" i="4" s="1"/>
  <c r="CY197" i="4" s="1"/>
  <c r="CY196" i="4" s="1"/>
  <c r="CY195" i="4" s="1"/>
  <c r="CY194" i="4" s="1"/>
  <c r="CY193" i="4" s="1"/>
  <c r="CY192" i="4" s="1"/>
  <c r="CY191" i="4" s="1"/>
  <c r="CY190" i="4" s="1"/>
  <c r="CY189" i="4" s="1"/>
  <c r="CY188" i="4" s="1"/>
  <c r="CY187" i="4" s="1"/>
  <c r="CY186" i="4" s="1"/>
  <c r="CY185" i="4" s="1"/>
  <c r="CY184" i="4" s="1"/>
  <c r="CY183" i="4" s="1"/>
  <c r="CY182" i="4" s="1"/>
  <c r="CY181" i="4" s="1"/>
  <c r="CY180" i="4" s="1"/>
  <c r="CY179" i="4" s="1"/>
  <c r="CY178" i="4" s="1"/>
  <c r="CY177" i="4" s="1"/>
  <c r="CY176" i="4" s="1"/>
  <c r="CY175" i="4" s="1"/>
  <c r="CY174" i="4" s="1"/>
  <c r="CY173" i="4" s="1"/>
  <c r="CZ203" i="4"/>
  <c r="CZ202" i="4" s="1"/>
  <c r="CZ201" i="4" s="1"/>
  <c r="CZ200" i="4" s="1"/>
  <c r="CZ199" i="4" s="1"/>
  <c r="CZ198" i="4" s="1"/>
  <c r="CZ197" i="4" s="1"/>
  <c r="CZ196" i="4" s="1"/>
  <c r="CZ195" i="4" s="1"/>
  <c r="CZ194" i="4" s="1"/>
  <c r="CZ193" i="4" s="1"/>
  <c r="CZ192" i="4" s="1"/>
  <c r="CZ191" i="4" s="1"/>
  <c r="CZ190" i="4" s="1"/>
  <c r="CZ189" i="4" s="1"/>
  <c r="CZ188" i="4" s="1"/>
  <c r="CZ187" i="4" s="1"/>
  <c r="CZ186" i="4" s="1"/>
  <c r="CZ185" i="4" s="1"/>
  <c r="CZ184" i="4" s="1"/>
  <c r="CZ183" i="4" s="1"/>
  <c r="CZ182" i="4" s="1"/>
  <c r="CZ181" i="4" s="1"/>
  <c r="CZ180" i="4" s="1"/>
  <c r="CZ179" i="4" s="1"/>
  <c r="CZ178" i="4" s="1"/>
  <c r="CZ177" i="4" s="1"/>
  <c r="CZ176" i="4" s="1"/>
  <c r="CZ175" i="4" s="1"/>
  <c r="CZ174" i="4" s="1"/>
  <c r="CZ173" i="4" s="1"/>
  <c r="CZ172" i="4" s="1"/>
  <c r="CZ171" i="4" s="1"/>
  <c r="CZ170" i="4" s="1"/>
  <c r="CZ169" i="4" s="1"/>
  <c r="CZ168" i="4" s="1"/>
  <c r="CZ167" i="4" s="1"/>
  <c r="CZ166" i="4" s="1"/>
  <c r="CZ165" i="4" s="1"/>
  <c r="CZ164" i="4" s="1"/>
  <c r="CZ163" i="4" s="1"/>
  <c r="CZ162" i="4" s="1"/>
  <c r="CZ161" i="4" s="1"/>
  <c r="CZ160" i="4" s="1"/>
  <c r="CZ159" i="4" s="1"/>
  <c r="CZ158" i="4" s="1"/>
  <c r="DA203" i="4"/>
  <c r="DA202" i="4" s="1"/>
  <c r="DA201" i="4" s="1"/>
  <c r="DA200" i="4" s="1"/>
  <c r="DA199" i="4" s="1"/>
  <c r="DA198" i="4" s="1"/>
  <c r="DA197" i="4" s="1"/>
  <c r="DA196" i="4" s="1"/>
  <c r="DA195" i="4" s="1"/>
  <c r="DA194" i="4" s="1"/>
  <c r="DA193" i="4" s="1"/>
  <c r="DA192" i="4" s="1"/>
  <c r="DA191" i="4" s="1"/>
  <c r="DA190" i="4" s="1"/>
  <c r="DA189" i="4" s="1"/>
  <c r="DA188" i="4" s="1"/>
  <c r="DA187" i="4" s="1"/>
  <c r="DA186" i="4" s="1"/>
  <c r="DA185" i="4" s="1"/>
  <c r="DA184" i="4" s="1"/>
  <c r="DA183" i="4" s="1"/>
  <c r="DA182" i="4" s="1"/>
  <c r="DA181" i="4" s="1"/>
  <c r="DA180" i="4" s="1"/>
  <c r="DA179" i="4" s="1"/>
  <c r="DA178" i="4" s="1"/>
  <c r="DA177" i="4" s="1"/>
  <c r="DA176" i="4" s="1"/>
  <c r="DA175" i="4" s="1"/>
  <c r="DA174" i="4" s="1"/>
  <c r="DA173" i="4" s="1"/>
  <c r="DA172" i="4" s="1"/>
  <c r="DA171" i="4" s="1"/>
  <c r="DA170" i="4" s="1"/>
  <c r="DA169" i="4" s="1"/>
  <c r="DA168" i="4" s="1"/>
  <c r="DA167" i="4" s="1"/>
  <c r="DA166" i="4" s="1"/>
  <c r="DA165" i="4" s="1"/>
  <c r="DA164" i="4" s="1"/>
  <c r="DA163" i="4" s="1"/>
  <c r="DA162" i="4" s="1"/>
  <c r="DA161" i="4" s="1"/>
  <c r="DA160" i="4" s="1"/>
  <c r="DA159" i="4" s="1"/>
  <c r="DA158" i="4" s="1"/>
  <c r="DB203" i="4"/>
  <c r="DB202" i="4" s="1"/>
  <c r="DB201" i="4" s="1"/>
  <c r="DB200" i="4" s="1"/>
  <c r="DB199" i="4" s="1"/>
  <c r="DB198" i="4" s="1"/>
  <c r="DB197" i="4" s="1"/>
  <c r="DB196" i="4" s="1"/>
  <c r="DB195" i="4" s="1"/>
  <c r="DB194" i="4" s="1"/>
  <c r="DB193" i="4" s="1"/>
  <c r="DB192" i="4" s="1"/>
  <c r="DB191" i="4" s="1"/>
  <c r="DB190" i="4" s="1"/>
  <c r="DB189" i="4" s="1"/>
  <c r="DB188" i="4" s="1"/>
  <c r="DB187" i="4" s="1"/>
  <c r="DB186" i="4" s="1"/>
  <c r="DB185" i="4" s="1"/>
  <c r="DB184" i="4" s="1"/>
  <c r="DB183" i="4" s="1"/>
  <c r="DB182" i="4" s="1"/>
  <c r="DB181" i="4" s="1"/>
  <c r="DB180" i="4" s="1"/>
  <c r="DB179" i="4" s="1"/>
  <c r="DB178" i="4" s="1"/>
  <c r="DB177" i="4" s="1"/>
  <c r="DB176" i="4" s="1"/>
  <c r="DB175" i="4" s="1"/>
  <c r="DB174" i="4" s="1"/>
  <c r="DB173" i="4" s="1"/>
  <c r="DB172" i="4" s="1"/>
  <c r="DB171" i="4" s="1"/>
  <c r="DB170" i="4" s="1"/>
  <c r="DB169" i="4" s="1"/>
  <c r="DB168" i="4" s="1"/>
  <c r="DB167" i="4" s="1"/>
  <c r="DB166" i="4" s="1"/>
  <c r="DB165" i="4" s="1"/>
  <c r="DB164" i="4" s="1"/>
  <c r="DB163" i="4" s="1"/>
  <c r="DB162" i="4" s="1"/>
  <c r="DB161" i="4" s="1"/>
  <c r="DB160" i="4" s="1"/>
  <c r="DB159" i="4" s="1"/>
  <c r="DB158" i="4" s="1"/>
  <c r="DB157" i="4" s="1"/>
  <c r="DB156" i="4" s="1"/>
  <c r="DB155" i="4" s="1"/>
  <c r="DB154" i="4" s="1"/>
  <c r="DB153" i="4" s="1"/>
  <c r="DB152" i="4" s="1"/>
  <c r="DB151" i="4" s="1"/>
  <c r="DB150" i="4" s="1"/>
  <c r="DB149" i="4" s="1"/>
  <c r="DB148" i="4" s="1"/>
  <c r="DB147" i="4" s="1"/>
  <c r="DB146" i="4" s="1"/>
  <c r="DB145" i="4" s="1"/>
  <c r="DB144" i="4" s="1"/>
  <c r="DB143" i="4" s="1"/>
  <c r="DB142" i="4" s="1"/>
  <c r="DB141" i="4" s="1"/>
  <c r="DB140" i="4" s="1"/>
  <c r="DB139" i="4" s="1"/>
  <c r="DB138" i="4" s="1"/>
  <c r="DB137" i="4" s="1"/>
  <c r="DB136" i="4" s="1"/>
  <c r="DB135" i="4" s="1"/>
  <c r="DB134" i="4" s="1"/>
  <c r="DB133" i="4" s="1"/>
  <c r="DB132" i="4" s="1"/>
  <c r="DB131" i="4" s="1"/>
  <c r="DB130" i="4" s="1"/>
  <c r="DB129" i="4" s="1"/>
  <c r="DB128" i="4" s="1"/>
  <c r="DB127" i="4" s="1"/>
  <c r="DB126" i="4" s="1"/>
  <c r="DB125" i="4" s="1"/>
  <c r="DB124" i="4" s="1"/>
  <c r="DB123" i="4" s="1"/>
  <c r="DB122" i="4" s="1"/>
  <c r="DB121" i="4" s="1"/>
  <c r="DB120" i="4" s="1"/>
  <c r="DC203" i="4"/>
  <c r="DC202" i="4" s="1"/>
  <c r="DC201" i="4" s="1"/>
  <c r="DC200" i="4" s="1"/>
  <c r="DC199" i="4" s="1"/>
  <c r="DC198" i="4" s="1"/>
  <c r="DC197" i="4" s="1"/>
  <c r="DC196" i="4" s="1"/>
  <c r="DC195" i="4" s="1"/>
  <c r="DC194" i="4" s="1"/>
  <c r="DC193" i="4" s="1"/>
  <c r="DC192" i="4" s="1"/>
  <c r="DC191" i="4" s="1"/>
  <c r="DC190" i="4" s="1"/>
  <c r="DC189" i="4" s="1"/>
  <c r="DC188" i="4" s="1"/>
  <c r="DC187" i="4" s="1"/>
  <c r="DC186" i="4" s="1"/>
  <c r="DC185" i="4" s="1"/>
  <c r="DC184" i="4" s="1"/>
  <c r="DC183" i="4" s="1"/>
  <c r="DC182" i="4" s="1"/>
  <c r="DC181" i="4" s="1"/>
  <c r="DC180" i="4" s="1"/>
  <c r="DC179" i="4" s="1"/>
  <c r="DC178" i="4" s="1"/>
  <c r="DC177" i="4" s="1"/>
  <c r="DC176" i="4" s="1"/>
  <c r="DC175" i="4" s="1"/>
  <c r="DC174" i="4" s="1"/>
  <c r="DC173" i="4" s="1"/>
  <c r="DC172" i="4" s="1"/>
  <c r="DC171" i="4" s="1"/>
  <c r="DC170" i="4" s="1"/>
  <c r="DC169" i="4" s="1"/>
  <c r="DC168" i="4" s="1"/>
  <c r="DC167" i="4" s="1"/>
  <c r="DC166" i="4" s="1"/>
  <c r="DC165" i="4" s="1"/>
  <c r="DC164" i="4" s="1"/>
  <c r="DC163" i="4" s="1"/>
  <c r="DC162" i="4" s="1"/>
  <c r="DC161" i="4" s="1"/>
  <c r="DC160" i="4" s="1"/>
  <c r="DC159" i="4" s="1"/>
  <c r="DC158" i="4" s="1"/>
  <c r="DC157" i="4" s="1"/>
  <c r="DC156" i="4" s="1"/>
  <c r="DC155" i="4" s="1"/>
  <c r="DC154" i="4" s="1"/>
  <c r="DC153" i="4" s="1"/>
  <c r="DC152" i="4" s="1"/>
  <c r="DC151" i="4" s="1"/>
  <c r="DC150" i="4" s="1"/>
  <c r="DC149" i="4" s="1"/>
  <c r="DC148" i="4" s="1"/>
  <c r="DC147" i="4" s="1"/>
  <c r="DC146" i="4" s="1"/>
  <c r="DC145" i="4" s="1"/>
  <c r="DC144" i="4" s="1"/>
  <c r="DC143" i="4" s="1"/>
  <c r="DC142" i="4" s="1"/>
  <c r="DC141" i="4" s="1"/>
  <c r="DC140" i="4" s="1"/>
  <c r="DC139" i="4" s="1"/>
  <c r="DC138" i="4" s="1"/>
  <c r="DC137" i="4" s="1"/>
  <c r="DC136" i="4" s="1"/>
  <c r="DC135" i="4" s="1"/>
  <c r="DC134" i="4" s="1"/>
  <c r="DC133" i="4" s="1"/>
  <c r="DC132" i="4" s="1"/>
  <c r="DC131" i="4" s="1"/>
  <c r="DC130" i="4" s="1"/>
  <c r="DC129" i="4" s="1"/>
  <c r="DC128" i="4" s="1"/>
  <c r="DC127" i="4" s="1"/>
  <c r="DC126" i="4" s="1"/>
  <c r="DC125" i="4" s="1"/>
  <c r="DC124" i="4" s="1"/>
  <c r="DC123" i="4" s="1"/>
  <c r="DC122" i="4" s="1"/>
  <c r="DC121" i="4" s="1"/>
  <c r="DC120" i="4" s="1"/>
  <c r="DC119" i="4" s="1"/>
  <c r="DC118" i="4" s="1"/>
  <c r="DC117" i="4" s="1"/>
  <c r="DC116" i="4" s="1"/>
  <c r="DC115" i="4" s="1"/>
  <c r="DC114" i="4" s="1"/>
  <c r="DC113" i="4" s="1"/>
  <c r="DC112" i="4" s="1"/>
  <c r="DC111" i="4" s="1"/>
  <c r="DC110" i="4" s="1"/>
  <c r="DC109" i="4" s="1"/>
  <c r="DD203" i="4"/>
  <c r="DD202" i="4" s="1"/>
  <c r="DD201" i="4" s="1"/>
  <c r="DD200" i="4" s="1"/>
  <c r="DD199" i="4" s="1"/>
  <c r="DD198" i="4" s="1"/>
  <c r="DD197" i="4" s="1"/>
  <c r="DD196" i="4" s="1"/>
  <c r="DD195" i="4" s="1"/>
  <c r="DD194" i="4" s="1"/>
  <c r="DD193" i="4" s="1"/>
  <c r="DD192" i="4" s="1"/>
  <c r="DD191" i="4" s="1"/>
  <c r="DD190" i="4" s="1"/>
  <c r="DD189" i="4" s="1"/>
  <c r="DD188" i="4" s="1"/>
  <c r="DD187" i="4" s="1"/>
  <c r="DD186" i="4" s="1"/>
  <c r="DD185" i="4" s="1"/>
  <c r="DD184" i="4" s="1"/>
  <c r="DD183" i="4" s="1"/>
  <c r="DD182" i="4" s="1"/>
  <c r="DD181" i="4" s="1"/>
  <c r="DD180" i="4" s="1"/>
  <c r="DD179" i="4" s="1"/>
  <c r="DD178" i="4" s="1"/>
  <c r="DD177" i="4" s="1"/>
  <c r="DD176" i="4" s="1"/>
  <c r="DD175" i="4" s="1"/>
  <c r="DD174" i="4" s="1"/>
  <c r="DD173" i="4" s="1"/>
  <c r="DD172" i="4" s="1"/>
  <c r="DD171" i="4" s="1"/>
  <c r="DD170" i="4" s="1"/>
  <c r="DD169" i="4" s="1"/>
  <c r="DD168" i="4" s="1"/>
  <c r="DD167" i="4" s="1"/>
  <c r="DD166" i="4" s="1"/>
  <c r="DD165" i="4" s="1"/>
  <c r="DD164" i="4" s="1"/>
  <c r="DD163" i="4" s="1"/>
  <c r="DD162" i="4" s="1"/>
  <c r="DD161" i="4" s="1"/>
  <c r="DD160" i="4" s="1"/>
  <c r="DD159" i="4" s="1"/>
  <c r="DD158" i="4" s="1"/>
  <c r="DD157" i="4" s="1"/>
  <c r="DD156" i="4" s="1"/>
  <c r="DD155" i="4" s="1"/>
  <c r="DD154" i="4" s="1"/>
  <c r="DD153" i="4" s="1"/>
  <c r="DD152" i="4" s="1"/>
  <c r="DD151" i="4" s="1"/>
  <c r="DD150" i="4" s="1"/>
  <c r="DD149" i="4" s="1"/>
  <c r="DD148" i="4" s="1"/>
  <c r="DD147" i="4" s="1"/>
  <c r="DD146" i="4" s="1"/>
  <c r="DD145" i="4" s="1"/>
  <c r="DD144" i="4" s="1"/>
  <c r="DD143" i="4" s="1"/>
  <c r="DD142" i="4" s="1"/>
  <c r="DD141" i="4" s="1"/>
  <c r="DD140" i="4" s="1"/>
  <c r="DD139" i="4" s="1"/>
  <c r="DD138" i="4" s="1"/>
  <c r="DD137" i="4" s="1"/>
  <c r="DD136" i="4" s="1"/>
  <c r="DD135" i="4" s="1"/>
  <c r="DD134" i="4" s="1"/>
  <c r="DD133" i="4" s="1"/>
  <c r="DD132" i="4" s="1"/>
  <c r="DD131" i="4" s="1"/>
  <c r="DD130" i="4" s="1"/>
  <c r="DD129" i="4" s="1"/>
  <c r="DD128" i="4" s="1"/>
  <c r="DD127" i="4" s="1"/>
  <c r="DD126" i="4" s="1"/>
  <c r="DD125" i="4" s="1"/>
  <c r="DD124" i="4" s="1"/>
  <c r="DD123" i="4" s="1"/>
  <c r="DD122" i="4" s="1"/>
  <c r="DD121" i="4" s="1"/>
  <c r="DD120" i="4" s="1"/>
  <c r="DD119" i="4" s="1"/>
  <c r="DD118" i="4" s="1"/>
  <c r="DD117" i="4" s="1"/>
  <c r="DD116" i="4" s="1"/>
  <c r="DD115" i="4" s="1"/>
  <c r="DD114" i="4" s="1"/>
  <c r="DD113" i="4" s="1"/>
  <c r="DD112" i="4" s="1"/>
  <c r="DD111" i="4" s="1"/>
  <c r="DD110" i="4" s="1"/>
  <c r="DD109" i="4" s="1"/>
  <c r="DF203" i="4"/>
  <c r="DF202" i="4" s="1"/>
  <c r="DF201" i="4" s="1"/>
  <c r="DF200" i="4" s="1"/>
  <c r="DF199" i="4" s="1"/>
  <c r="DF198" i="4" s="1"/>
  <c r="DF197" i="4" s="1"/>
  <c r="DF196" i="4" s="1"/>
  <c r="DF195" i="4" s="1"/>
  <c r="DF194" i="4" s="1"/>
  <c r="DF193" i="4" s="1"/>
  <c r="DF192" i="4" s="1"/>
  <c r="DF191" i="4" s="1"/>
  <c r="DF190" i="4" s="1"/>
  <c r="DF189" i="4" s="1"/>
  <c r="DF188" i="4" s="1"/>
  <c r="DF187" i="4" s="1"/>
  <c r="DF186" i="4" s="1"/>
  <c r="DF185" i="4" s="1"/>
  <c r="DF184" i="4" s="1"/>
  <c r="DF183" i="4" s="1"/>
  <c r="DF182" i="4" s="1"/>
  <c r="DF181" i="4" s="1"/>
  <c r="DF180" i="4" s="1"/>
  <c r="DF179" i="4" s="1"/>
  <c r="DF178" i="4" s="1"/>
  <c r="DF177" i="4" s="1"/>
  <c r="DF176" i="4" s="1"/>
  <c r="DF175" i="4" s="1"/>
  <c r="DF174" i="4" s="1"/>
  <c r="DF173" i="4" s="1"/>
  <c r="DF172" i="4" s="1"/>
  <c r="DF171" i="4" s="1"/>
  <c r="DF170" i="4" s="1"/>
  <c r="DF169" i="4" s="1"/>
  <c r="DF168" i="4" s="1"/>
  <c r="DF167" i="4" s="1"/>
  <c r="DF166" i="4" s="1"/>
  <c r="DF165" i="4" s="1"/>
  <c r="DF164" i="4" s="1"/>
  <c r="DF163" i="4" s="1"/>
  <c r="DF162" i="4" s="1"/>
  <c r="DF161" i="4" s="1"/>
  <c r="DF160" i="4" s="1"/>
  <c r="DF159" i="4" s="1"/>
  <c r="DF158" i="4" s="1"/>
  <c r="DF157" i="4" s="1"/>
  <c r="DF156" i="4" s="1"/>
  <c r="DF155" i="4" s="1"/>
  <c r="DG203" i="4"/>
  <c r="DG202" i="4" s="1"/>
  <c r="DG201" i="4" s="1"/>
  <c r="DG200" i="4" s="1"/>
  <c r="DG199" i="4" s="1"/>
  <c r="DG198" i="4" s="1"/>
  <c r="DG197" i="4" s="1"/>
  <c r="DG196" i="4" s="1"/>
  <c r="DG195" i="4" s="1"/>
  <c r="DG194" i="4" s="1"/>
  <c r="DG193" i="4" s="1"/>
  <c r="DG192" i="4" s="1"/>
  <c r="DG191" i="4" s="1"/>
  <c r="DG190" i="4" s="1"/>
  <c r="DG189" i="4" s="1"/>
  <c r="DG188" i="4" s="1"/>
  <c r="DG187" i="4" s="1"/>
  <c r="DG186" i="4" s="1"/>
  <c r="DG185" i="4" s="1"/>
  <c r="DG184" i="4" s="1"/>
  <c r="DG183" i="4" s="1"/>
  <c r="DG182" i="4" s="1"/>
  <c r="DG181" i="4" s="1"/>
  <c r="DG180" i="4" s="1"/>
  <c r="DG179" i="4" s="1"/>
  <c r="DG178" i="4" s="1"/>
  <c r="DG177" i="4" s="1"/>
  <c r="DG176" i="4" s="1"/>
  <c r="DG175" i="4" s="1"/>
  <c r="DG174" i="4" s="1"/>
  <c r="DG173" i="4" s="1"/>
  <c r="DG172" i="4" s="1"/>
  <c r="DG171" i="4" s="1"/>
  <c r="DG170" i="4" s="1"/>
  <c r="DG169" i="4" s="1"/>
  <c r="DG168" i="4" s="1"/>
  <c r="DG167" i="4" s="1"/>
  <c r="DG166" i="4" s="1"/>
  <c r="DG165" i="4" s="1"/>
  <c r="DG164" i="4" s="1"/>
  <c r="DG163" i="4" s="1"/>
  <c r="DG162" i="4" s="1"/>
  <c r="DG161" i="4" s="1"/>
  <c r="DG160" i="4" s="1"/>
  <c r="DG159" i="4" s="1"/>
  <c r="DG158" i="4" s="1"/>
  <c r="DG157" i="4" s="1"/>
  <c r="DG156" i="4" s="1"/>
  <c r="DG155" i="4" s="1"/>
  <c r="DH203" i="4"/>
  <c r="DH202" i="4" s="1"/>
  <c r="DH201" i="4" s="1"/>
  <c r="DH200" i="4" s="1"/>
  <c r="DH199" i="4" s="1"/>
  <c r="DH198" i="4" s="1"/>
  <c r="DH197" i="4" s="1"/>
  <c r="DH196" i="4" s="1"/>
  <c r="DH195" i="4" s="1"/>
  <c r="DH194" i="4" s="1"/>
  <c r="DH193" i="4" s="1"/>
  <c r="DH192" i="4" s="1"/>
  <c r="DI203" i="4"/>
  <c r="DI202" i="4" s="1"/>
  <c r="DI201" i="4" s="1"/>
  <c r="DI200" i="4" s="1"/>
  <c r="DI199" i="4" s="1"/>
  <c r="DI198" i="4" s="1"/>
  <c r="DI197" i="4" s="1"/>
  <c r="DI196" i="4" s="1"/>
  <c r="DI195" i="4" s="1"/>
  <c r="DI194" i="4" s="1"/>
  <c r="DI193" i="4" s="1"/>
  <c r="DI192" i="4" s="1"/>
  <c r="DI191" i="4" s="1"/>
  <c r="DI190" i="4" s="1"/>
  <c r="DI189" i="4" s="1"/>
  <c r="DI188" i="4" s="1"/>
  <c r="DI187" i="4" s="1"/>
  <c r="DI186" i="4" s="1"/>
  <c r="DI185" i="4" s="1"/>
  <c r="DI184" i="4" s="1"/>
  <c r="DI183" i="4" s="1"/>
  <c r="DI182" i="4" s="1"/>
  <c r="DI181" i="4" s="1"/>
  <c r="DI180" i="4" s="1"/>
  <c r="DI179" i="4" s="1"/>
  <c r="DI178" i="4" s="1"/>
  <c r="DI177" i="4" s="1"/>
  <c r="DI176" i="4" s="1"/>
  <c r="DI175" i="4" s="1"/>
  <c r="DI174" i="4" s="1"/>
  <c r="DI173" i="4" s="1"/>
  <c r="DI172" i="4" s="1"/>
  <c r="DI171" i="4" s="1"/>
  <c r="DI170" i="4" s="1"/>
  <c r="DI169" i="4" s="1"/>
  <c r="DI168" i="4" s="1"/>
  <c r="DI167" i="4" s="1"/>
  <c r="DI166" i="4" s="1"/>
  <c r="DI165" i="4" s="1"/>
  <c r="DI164" i="4" s="1"/>
  <c r="DI163" i="4" s="1"/>
  <c r="DI162" i="4" s="1"/>
  <c r="DI161" i="4" s="1"/>
  <c r="DI160" i="4" s="1"/>
  <c r="DI159" i="4" s="1"/>
  <c r="DI158" i="4" s="1"/>
  <c r="DI157" i="4" s="1"/>
  <c r="DI156" i="4" s="1"/>
  <c r="DI155" i="4" s="1"/>
  <c r="DI154" i="4" s="1"/>
  <c r="DI153" i="4" s="1"/>
  <c r="DI152" i="4" s="1"/>
  <c r="DI151" i="4" s="1"/>
  <c r="DI150" i="4" s="1"/>
  <c r="DI149" i="4" s="1"/>
  <c r="DI148" i="4" s="1"/>
  <c r="DI147" i="4" s="1"/>
  <c r="DI146" i="4" s="1"/>
  <c r="DI145" i="4" s="1"/>
  <c r="DI144" i="4" s="1"/>
  <c r="DI143" i="4" s="1"/>
  <c r="DI142" i="4" s="1"/>
  <c r="DI141" i="4" s="1"/>
  <c r="DI140" i="4" s="1"/>
  <c r="DI139" i="4" s="1"/>
  <c r="DI138" i="4" s="1"/>
  <c r="DI137" i="4" s="1"/>
  <c r="DI136" i="4" s="1"/>
  <c r="DI135" i="4" s="1"/>
  <c r="DI134" i="4" s="1"/>
  <c r="DI133" i="4" s="1"/>
  <c r="DI132" i="4" s="1"/>
  <c r="DI131" i="4" s="1"/>
  <c r="DI130" i="4" s="1"/>
  <c r="DI129" i="4" s="1"/>
  <c r="DI128" i="4" s="1"/>
  <c r="DI127" i="4" s="1"/>
  <c r="DI126" i="4" s="1"/>
  <c r="DI125" i="4" s="1"/>
  <c r="DI124" i="4" s="1"/>
  <c r="DI123" i="4" s="1"/>
  <c r="DI122" i="4" s="1"/>
  <c r="DI121" i="4" s="1"/>
  <c r="DI120" i="4" s="1"/>
  <c r="DI119" i="4" s="1"/>
  <c r="DI118" i="4" s="1"/>
  <c r="DI117" i="4" s="1"/>
  <c r="DI116" i="4" s="1"/>
  <c r="DI115" i="4" s="1"/>
  <c r="DI114" i="4" s="1"/>
  <c r="DI113" i="4" s="1"/>
  <c r="DI112" i="4" s="1"/>
  <c r="DI111" i="4" s="1"/>
  <c r="DI110" i="4" s="1"/>
  <c r="DI109" i="4" s="1"/>
  <c r="DJ203" i="4"/>
  <c r="DJ202" i="4" s="1"/>
  <c r="DJ201" i="4" s="1"/>
  <c r="DJ200" i="4" s="1"/>
  <c r="DJ199" i="4" s="1"/>
  <c r="DJ198" i="4" s="1"/>
  <c r="DJ197" i="4" s="1"/>
  <c r="DJ196" i="4" s="1"/>
  <c r="DJ195" i="4" s="1"/>
  <c r="DJ194" i="4" s="1"/>
  <c r="DJ193" i="4" s="1"/>
  <c r="DJ192" i="4" s="1"/>
  <c r="DJ191" i="4" s="1"/>
  <c r="DJ190" i="4" s="1"/>
  <c r="DJ189" i="4" s="1"/>
  <c r="DJ188" i="4" s="1"/>
  <c r="DJ187" i="4" s="1"/>
  <c r="DJ186" i="4" s="1"/>
  <c r="DJ185" i="4" s="1"/>
  <c r="DJ184" i="4" s="1"/>
  <c r="DJ183" i="4" s="1"/>
  <c r="DJ182" i="4" s="1"/>
  <c r="DJ181" i="4" s="1"/>
  <c r="DJ180" i="4" s="1"/>
  <c r="DJ179" i="4" s="1"/>
  <c r="DJ178" i="4" s="1"/>
  <c r="DJ177" i="4" s="1"/>
  <c r="DJ176" i="4" s="1"/>
  <c r="DJ175" i="4" s="1"/>
  <c r="DJ174" i="4" s="1"/>
  <c r="DJ173" i="4" s="1"/>
  <c r="DJ172" i="4" s="1"/>
  <c r="DJ171" i="4" s="1"/>
  <c r="DJ170" i="4" s="1"/>
  <c r="DJ169" i="4" s="1"/>
  <c r="DJ168" i="4" s="1"/>
  <c r="DJ167" i="4" s="1"/>
  <c r="DJ166" i="4" s="1"/>
  <c r="DJ165" i="4" s="1"/>
  <c r="DJ164" i="4" s="1"/>
  <c r="DJ163" i="4" s="1"/>
  <c r="DJ162" i="4" s="1"/>
  <c r="DJ161" i="4" s="1"/>
  <c r="DJ160" i="4" s="1"/>
  <c r="DJ159" i="4" s="1"/>
  <c r="DJ158" i="4" s="1"/>
  <c r="DJ157" i="4" s="1"/>
  <c r="DJ156" i="4" s="1"/>
  <c r="DJ155" i="4" s="1"/>
  <c r="DJ154" i="4" s="1"/>
  <c r="DJ153" i="4" s="1"/>
  <c r="DJ152" i="4" s="1"/>
  <c r="DJ151" i="4" s="1"/>
  <c r="DJ150" i="4" s="1"/>
  <c r="DJ149" i="4" s="1"/>
  <c r="DJ148" i="4" s="1"/>
  <c r="DJ147" i="4" s="1"/>
  <c r="DJ146" i="4" s="1"/>
  <c r="DJ145" i="4" s="1"/>
  <c r="DJ144" i="4" s="1"/>
  <c r="DJ143" i="4" s="1"/>
  <c r="DJ142" i="4" s="1"/>
  <c r="DJ141" i="4" s="1"/>
  <c r="DJ140" i="4" s="1"/>
  <c r="DJ139" i="4" s="1"/>
  <c r="DJ138" i="4" s="1"/>
  <c r="DJ137" i="4" s="1"/>
  <c r="DJ136" i="4" s="1"/>
  <c r="DJ135" i="4" s="1"/>
  <c r="DJ134" i="4" s="1"/>
  <c r="DJ133" i="4" s="1"/>
  <c r="DJ132" i="4" s="1"/>
  <c r="DJ131" i="4" s="1"/>
  <c r="DJ130" i="4" s="1"/>
  <c r="DJ129" i="4" s="1"/>
  <c r="DJ128" i="4" s="1"/>
  <c r="DJ127" i="4" s="1"/>
  <c r="DJ126" i="4" s="1"/>
  <c r="DJ125" i="4" s="1"/>
  <c r="DJ124" i="4" s="1"/>
  <c r="DJ123" i="4" s="1"/>
  <c r="DJ122" i="4" s="1"/>
  <c r="DJ121" i="4" s="1"/>
  <c r="DJ120" i="4" s="1"/>
  <c r="DJ119" i="4" s="1"/>
  <c r="DJ118" i="4" s="1"/>
  <c r="DJ117" i="4" s="1"/>
  <c r="DJ116" i="4" s="1"/>
  <c r="DJ115" i="4" s="1"/>
  <c r="DJ114" i="4" s="1"/>
  <c r="DJ113" i="4" s="1"/>
  <c r="DJ112" i="4" s="1"/>
  <c r="DJ111" i="4" s="1"/>
  <c r="DJ110" i="4" s="1"/>
  <c r="DJ109" i="4" s="1"/>
  <c r="DK203" i="4"/>
  <c r="DK202" i="4" s="1"/>
  <c r="DK201" i="4" s="1"/>
  <c r="DK200" i="4" s="1"/>
  <c r="DK199" i="4" s="1"/>
  <c r="DK198" i="4" s="1"/>
  <c r="DK197" i="4" s="1"/>
  <c r="DK196" i="4" s="1"/>
  <c r="DK195" i="4" s="1"/>
  <c r="DK194" i="4" s="1"/>
  <c r="DL203" i="4"/>
  <c r="DL202" i="4" s="1"/>
  <c r="DL201" i="4" s="1"/>
  <c r="DL200" i="4" s="1"/>
  <c r="DL199" i="4" s="1"/>
  <c r="DL198" i="4" s="1"/>
  <c r="DL197" i="4" s="1"/>
  <c r="DL196" i="4" s="1"/>
  <c r="DL195" i="4" s="1"/>
  <c r="DL194" i="4" s="1"/>
  <c r="DL193" i="4" s="1"/>
  <c r="DL192" i="4" s="1"/>
  <c r="DL191" i="4" s="1"/>
  <c r="DL190" i="4" s="1"/>
  <c r="DL189" i="4" s="1"/>
  <c r="DL188" i="4" s="1"/>
  <c r="DL187" i="4" s="1"/>
  <c r="DL186" i="4" s="1"/>
  <c r="DL185" i="4" s="1"/>
  <c r="DL184" i="4" s="1"/>
  <c r="DL183" i="4" s="1"/>
  <c r="DL182" i="4" s="1"/>
  <c r="DL181" i="4" s="1"/>
  <c r="DL180" i="4" s="1"/>
  <c r="DL179" i="4" s="1"/>
  <c r="DL178" i="4" s="1"/>
  <c r="DL177" i="4" s="1"/>
  <c r="DL176" i="4" s="1"/>
  <c r="DL175" i="4" s="1"/>
  <c r="DL174" i="4" s="1"/>
  <c r="DL173" i="4" s="1"/>
  <c r="DL172" i="4" s="1"/>
  <c r="DL171" i="4" s="1"/>
  <c r="DL170" i="4" s="1"/>
  <c r="DL169" i="4" s="1"/>
  <c r="DL168" i="4" s="1"/>
  <c r="DL167" i="4" s="1"/>
  <c r="DL166" i="4" s="1"/>
  <c r="DL165" i="4" s="1"/>
  <c r="DL164" i="4" s="1"/>
  <c r="DL163" i="4" s="1"/>
  <c r="DL162" i="4" s="1"/>
  <c r="DL161" i="4" s="1"/>
  <c r="DM203" i="4"/>
  <c r="DM202" i="4" s="1"/>
  <c r="DM201" i="4" s="1"/>
  <c r="DM200" i="4" s="1"/>
  <c r="DM199" i="4" s="1"/>
  <c r="DM198" i="4" s="1"/>
  <c r="DM197" i="4" s="1"/>
  <c r="DM196" i="4" s="1"/>
  <c r="DM195" i="4" s="1"/>
  <c r="DM194" i="4" s="1"/>
  <c r="DM193" i="4" s="1"/>
  <c r="DM192" i="4" s="1"/>
  <c r="DM191" i="4" s="1"/>
  <c r="DM190" i="4" s="1"/>
  <c r="DM189" i="4" s="1"/>
  <c r="DM188" i="4" s="1"/>
  <c r="DM187" i="4" s="1"/>
  <c r="DM186" i="4" s="1"/>
  <c r="DM185" i="4" s="1"/>
  <c r="DM184" i="4" s="1"/>
  <c r="DM183" i="4" s="1"/>
  <c r="DM182" i="4" s="1"/>
  <c r="DM181" i="4" s="1"/>
  <c r="DM180" i="4" s="1"/>
  <c r="DM179" i="4" s="1"/>
  <c r="DM178" i="4" s="1"/>
  <c r="DM177" i="4" s="1"/>
  <c r="DM176" i="4" s="1"/>
  <c r="DM175" i="4" s="1"/>
  <c r="DM174" i="4" s="1"/>
  <c r="DM173" i="4" s="1"/>
  <c r="DM172" i="4" s="1"/>
  <c r="DM171" i="4" s="1"/>
  <c r="DM170" i="4" s="1"/>
  <c r="DM169" i="4" s="1"/>
  <c r="DM168" i="4" s="1"/>
  <c r="DM167" i="4" s="1"/>
  <c r="DM166" i="4" s="1"/>
  <c r="DM165" i="4" s="1"/>
  <c r="DM164" i="4" s="1"/>
  <c r="DM163" i="4" s="1"/>
  <c r="DM162" i="4" s="1"/>
  <c r="DM161" i="4" s="1"/>
  <c r="DN203" i="4"/>
  <c r="DN202" i="4" s="1"/>
  <c r="DN201" i="4" s="1"/>
  <c r="DN200" i="4" s="1"/>
  <c r="DN199" i="4" s="1"/>
  <c r="DN198" i="4" s="1"/>
  <c r="DN197" i="4" s="1"/>
  <c r="DN196" i="4" s="1"/>
  <c r="DN195" i="4" s="1"/>
  <c r="DO203" i="4"/>
  <c r="DO202" i="4" s="1"/>
  <c r="DO201" i="4" s="1"/>
  <c r="DO200" i="4" s="1"/>
  <c r="DO199" i="4" s="1"/>
  <c r="DO198" i="4" s="1"/>
  <c r="DO197" i="4" s="1"/>
  <c r="DO196" i="4" s="1"/>
  <c r="DO195" i="4" s="1"/>
  <c r="DO194" i="4" s="1"/>
  <c r="DO193" i="4" s="1"/>
  <c r="DO192" i="4" s="1"/>
  <c r="DO191" i="4" s="1"/>
  <c r="DO190" i="4" s="1"/>
  <c r="DO189" i="4" s="1"/>
  <c r="DO188" i="4" s="1"/>
  <c r="DO187" i="4" s="1"/>
  <c r="DO186" i="4" s="1"/>
  <c r="DO185" i="4" s="1"/>
  <c r="DO184" i="4" s="1"/>
  <c r="DO183" i="4" s="1"/>
  <c r="DO182" i="4" s="1"/>
  <c r="DO181" i="4" s="1"/>
  <c r="DO180" i="4" s="1"/>
  <c r="DO179" i="4" s="1"/>
  <c r="DO178" i="4" s="1"/>
  <c r="DO177" i="4" s="1"/>
  <c r="DO176" i="4" s="1"/>
  <c r="DO175" i="4" s="1"/>
  <c r="DO174" i="4" s="1"/>
  <c r="DO173" i="4" s="1"/>
  <c r="DO172" i="4" s="1"/>
  <c r="DO171" i="4" s="1"/>
  <c r="DO170" i="4" s="1"/>
  <c r="DO169" i="4" s="1"/>
  <c r="DO168" i="4" s="1"/>
  <c r="DO167" i="4" s="1"/>
  <c r="DO166" i="4" s="1"/>
  <c r="DO165" i="4" s="1"/>
  <c r="DO164" i="4" s="1"/>
  <c r="DO163" i="4" s="1"/>
  <c r="DO162" i="4" s="1"/>
  <c r="DO161" i="4" s="1"/>
  <c r="DO160" i="4" s="1"/>
  <c r="DO159" i="4" s="1"/>
  <c r="DO158" i="4" s="1"/>
  <c r="DO157" i="4" s="1"/>
  <c r="DO156" i="4" s="1"/>
  <c r="DO155" i="4" s="1"/>
  <c r="DO154" i="4" s="1"/>
  <c r="DO153" i="4" s="1"/>
  <c r="DO152" i="4" s="1"/>
  <c r="DO151" i="4" s="1"/>
  <c r="DO150" i="4" s="1"/>
  <c r="DO149" i="4" s="1"/>
  <c r="DO148" i="4" s="1"/>
  <c r="DO147" i="4" s="1"/>
  <c r="DO146" i="4" s="1"/>
  <c r="DO145" i="4" s="1"/>
  <c r="DO144" i="4" s="1"/>
  <c r="DO143" i="4" s="1"/>
  <c r="DO142" i="4" s="1"/>
  <c r="DO141" i="4" s="1"/>
  <c r="DO140" i="4" s="1"/>
  <c r="DO139" i="4" s="1"/>
  <c r="DO138" i="4" s="1"/>
  <c r="DO137" i="4" s="1"/>
  <c r="DO136" i="4" s="1"/>
  <c r="DO135" i="4" s="1"/>
  <c r="DO134" i="4" s="1"/>
  <c r="DO133" i="4" s="1"/>
  <c r="DO132" i="4" s="1"/>
  <c r="DO131" i="4" s="1"/>
  <c r="DO130" i="4" s="1"/>
  <c r="DO129" i="4" s="1"/>
  <c r="DO128" i="4" s="1"/>
  <c r="DO127" i="4" s="1"/>
  <c r="DO126" i="4" s="1"/>
  <c r="DO125" i="4" s="1"/>
  <c r="DO124" i="4" s="1"/>
  <c r="DO123" i="4" s="1"/>
  <c r="DO122" i="4" s="1"/>
  <c r="DO121" i="4" s="1"/>
  <c r="DO120" i="4" s="1"/>
  <c r="DO119" i="4" s="1"/>
  <c r="DO118" i="4" s="1"/>
  <c r="DO117" i="4" s="1"/>
  <c r="DO116" i="4" s="1"/>
  <c r="DO115" i="4" s="1"/>
  <c r="DO114" i="4" s="1"/>
  <c r="DO113" i="4" s="1"/>
  <c r="DO112" i="4" s="1"/>
  <c r="DO111" i="4" s="1"/>
  <c r="DO110" i="4" s="1"/>
  <c r="DO109" i="4" s="1"/>
  <c r="DP203" i="4"/>
  <c r="DP202" i="4" s="1"/>
  <c r="DP201" i="4" s="1"/>
  <c r="DP200" i="4" s="1"/>
  <c r="DP199" i="4" s="1"/>
  <c r="DP198" i="4" s="1"/>
  <c r="DP197" i="4" s="1"/>
  <c r="DP196" i="4" s="1"/>
  <c r="DP195" i="4" s="1"/>
  <c r="DP194" i="4" s="1"/>
  <c r="DP193" i="4" s="1"/>
  <c r="DP192" i="4" s="1"/>
  <c r="DP191" i="4" s="1"/>
  <c r="DP190" i="4" s="1"/>
  <c r="DP189" i="4" s="1"/>
  <c r="DP188" i="4" s="1"/>
  <c r="DP187" i="4" s="1"/>
  <c r="DP186" i="4" s="1"/>
  <c r="DP185" i="4" s="1"/>
  <c r="DP184" i="4" s="1"/>
  <c r="DP183" i="4" s="1"/>
  <c r="DP182" i="4" s="1"/>
  <c r="DP181" i="4" s="1"/>
  <c r="DP180" i="4" s="1"/>
  <c r="DP179" i="4" s="1"/>
  <c r="DP178" i="4" s="1"/>
  <c r="DP177" i="4" s="1"/>
  <c r="DP176" i="4" s="1"/>
  <c r="DP175" i="4" s="1"/>
  <c r="DP174" i="4" s="1"/>
  <c r="DP173" i="4" s="1"/>
  <c r="DP172" i="4" s="1"/>
  <c r="DP171" i="4" s="1"/>
  <c r="DP170" i="4" s="1"/>
  <c r="DP169" i="4" s="1"/>
  <c r="DP168" i="4" s="1"/>
  <c r="DP167" i="4" s="1"/>
  <c r="DP166" i="4" s="1"/>
  <c r="DP165" i="4" s="1"/>
  <c r="DP164" i="4" s="1"/>
  <c r="DP163" i="4" s="1"/>
  <c r="DP162" i="4" s="1"/>
  <c r="DP161" i="4" s="1"/>
  <c r="DP160" i="4" s="1"/>
  <c r="DP159" i="4" s="1"/>
  <c r="DP158" i="4" s="1"/>
  <c r="DP157" i="4" s="1"/>
  <c r="DP156" i="4" s="1"/>
  <c r="DP155" i="4" s="1"/>
  <c r="DP154" i="4" s="1"/>
  <c r="DP153" i="4" s="1"/>
  <c r="DP152" i="4" s="1"/>
  <c r="DP151" i="4" s="1"/>
  <c r="DP150" i="4" s="1"/>
  <c r="DP149" i="4" s="1"/>
  <c r="DP148" i="4" s="1"/>
  <c r="DP147" i="4" s="1"/>
  <c r="DP146" i="4" s="1"/>
  <c r="DP145" i="4" s="1"/>
  <c r="DP144" i="4" s="1"/>
  <c r="DP143" i="4" s="1"/>
  <c r="DP142" i="4" s="1"/>
  <c r="DP141" i="4" s="1"/>
  <c r="DP140" i="4" s="1"/>
  <c r="DP139" i="4" s="1"/>
  <c r="DP138" i="4" s="1"/>
  <c r="DP137" i="4" s="1"/>
  <c r="DP136" i="4" s="1"/>
  <c r="DP135" i="4" s="1"/>
  <c r="DP134" i="4" s="1"/>
  <c r="DP133" i="4" s="1"/>
  <c r="DP132" i="4" s="1"/>
  <c r="DP131" i="4" s="1"/>
  <c r="DP130" i="4" s="1"/>
  <c r="DP129" i="4" s="1"/>
  <c r="DP128" i="4" s="1"/>
  <c r="DP127" i="4" s="1"/>
  <c r="DP126" i="4" s="1"/>
  <c r="DP125" i="4" s="1"/>
  <c r="DP124" i="4" s="1"/>
  <c r="DP123" i="4" s="1"/>
  <c r="DP122" i="4" s="1"/>
  <c r="DP121" i="4" s="1"/>
  <c r="DP120" i="4" s="1"/>
  <c r="DP119" i="4" s="1"/>
  <c r="DP118" i="4" s="1"/>
  <c r="DP117" i="4" s="1"/>
  <c r="DP116" i="4" s="1"/>
  <c r="DP115" i="4" s="1"/>
  <c r="DP114" i="4" s="1"/>
  <c r="DP113" i="4" s="1"/>
  <c r="DP112" i="4" s="1"/>
  <c r="DP111" i="4" s="1"/>
  <c r="DP110" i="4" s="1"/>
  <c r="DP109" i="4" s="1"/>
  <c r="DR203" i="4"/>
  <c r="DR202" i="4" s="1"/>
  <c r="DR201" i="4" s="1"/>
  <c r="DR200" i="4" s="1"/>
  <c r="DR199" i="4" s="1"/>
  <c r="DR198" i="4" s="1"/>
  <c r="DR197" i="4" s="1"/>
  <c r="DR196" i="4" s="1"/>
  <c r="DR195" i="4" s="1"/>
  <c r="DR194" i="4" s="1"/>
  <c r="DR193" i="4" s="1"/>
  <c r="DR192" i="4" s="1"/>
  <c r="DR191" i="4" s="1"/>
  <c r="DR190" i="4" s="1"/>
  <c r="DR189" i="4" s="1"/>
  <c r="DR188" i="4" s="1"/>
  <c r="DR187" i="4" s="1"/>
  <c r="DR186" i="4" s="1"/>
  <c r="DR185" i="4" s="1"/>
  <c r="DR184" i="4" s="1"/>
  <c r="DR183" i="4" s="1"/>
  <c r="DR182" i="4" s="1"/>
  <c r="DR181" i="4" s="1"/>
  <c r="DR180" i="4" s="1"/>
  <c r="DR179" i="4" s="1"/>
  <c r="DR178" i="4" s="1"/>
  <c r="DR177" i="4" s="1"/>
  <c r="DR176" i="4" s="1"/>
  <c r="DR175" i="4" s="1"/>
  <c r="DR174" i="4" s="1"/>
  <c r="DR173" i="4" s="1"/>
  <c r="DR172" i="4" s="1"/>
  <c r="DR171" i="4" s="1"/>
  <c r="DR170" i="4" s="1"/>
  <c r="DR169" i="4" s="1"/>
  <c r="DR168" i="4" s="1"/>
  <c r="DR167" i="4" s="1"/>
  <c r="DR166" i="4" s="1"/>
  <c r="DR165" i="4" s="1"/>
  <c r="DR164" i="4" s="1"/>
  <c r="DR163" i="4" s="1"/>
  <c r="DR162" i="4" s="1"/>
  <c r="DR161" i="4" s="1"/>
  <c r="DS203" i="4"/>
  <c r="DS202" i="4" s="1"/>
  <c r="DS201" i="4" s="1"/>
  <c r="DS200" i="4" s="1"/>
  <c r="DS199" i="4" s="1"/>
  <c r="DS198" i="4" s="1"/>
  <c r="DS197" i="4" s="1"/>
  <c r="DS196" i="4" s="1"/>
  <c r="DS195" i="4" s="1"/>
  <c r="DS194" i="4" s="1"/>
  <c r="DS193" i="4" s="1"/>
  <c r="DS192" i="4" s="1"/>
  <c r="DS191" i="4" s="1"/>
  <c r="DS190" i="4" s="1"/>
  <c r="DS189" i="4" s="1"/>
  <c r="DS188" i="4" s="1"/>
  <c r="DS187" i="4" s="1"/>
  <c r="DS186" i="4" s="1"/>
  <c r="DS185" i="4" s="1"/>
  <c r="DS184" i="4" s="1"/>
  <c r="DS183" i="4" s="1"/>
  <c r="DS182" i="4" s="1"/>
  <c r="DS181" i="4" s="1"/>
  <c r="DS180" i="4" s="1"/>
  <c r="DS179" i="4" s="1"/>
  <c r="DS178" i="4" s="1"/>
  <c r="DS177" i="4" s="1"/>
  <c r="DS176" i="4" s="1"/>
  <c r="DS175" i="4" s="1"/>
  <c r="DS174" i="4" s="1"/>
  <c r="DS173" i="4" s="1"/>
  <c r="DS172" i="4" s="1"/>
  <c r="DS171" i="4" s="1"/>
  <c r="DS170" i="4" s="1"/>
  <c r="DS169" i="4" s="1"/>
  <c r="DS168" i="4" s="1"/>
  <c r="DS167" i="4" s="1"/>
  <c r="DS166" i="4" s="1"/>
  <c r="DS165" i="4" s="1"/>
  <c r="DS164" i="4" s="1"/>
  <c r="DS163" i="4" s="1"/>
  <c r="DS162" i="4" s="1"/>
  <c r="DS161" i="4" s="1"/>
  <c r="DT203" i="4"/>
  <c r="DT202" i="4" s="1"/>
  <c r="DT201" i="4" s="1"/>
  <c r="DT200" i="4" s="1"/>
  <c r="DT199" i="4" s="1"/>
  <c r="DT198" i="4" s="1"/>
  <c r="DT197" i="4" s="1"/>
  <c r="DT196" i="4" s="1"/>
  <c r="DT195" i="4" s="1"/>
  <c r="DT194" i="4" s="1"/>
  <c r="DT193" i="4" s="1"/>
  <c r="DT192" i="4" s="1"/>
  <c r="DT191" i="4" s="1"/>
  <c r="DT190" i="4" s="1"/>
  <c r="DT189" i="4" s="1"/>
  <c r="DT188" i="4" s="1"/>
  <c r="DT187" i="4" s="1"/>
  <c r="DT186" i="4" s="1"/>
  <c r="DT185" i="4" s="1"/>
  <c r="DT184" i="4" s="1"/>
  <c r="DT183" i="4" s="1"/>
  <c r="DT182" i="4" s="1"/>
  <c r="DT181" i="4" s="1"/>
  <c r="DT180" i="4" s="1"/>
  <c r="DT179" i="4" s="1"/>
  <c r="DT178" i="4" s="1"/>
  <c r="DT177" i="4" s="1"/>
  <c r="DT176" i="4" s="1"/>
  <c r="DT175" i="4" s="1"/>
  <c r="DT174" i="4" s="1"/>
  <c r="DT173" i="4" s="1"/>
  <c r="DT172" i="4" s="1"/>
  <c r="DT171" i="4" s="1"/>
  <c r="DT170" i="4" s="1"/>
  <c r="DT169" i="4" s="1"/>
  <c r="DT168" i="4" s="1"/>
  <c r="DT167" i="4" s="1"/>
  <c r="DT166" i="4" s="1"/>
  <c r="DT165" i="4" s="1"/>
  <c r="DT164" i="4" s="1"/>
  <c r="DT163" i="4" s="1"/>
  <c r="DT162" i="4" s="1"/>
  <c r="DT161" i="4" s="1"/>
  <c r="DU203" i="4"/>
  <c r="DU202" i="4" s="1"/>
  <c r="DU201" i="4" s="1"/>
  <c r="DU200" i="4" s="1"/>
  <c r="DU199" i="4" s="1"/>
  <c r="DU198" i="4" s="1"/>
  <c r="DU197" i="4" s="1"/>
  <c r="DU196" i="4" s="1"/>
  <c r="DU195" i="4" s="1"/>
  <c r="DU194" i="4" s="1"/>
  <c r="DU193" i="4" s="1"/>
  <c r="DU192" i="4" s="1"/>
  <c r="DU191" i="4" s="1"/>
  <c r="DU190" i="4" s="1"/>
  <c r="DU189" i="4" s="1"/>
  <c r="DU188" i="4" s="1"/>
  <c r="DU187" i="4" s="1"/>
  <c r="DU186" i="4" s="1"/>
  <c r="DU185" i="4" s="1"/>
  <c r="DU184" i="4" s="1"/>
  <c r="DU183" i="4" s="1"/>
  <c r="DU182" i="4" s="1"/>
  <c r="DU181" i="4" s="1"/>
  <c r="DU180" i="4" s="1"/>
  <c r="DU179" i="4" s="1"/>
  <c r="DU178" i="4" s="1"/>
  <c r="DU177" i="4" s="1"/>
  <c r="DU176" i="4" s="1"/>
  <c r="DU175" i="4" s="1"/>
  <c r="DU174" i="4" s="1"/>
  <c r="DU173" i="4" s="1"/>
  <c r="DU172" i="4" s="1"/>
  <c r="DU171" i="4" s="1"/>
  <c r="DU170" i="4" s="1"/>
  <c r="DU169" i="4" s="1"/>
  <c r="DU168" i="4" s="1"/>
  <c r="DU167" i="4" s="1"/>
  <c r="DU166" i="4" s="1"/>
  <c r="DU165" i="4" s="1"/>
  <c r="DU164" i="4" s="1"/>
  <c r="DU163" i="4" s="1"/>
  <c r="DU162" i="4" s="1"/>
  <c r="DU161" i="4" s="1"/>
  <c r="DU160" i="4" s="1"/>
  <c r="DU159" i="4" s="1"/>
  <c r="DU158" i="4" s="1"/>
  <c r="DU157" i="4" s="1"/>
  <c r="DU156" i="4" s="1"/>
  <c r="DU155" i="4" s="1"/>
  <c r="DU154" i="4" s="1"/>
  <c r="DU153" i="4" s="1"/>
  <c r="DU152" i="4" s="1"/>
  <c r="DU151" i="4" s="1"/>
  <c r="DU150" i="4" s="1"/>
  <c r="DU149" i="4" s="1"/>
  <c r="DU148" i="4" s="1"/>
  <c r="DU147" i="4" s="1"/>
  <c r="DU146" i="4" s="1"/>
  <c r="DU145" i="4" s="1"/>
  <c r="DU144" i="4" s="1"/>
  <c r="DU143" i="4" s="1"/>
  <c r="DU142" i="4" s="1"/>
  <c r="DU141" i="4" s="1"/>
  <c r="DU140" i="4" s="1"/>
  <c r="DU139" i="4" s="1"/>
  <c r="DU138" i="4" s="1"/>
  <c r="DU137" i="4" s="1"/>
  <c r="DU136" i="4" s="1"/>
  <c r="DU135" i="4" s="1"/>
  <c r="DU134" i="4" s="1"/>
  <c r="DU133" i="4" s="1"/>
  <c r="DU132" i="4" s="1"/>
  <c r="DU131" i="4" s="1"/>
  <c r="DU130" i="4" s="1"/>
  <c r="DU129" i="4" s="1"/>
  <c r="DU128" i="4" s="1"/>
  <c r="DU127" i="4" s="1"/>
  <c r="DU126" i="4" s="1"/>
  <c r="DU125" i="4" s="1"/>
  <c r="DU124" i="4" s="1"/>
  <c r="DU123" i="4" s="1"/>
  <c r="DU122" i="4" s="1"/>
  <c r="DU121" i="4" s="1"/>
  <c r="DU120" i="4" s="1"/>
  <c r="DU119" i="4" s="1"/>
  <c r="DU118" i="4" s="1"/>
  <c r="DU117" i="4" s="1"/>
  <c r="DU116" i="4" s="1"/>
  <c r="DU115" i="4" s="1"/>
  <c r="DU114" i="4" s="1"/>
  <c r="DU113" i="4" s="1"/>
  <c r="DU112" i="4" s="1"/>
  <c r="DU111" i="4" s="1"/>
  <c r="DU110" i="4" s="1"/>
  <c r="DU109" i="4" s="1"/>
  <c r="DV203" i="4"/>
  <c r="DV202" i="4" s="1"/>
  <c r="DV201" i="4" s="1"/>
  <c r="DV200" i="4" s="1"/>
  <c r="DV199" i="4" s="1"/>
  <c r="DV198" i="4" s="1"/>
  <c r="DV197" i="4" s="1"/>
  <c r="DV196" i="4" s="1"/>
  <c r="DV195" i="4" s="1"/>
  <c r="DV194" i="4" s="1"/>
  <c r="DV193" i="4" s="1"/>
  <c r="DV192" i="4" s="1"/>
  <c r="DV191" i="4" s="1"/>
  <c r="DV190" i="4" s="1"/>
  <c r="DV189" i="4" s="1"/>
  <c r="DV188" i="4" s="1"/>
  <c r="DV187" i="4" s="1"/>
  <c r="DV186" i="4" s="1"/>
  <c r="DV185" i="4" s="1"/>
  <c r="DV184" i="4" s="1"/>
  <c r="DV183" i="4" s="1"/>
  <c r="DV182" i="4" s="1"/>
  <c r="DV181" i="4" s="1"/>
  <c r="DV180" i="4" s="1"/>
  <c r="DV179" i="4" s="1"/>
  <c r="DV178" i="4" s="1"/>
  <c r="DV177" i="4" s="1"/>
  <c r="DV176" i="4" s="1"/>
  <c r="DV175" i="4" s="1"/>
  <c r="DV174" i="4" s="1"/>
  <c r="DV173" i="4" s="1"/>
  <c r="DV172" i="4" s="1"/>
  <c r="DV171" i="4" s="1"/>
  <c r="DV170" i="4" s="1"/>
  <c r="DV169" i="4" s="1"/>
  <c r="DV168" i="4" s="1"/>
  <c r="DV167" i="4" s="1"/>
  <c r="DV166" i="4" s="1"/>
  <c r="DV165" i="4" s="1"/>
  <c r="DV164" i="4" s="1"/>
  <c r="DV163" i="4" s="1"/>
  <c r="DV162" i="4" s="1"/>
  <c r="DV161" i="4" s="1"/>
  <c r="DV160" i="4" s="1"/>
  <c r="DV159" i="4" s="1"/>
  <c r="DV158" i="4" s="1"/>
  <c r="DV157" i="4" s="1"/>
  <c r="DV156" i="4" s="1"/>
  <c r="DV155" i="4" s="1"/>
  <c r="DV154" i="4" s="1"/>
  <c r="DV153" i="4" s="1"/>
  <c r="DV152" i="4" s="1"/>
  <c r="DV151" i="4" s="1"/>
  <c r="DV150" i="4" s="1"/>
  <c r="DV149" i="4" s="1"/>
  <c r="DV148" i="4" s="1"/>
  <c r="DV147" i="4" s="1"/>
  <c r="DV146" i="4" s="1"/>
  <c r="DV145" i="4" s="1"/>
  <c r="DV144" i="4" s="1"/>
  <c r="DV143" i="4" s="1"/>
  <c r="DV142" i="4" s="1"/>
  <c r="DV141" i="4" s="1"/>
  <c r="DV140" i="4" s="1"/>
  <c r="DV139" i="4" s="1"/>
  <c r="DV138" i="4" s="1"/>
  <c r="DV137" i="4" s="1"/>
  <c r="DV136" i="4" s="1"/>
  <c r="DV135" i="4" s="1"/>
  <c r="DV134" i="4" s="1"/>
  <c r="DV133" i="4" s="1"/>
  <c r="DV132" i="4" s="1"/>
  <c r="DV131" i="4" s="1"/>
  <c r="DV130" i="4" s="1"/>
  <c r="DV129" i="4" s="1"/>
  <c r="DV128" i="4" s="1"/>
  <c r="DV127" i="4" s="1"/>
  <c r="DV126" i="4" s="1"/>
  <c r="DV125" i="4" s="1"/>
  <c r="DV124" i="4" s="1"/>
  <c r="DV123" i="4" s="1"/>
  <c r="DV122" i="4" s="1"/>
  <c r="DV121" i="4" s="1"/>
  <c r="DV120" i="4" s="1"/>
  <c r="DV119" i="4" s="1"/>
  <c r="DV118" i="4" s="1"/>
  <c r="DV117" i="4" s="1"/>
  <c r="DV116" i="4" s="1"/>
  <c r="DV115" i="4" s="1"/>
  <c r="DV114" i="4" s="1"/>
  <c r="DV113" i="4" s="1"/>
  <c r="DV112" i="4" s="1"/>
  <c r="DV111" i="4" s="1"/>
  <c r="DV110" i="4" s="1"/>
  <c r="DV109" i="4" s="1"/>
  <c r="DW203" i="4"/>
  <c r="DW202" i="4" s="1"/>
  <c r="DX203" i="4"/>
  <c r="DX202" i="4" s="1"/>
  <c r="DY203" i="4"/>
  <c r="DY202" i="4" s="1"/>
  <c r="DZ203" i="4"/>
  <c r="DZ202" i="4" s="1"/>
  <c r="DZ201" i="4" s="1"/>
  <c r="DZ200" i="4" s="1"/>
  <c r="DZ199" i="4" s="1"/>
  <c r="DZ198" i="4" s="1"/>
  <c r="DZ197" i="4" s="1"/>
  <c r="DZ196" i="4" s="1"/>
  <c r="DZ195" i="4" s="1"/>
  <c r="DZ194" i="4" s="1"/>
  <c r="DZ193" i="4" s="1"/>
  <c r="DZ192" i="4" s="1"/>
  <c r="DZ191" i="4" s="1"/>
  <c r="DZ190" i="4" s="1"/>
  <c r="DZ189" i="4" s="1"/>
  <c r="DZ188" i="4" s="1"/>
  <c r="DZ187" i="4" s="1"/>
  <c r="DZ186" i="4" s="1"/>
  <c r="DZ185" i="4" s="1"/>
  <c r="DZ184" i="4" s="1"/>
  <c r="DZ183" i="4" s="1"/>
  <c r="DZ182" i="4" s="1"/>
  <c r="DZ181" i="4" s="1"/>
  <c r="DZ180" i="4" s="1"/>
  <c r="DZ179" i="4" s="1"/>
  <c r="DZ178" i="4" s="1"/>
  <c r="DZ177" i="4" s="1"/>
  <c r="DZ176" i="4" s="1"/>
  <c r="DZ175" i="4" s="1"/>
  <c r="DZ174" i="4" s="1"/>
  <c r="DZ173" i="4" s="1"/>
  <c r="DZ172" i="4" s="1"/>
  <c r="DZ171" i="4" s="1"/>
  <c r="DZ170" i="4" s="1"/>
  <c r="DZ169" i="4" s="1"/>
  <c r="DZ168" i="4" s="1"/>
  <c r="DZ167" i="4" s="1"/>
  <c r="DZ166" i="4" s="1"/>
  <c r="DZ165" i="4" s="1"/>
  <c r="DZ164" i="4" s="1"/>
  <c r="DZ163" i="4" s="1"/>
  <c r="DZ162" i="4" s="1"/>
  <c r="DZ161" i="4" s="1"/>
  <c r="EA203" i="4"/>
  <c r="EA202" i="4" s="1"/>
  <c r="EA201" i="4" s="1"/>
  <c r="EA200" i="4" s="1"/>
  <c r="EA199" i="4" s="1"/>
  <c r="EA198" i="4" s="1"/>
  <c r="EA197" i="4" s="1"/>
  <c r="EA196" i="4" s="1"/>
  <c r="EA195" i="4" s="1"/>
  <c r="EA194" i="4" s="1"/>
  <c r="EA193" i="4" s="1"/>
  <c r="EA192" i="4" s="1"/>
  <c r="EA191" i="4" s="1"/>
  <c r="EA190" i="4" s="1"/>
  <c r="EA189" i="4" s="1"/>
  <c r="EA188" i="4" s="1"/>
  <c r="EA187" i="4" s="1"/>
  <c r="EA186" i="4" s="1"/>
  <c r="EA185" i="4" s="1"/>
  <c r="EA184" i="4" s="1"/>
  <c r="EA183" i="4" s="1"/>
  <c r="EA182" i="4" s="1"/>
  <c r="EA181" i="4" s="1"/>
  <c r="EA180" i="4" s="1"/>
  <c r="EA179" i="4" s="1"/>
  <c r="EA178" i="4" s="1"/>
  <c r="EA177" i="4" s="1"/>
  <c r="EA176" i="4" s="1"/>
  <c r="EA175" i="4" s="1"/>
  <c r="EA174" i="4" s="1"/>
  <c r="EA173" i="4" s="1"/>
  <c r="EA172" i="4" s="1"/>
  <c r="EA171" i="4" s="1"/>
  <c r="EA170" i="4" s="1"/>
  <c r="EA169" i="4" s="1"/>
  <c r="EA168" i="4" s="1"/>
  <c r="EA167" i="4" s="1"/>
  <c r="EA166" i="4" s="1"/>
  <c r="EA165" i="4" s="1"/>
  <c r="EA164" i="4" s="1"/>
  <c r="EA163" i="4" s="1"/>
  <c r="EA162" i="4" s="1"/>
  <c r="EA161" i="4" s="1"/>
  <c r="EA160" i="4" s="1"/>
  <c r="EA159" i="4" s="1"/>
  <c r="EA158" i="4" s="1"/>
  <c r="EA157" i="4" s="1"/>
  <c r="EA156" i="4" s="1"/>
  <c r="EA155" i="4" s="1"/>
  <c r="EA154" i="4" s="1"/>
  <c r="EA153" i="4" s="1"/>
  <c r="EA152" i="4" s="1"/>
  <c r="EA151" i="4" s="1"/>
  <c r="EA150" i="4" s="1"/>
  <c r="EA149" i="4" s="1"/>
  <c r="EA148" i="4" s="1"/>
  <c r="EA147" i="4" s="1"/>
  <c r="EA146" i="4" s="1"/>
  <c r="EA145" i="4" s="1"/>
  <c r="EA144" i="4" s="1"/>
  <c r="EA143" i="4" s="1"/>
  <c r="EA142" i="4" s="1"/>
  <c r="EA141" i="4" s="1"/>
  <c r="EA140" i="4" s="1"/>
  <c r="EA139" i="4" s="1"/>
  <c r="EA138" i="4" s="1"/>
  <c r="EA137" i="4" s="1"/>
  <c r="EA136" i="4" s="1"/>
  <c r="EA135" i="4" s="1"/>
  <c r="EA134" i="4" s="1"/>
  <c r="EA133" i="4" s="1"/>
  <c r="EA132" i="4" s="1"/>
  <c r="EA131" i="4" s="1"/>
  <c r="EA130" i="4" s="1"/>
  <c r="EA129" i="4" s="1"/>
  <c r="EA128" i="4" s="1"/>
  <c r="EA127" i="4" s="1"/>
  <c r="EA126" i="4" s="1"/>
  <c r="EA125" i="4" s="1"/>
  <c r="EA124" i="4" s="1"/>
  <c r="EA123" i="4" s="1"/>
  <c r="EA122" i="4" s="1"/>
  <c r="EA121" i="4" s="1"/>
  <c r="EA120" i="4" s="1"/>
  <c r="EA119" i="4" s="1"/>
  <c r="EA118" i="4" s="1"/>
  <c r="EA117" i="4" s="1"/>
  <c r="EA116" i="4" s="1"/>
  <c r="EA115" i="4" s="1"/>
  <c r="EA114" i="4" s="1"/>
  <c r="EA113" i="4" s="1"/>
  <c r="EA112" i="4" s="1"/>
  <c r="EA111" i="4" s="1"/>
  <c r="EA110" i="4" s="1"/>
  <c r="EA109" i="4" s="1"/>
  <c r="EB203" i="4"/>
  <c r="EB202" i="4" s="1"/>
  <c r="EB201" i="4" s="1"/>
  <c r="EB200" i="4" s="1"/>
  <c r="EB199" i="4" s="1"/>
  <c r="EB198" i="4" s="1"/>
  <c r="EB197" i="4" s="1"/>
  <c r="EB196" i="4" s="1"/>
  <c r="EB195" i="4" s="1"/>
  <c r="EB194" i="4" s="1"/>
  <c r="EB193" i="4" s="1"/>
  <c r="EB192" i="4" s="1"/>
  <c r="EB191" i="4" s="1"/>
  <c r="EB190" i="4" s="1"/>
  <c r="EB189" i="4" s="1"/>
  <c r="EB188" i="4" s="1"/>
  <c r="EB187" i="4" s="1"/>
  <c r="EB186" i="4" s="1"/>
  <c r="EB185" i="4" s="1"/>
  <c r="EB184" i="4" s="1"/>
  <c r="EB183" i="4" s="1"/>
  <c r="EB182" i="4" s="1"/>
  <c r="EB181" i="4" s="1"/>
  <c r="EB180" i="4" s="1"/>
  <c r="EB179" i="4" s="1"/>
  <c r="EB178" i="4" s="1"/>
  <c r="EB177" i="4" s="1"/>
  <c r="EB176" i="4" s="1"/>
  <c r="EB175" i="4" s="1"/>
  <c r="EB174" i="4" s="1"/>
  <c r="EB173" i="4" s="1"/>
  <c r="EB172" i="4" s="1"/>
  <c r="EB171" i="4" s="1"/>
  <c r="EB170" i="4" s="1"/>
  <c r="EB169" i="4" s="1"/>
  <c r="EB168" i="4" s="1"/>
  <c r="EB167" i="4" s="1"/>
  <c r="EB166" i="4" s="1"/>
  <c r="EB165" i="4" s="1"/>
  <c r="EB164" i="4" s="1"/>
  <c r="EB163" i="4" s="1"/>
  <c r="EB162" i="4" s="1"/>
  <c r="EB161" i="4" s="1"/>
  <c r="EB160" i="4" s="1"/>
  <c r="EB159" i="4" s="1"/>
  <c r="EB158" i="4" s="1"/>
  <c r="EB157" i="4" s="1"/>
  <c r="EB156" i="4" s="1"/>
  <c r="EB155" i="4" s="1"/>
  <c r="EB154" i="4" s="1"/>
  <c r="EB153" i="4" s="1"/>
  <c r="EB152" i="4" s="1"/>
  <c r="EB151" i="4" s="1"/>
  <c r="EB150" i="4" s="1"/>
  <c r="EB149" i="4" s="1"/>
  <c r="EB148" i="4" s="1"/>
  <c r="EB147" i="4" s="1"/>
  <c r="EB146" i="4" s="1"/>
  <c r="EB145" i="4" s="1"/>
  <c r="EB144" i="4" s="1"/>
  <c r="EB143" i="4" s="1"/>
  <c r="EB142" i="4" s="1"/>
  <c r="EB141" i="4" s="1"/>
  <c r="EB140" i="4" s="1"/>
  <c r="EB139" i="4" s="1"/>
  <c r="EB138" i="4" s="1"/>
  <c r="EB137" i="4" s="1"/>
  <c r="EB136" i="4" s="1"/>
  <c r="EB135" i="4" s="1"/>
  <c r="EB134" i="4" s="1"/>
  <c r="EB133" i="4" s="1"/>
  <c r="EB132" i="4" s="1"/>
  <c r="EB131" i="4" s="1"/>
  <c r="EB130" i="4" s="1"/>
  <c r="EB129" i="4" s="1"/>
  <c r="EB128" i="4" s="1"/>
  <c r="EB127" i="4" s="1"/>
  <c r="EB126" i="4" s="1"/>
  <c r="EB125" i="4" s="1"/>
  <c r="EB124" i="4" s="1"/>
  <c r="EB123" i="4" s="1"/>
  <c r="EB122" i="4" s="1"/>
  <c r="EB121" i="4" s="1"/>
  <c r="EB120" i="4" s="1"/>
  <c r="EB119" i="4" s="1"/>
  <c r="EB118" i="4" s="1"/>
  <c r="EB117" i="4" s="1"/>
  <c r="EB116" i="4" s="1"/>
  <c r="EB115" i="4" s="1"/>
  <c r="EB114" i="4" s="1"/>
  <c r="EB113" i="4" s="1"/>
  <c r="EB112" i="4" s="1"/>
  <c r="EB111" i="4" s="1"/>
  <c r="EB110" i="4" s="1"/>
  <c r="EB109" i="4" s="1"/>
  <c r="EC203" i="4"/>
  <c r="EC202" i="4" s="1"/>
  <c r="ED203" i="4"/>
  <c r="ED202" i="4" s="1"/>
  <c r="EE203" i="4"/>
  <c r="EE202" i="4" s="1"/>
  <c r="EF203" i="4"/>
  <c r="EF202" i="4" s="1"/>
  <c r="EF201" i="4" s="1"/>
  <c r="EF200" i="4" s="1"/>
  <c r="EF199" i="4" s="1"/>
  <c r="EF198" i="4" s="1"/>
  <c r="EF197" i="4" s="1"/>
  <c r="EF196" i="4" s="1"/>
  <c r="EF195" i="4" s="1"/>
  <c r="EF194" i="4" s="1"/>
  <c r="EF193" i="4" s="1"/>
  <c r="EF192" i="4" s="1"/>
  <c r="EF191" i="4" s="1"/>
  <c r="EF190" i="4" s="1"/>
  <c r="EF189" i="4" s="1"/>
  <c r="EF188" i="4" s="1"/>
  <c r="EF187" i="4" s="1"/>
  <c r="EF186" i="4" s="1"/>
  <c r="EF185" i="4" s="1"/>
  <c r="EF184" i="4" s="1"/>
  <c r="EF183" i="4" s="1"/>
  <c r="EF182" i="4" s="1"/>
  <c r="EF181" i="4" s="1"/>
  <c r="EF180" i="4" s="1"/>
  <c r="EF179" i="4" s="1"/>
  <c r="EF178" i="4" s="1"/>
  <c r="EF177" i="4" s="1"/>
  <c r="EF176" i="4" s="1"/>
  <c r="EF175" i="4" s="1"/>
  <c r="EF174" i="4" s="1"/>
  <c r="EF173" i="4" s="1"/>
  <c r="EF172" i="4" s="1"/>
  <c r="EF171" i="4" s="1"/>
  <c r="EF170" i="4" s="1"/>
  <c r="EF169" i="4" s="1"/>
  <c r="EF168" i="4" s="1"/>
  <c r="EF167" i="4" s="1"/>
  <c r="EF166" i="4" s="1"/>
  <c r="EF165" i="4" s="1"/>
  <c r="EF164" i="4" s="1"/>
  <c r="EF163" i="4" s="1"/>
  <c r="EF162" i="4" s="1"/>
  <c r="EF161" i="4" s="1"/>
  <c r="EG203" i="4"/>
  <c r="EG202" i="4" s="1"/>
  <c r="EG201" i="4" s="1"/>
  <c r="EG200" i="4" s="1"/>
  <c r="EG199" i="4" s="1"/>
  <c r="EG198" i="4" s="1"/>
  <c r="EG197" i="4" s="1"/>
  <c r="EG196" i="4" s="1"/>
  <c r="EG195" i="4" s="1"/>
  <c r="EG194" i="4" s="1"/>
  <c r="EG193" i="4" s="1"/>
  <c r="EG192" i="4" s="1"/>
  <c r="EG191" i="4" s="1"/>
  <c r="EH203" i="4"/>
  <c r="EH202" i="4" s="1"/>
  <c r="EH201" i="4" s="1"/>
  <c r="EH200" i="4" s="1"/>
  <c r="EH199" i="4" s="1"/>
  <c r="EH198" i="4" s="1"/>
  <c r="EH197" i="4" s="1"/>
  <c r="EH196" i="4" s="1"/>
  <c r="EH195" i="4" s="1"/>
  <c r="EH194" i="4" s="1"/>
  <c r="EH193" i="4" s="1"/>
  <c r="EH192" i="4" s="1"/>
  <c r="EH191" i="4" s="1"/>
  <c r="EL203" i="4"/>
  <c r="EL202" i="4" s="1"/>
  <c r="EL201" i="4" s="1"/>
  <c r="EL200" i="4" s="1"/>
  <c r="EL199" i="4" s="1"/>
  <c r="EL198" i="4" s="1"/>
  <c r="EL197" i="4" s="1"/>
  <c r="EL196" i="4" s="1"/>
  <c r="EL195" i="4" s="1"/>
  <c r="EL194" i="4" s="1"/>
  <c r="EL193" i="4" s="1"/>
  <c r="EL192" i="4" s="1"/>
  <c r="EL191" i="4" s="1"/>
  <c r="EL190" i="4" s="1"/>
  <c r="EL189" i="4" s="1"/>
  <c r="EL188" i="4" s="1"/>
  <c r="EL187" i="4" s="1"/>
  <c r="EL186" i="4" s="1"/>
  <c r="EL185" i="4" s="1"/>
  <c r="EL184" i="4" s="1"/>
  <c r="EL183" i="4" s="1"/>
  <c r="EL182" i="4" s="1"/>
  <c r="EL181" i="4" s="1"/>
  <c r="EL180" i="4" s="1"/>
  <c r="EL179" i="4" s="1"/>
  <c r="EL178" i="4" s="1"/>
  <c r="EL177" i="4" s="1"/>
  <c r="EL176" i="4" s="1"/>
  <c r="EL175" i="4" s="1"/>
  <c r="EL174" i="4" s="1"/>
  <c r="EL173" i="4" s="1"/>
  <c r="EL172" i="4" s="1"/>
  <c r="EL171" i="4" s="1"/>
  <c r="EL170" i="4" s="1"/>
  <c r="EL169" i="4" s="1"/>
  <c r="EL168" i="4" s="1"/>
  <c r="EL167" i="4" s="1"/>
  <c r="EL166" i="4" s="1"/>
  <c r="EL165" i="4" s="1"/>
  <c r="EL164" i="4" s="1"/>
  <c r="EL163" i="4" s="1"/>
  <c r="EL162" i="4" s="1"/>
  <c r="EL161" i="4" s="1"/>
  <c r="EM203" i="4"/>
  <c r="EM202" i="4" s="1"/>
  <c r="EM201" i="4" s="1"/>
  <c r="EM200" i="4" s="1"/>
  <c r="EM199" i="4" s="1"/>
  <c r="EM198" i="4" s="1"/>
  <c r="EM197" i="4" s="1"/>
  <c r="EM196" i="4" s="1"/>
  <c r="EM195" i="4" s="1"/>
  <c r="EM194" i="4" s="1"/>
  <c r="EM193" i="4" s="1"/>
  <c r="EM192" i="4" s="1"/>
  <c r="EM191" i="4" s="1"/>
  <c r="EM190" i="4" s="1"/>
  <c r="EM189" i="4" s="1"/>
  <c r="EM188" i="4" s="1"/>
  <c r="EM187" i="4" s="1"/>
  <c r="EM186" i="4" s="1"/>
  <c r="EM185" i="4" s="1"/>
  <c r="EM184" i="4" s="1"/>
  <c r="EM183" i="4" s="1"/>
  <c r="EM182" i="4" s="1"/>
  <c r="EM181" i="4" s="1"/>
  <c r="EM180" i="4" s="1"/>
  <c r="EM179" i="4" s="1"/>
  <c r="EM178" i="4" s="1"/>
  <c r="EN203" i="4"/>
  <c r="EN202" i="4" s="1"/>
  <c r="EN201" i="4" s="1"/>
  <c r="EN200" i="4" s="1"/>
  <c r="EN199" i="4" s="1"/>
  <c r="EN198" i="4" s="1"/>
  <c r="EN197" i="4" s="1"/>
  <c r="EN196" i="4" s="1"/>
  <c r="EN195" i="4" s="1"/>
  <c r="EN194" i="4" s="1"/>
  <c r="EN193" i="4" s="1"/>
  <c r="EN192" i="4" s="1"/>
  <c r="EN191" i="4" s="1"/>
  <c r="EN190" i="4" s="1"/>
  <c r="EN189" i="4" s="1"/>
  <c r="EN188" i="4" s="1"/>
  <c r="EN187" i="4" s="1"/>
  <c r="EN186" i="4" s="1"/>
  <c r="EN185" i="4" s="1"/>
  <c r="EN184" i="4" s="1"/>
  <c r="EN183" i="4" s="1"/>
  <c r="EN182" i="4" s="1"/>
  <c r="EN181" i="4" s="1"/>
  <c r="EN180" i="4" s="1"/>
  <c r="EN179" i="4" s="1"/>
  <c r="EN178" i="4" s="1"/>
  <c r="ER203" i="4"/>
  <c r="ER202" i="4" s="1"/>
  <c r="ER201" i="4" s="1"/>
  <c r="ER200" i="4" s="1"/>
  <c r="ER199" i="4" s="1"/>
  <c r="ER198" i="4" s="1"/>
  <c r="ER197" i="4" s="1"/>
  <c r="ER196" i="4" s="1"/>
  <c r="ER195" i="4" s="1"/>
  <c r="ER194" i="4" s="1"/>
  <c r="ER193" i="4" s="1"/>
  <c r="ER192" i="4" s="1"/>
  <c r="ER191" i="4" s="1"/>
  <c r="ER190" i="4" s="1"/>
  <c r="ER189" i="4" s="1"/>
  <c r="ER188" i="4" s="1"/>
  <c r="ER187" i="4" s="1"/>
  <c r="ER186" i="4" s="1"/>
  <c r="ER185" i="4" s="1"/>
  <c r="ER184" i="4" s="1"/>
  <c r="ER183" i="4" s="1"/>
  <c r="ER182" i="4" s="1"/>
  <c r="ER181" i="4" s="1"/>
  <c r="ER180" i="4" s="1"/>
  <c r="ER179" i="4" s="1"/>
  <c r="ER178" i="4" s="1"/>
  <c r="ER177" i="4" s="1"/>
  <c r="ER176" i="4" s="1"/>
  <c r="ER175" i="4" s="1"/>
  <c r="ER174" i="4" s="1"/>
  <c r="ER173" i="4" s="1"/>
  <c r="ER172" i="4" s="1"/>
  <c r="ER171" i="4" s="1"/>
  <c r="ER170" i="4" s="1"/>
  <c r="ER169" i="4" s="1"/>
  <c r="ER168" i="4" s="1"/>
  <c r="ER167" i="4" s="1"/>
  <c r="ER166" i="4" s="1"/>
  <c r="ER165" i="4" s="1"/>
  <c r="ER164" i="4" s="1"/>
  <c r="ER163" i="4" s="1"/>
  <c r="ER162" i="4" s="1"/>
  <c r="ER161" i="4" s="1"/>
  <c r="ER160" i="4" s="1"/>
  <c r="ER159" i="4" s="1"/>
  <c r="ER158" i="4" s="1"/>
  <c r="ER157" i="4" s="1"/>
  <c r="ER156" i="4" s="1"/>
  <c r="ES203" i="4"/>
  <c r="ES202" i="4" s="1"/>
  <c r="ES201" i="4" s="1"/>
  <c r="ES200" i="4" s="1"/>
  <c r="ES199" i="4" s="1"/>
  <c r="ES198" i="4" s="1"/>
  <c r="ES197" i="4" s="1"/>
  <c r="ES196" i="4" s="1"/>
  <c r="ES195" i="4" s="1"/>
  <c r="ES194" i="4" s="1"/>
  <c r="ES193" i="4" s="1"/>
  <c r="ES192" i="4" s="1"/>
  <c r="ES191" i="4" s="1"/>
  <c r="ES190" i="4" s="1"/>
  <c r="ES189" i="4" s="1"/>
  <c r="ES188" i="4" s="1"/>
  <c r="ES187" i="4" s="1"/>
  <c r="ES186" i="4" s="1"/>
  <c r="ES185" i="4" s="1"/>
  <c r="ES184" i="4" s="1"/>
  <c r="ES183" i="4" s="1"/>
  <c r="ES182" i="4" s="1"/>
  <c r="ES181" i="4" s="1"/>
  <c r="ES180" i="4" s="1"/>
  <c r="ET203" i="4"/>
  <c r="ET202" i="4" s="1"/>
  <c r="ET201" i="4" s="1"/>
  <c r="ET200" i="4" s="1"/>
  <c r="ET199" i="4" s="1"/>
  <c r="ET198" i="4" s="1"/>
  <c r="ET197" i="4" s="1"/>
  <c r="ET196" i="4" s="1"/>
  <c r="ET195" i="4" s="1"/>
  <c r="ET194" i="4" s="1"/>
  <c r="ET193" i="4" s="1"/>
  <c r="ET192" i="4" s="1"/>
  <c r="ET191" i="4" s="1"/>
  <c r="ET190" i="4" s="1"/>
  <c r="ET189" i="4" s="1"/>
  <c r="ET188" i="4" s="1"/>
  <c r="ET187" i="4" s="1"/>
  <c r="ET186" i="4" s="1"/>
  <c r="ET185" i="4" s="1"/>
  <c r="ET184" i="4" s="1"/>
  <c r="ET183" i="4" s="1"/>
  <c r="ET182" i="4" s="1"/>
  <c r="ET181" i="4" s="1"/>
  <c r="ET180" i="4" s="1"/>
  <c r="EX203" i="4"/>
  <c r="EX202" i="4" s="1"/>
  <c r="EX201" i="4" s="1"/>
  <c r="EX200" i="4" s="1"/>
  <c r="EX199" i="4" s="1"/>
  <c r="EX198" i="4" s="1"/>
  <c r="EX197" i="4" s="1"/>
  <c r="EX196" i="4" s="1"/>
  <c r="EX195" i="4" s="1"/>
  <c r="EX194" i="4" s="1"/>
  <c r="EX193" i="4" s="1"/>
  <c r="EX192" i="4" s="1"/>
  <c r="EX191" i="4" s="1"/>
  <c r="EX190" i="4" s="1"/>
  <c r="EX189" i="4" s="1"/>
  <c r="EX188" i="4" s="1"/>
  <c r="EX187" i="4" s="1"/>
  <c r="EX186" i="4" s="1"/>
  <c r="EX185" i="4" s="1"/>
  <c r="EX184" i="4" s="1"/>
  <c r="EX183" i="4" s="1"/>
  <c r="EX182" i="4" s="1"/>
  <c r="EX181" i="4" s="1"/>
  <c r="EX180" i="4" s="1"/>
  <c r="EX179" i="4" s="1"/>
  <c r="EX178" i="4" s="1"/>
  <c r="EX177" i="4" s="1"/>
  <c r="EX176" i="4" s="1"/>
  <c r="EX175" i="4" s="1"/>
  <c r="EX174" i="4" s="1"/>
  <c r="EX173" i="4" s="1"/>
  <c r="EX172" i="4" s="1"/>
  <c r="EX171" i="4" s="1"/>
  <c r="EX170" i="4" s="1"/>
  <c r="EX169" i="4" s="1"/>
  <c r="EX168" i="4" s="1"/>
  <c r="EX167" i="4" s="1"/>
  <c r="EX166" i="4" s="1"/>
  <c r="EX165" i="4" s="1"/>
  <c r="EX164" i="4" s="1"/>
  <c r="EX163" i="4" s="1"/>
  <c r="EX162" i="4" s="1"/>
  <c r="EX161" i="4" s="1"/>
  <c r="EX160" i="4" s="1"/>
  <c r="EX159" i="4" s="1"/>
  <c r="EX158" i="4" s="1"/>
  <c r="EX157" i="4" s="1"/>
  <c r="EX156" i="4" s="1"/>
  <c r="EY203" i="4"/>
  <c r="EY202" i="4" s="1"/>
  <c r="EY201" i="4" s="1"/>
  <c r="EY200" i="4" s="1"/>
  <c r="EY199" i="4" s="1"/>
  <c r="EY198" i="4" s="1"/>
  <c r="EY197" i="4" s="1"/>
  <c r="EY196" i="4" s="1"/>
  <c r="EY195" i="4" s="1"/>
  <c r="EY194" i="4" s="1"/>
  <c r="EY193" i="4" s="1"/>
  <c r="EY192" i="4" s="1"/>
  <c r="EY191" i="4" s="1"/>
  <c r="EZ203" i="4"/>
  <c r="EZ202" i="4" s="1"/>
  <c r="EZ201" i="4" s="1"/>
  <c r="EZ200" i="4" s="1"/>
  <c r="EZ199" i="4" s="1"/>
  <c r="EZ198" i="4" s="1"/>
  <c r="EZ197" i="4" s="1"/>
  <c r="EZ196" i="4" s="1"/>
  <c r="EZ195" i="4" s="1"/>
  <c r="EZ194" i="4" s="1"/>
  <c r="EZ193" i="4" s="1"/>
  <c r="EZ192" i="4" s="1"/>
  <c r="EZ191" i="4" s="1"/>
  <c r="FD203" i="4"/>
  <c r="FD202" i="4" s="1"/>
  <c r="FD201" i="4" s="1"/>
  <c r="FD200" i="4" s="1"/>
  <c r="FD199" i="4" s="1"/>
  <c r="FD198" i="4" s="1"/>
  <c r="FD197" i="4" s="1"/>
  <c r="FD196" i="4" s="1"/>
  <c r="FD195" i="4" s="1"/>
  <c r="FD194" i="4" s="1"/>
  <c r="FD193" i="4" s="1"/>
  <c r="FD192" i="4" s="1"/>
  <c r="FD191" i="4" s="1"/>
  <c r="FD190" i="4" s="1"/>
  <c r="FD189" i="4" s="1"/>
  <c r="FD188" i="4" s="1"/>
  <c r="FD187" i="4" s="1"/>
  <c r="FD186" i="4" s="1"/>
  <c r="FD185" i="4" s="1"/>
  <c r="FD184" i="4" s="1"/>
  <c r="FD183" i="4" s="1"/>
  <c r="FD182" i="4" s="1"/>
  <c r="FD181" i="4" s="1"/>
  <c r="FD180" i="4" s="1"/>
  <c r="FD179" i="4" s="1"/>
  <c r="FD178" i="4" s="1"/>
  <c r="FD177" i="4" s="1"/>
  <c r="FD176" i="4" s="1"/>
  <c r="FD175" i="4" s="1"/>
  <c r="FD174" i="4" s="1"/>
  <c r="FD173" i="4" s="1"/>
  <c r="FD172" i="4" s="1"/>
  <c r="FD171" i="4" s="1"/>
  <c r="FD170" i="4" s="1"/>
  <c r="FD169" i="4" s="1"/>
  <c r="FD168" i="4" s="1"/>
  <c r="FD167" i="4" s="1"/>
  <c r="FD166" i="4" s="1"/>
  <c r="FD165" i="4" s="1"/>
  <c r="FD164" i="4" s="1"/>
  <c r="FD163" i="4" s="1"/>
  <c r="FD162" i="4" s="1"/>
  <c r="FD161" i="4" s="1"/>
  <c r="FD160" i="4" s="1"/>
  <c r="FD159" i="4" s="1"/>
  <c r="FD158" i="4" s="1"/>
  <c r="FD157" i="4" s="1"/>
  <c r="FD156" i="4" s="1"/>
  <c r="FE203" i="4"/>
  <c r="FE202" i="4" s="1"/>
  <c r="FE201" i="4" s="1"/>
  <c r="FE200" i="4" s="1"/>
  <c r="FE199" i="4" s="1"/>
  <c r="FE198" i="4" s="1"/>
  <c r="FE197" i="4" s="1"/>
  <c r="FE196" i="4" s="1"/>
  <c r="FE195" i="4" s="1"/>
  <c r="FE194" i="4" s="1"/>
  <c r="FE193" i="4" s="1"/>
  <c r="FE192" i="4" s="1"/>
  <c r="FE191" i="4" s="1"/>
  <c r="FE190" i="4" s="1"/>
  <c r="FE189" i="4" s="1"/>
  <c r="FE188" i="4" s="1"/>
  <c r="FE187" i="4" s="1"/>
  <c r="FE186" i="4" s="1"/>
  <c r="FE185" i="4" s="1"/>
  <c r="FE184" i="4" s="1"/>
  <c r="FE183" i="4" s="1"/>
  <c r="FE182" i="4" s="1"/>
  <c r="FE181" i="4" s="1"/>
  <c r="FE180" i="4" s="1"/>
  <c r="FE179" i="4" s="1"/>
  <c r="FF203" i="4"/>
  <c r="FF202" i="4" s="1"/>
  <c r="FF201" i="4" s="1"/>
  <c r="FF200" i="4" s="1"/>
  <c r="FF199" i="4" s="1"/>
  <c r="FF198" i="4" s="1"/>
  <c r="FF197" i="4" s="1"/>
  <c r="FF196" i="4" s="1"/>
  <c r="FF195" i="4" s="1"/>
  <c r="FF194" i="4" s="1"/>
  <c r="FF193" i="4" s="1"/>
  <c r="FF192" i="4" s="1"/>
  <c r="FF191" i="4" s="1"/>
  <c r="FF190" i="4" s="1"/>
  <c r="FF189" i="4" s="1"/>
  <c r="FF188" i="4" s="1"/>
  <c r="FF187" i="4" s="1"/>
  <c r="FF186" i="4" s="1"/>
  <c r="FF185" i="4" s="1"/>
  <c r="FF184" i="4" s="1"/>
  <c r="FF183" i="4" s="1"/>
  <c r="FF182" i="4" s="1"/>
  <c r="FF181" i="4" s="1"/>
  <c r="FF180" i="4" s="1"/>
  <c r="FF179" i="4" s="1"/>
  <c r="FJ203" i="4"/>
  <c r="FJ202" i="4" s="1"/>
  <c r="FJ201" i="4" s="1"/>
  <c r="FJ200" i="4" s="1"/>
  <c r="FJ199" i="4" s="1"/>
  <c r="FJ198" i="4" s="1"/>
  <c r="FJ197" i="4" s="1"/>
  <c r="FJ196" i="4" s="1"/>
  <c r="FJ195" i="4" s="1"/>
  <c r="FJ194" i="4" s="1"/>
  <c r="FJ193" i="4" s="1"/>
  <c r="FJ192" i="4" s="1"/>
  <c r="FJ191" i="4" s="1"/>
  <c r="FJ190" i="4" s="1"/>
  <c r="FJ189" i="4" s="1"/>
  <c r="FJ188" i="4" s="1"/>
  <c r="FJ187" i="4" s="1"/>
  <c r="FJ186" i="4" s="1"/>
  <c r="FJ185" i="4" s="1"/>
  <c r="FJ184" i="4" s="1"/>
  <c r="FJ183" i="4" s="1"/>
  <c r="FJ182" i="4" s="1"/>
  <c r="FJ181" i="4" s="1"/>
  <c r="FJ180" i="4" s="1"/>
  <c r="FJ179" i="4" s="1"/>
  <c r="FJ178" i="4" s="1"/>
  <c r="FJ177" i="4" s="1"/>
  <c r="FJ176" i="4" s="1"/>
  <c r="FJ175" i="4" s="1"/>
  <c r="FJ174" i="4" s="1"/>
  <c r="FJ173" i="4" s="1"/>
  <c r="FJ172" i="4" s="1"/>
  <c r="FJ171" i="4" s="1"/>
  <c r="FJ170" i="4" s="1"/>
  <c r="FJ169" i="4" s="1"/>
  <c r="FJ168" i="4" s="1"/>
  <c r="FJ167" i="4" s="1"/>
  <c r="FJ166" i="4" s="1"/>
  <c r="FJ165" i="4" s="1"/>
  <c r="FJ164" i="4" s="1"/>
  <c r="FJ163" i="4" s="1"/>
  <c r="FJ162" i="4" s="1"/>
  <c r="FJ161" i="4" s="1"/>
  <c r="FJ160" i="4" s="1"/>
  <c r="FJ159" i="4" s="1"/>
  <c r="FJ158" i="4" s="1"/>
  <c r="FJ157" i="4" s="1"/>
  <c r="FJ156" i="4" s="1"/>
  <c r="FK203" i="4"/>
  <c r="FK202" i="4" s="1"/>
  <c r="FK201" i="4" s="1"/>
  <c r="FK200" i="4" s="1"/>
  <c r="FK199" i="4" s="1"/>
  <c r="FK198" i="4" s="1"/>
  <c r="FK197" i="4" s="1"/>
  <c r="FK196" i="4" s="1"/>
  <c r="FK195" i="4" s="1"/>
  <c r="FK194" i="4" s="1"/>
  <c r="FK193" i="4" s="1"/>
  <c r="FK192" i="4" s="1"/>
  <c r="FK191" i="4" s="1"/>
  <c r="FL203" i="4"/>
  <c r="FL202" i="4" s="1"/>
  <c r="FL201" i="4" s="1"/>
  <c r="FL200" i="4" s="1"/>
  <c r="FL199" i="4" s="1"/>
  <c r="FL198" i="4" s="1"/>
  <c r="FL197" i="4" s="1"/>
  <c r="FL196" i="4" s="1"/>
  <c r="FL195" i="4" s="1"/>
  <c r="FL194" i="4" s="1"/>
  <c r="FL193" i="4" s="1"/>
  <c r="FL192" i="4" s="1"/>
  <c r="FL191" i="4" s="1"/>
  <c r="FP203" i="4"/>
  <c r="FP202" i="4" s="1"/>
  <c r="FP201" i="4" s="1"/>
  <c r="FP200" i="4" s="1"/>
  <c r="FP199" i="4" s="1"/>
  <c r="FP198" i="4" s="1"/>
  <c r="FP197" i="4" s="1"/>
  <c r="FP196" i="4" s="1"/>
  <c r="FP195" i="4" s="1"/>
  <c r="FP194" i="4" s="1"/>
  <c r="FP193" i="4" s="1"/>
  <c r="FP192" i="4" s="1"/>
  <c r="FP191" i="4" s="1"/>
  <c r="FP190" i="4" s="1"/>
  <c r="FP189" i="4" s="1"/>
  <c r="FP188" i="4" s="1"/>
  <c r="FP187" i="4" s="1"/>
  <c r="FP186" i="4" s="1"/>
  <c r="FP185" i="4" s="1"/>
  <c r="FP184" i="4" s="1"/>
  <c r="FP183" i="4" s="1"/>
  <c r="FP182" i="4" s="1"/>
  <c r="FP181" i="4" s="1"/>
  <c r="FP180" i="4" s="1"/>
  <c r="FP179" i="4" s="1"/>
  <c r="FP178" i="4" s="1"/>
  <c r="FP177" i="4" s="1"/>
  <c r="FP176" i="4" s="1"/>
  <c r="FP175" i="4" s="1"/>
  <c r="FP174" i="4" s="1"/>
  <c r="FP173" i="4" s="1"/>
  <c r="FP172" i="4" s="1"/>
  <c r="FP171" i="4" s="1"/>
  <c r="FP170" i="4" s="1"/>
  <c r="FP169" i="4" s="1"/>
  <c r="FP168" i="4" s="1"/>
  <c r="FP167" i="4" s="1"/>
  <c r="FP166" i="4" s="1"/>
  <c r="FP165" i="4" s="1"/>
  <c r="FP164" i="4" s="1"/>
  <c r="FP163" i="4" s="1"/>
  <c r="FP162" i="4" s="1"/>
  <c r="FP161" i="4" s="1"/>
  <c r="FP160" i="4" s="1"/>
  <c r="FP159" i="4" s="1"/>
  <c r="FP158" i="4" s="1"/>
  <c r="FP157" i="4" s="1"/>
  <c r="FP156" i="4" s="1"/>
  <c r="FQ203" i="4"/>
  <c r="FQ202" i="4" s="1"/>
  <c r="FQ201" i="4" s="1"/>
  <c r="FQ200" i="4" s="1"/>
  <c r="FQ199" i="4" s="1"/>
  <c r="FQ198" i="4" s="1"/>
  <c r="FQ197" i="4" s="1"/>
  <c r="FQ196" i="4" s="1"/>
  <c r="FQ195" i="4" s="1"/>
  <c r="FQ194" i="4" s="1"/>
  <c r="FQ193" i="4" s="1"/>
  <c r="FQ192" i="4" s="1"/>
  <c r="FQ191" i="4" s="1"/>
  <c r="FR203" i="4"/>
  <c r="FR202" i="4" s="1"/>
  <c r="FR201" i="4" s="1"/>
  <c r="FR200" i="4" s="1"/>
  <c r="FR199" i="4" s="1"/>
  <c r="FR198" i="4" s="1"/>
  <c r="FR197" i="4" s="1"/>
  <c r="FR196" i="4" s="1"/>
  <c r="FR195" i="4" s="1"/>
  <c r="FR194" i="4" s="1"/>
  <c r="FR193" i="4" s="1"/>
  <c r="FR192" i="4" s="1"/>
  <c r="FR191" i="4" s="1"/>
  <c r="FV203" i="4"/>
  <c r="FV202" i="4" s="1"/>
  <c r="FV201" i="4" s="1"/>
  <c r="FV200" i="4" s="1"/>
  <c r="FV199" i="4" s="1"/>
  <c r="FV198" i="4" s="1"/>
  <c r="FV197" i="4" s="1"/>
  <c r="FV196" i="4" s="1"/>
  <c r="FV195" i="4" s="1"/>
  <c r="FV194" i="4" s="1"/>
  <c r="FV193" i="4" s="1"/>
  <c r="FV192" i="4" s="1"/>
  <c r="FV191" i="4" s="1"/>
  <c r="FV190" i="4" s="1"/>
  <c r="FV189" i="4" s="1"/>
  <c r="FV188" i="4" s="1"/>
  <c r="FV187" i="4" s="1"/>
  <c r="FV186" i="4" s="1"/>
  <c r="FV185" i="4" s="1"/>
  <c r="FV184" i="4" s="1"/>
  <c r="FV183" i="4" s="1"/>
  <c r="FV182" i="4" s="1"/>
  <c r="FV181" i="4" s="1"/>
  <c r="FV180" i="4" s="1"/>
  <c r="FV179" i="4" s="1"/>
  <c r="FV178" i="4" s="1"/>
  <c r="FV177" i="4" s="1"/>
  <c r="FV176" i="4" s="1"/>
  <c r="FV175" i="4" s="1"/>
  <c r="FV174" i="4" s="1"/>
  <c r="FV173" i="4" s="1"/>
  <c r="FV172" i="4" s="1"/>
  <c r="FV171" i="4" s="1"/>
  <c r="FV170" i="4" s="1"/>
  <c r="FV169" i="4" s="1"/>
  <c r="FV168" i="4" s="1"/>
  <c r="FV167" i="4" s="1"/>
  <c r="FV166" i="4" s="1"/>
  <c r="FV165" i="4" s="1"/>
  <c r="FV164" i="4" s="1"/>
  <c r="FV163" i="4" s="1"/>
  <c r="FV162" i="4" s="1"/>
  <c r="FV161" i="4" s="1"/>
  <c r="FV160" i="4" s="1"/>
  <c r="FV159" i="4" s="1"/>
  <c r="FV158" i="4" s="1"/>
  <c r="FV157" i="4" s="1"/>
  <c r="FV156" i="4" s="1"/>
  <c r="FW203" i="4"/>
  <c r="FW202" i="4" s="1"/>
  <c r="FW201" i="4" s="1"/>
  <c r="FW200" i="4" s="1"/>
  <c r="FW199" i="4" s="1"/>
  <c r="FW198" i="4" s="1"/>
  <c r="FW197" i="4" s="1"/>
  <c r="FW196" i="4" s="1"/>
  <c r="FW195" i="4" s="1"/>
  <c r="FW194" i="4" s="1"/>
  <c r="FW193" i="4" s="1"/>
  <c r="FW192" i="4" s="1"/>
  <c r="FW191" i="4" s="1"/>
  <c r="FX203" i="4"/>
  <c r="FX202" i="4" s="1"/>
  <c r="FX201" i="4" s="1"/>
  <c r="FX200" i="4" s="1"/>
  <c r="FX199" i="4" s="1"/>
  <c r="FX198" i="4" s="1"/>
  <c r="FX197" i="4" s="1"/>
  <c r="FX196" i="4" s="1"/>
  <c r="FX195" i="4" s="1"/>
  <c r="FX194" i="4" s="1"/>
  <c r="FX193" i="4" s="1"/>
  <c r="FX192" i="4" s="1"/>
  <c r="FX191" i="4" s="1"/>
  <c r="GB203" i="4"/>
  <c r="GB202" i="4" s="1"/>
  <c r="GB201" i="4" s="1"/>
  <c r="GB200" i="4" s="1"/>
  <c r="GB199" i="4" s="1"/>
  <c r="GB198" i="4" s="1"/>
  <c r="GB197" i="4" s="1"/>
  <c r="GB196" i="4" s="1"/>
  <c r="GB195" i="4" s="1"/>
  <c r="GB194" i="4" s="1"/>
  <c r="GB193" i="4" s="1"/>
  <c r="GB192" i="4" s="1"/>
  <c r="GB191" i="4" s="1"/>
  <c r="GB190" i="4" s="1"/>
  <c r="GB189" i="4" s="1"/>
  <c r="GB188" i="4" s="1"/>
  <c r="GB187" i="4" s="1"/>
  <c r="GB186" i="4" s="1"/>
  <c r="GB185" i="4" s="1"/>
  <c r="GB184" i="4" s="1"/>
  <c r="GB183" i="4" s="1"/>
  <c r="GB182" i="4" s="1"/>
  <c r="GB181" i="4" s="1"/>
  <c r="GB180" i="4" s="1"/>
  <c r="GB179" i="4" s="1"/>
  <c r="GB178" i="4" s="1"/>
  <c r="GB177" i="4" s="1"/>
  <c r="GB176" i="4" s="1"/>
  <c r="GB175" i="4" s="1"/>
  <c r="GB174" i="4" s="1"/>
  <c r="GB173" i="4" s="1"/>
  <c r="GB172" i="4" s="1"/>
  <c r="GB171" i="4" s="1"/>
  <c r="GB170" i="4" s="1"/>
  <c r="GB169" i="4" s="1"/>
  <c r="GB168" i="4" s="1"/>
  <c r="GB167" i="4" s="1"/>
  <c r="GB166" i="4" s="1"/>
  <c r="GB165" i="4" s="1"/>
  <c r="GB164" i="4" s="1"/>
  <c r="GB163" i="4" s="1"/>
  <c r="GB162" i="4" s="1"/>
  <c r="GB161" i="4" s="1"/>
  <c r="GB160" i="4" s="1"/>
  <c r="GB159" i="4" s="1"/>
  <c r="GB158" i="4" s="1"/>
  <c r="GB157" i="4" s="1"/>
  <c r="GB156" i="4" s="1"/>
  <c r="GC203" i="4"/>
  <c r="GC202" i="4" s="1"/>
  <c r="GC201" i="4" s="1"/>
  <c r="GC200" i="4" s="1"/>
  <c r="GC199" i="4" s="1"/>
  <c r="GC198" i="4" s="1"/>
  <c r="GC197" i="4" s="1"/>
  <c r="GC196" i="4" s="1"/>
  <c r="GC195" i="4" s="1"/>
  <c r="GC194" i="4" s="1"/>
  <c r="GC193" i="4" s="1"/>
  <c r="GC192" i="4" s="1"/>
  <c r="GC191" i="4" s="1"/>
  <c r="GC190" i="4" s="1"/>
  <c r="GD203" i="4"/>
  <c r="GD202" i="4" s="1"/>
  <c r="GD201" i="4" s="1"/>
  <c r="GD200" i="4" s="1"/>
  <c r="GD199" i="4" s="1"/>
  <c r="GD198" i="4" s="1"/>
  <c r="GD197" i="4" s="1"/>
  <c r="GD196" i="4" s="1"/>
  <c r="GD195" i="4" s="1"/>
  <c r="GD194" i="4" s="1"/>
  <c r="GD193" i="4" s="1"/>
  <c r="GD192" i="4" s="1"/>
  <c r="GD191" i="4" s="1"/>
  <c r="GD190" i="4" s="1"/>
  <c r="GH203" i="4"/>
  <c r="GH202" i="4" s="1"/>
  <c r="GH201" i="4" s="1"/>
  <c r="GH200" i="4" s="1"/>
  <c r="GH199" i="4" s="1"/>
  <c r="GH198" i="4" s="1"/>
  <c r="GH197" i="4" s="1"/>
  <c r="GH196" i="4" s="1"/>
  <c r="GH195" i="4" s="1"/>
  <c r="GH194" i="4" s="1"/>
  <c r="GH193" i="4" s="1"/>
  <c r="GH192" i="4" s="1"/>
  <c r="GH191" i="4" s="1"/>
  <c r="GH190" i="4" s="1"/>
  <c r="GH189" i="4" s="1"/>
  <c r="GH188" i="4" s="1"/>
  <c r="GH187" i="4" s="1"/>
  <c r="GH186" i="4" s="1"/>
  <c r="GH185" i="4" s="1"/>
  <c r="GH184" i="4" s="1"/>
  <c r="GH183" i="4" s="1"/>
  <c r="GH182" i="4" s="1"/>
  <c r="GH181" i="4" s="1"/>
  <c r="GH180" i="4" s="1"/>
  <c r="GH179" i="4" s="1"/>
  <c r="GH178" i="4" s="1"/>
  <c r="GH177" i="4" s="1"/>
  <c r="GH176" i="4" s="1"/>
  <c r="GH175" i="4" s="1"/>
  <c r="GH174" i="4" s="1"/>
  <c r="GH173" i="4" s="1"/>
  <c r="GH172" i="4" s="1"/>
  <c r="GH171" i="4" s="1"/>
  <c r="GH170" i="4" s="1"/>
  <c r="GH169" i="4" s="1"/>
  <c r="GH168" i="4" s="1"/>
  <c r="GH167" i="4" s="1"/>
  <c r="GH166" i="4" s="1"/>
  <c r="GH165" i="4" s="1"/>
  <c r="GH164" i="4" s="1"/>
  <c r="GH163" i="4" s="1"/>
  <c r="GH162" i="4" s="1"/>
  <c r="GH161" i="4" s="1"/>
  <c r="GH160" i="4" s="1"/>
  <c r="GH159" i="4" s="1"/>
  <c r="GH158" i="4" s="1"/>
  <c r="GH157" i="4" s="1"/>
  <c r="GH156" i="4" s="1"/>
  <c r="GI203" i="4"/>
  <c r="GI202" i="4" s="1"/>
  <c r="GI201" i="4" s="1"/>
  <c r="GI200" i="4" s="1"/>
  <c r="GI199" i="4" s="1"/>
  <c r="GI198" i="4" s="1"/>
  <c r="GI197" i="4" s="1"/>
  <c r="GI196" i="4" s="1"/>
  <c r="GI195" i="4" s="1"/>
  <c r="GI194" i="4" s="1"/>
  <c r="GI193" i="4" s="1"/>
  <c r="GI192" i="4" s="1"/>
  <c r="GI191" i="4" s="1"/>
  <c r="GJ203" i="4"/>
  <c r="GJ202" i="4" s="1"/>
  <c r="GJ201" i="4" s="1"/>
  <c r="GJ200" i="4" s="1"/>
  <c r="GJ199" i="4" s="1"/>
  <c r="GJ198" i="4" s="1"/>
  <c r="GJ197" i="4" s="1"/>
  <c r="GJ196" i="4" s="1"/>
  <c r="GJ195" i="4" s="1"/>
  <c r="GJ194" i="4" s="1"/>
  <c r="GJ193" i="4" s="1"/>
  <c r="GJ192" i="4" s="1"/>
  <c r="GJ191" i="4" s="1"/>
  <c r="GN203" i="4"/>
  <c r="GN202" i="4" s="1"/>
  <c r="GN201" i="4" s="1"/>
  <c r="GN200" i="4" s="1"/>
  <c r="GN199" i="4" s="1"/>
  <c r="GN198" i="4" s="1"/>
  <c r="GN197" i="4" s="1"/>
  <c r="GN196" i="4" s="1"/>
  <c r="GN195" i="4" s="1"/>
  <c r="GN194" i="4" s="1"/>
  <c r="GN193" i="4" s="1"/>
  <c r="GN192" i="4" s="1"/>
  <c r="GN191" i="4" s="1"/>
  <c r="GN190" i="4" s="1"/>
  <c r="GN189" i="4" s="1"/>
  <c r="GN188" i="4" s="1"/>
  <c r="GN187" i="4" s="1"/>
  <c r="GN186" i="4" s="1"/>
  <c r="GN185" i="4" s="1"/>
  <c r="GN184" i="4" s="1"/>
  <c r="GN183" i="4" s="1"/>
  <c r="GN182" i="4" s="1"/>
  <c r="GN181" i="4" s="1"/>
  <c r="GN180" i="4" s="1"/>
  <c r="GN179" i="4" s="1"/>
  <c r="GN178" i="4" s="1"/>
  <c r="GN177" i="4" s="1"/>
  <c r="GN176" i="4" s="1"/>
  <c r="GN175" i="4" s="1"/>
  <c r="GN174" i="4" s="1"/>
  <c r="GN173" i="4" s="1"/>
  <c r="GN172" i="4" s="1"/>
  <c r="GN171" i="4" s="1"/>
  <c r="GN170" i="4" s="1"/>
  <c r="GN169" i="4" s="1"/>
  <c r="GN168" i="4" s="1"/>
  <c r="GN167" i="4" s="1"/>
  <c r="GN166" i="4" s="1"/>
  <c r="GN165" i="4" s="1"/>
  <c r="GN164" i="4" s="1"/>
  <c r="GN163" i="4" s="1"/>
  <c r="GN162" i="4" s="1"/>
  <c r="GN161" i="4" s="1"/>
  <c r="GN160" i="4" s="1"/>
  <c r="GN159" i="4" s="1"/>
  <c r="GN158" i="4" s="1"/>
  <c r="GN157" i="4" s="1"/>
  <c r="GN156" i="4" s="1"/>
  <c r="GO203" i="4"/>
  <c r="GO202" i="4" s="1"/>
  <c r="GO201" i="4" s="1"/>
  <c r="GO200" i="4" s="1"/>
  <c r="GO199" i="4" s="1"/>
  <c r="GO198" i="4" s="1"/>
  <c r="GO197" i="4" s="1"/>
  <c r="GO196" i="4" s="1"/>
  <c r="GO195" i="4" s="1"/>
  <c r="GO194" i="4" s="1"/>
  <c r="GO193" i="4" s="1"/>
  <c r="GO192" i="4" s="1"/>
  <c r="GO191" i="4" s="1"/>
  <c r="GP203" i="4"/>
  <c r="GP202" i="4" s="1"/>
  <c r="GP201" i="4" s="1"/>
  <c r="GP200" i="4" s="1"/>
  <c r="GP199" i="4" s="1"/>
  <c r="GP198" i="4" s="1"/>
  <c r="GP197" i="4" s="1"/>
  <c r="GP196" i="4" s="1"/>
  <c r="GP195" i="4" s="1"/>
  <c r="GP194" i="4" s="1"/>
  <c r="GP193" i="4" s="1"/>
  <c r="GP192" i="4" s="1"/>
  <c r="GP191" i="4" s="1"/>
  <c r="GT203" i="4"/>
  <c r="GT202" i="4" s="1"/>
  <c r="GT201" i="4" s="1"/>
  <c r="GT200" i="4" s="1"/>
  <c r="GT199" i="4" s="1"/>
  <c r="GT198" i="4" s="1"/>
  <c r="GT197" i="4" s="1"/>
  <c r="GT196" i="4" s="1"/>
  <c r="GT195" i="4" s="1"/>
  <c r="GT194" i="4" s="1"/>
  <c r="GT193" i="4" s="1"/>
  <c r="GT192" i="4" s="1"/>
  <c r="GT191" i="4" s="1"/>
  <c r="GT190" i="4" s="1"/>
  <c r="GT189" i="4" s="1"/>
  <c r="GT188" i="4" s="1"/>
  <c r="GT187" i="4" s="1"/>
  <c r="GT186" i="4" s="1"/>
  <c r="GT185" i="4" s="1"/>
  <c r="GT184" i="4" s="1"/>
  <c r="GT183" i="4" s="1"/>
  <c r="GT182" i="4" s="1"/>
  <c r="GT181" i="4" s="1"/>
  <c r="GU203" i="4"/>
  <c r="GU202" i="4" s="1"/>
  <c r="GU201" i="4" s="1"/>
  <c r="GU200" i="4" s="1"/>
  <c r="GU199" i="4" s="1"/>
  <c r="GU198" i="4" s="1"/>
  <c r="GU197" i="4" s="1"/>
  <c r="GU196" i="4" s="1"/>
  <c r="GU195" i="4" s="1"/>
  <c r="GU194" i="4" s="1"/>
  <c r="GU193" i="4" s="1"/>
  <c r="GU192" i="4" s="1"/>
  <c r="GU191" i="4" s="1"/>
  <c r="GU190" i="4" s="1"/>
  <c r="GU189" i="4" s="1"/>
  <c r="GU188" i="4" s="1"/>
  <c r="GU187" i="4" s="1"/>
  <c r="GU186" i="4" s="1"/>
  <c r="GU185" i="4" s="1"/>
  <c r="GU184" i="4" s="1"/>
  <c r="GU183" i="4" s="1"/>
  <c r="GU182" i="4" s="1"/>
  <c r="GU181" i="4" s="1"/>
  <c r="GU180" i="4" s="1"/>
  <c r="GU179" i="4" s="1"/>
  <c r="GU178" i="4" s="1"/>
  <c r="GU177" i="4" s="1"/>
  <c r="GU176" i="4" s="1"/>
  <c r="GU175" i="4" s="1"/>
  <c r="GU174" i="4" s="1"/>
  <c r="GU173" i="4" s="1"/>
  <c r="GU172" i="4" s="1"/>
  <c r="GU171" i="4" s="1"/>
  <c r="GU170" i="4" s="1"/>
  <c r="GU169" i="4" s="1"/>
  <c r="GU168" i="4" s="1"/>
  <c r="GU167" i="4" s="1"/>
  <c r="GU166" i="4" s="1"/>
  <c r="GU165" i="4" s="1"/>
  <c r="GU164" i="4" s="1"/>
  <c r="GU163" i="4" s="1"/>
  <c r="GU162" i="4" s="1"/>
  <c r="GU161" i="4" s="1"/>
  <c r="GU160" i="4" s="1"/>
  <c r="GU159" i="4" s="1"/>
  <c r="GU158" i="4" s="1"/>
  <c r="GU157" i="4" s="1"/>
  <c r="GU156" i="4" s="1"/>
  <c r="GU155" i="4" s="1"/>
  <c r="GU154" i="4" s="1"/>
  <c r="GU153" i="4" s="1"/>
  <c r="GU152" i="4" s="1"/>
  <c r="GU151" i="4" s="1"/>
  <c r="GU150" i="4" s="1"/>
  <c r="GU149" i="4" s="1"/>
  <c r="GU148" i="4" s="1"/>
  <c r="GU147" i="4" s="1"/>
  <c r="GU146" i="4" s="1"/>
  <c r="GU145" i="4" s="1"/>
  <c r="GU144" i="4" s="1"/>
  <c r="GU143" i="4" s="1"/>
  <c r="GU142" i="4" s="1"/>
  <c r="GU141" i="4" s="1"/>
  <c r="GU140" i="4" s="1"/>
  <c r="GU139" i="4" s="1"/>
  <c r="GU138" i="4" s="1"/>
  <c r="GU137" i="4" s="1"/>
  <c r="GU136" i="4" s="1"/>
  <c r="GU135" i="4" s="1"/>
  <c r="GU134" i="4" s="1"/>
  <c r="GU133" i="4" s="1"/>
  <c r="GU132" i="4" s="1"/>
  <c r="GU131" i="4" s="1"/>
  <c r="GU130" i="4" s="1"/>
  <c r="GU129" i="4" s="1"/>
  <c r="GU128" i="4" s="1"/>
  <c r="GU127" i="4" s="1"/>
  <c r="GU126" i="4" s="1"/>
  <c r="GU125" i="4" s="1"/>
  <c r="GU124" i="4" s="1"/>
  <c r="GU123" i="4" s="1"/>
  <c r="GU122" i="4" s="1"/>
  <c r="GU121" i="4" s="1"/>
  <c r="GU120" i="4" s="1"/>
  <c r="GU119" i="4" s="1"/>
  <c r="GU118" i="4" s="1"/>
  <c r="GU117" i="4" s="1"/>
  <c r="GU116" i="4" s="1"/>
  <c r="GU115" i="4" s="1"/>
  <c r="GU114" i="4" s="1"/>
  <c r="GU113" i="4" s="1"/>
  <c r="GV203" i="4"/>
  <c r="GV202" i="4" s="1"/>
  <c r="GV201" i="4" s="1"/>
  <c r="GV200" i="4" s="1"/>
  <c r="GV199" i="4" s="1"/>
  <c r="GV198" i="4" s="1"/>
  <c r="GV197" i="4" s="1"/>
  <c r="GV196" i="4" s="1"/>
  <c r="GV195" i="4" s="1"/>
  <c r="GV194" i="4" s="1"/>
  <c r="GV193" i="4" s="1"/>
  <c r="GV192" i="4" s="1"/>
  <c r="GV191" i="4" s="1"/>
  <c r="GV190" i="4" s="1"/>
  <c r="GV189" i="4" s="1"/>
  <c r="GV188" i="4" s="1"/>
  <c r="GV187" i="4" s="1"/>
  <c r="GV186" i="4" s="1"/>
  <c r="GV185" i="4" s="1"/>
  <c r="GV184" i="4" s="1"/>
  <c r="GV183" i="4" s="1"/>
  <c r="GV182" i="4" s="1"/>
  <c r="GV181" i="4" s="1"/>
  <c r="GV180" i="4" s="1"/>
  <c r="GV179" i="4" s="1"/>
  <c r="GV178" i="4" s="1"/>
  <c r="GV177" i="4" s="1"/>
  <c r="GV176" i="4" s="1"/>
  <c r="GV175" i="4" s="1"/>
  <c r="GV174" i="4" s="1"/>
  <c r="GV173" i="4" s="1"/>
  <c r="GV172" i="4" s="1"/>
  <c r="GV171" i="4" s="1"/>
  <c r="GV170" i="4" s="1"/>
  <c r="GV169" i="4" s="1"/>
  <c r="GV168" i="4" s="1"/>
  <c r="GV167" i="4" s="1"/>
  <c r="GV166" i="4" s="1"/>
  <c r="GV165" i="4" s="1"/>
  <c r="GV164" i="4" s="1"/>
  <c r="GV163" i="4" s="1"/>
  <c r="GV162" i="4" s="1"/>
  <c r="GV161" i="4" s="1"/>
  <c r="GV160" i="4" s="1"/>
  <c r="GV159" i="4" s="1"/>
  <c r="GV158" i="4" s="1"/>
  <c r="GV157" i="4" s="1"/>
  <c r="GV156" i="4" s="1"/>
  <c r="GV155" i="4" s="1"/>
  <c r="GV154" i="4" s="1"/>
  <c r="GV153" i="4" s="1"/>
  <c r="GV152" i="4" s="1"/>
  <c r="GV151" i="4" s="1"/>
  <c r="GV150" i="4" s="1"/>
  <c r="GV149" i="4" s="1"/>
  <c r="GV148" i="4" s="1"/>
  <c r="GV147" i="4" s="1"/>
  <c r="GV146" i="4" s="1"/>
  <c r="GV145" i="4" s="1"/>
  <c r="GV144" i="4" s="1"/>
  <c r="GV143" i="4" s="1"/>
  <c r="GV142" i="4" s="1"/>
  <c r="GV141" i="4" s="1"/>
  <c r="GV140" i="4" s="1"/>
  <c r="GV139" i="4" s="1"/>
  <c r="GV138" i="4" s="1"/>
  <c r="GV137" i="4" s="1"/>
  <c r="GV136" i="4" s="1"/>
  <c r="GV135" i="4" s="1"/>
  <c r="GV134" i="4" s="1"/>
  <c r="GV133" i="4" s="1"/>
  <c r="GV132" i="4" s="1"/>
  <c r="GV131" i="4" s="1"/>
  <c r="GV130" i="4" s="1"/>
  <c r="GV129" i="4" s="1"/>
  <c r="GV128" i="4" s="1"/>
  <c r="GV127" i="4" s="1"/>
  <c r="GV126" i="4" s="1"/>
  <c r="GV125" i="4" s="1"/>
  <c r="GV124" i="4" s="1"/>
  <c r="GV123" i="4" s="1"/>
  <c r="GV122" i="4" s="1"/>
  <c r="GV121" i="4" s="1"/>
  <c r="GV120" i="4" s="1"/>
  <c r="GV119" i="4" s="1"/>
  <c r="GV118" i="4" s="1"/>
  <c r="GV117" i="4" s="1"/>
  <c r="GV116" i="4" s="1"/>
  <c r="GV115" i="4" s="1"/>
  <c r="GV114" i="4" s="1"/>
  <c r="GV113" i="4" s="1"/>
  <c r="GV112" i="4" s="1"/>
  <c r="GV111" i="4" s="1"/>
  <c r="GV110" i="4" s="1"/>
  <c r="GV109" i="4" s="1"/>
  <c r="GW203" i="4"/>
  <c r="GW202" i="4" s="1"/>
  <c r="GW201" i="4" s="1"/>
  <c r="GW200" i="4" s="1"/>
  <c r="GW199" i="4" s="1"/>
  <c r="GW198" i="4" s="1"/>
  <c r="GW197" i="4" s="1"/>
  <c r="GW196" i="4" s="1"/>
  <c r="GW195" i="4" s="1"/>
  <c r="GW194" i="4" s="1"/>
  <c r="GW193" i="4" s="1"/>
  <c r="GW192" i="4" s="1"/>
  <c r="GW191" i="4" s="1"/>
  <c r="GW190" i="4" s="1"/>
  <c r="GW189" i="4" s="1"/>
  <c r="GW188" i="4" s="1"/>
  <c r="GW187" i="4" s="1"/>
  <c r="GW186" i="4" s="1"/>
  <c r="GX203" i="4"/>
  <c r="GX202" i="4" s="1"/>
  <c r="GX201" i="4" s="1"/>
  <c r="GX200" i="4" s="1"/>
  <c r="GX199" i="4" s="1"/>
  <c r="GX198" i="4" s="1"/>
  <c r="GX197" i="4" s="1"/>
  <c r="GX196" i="4" s="1"/>
  <c r="GX195" i="4" s="1"/>
  <c r="GX194" i="4" s="1"/>
  <c r="GX193" i="4" s="1"/>
  <c r="GX192" i="4" s="1"/>
  <c r="GX191" i="4" s="1"/>
  <c r="GX190" i="4" s="1"/>
  <c r="GX189" i="4" s="1"/>
  <c r="GX188" i="4" s="1"/>
  <c r="GX187" i="4" s="1"/>
  <c r="GX186" i="4" s="1"/>
  <c r="GX185" i="4" s="1"/>
  <c r="GX184" i="4" s="1"/>
  <c r="GX183" i="4" s="1"/>
  <c r="GX182" i="4" s="1"/>
  <c r="GX181" i="4" s="1"/>
  <c r="GX180" i="4" s="1"/>
  <c r="GX179" i="4" s="1"/>
  <c r="GX178" i="4" s="1"/>
  <c r="GX177" i="4" s="1"/>
  <c r="GY203" i="4"/>
  <c r="GY202" i="4" s="1"/>
  <c r="GY201" i="4" s="1"/>
  <c r="GY200" i="4" s="1"/>
  <c r="GY199" i="4" s="1"/>
  <c r="GY198" i="4" s="1"/>
  <c r="GY197" i="4" s="1"/>
  <c r="GY196" i="4" s="1"/>
  <c r="GY195" i="4" s="1"/>
  <c r="GY194" i="4" s="1"/>
  <c r="GY193" i="4" s="1"/>
  <c r="GY192" i="4" s="1"/>
  <c r="GY191" i="4" s="1"/>
  <c r="GY190" i="4" s="1"/>
  <c r="GY189" i="4" s="1"/>
  <c r="GY188" i="4" s="1"/>
  <c r="GY187" i="4" s="1"/>
  <c r="GY186" i="4" s="1"/>
  <c r="GY185" i="4" s="1"/>
  <c r="GY184" i="4" s="1"/>
  <c r="GY183" i="4" s="1"/>
  <c r="GY182" i="4" s="1"/>
  <c r="GY181" i="4" s="1"/>
  <c r="GY180" i="4" s="1"/>
  <c r="GY179" i="4" s="1"/>
  <c r="GY178" i="4" s="1"/>
  <c r="GY177" i="4" s="1"/>
  <c r="GZ203" i="4"/>
  <c r="GZ202" i="4" s="1"/>
  <c r="GZ201" i="4" s="1"/>
  <c r="GZ200" i="4" s="1"/>
  <c r="GZ199" i="4" s="1"/>
  <c r="GZ198" i="4" s="1"/>
  <c r="GZ197" i="4" s="1"/>
  <c r="GZ196" i="4" s="1"/>
  <c r="GZ195" i="4" s="1"/>
  <c r="GZ194" i="4" s="1"/>
  <c r="GZ193" i="4" s="1"/>
  <c r="GZ192" i="4" s="1"/>
  <c r="GZ191" i="4" s="1"/>
  <c r="GZ190" i="4" s="1"/>
  <c r="GZ189" i="4" s="1"/>
  <c r="GZ188" i="4" s="1"/>
  <c r="GZ187" i="4" s="1"/>
  <c r="GZ186" i="4" s="1"/>
  <c r="GZ185" i="4" s="1"/>
  <c r="GZ184" i="4" s="1"/>
  <c r="GZ183" i="4" s="1"/>
  <c r="GZ182" i="4" s="1"/>
  <c r="GZ181" i="4" s="1"/>
  <c r="GZ180" i="4" s="1"/>
  <c r="GZ179" i="4" s="1"/>
  <c r="GZ178" i="4" s="1"/>
  <c r="GZ177" i="4" s="1"/>
  <c r="GZ176" i="4" s="1"/>
  <c r="GZ175" i="4" s="1"/>
  <c r="GZ174" i="4" s="1"/>
  <c r="GZ173" i="4" s="1"/>
  <c r="GZ172" i="4" s="1"/>
  <c r="GZ171" i="4" s="1"/>
  <c r="GZ170" i="4" s="1"/>
  <c r="GZ169" i="4" s="1"/>
  <c r="GZ168" i="4" s="1"/>
  <c r="GZ167" i="4" s="1"/>
  <c r="GZ166" i="4" s="1"/>
  <c r="GZ165" i="4" s="1"/>
  <c r="GZ164" i="4" s="1"/>
  <c r="GZ163" i="4" s="1"/>
  <c r="HA203" i="4"/>
  <c r="HA202" i="4" s="1"/>
  <c r="HA201" i="4" s="1"/>
  <c r="HA200" i="4" s="1"/>
  <c r="HA199" i="4" s="1"/>
  <c r="HA198" i="4" s="1"/>
  <c r="HA197" i="4" s="1"/>
  <c r="HA196" i="4" s="1"/>
  <c r="HA195" i="4" s="1"/>
  <c r="HA194" i="4" s="1"/>
  <c r="HA193" i="4" s="1"/>
  <c r="HA192" i="4" s="1"/>
  <c r="HA191" i="4" s="1"/>
  <c r="HA190" i="4" s="1"/>
  <c r="HA189" i="4" s="1"/>
  <c r="HA188" i="4" s="1"/>
  <c r="HA187" i="4" s="1"/>
  <c r="HA186" i="4" s="1"/>
  <c r="HA185" i="4" s="1"/>
  <c r="HA184" i="4" s="1"/>
  <c r="HA183" i="4" s="1"/>
  <c r="HA182" i="4" s="1"/>
  <c r="HA181" i="4" s="1"/>
  <c r="HA180" i="4" s="1"/>
  <c r="HA179" i="4" s="1"/>
  <c r="HA178" i="4" s="1"/>
  <c r="HA177" i="4" s="1"/>
  <c r="HA176" i="4" s="1"/>
  <c r="HA175" i="4" s="1"/>
  <c r="HA174" i="4" s="1"/>
  <c r="HA173" i="4" s="1"/>
  <c r="HA172" i="4" s="1"/>
  <c r="HA171" i="4" s="1"/>
  <c r="HA170" i="4" s="1"/>
  <c r="HA169" i="4" s="1"/>
  <c r="HA168" i="4" s="1"/>
  <c r="HA167" i="4" s="1"/>
  <c r="HA166" i="4" s="1"/>
  <c r="HA165" i="4" s="1"/>
  <c r="HA164" i="4" s="1"/>
  <c r="HA163" i="4" s="1"/>
  <c r="HA162" i="4" s="1"/>
  <c r="HA161" i="4" s="1"/>
  <c r="HA160" i="4" s="1"/>
  <c r="HA159" i="4" s="1"/>
  <c r="HA158" i="4" s="1"/>
  <c r="HA157" i="4" s="1"/>
  <c r="HA156" i="4" s="1"/>
  <c r="HA155" i="4" s="1"/>
  <c r="HA154" i="4" s="1"/>
  <c r="HA153" i="4" s="1"/>
  <c r="HA152" i="4" s="1"/>
  <c r="HA151" i="4" s="1"/>
  <c r="HA150" i="4" s="1"/>
  <c r="HA149" i="4" s="1"/>
  <c r="HA148" i="4" s="1"/>
  <c r="HA147" i="4" s="1"/>
  <c r="HA146" i="4" s="1"/>
  <c r="HA145" i="4" s="1"/>
  <c r="HA144" i="4" s="1"/>
  <c r="HA143" i="4" s="1"/>
  <c r="HA142" i="4" s="1"/>
  <c r="HA141" i="4" s="1"/>
  <c r="HA140" i="4" s="1"/>
  <c r="HA139" i="4" s="1"/>
  <c r="HA138" i="4" s="1"/>
  <c r="HA137" i="4" s="1"/>
  <c r="HA136" i="4" s="1"/>
  <c r="HA135" i="4" s="1"/>
  <c r="HA134" i="4" s="1"/>
  <c r="HA133" i="4" s="1"/>
  <c r="HA132" i="4" s="1"/>
  <c r="HA131" i="4" s="1"/>
  <c r="HA130" i="4" s="1"/>
  <c r="HA129" i="4" s="1"/>
  <c r="HA128" i="4" s="1"/>
  <c r="HA127" i="4" s="1"/>
  <c r="HA126" i="4" s="1"/>
  <c r="HA125" i="4" s="1"/>
  <c r="HA124" i="4" s="1"/>
  <c r="HA123" i="4" s="1"/>
  <c r="HA122" i="4" s="1"/>
  <c r="HA121" i="4" s="1"/>
  <c r="HA120" i="4" s="1"/>
  <c r="HA119" i="4" s="1"/>
  <c r="HA118" i="4" s="1"/>
  <c r="HA117" i="4" s="1"/>
  <c r="HA116" i="4" s="1"/>
  <c r="HA115" i="4" s="1"/>
  <c r="HA114" i="4" s="1"/>
  <c r="HA113" i="4" s="1"/>
  <c r="HA112" i="4" s="1"/>
  <c r="HA111" i="4" s="1"/>
  <c r="HA110" i="4" s="1"/>
  <c r="HA109" i="4" s="1"/>
  <c r="HB203" i="4"/>
  <c r="HB202" i="4" s="1"/>
  <c r="HB201" i="4" s="1"/>
  <c r="HB200" i="4" s="1"/>
  <c r="HB199" i="4" s="1"/>
  <c r="HB198" i="4" s="1"/>
  <c r="HB197" i="4" s="1"/>
  <c r="HB196" i="4" s="1"/>
  <c r="HB195" i="4" s="1"/>
  <c r="HB194" i="4" s="1"/>
  <c r="HB193" i="4" s="1"/>
  <c r="HB192" i="4" s="1"/>
  <c r="HB191" i="4" s="1"/>
  <c r="HB190" i="4" s="1"/>
  <c r="HB189" i="4" s="1"/>
  <c r="HB188" i="4" s="1"/>
  <c r="HB187" i="4" s="1"/>
  <c r="HB186" i="4" s="1"/>
  <c r="HB185" i="4" s="1"/>
  <c r="HB184" i="4" s="1"/>
  <c r="HB183" i="4" s="1"/>
  <c r="HB182" i="4" s="1"/>
  <c r="HB181" i="4" s="1"/>
  <c r="HB180" i="4" s="1"/>
  <c r="HB179" i="4" s="1"/>
  <c r="HB178" i="4" s="1"/>
  <c r="HB177" i="4" s="1"/>
  <c r="HB176" i="4" s="1"/>
  <c r="HB175" i="4" s="1"/>
  <c r="HB174" i="4" s="1"/>
  <c r="HB173" i="4" s="1"/>
  <c r="HB172" i="4" s="1"/>
  <c r="HB171" i="4" s="1"/>
  <c r="HB170" i="4" s="1"/>
  <c r="HB169" i="4" s="1"/>
  <c r="HB168" i="4" s="1"/>
  <c r="HB167" i="4" s="1"/>
  <c r="HB166" i="4" s="1"/>
  <c r="HB165" i="4" s="1"/>
  <c r="HB164" i="4" s="1"/>
  <c r="HB163" i="4" s="1"/>
  <c r="HB162" i="4" s="1"/>
  <c r="HB161" i="4" s="1"/>
  <c r="HB160" i="4" s="1"/>
  <c r="HB159" i="4" s="1"/>
  <c r="HB158" i="4" s="1"/>
  <c r="HB157" i="4" s="1"/>
  <c r="HB156" i="4" s="1"/>
  <c r="HB155" i="4" s="1"/>
  <c r="HB154" i="4" s="1"/>
  <c r="HB153" i="4" s="1"/>
  <c r="HB152" i="4" s="1"/>
  <c r="HB151" i="4" s="1"/>
  <c r="HB150" i="4" s="1"/>
  <c r="HB149" i="4" s="1"/>
  <c r="HB148" i="4" s="1"/>
  <c r="HB147" i="4" s="1"/>
  <c r="HB146" i="4" s="1"/>
  <c r="HB145" i="4" s="1"/>
  <c r="HB144" i="4" s="1"/>
  <c r="HB143" i="4" s="1"/>
  <c r="HB142" i="4" s="1"/>
  <c r="HB141" i="4" s="1"/>
  <c r="HB140" i="4" s="1"/>
  <c r="HB139" i="4" s="1"/>
  <c r="HB138" i="4" s="1"/>
  <c r="HB137" i="4" s="1"/>
  <c r="HB136" i="4" s="1"/>
  <c r="HB135" i="4" s="1"/>
  <c r="HB134" i="4" s="1"/>
  <c r="HB133" i="4" s="1"/>
  <c r="HB132" i="4" s="1"/>
  <c r="HB131" i="4" s="1"/>
  <c r="HB130" i="4" s="1"/>
  <c r="HB129" i="4" s="1"/>
  <c r="HB128" i="4" s="1"/>
  <c r="HB127" i="4" s="1"/>
  <c r="HB126" i="4" s="1"/>
  <c r="HB125" i="4" s="1"/>
  <c r="HB124" i="4" s="1"/>
  <c r="HB123" i="4" s="1"/>
  <c r="HB122" i="4" s="1"/>
  <c r="HB121" i="4" s="1"/>
  <c r="HB120" i="4" s="1"/>
  <c r="HB119" i="4" s="1"/>
  <c r="HB118" i="4" s="1"/>
  <c r="HB117" i="4" s="1"/>
  <c r="HB116" i="4" s="1"/>
  <c r="HB115" i="4" s="1"/>
  <c r="HB114" i="4" s="1"/>
  <c r="HB113" i="4" s="1"/>
  <c r="HB112" i="4" s="1"/>
  <c r="HB111" i="4" s="1"/>
  <c r="HB110" i="4" s="1"/>
  <c r="HB109" i="4" s="1"/>
  <c r="HC203" i="4"/>
  <c r="HC202" i="4" s="1"/>
  <c r="HC201" i="4" s="1"/>
  <c r="HC200" i="4" s="1"/>
  <c r="HC199" i="4" s="1"/>
  <c r="HC198" i="4" s="1"/>
  <c r="HC197" i="4" s="1"/>
  <c r="HC196" i="4" s="1"/>
  <c r="HC195" i="4" s="1"/>
  <c r="HC194" i="4" s="1"/>
  <c r="HC193" i="4" s="1"/>
  <c r="HC192" i="4" s="1"/>
  <c r="HC191" i="4" s="1"/>
  <c r="HF203" i="4"/>
  <c r="HF202" i="4" s="1"/>
  <c r="HF201" i="4" s="1"/>
  <c r="HF200" i="4" s="1"/>
  <c r="HF199" i="4" s="1"/>
  <c r="HF198" i="4" s="1"/>
  <c r="HF197" i="4" s="1"/>
  <c r="HF196" i="4" s="1"/>
  <c r="HF195" i="4" s="1"/>
  <c r="HF194" i="4" s="1"/>
  <c r="HF193" i="4" s="1"/>
  <c r="HF192" i="4" s="1"/>
  <c r="HF191" i="4" s="1"/>
  <c r="HF190" i="4" s="1"/>
  <c r="HF189" i="4" s="1"/>
  <c r="HF188" i="4" s="1"/>
  <c r="HF187" i="4" s="1"/>
  <c r="HF186" i="4" s="1"/>
  <c r="HF185" i="4" s="1"/>
  <c r="HF184" i="4" s="1"/>
  <c r="HF183" i="4" s="1"/>
  <c r="HF182" i="4" s="1"/>
  <c r="HF181" i="4" s="1"/>
  <c r="HF180" i="4" s="1"/>
  <c r="HF179" i="4" s="1"/>
  <c r="HF178" i="4" s="1"/>
  <c r="HF177" i="4" s="1"/>
  <c r="HF176" i="4" s="1"/>
  <c r="HF175" i="4" s="1"/>
  <c r="HF174" i="4" s="1"/>
  <c r="HF173" i="4" s="1"/>
  <c r="HF172" i="4" s="1"/>
  <c r="HF171" i="4" s="1"/>
  <c r="HF170" i="4" s="1"/>
  <c r="HF169" i="4" s="1"/>
  <c r="HF168" i="4" s="1"/>
  <c r="HF167" i="4" s="1"/>
  <c r="HF166" i="4" s="1"/>
  <c r="HF165" i="4" s="1"/>
  <c r="HF164" i="4" s="1"/>
  <c r="HF163" i="4" s="1"/>
  <c r="HF162" i="4" s="1"/>
  <c r="HF161" i="4" s="1"/>
  <c r="HF160" i="4" s="1"/>
  <c r="HF159" i="4" s="1"/>
  <c r="HF158" i="4" s="1"/>
  <c r="HF157" i="4" s="1"/>
  <c r="HF156" i="4" s="1"/>
  <c r="HF155" i="4" s="1"/>
  <c r="HF154" i="4" s="1"/>
  <c r="HF153" i="4" s="1"/>
  <c r="HF152" i="4" s="1"/>
  <c r="HF151" i="4" s="1"/>
  <c r="HF150" i="4" s="1"/>
  <c r="HF149" i="4" s="1"/>
  <c r="HF148" i="4" s="1"/>
  <c r="HF147" i="4" s="1"/>
  <c r="HF146" i="4" s="1"/>
  <c r="HF145" i="4" s="1"/>
  <c r="HF144" i="4" s="1"/>
  <c r="HF143" i="4" s="1"/>
  <c r="HF142" i="4" s="1"/>
  <c r="HF141" i="4" s="1"/>
  <c r="HF140" i="4" s="1"/>
  <c r="HF139" i="4" s="1"/>
  <c r="HF138" i="4" s="1"/>
  <c r="HF137" i="4" s="1"/>
  <c r="HF136" i="4" s="1"/>
  <c r="HF135" i="4" s="1"/>
  <c r="HF134" i="4" s="1"/>
  <c r="HF133" i="4" s="1"/>
  <c r="HF132" i="4" s="1"/>
  <c r="HF131" i="4" s="1"/>
  <c r="HF130" i="4" s="1"/>
  <c r="HF129" i="4" s="1"/>
  <c r="HF128" i="4" s="1"/>
  <c r="HF127" i="4" s="1"/>
  <c r="HF126" i="4" s="1"/>
  <c r="HF125" i="4" s="1"/>
  <c r="HF124" i="4" s="1"/>
  <c r="HF123" i="4" s="1"/>
  <c r="HF122" i="4" s="1"/>
  <c r="HF121" i="4" s="1"/>
  <c r="HF120" i="4" s="1"/>
  <c r="HF119" i="4" s="1"/>
  <c r="HF118" i="4" s="1"/>
  <c r="HF117" i="4" s="1"/>
  <c r="HF116" i="4" s="1"/>
  <c r="HF115" i="4" s="1"/>
  <c r="HF114" i="4" s="1"/>
  <c r="HF113" i="4" s="1"/>
  <c r="HF112" i="4" s="1"/>
  <c r="HF111" i="4" s="1"/>
  <c r="HF110" i="4" s="1"/>
  <c r="HF109" i="4" s="1"/>
  <c r="HG203" i="4"/>
  <c r="HG202" i="4" s="1"/>
  <c r="HG201" i="4" s="1"/>
  <c r="HG200" i="4" s="1"/>
  <c r="HG199" i="4" s="1"/>
  <c r="HG198" i="4" s="1"/>
  <c r="HG197" i="4" s="1"/>
  <c r="HG196" i="4" s="1"/>
  <c r="HG195" i="4" s="1"/>
  <c r="HG194" i="4" s="1"/>
  <c r="HG193" i="4" s="1"/>
  <c r="HG192" i="4" s="1"/>
  <c r="HG191" i="4" s="1"/>
  <c r="HG190" i="4" s="1"/>
  <c r="HG189" i="4" s="1"/>
  <c r="HG188" i="4" s="1"/>
  <c r="HG187" i="4" s="1"/>
  <c r="HG186" i="4" s="1"/>
  <c r="HG185" i="4" s="1"/>
  <c r="HG184" i="4" s="1"/>
  <c r="HG183" i="4" s="1"/>
  <c r="HG182" i="4" s="1"/>
  <c r="HG181" i="4" s="1"/>
  <c r="HG180" i="4" s="1"/>
  <c r="HG179" i="4" s="1"/>
  <c r="HG178" i="4" s="1"/>
  <c r="HG177" i="4" s="1"/>
  <c r="HG176" i="4" s="1"/>
  <c r="HG175" i="4" s="1"/>
  <c r="HG174" i="4" s="1"/>
  <c r="HG173" i="4" s="1"/>
  <c r="HG172" i="4" s="1"/>
  <c r="HG171" i="4" s="1"/>
  <c r="HG170" i="4" s="1"/>
  <c r="HG169" i="4" s="1"/>
  <c r="HG168" i="4" s="1"/>
  <c r="HG167" i="4" s="1"/>
  <c r="HG166" i="4" s="1"/>
  <c r="HG165" i="4" s="1"/>
  <c r="HG164" i="4" s="1"/>
  <c r="HG163" i="4" s="1"/>
  <c r="HG162" i="4" s="1"/>
  <c r="HG161" i="4" s="1"/>
  <c r="HG160" i="4" s="1"/>
  <c r="HG159" i="4" s="1"/>
  <c r="HG158" i="4" s="1"/>
  <c r="HG157" i="4" s="1"/>
  <c r="HG156" i="4" s="1"/>
  <c r="HG155" i="4" s="1"/>
  <c r="HG154" i="4" s="1"/>
  <c r="HG153" i="4" s="1"/>
  <c r="HG152" i="4" s="1"/>
  <c r="HG151" i="4" s="1"/>
  <c r="HG150" i="4" s="1"/>
  <c r="HG149" i="4" s="1"/>
  <c r="HG148" i="4" s="1"/>
  <c r="HG147" i="4" s="1"/>
  <c r="HG146" i="4" s="1"/>
  <c r="HG145" i="4" s="1"/>
  <c r="HG144" i="4" s="1"/>
  <c r="HG143" i="4" s="1"/>
  <c r="HG142" i="4" s="1"/>
  <c r="HG141" i="4" s="1"/>
  <c r="HG140" i="4" s="1"/>
  <c r="HG139" i="4" s="1"/>
  <c r="HG138" i="4" s="1"/>
  <c r="HG137" i="4" s="1"/>
  <c r="HG136" i="4" s="1"/>
  <c r="HG135" i="4" s="1"/>
  <c r="HG134" i="4" s="1"/>
  <c r="HG133" i="4" s="1"/>
  <c r="HG132" i="4" s="1"/>
  <c r="HH203" i="4"/>
  <c r="HH202" i="4" s="1"/>
  <c r="HH201" i="4" s="1"/>
  <c r="HH200" i="4" s="1"/>
  <c r="HH199" i="4" s="1"/>
  <c r="HH198" i="4" s="1"/>
  <c r="HH197" i="4" s="1"/>
  <c r="HH196" i="4" s="1"/>
  <c r="HH195" i="4" s="1"/>
  <c r="HH194" i="4" s="1"/>
  <c r="HH193" i="4" s="1"/>
  <c r="HH192" i="4" s="1"/>
  <c r="HH191" i="4" s="1"/>
  <c r="HH190" i="4" s="1"/>
  <c r="HH189" i="4" s="1"/>
  <c r="HH188" i="4" s="1"/>
  <c r="HH187" i="4" s="1"/>
  <c r="HH186" i="4" s="1"/>
  <c r="HH185" i="4" s="1"/>
  <c r="HH184" i="4" s="1"/>
  <c r="HH183" i="4" s="1"/>
  <c r="HH182" i="4" s="1"/>
  <c r="HH181" i="4" s="1"/>
  <c r="HH180" i="4" s="1"/>
  <c r="HH179" i="4" s="1"/>
  <c r="HH178" i="4" s="1"/>
  <c r="HH177" i="4" s="1"/>
  <c r="HH176" i="4" s="1"/>
  <c r="HH175" i="4" s="1"/>
  <c r="HH174" i="4" s="1"/>
  <c r="HH173" i="4" s="1"/>
  <c r="HH172" i="4" s="1"/>
  <c r="HH171" i="4" s="1"/>
  <c r="HH170" i="4" s="1"/>
  <c r="HH169" i="4" s="1"/>
  <c r="HH168" i="4" s="1"/>
  <c r="HH167" i="4" s="1"/>
  <c r="HH166" i="4" s="1"/>
  <c r="HH165" i="4" s="1"/>
  <c r="HH164" i="4" s="1"/>
  <c r="HH163" i="4" s="1"/>
  <c r="HH162" i="4" s="1"/>
  <c r="HH161" i="4" s="1"/>
  <c r="HH160" i="4" s="1"/>
  <c r="HH159" i="4" s="1"/>
  <c r="HH158" i="4" s="1"/>
  <c r="HH157" i="4" s="1"/>
  <c r="HH156" i="4" s="1"/>
  <c r="HH155" i="4" s="1"/>
  <c r="HH154" i="4" s="1"/>
  <c r="HH153" i="4" s="1"/>
  <c r="HH152" i="4" s="1"/>
  <c r="HH151" i="4" s="1"/>
  <c r="HH150" i="4" s="1"/>
  <c r="HH149" i="4" s="1"/>
  <c r="HH148" i="4" s="1"/>
  <c r="HH147" i="4" s="1"/>
  <c r="HH146" i="4" s="1"/>
  <c r="HH145" i="4" s="1"/>
  <c r="HH144" i="4" s="1"/>
  <c r="HH143" i="4" s="1"/>
  <c r="HH142" i="4" s="1"/>
  <c r="HH141" i="4" s="1"/>
  <c r="HH140" i="4" s="1"/>
  <c r="HH139" i="4" s="1"/>
  <c r="HH138" i="4" s="1"/>
  <c r="HH137" i="4" s="1"/>
  <c r="HH136" i="4" s="1"/>
  <c r="HH135" i="4" s="1"/>
  <c r="HH134" i="4" s="1"/>
  <c r="HH133" i="4" s="1"/>
  <c r="HH132" i="4" s="1"/>
  <c r="HH131" i="4" s="1"/>
  <c r="HH130" i="4" s="1"/>
  <c r="HH129" i="4" s="1"/>
  <c r="HH128" i="4" s="1"/>
  <c r="HH127" i="4" s="1"/>
  <c r="HH126" i="4" s="1"/>
  <c r="HH125" i="4" s="1"/>
  <c r="HH124" i="4" s="1"/>
  <c r="HH123" i="4" s="1"/>
  <c r="HH122" i="4" s="1"/>
  <c r="HH121" i="4" s="1"/>
  <c r="HH120" i="4" s="1"/>
  <c r="HH119" i="4" s="1"/>
  <c r="HH118" i="4" s="1"/>
  <c r="HH117" i="4" s="1"/>
  <c r="HH116" i="4" s="1"/>
  <c r="HH115" i="4" s="1"/>
  <c r="HH114" i="4" s="1"/>
  <c r="HH113" i="4" s="1"/>
  <c r="HH112" i="4" s="1"/>
  <c r="HH111" i="4" s="1"/>
  <c r="HH110" i="4" s="1"/>
  <c r="HH109" i="4" s="1"/>
  <c r="HI203" i="4"/>
  <c r="HI202" i="4" s="1"/>
  <c r="HI201" i="4" s="1"/>
  <c r="HI200" i="4" s="1"/>
  <c r="HI199" i="4" s="1"/>
  <c r="HI198" i="4" s="1"/>
  <c r="HI197" i="4" s="1"/>
  <c r="HI196" i="4" s="1"/>
  <c r="HI195" i="4" s="1"/>
  <c r="HI194" i="4" s="1"/>
  <c r="HI193" i="4" s="1"/>
  <c r="HI192" i="4" s="1"/>
  <c r="HI191" i="4" s="1"/>
  <c r="HJ203" i="4"/>
  <c r="HJ202" i="4" s="1"/>
  <c r="HJ201" i="4" s="1"/>
  <c r="HK203" i="4"/>
  <c r="HK202" i="4" s="1"/>
  <c r="HK201" i="4" s="1"/>
  <c r="HL203" i="4"/>
  <c r="HL202" i="4" s="1"/>
  <c r="HL201" i="4" s="1"/>
  <c r="HL200" i="4" s="1"/>
  <c r="HL199" i="4" s="1"/>
  <c r="HL198" i="4" s="1"/>
  <c r="HL197" i="4" s="1"/>
  <c r="HL196" i="4" s="1"/>
  <c r="HL195" i="4" s="1"/>
  <c r="HL194" i="4" s="1"/>
  <c r="HL193" i="4" s="1"/>
  <c r="HL192" i="4" s="1"/>
  <c r="HL191" i="4" s="1"/>
  <c r="HL190" i="4" s="1"/>
  <c r="HL189" i="4" s="1"/>
  <c r="HL188" i="4" s="1"/>
  <c r="HL187" i="4" s="1"/>
  <c r="HL186" i="4" s="1"/>
  <c r="HL185" i="4" s="1"/>
  <c r="HL184" i="4" s="1"/>
  <c r="HL183" i="4" s="1"/>
  <c r="HL182" i="4" s="1"/>
  <c r="HL181" i="4" s="1"/>
  <c r="HL180" i="4" s="1"/>
  <c r="HL179" i="4" s="1"/>
  <c r="HL178" i="4" s="1"/>
  <c r="HL177" i="4" s="1"/>
  <c r="HL176" i="4" s="1"/>
  <c r="HL175" i="4" s="1"/>
  <c r="HL174" i="4" s="1"/>
  <c r="HL173" i="4" s="1"/>
  <c r="HL172" i="4" s="1"/>
  <c r="HL171" i="4" s="1"/>
  <c r="HL170" i="4" s="1"/>
  <c r="HL169" i="4" s="1"/>
  <c r="HL168" i="4" s="1"/>
  <c r="HL167" i="4" s="1"/>
  <c r="HL166" i="4" s="1"/>
  <c r="HL165" i="4" s="1"/>
  <c r="HL164" i="4" s="1"/>
  <c r="HL163" i="4" s="1"/>
  <c r="HM203" i="4"/>
  <c r="HM202" i="4" s="1"/>
  <c r="HM201" i="4" s="1"/>
  <c r="HM200" i="4" s="1"/>
  <c r="HM199" i="4" s="1"/>
  <c r="HM198" i="4" s="1"/>
  <c r="HM197" i="4" s="1"/>
  <c r="HM196" i="4" s="1"/>
  <c r="HM195" i="4" s="1"/>
  <c r="HM194" i="4" s="1"/>
  <c r="HM193" i="4" s="1"/>
  <c r="HM192" i="4" s="1"/>
  <c r="HM191" i="4" s="1"/>
  <c r="HM190" i="4" s="1"/>
  <c r="HM189" i="4" s="1"/>
  <c r="HM188" i="4" s="1"/>
  <c r="HM187" i="4" s="1"/>
  <c r="HM186" i="4" s="1"/>
  <c r="HM185" i="4" s="1"/>
  <c r="HM184" i="4" s="1"/>
  <c r="HM183" i="4" s="1"/>
  <c r="HM182" i="4" s="1"/>
  <c r="HM181" i="4" s="1"/>
  <c r="HM180" i="4" s="1"/>
  <c r="HM179" i="4" s="1"/>
  <c r="HM178" i="4" s="1"/>
  <c r="HM177" i="4" s="1"/>
  <c r="HM176" i="4" s="1"/>
  <c r="HM175" i="4" s="1"/>
  <c r="HM174" i="4" s="1"/>
  <c r="HM173" i="4" s="1"/>
  <c r="HM172" i="4" s="1"/>
  <c r="HM171" i="4" s="1"/>
  <c r="HM170" i="4" s="1"/>
  <c r="HM169" i="4" s="1"/>
  <c r="HM168" i="4" s="1"/>
  <c r="HM167" i="4" s="1"/>
  <c r="HM166" i="4" s="1"/>
  <c r="HM165" i="4" s="1"/>
  <c r="HM164" i="4" s="1"/>
  <c r="HM163" i="4" s="1"/>
  <c r="HM162" i="4" s="1"/>
  <c r="HM161" i="4" s="1"/>
  <c r="HM160" i="4" s="1"/>
  <c r="HM159" i="4" s="1"/>
  <c r="HM158" i="4" s="1"/>
  <c r="HM157" i="4" s="1"/>
  <c r="HM156" i="4" s="1"/>
  <c r="HM155" i="4" s="1"/>
  <c r="HM154" i="4" s="1"/>
  <c r="HM153" i="4" s="1"/>
  <c r="HM152" i="4" s="1"/>
  <c r="HM151" i="4" s="1"/>
  <c r="HM150" i="4" s="1"/>
  <c r="HM149" i="4" s="1"/>
  <c r="HM148" i="4" s="1"/>
  <c r="HM147" i="4" s="1"/>
  <c r="HM146" i="4" s="1"/>
  <c r="HM145" i="4" s="1"/>
  <c r="HM144" i="4" s="1"/>
  <c r="HM143" i="4" s="1"/>
  <c r="HM142" i="4" s="1"/>
  <c r="HM141" i="4" s="1"/>
  <c r="HM140" i="4" s="1"/>
  <c r="HM139" i="4" s="1"/>
  <c r="HM138" i="4" s="1"/>
  <c r="HM137" i="4" s="1"/>
  <c r="HN203" i="4"/>
  <c r="HN202" i="4" s="1"/>
  <c r="HN201" i="4" s="1"/>
  <c r="HN200" i="4" s="1"/>
  <c r="HN199" i="4" s="1"/>
  <c r="HN198" i="4" s="1"/>
  <c r="HN197" i="4" s="1"/>
  <c r="HN196" i="4" s="1"/>
  <c r="HN195" i="4" s="1"/>
  <c r="HN194" i="4" s="1"/>
  <c r="HN193" i="4" s="1"/>
  <c r="HN192" i="4" s="1"/>
  <c r="HN191" i="4" s="1"/>
  <c r="HN190" i="4" s="1"/>
  <c r="HN189" i="4" s="1"/>
  <c r="HN188" i="4" s="1"/>
  <c r="HN187" i="4" s="1"/>
  <c r="HN186" i="4" s="1"/>
  <c r="HN185" i="4" s="1"/>
  <c r="HN184" i="4" s="1"/>
  <c r="HN183" i="4" s="1"/>
  <c r="HN182" i="4" s="1"/>
  <c r="HN181" i="4" s="1"/>
  <c r="HN180" i="4" s="1"/>
  <c r="HN179" i="4" s="1"/>
  <c r="HN178" i="4" s="1"/>
  <c r="HN177" i="4" s="1"/>
  <c r="HN176" i="4" s="1"/>
  <c r="HN175" i="4" s="1"/>
  <c r="HN174" i="4" s="1"/>
  <c r="HN173" i="4" s="1"/>
  <c r="HN172" i="4" s="1"/>
  <c r="HN171" i="4" s="1"/>
  <c r="HN170" i="4" s="1"/>
  <c r="HN169" i="4" s="1"/>
  <c r="HN168" i="4" s="1"/>
  <c r="HN167" i="4" s="1"/>
  <c r="HN166" i="4" s="1"/>
  <c r="HN165" i="4" s="1"/>
  <c r="HN164" i="4" s="1"/>
  <c r="HN163" i="4" s="1"/>
  <c r="HN162" i="4" s="1"/>
  <c r="HN161" i="4" s="1"/>
  <c r="HN160" i="4" s="1"/>
  <c r="HN159" i="4" s="1"/>
  <c r="HN158" i="4" s="1"/>
  <c r="HN157" i="4" s="1"/>
  <c r="HN156" i="4" s="1"/>
  <c r="HN155" i="4" s="1"/>
  <c r="HN154" i="4" s="1"/>
  <c r="HN153" i="4" s="1"/>
  <c r="HN152" i="4" s="1"/>
  <c r="HN151" i="4" s="1"/>
  <c r="HN150" i="4" s="1"/>
  <c r="HN149" i="4" s="1"/>
  <c r="HN148" i="4" s="1"/>
  <c r="HN147" i="4" s="1"/>
  <c r="HN146" i="4" s="1"/>
  <c r="HN145" i="4" s="1"/>
  <c r="HN144" i="4" s="1"/>
  <c r="HN143" i="4" s="1"/>
  <c r="HN142" i="4" s="1"/>
  <c r="HN141" i="4" s="1"/>
  <c r="HN140" i="4" s="1"/>
  <c r="HN139" i="4" s="1"/>
  <c r="HN138" i="4" s="1"/>
  <c r="HN137" i="4" s="1"/>
  <c r="HO203" i="4"/>
  <c r="HO202" i="4" s="1"/>
  <c r="HO201" i="4" s="1"/>
  <c r="HO200" i="4" s="1"/>
  <c r="HO199" i="4" s="1"/>
  <c r="HO198" i="4" s="1"/>
  <c r="HO197" i="4" s="1"/>
  <c r="HO196" i="4" s="1"/>
  <c r="HO195" i="4" s="1"/>
  <c r="HO194" i="4" s="1"/>
  <c r="HO193" i="4" s="1"/>
  <c r="HO192" i="4" s="1"/>
  <c r="HO191" i="4" s="1"/>
  <c r="HP203" i="4"/>
  <c r="HP202" i="4" s="1"/>
  <c r="HP201" i="4" s="1"/>
  <c r="HP200" i="4" s="1"/>
  <c r="HP199" i="4" s="1"/>
  <c r="HP198" i="4" s="1"/>
  <c r="HP197" i="4" s="1"/>
  <c r="HP196" i="4" s="1"/>
  <c r="HP195" i="4" s="1"/>
  <c r="HP194" i="4" s="1"/>
  <c r="HP193" i="4" s="1"/>
  <c r="HP192" i="4" s="1"/>
  <c r="HP191" i="4" s="1"/>
  <c r="HP190" i="4" s="1"/>
  <c r="HP189" i="4" s="1"/>
  <c r="HP188" i="4" s="1"/>
  <c r="HP187" i="4" s="1"/>
  <c r="HP186" i="4" s="1"/>
  <c r="HP185" i="4" s="1"/>
  <c r="HP184" i="4" s="1"/>
  <c r="HP183" i="4" s="1"/>
  <c r="HP182" i="4" s="1"/>
  <c r="HP181" i="4" s="1"/>
  <c r="HP180" i="4" s="1"/>
  <c r="HP179" i="4" s="1"/>
  <c r="HP178" i="4" s="1"/>
  <c r="HP177" i="4" s="1"/>
  <c r="HP176" i="4" s="1"/>
  <c r="HP175" i="4" s="1"/>
  <c r="HP174" i="4" s="1"/>
  <c r="HP173" i="4" s="1"/>
  <c r="HP172" i="4" s="1"/>
  <c r="HP171" i="4" s="1"/>
  <c r="HP170" i="4" s="1"/>
  <c r="HP169" i="4" s="1"/>
  <c r="HP168" i="4" s="1"/>
  <c r="HP167" i="4" s="1"/>
  <c r="HP166" i="4" s="1"/>
  <c r="HP165" i="4" s="1"/>
  <c r="HP164" i="4" s="1"/>
  <c r="HP163" i="4" s="1"/>
  <c r="HP162" i="4" s="1"/>
  <c r="HP161" i="4" s="1"/>
  <c r="HQ203" i="4"/>
  <c r="HQ202" i="4" s="1"/>
  <c r="HQ201" i="4" s="1"/>
  <c r="HQ200" i="4" s="1"/>
  <c r="HQ199" i="4" s="1"/>
  <c r="HQ198" i="4" s="1"/>
  <c r="HQ197" i="4" s="1"/>
  <c r="HQ196" i="4" s="1"/>
  <c r="HQ195" i="4" s="1"/>
  <c r="HQ194" i="4" s="1"/>
  <c r="HQ193" i="4" s="1"/>
  <c r="HQ192" i="4" s="1"/>
  <c r="HQ191" i="4" s="1"/>
  <c r="HQ190" i="4" s="1"/>
  <c r="HQ189" i="4" s="1"/>
  <c r="HQ188" i="4" s="1"/>
  <c r="HQ187" i="4" s="1"/>
  <c r="HQ186" i="4" s="1"/>
  <c r="HQ185" i="4" s="1"/>
  <c r="HQ184" i="4" s="1"/>
  <c r="HQ183" i="4" s="1"/>
  <c r="HQ182" i="4" s="1"/>
  <c r="HQ181" i="4" s="1"/>
  <c r="HQ180" i="4" s="1"/>
  <c r="HQ179" i="4" s="1"/>
  <c r="HQ178" i="4" s="1"/>
  <c r="HQ177" i="4" s="1"/>
  <c r="HQ176" i="4" s="1"/>
  <c r="HQ175" i="4" s="1"/>
  <c r="HQ174" i="4" s="1"/>
  <c r="HQ173" i="4" s="1"/>
  <c r="HQ172" i="4" s="1"/>
  <c r="HQ171" i="4" s="1"/>
  <c r="HQ170" i="4" s="1"/>
  <c r="HQ169" i="4" s="1"/>
  <c r="HQ168" i="4" s="1"/>
  <c r="HQ167" i="4" s="1"/>
  <c r="HQ166" i="4" s="1"/>
  <c r="HQ165" i="4" s="1"/>
  <c r="HQ164" i="4" s="1"/>
  <c r="HQ163" i="4" s="1"/>
  <c r="HQ162" i="4" s="1"/>
  <c r="HQ161" i="4" s="1"/>
  <c r="G203" i="4"/>
  <c r="G202" i="4" s="1"/>
  <c r="G201" i="4" s="1"/>
  <c r="G200" i="4" s="1"/>
  <c r="G199" i="4" s="1"/>
  <c r="G198" i="4" s="1"/>
  <c r="G197" i="4" s="1"/>
  <c r="G196" i="4" s="1"/>
  <c r="G195" i="4" s="1"/>
  <c r="G194" i="4" s="1"/>
  <c r="G193" i="4" s="1"/>
  <c r="G192" i="4" s="1"/>
  <c r="G191" i="4" s="1"/>
  <c r="G190" i="4" s="1"/>
  <c r="G189" i="4" s="1"/>
  <c r="G188" i="4" s="1"/>
  <c r="G187" i="4" s="1"/>
  <c r="G186" i="4" s="1"/>
  <c r="G185" i="4" s="1"/>
  <c r="G184" i="4" s="1"/>
  <c r="G183" i="4" s="1"/>
  <c r="G182" i="4" s="1"/>
  <c r="G181" i="4" s="1"/>
  <c r="G180" i="4" s="1"/>
  <c r="G179" i="4" s="1"/>
  <c r="G178" i="4" s="1"/>
  <c r="G177" i="4" s="1"/>
  <c r="G176" i="4" s="1"/>
  <c r="G175" i="4" s="1"/>
  <c r="G174" i="4" s="1"/>
  <c r="G173" i="4" s="1"/>
  <c r="G172" i="4" s="1"/>
  <c r="E203" i="4"/>
  <c r="E202" i="4" s="1"/>
  <c r="E201" i="4" s="1"/>
  <c r="E200" i="4" s="1"/>
  <c r="E199" i="4" s="1"/>
  <c r="E198" i="4" s="1"/>
  <c r="E197" i="4" s="1"/>
  <c r="E196" i="4" s="1"/>
  <c r="E195" i="4" s="1"/>
  <c r="E194" i="4" s="1"/>
  <c r="E193" i="4" s="1"/>
  <c r="E192" i="4" s="1"/>
  <c r="E191" i="4" s="1"/>
  <c r="E190" i="4" s="1"/>
  <c r="E189" i="4" s="1"/>
  <c r="E188" i="4" s="1"/>
  <c r="E187" i="4" s="1"/>
  <c r="E186" i="4" s="1"/>
  <c r="E185" i="4" s="1"/>
  <c r="E184" i="4" s="1"/>
  <c r="E183" i="4" s="1"/>
  <c r="E182" i="4" s="1"/>
  <c r="E181" i="4" s="1"/>
  <c r="E180" i="4" s="1"/>
  <c r="E179" i="4" s="1"/>
  <c r="E178" i="4" s="1"/>
  <c r="E177" i="4" s="1"/>
  <c r="E176" i="4" s="1"/>
  <c r="E175" i="4" s="1"/>
  <c r="E174" i="4" s="1"/>
  <c r="E173" i="4" s="1"/>
  <c r="E172" i="4" s="1"/>
  <c r="E171" i="4" s="1"/>
  <c r="E170" i="4" s="1"/>
  <c r="E169" i="4" s="1"/>
  <c r="E168" i="4" s="1"/>
  <c r="E167" i="4" s="1"/>
  <c r="E166" i="4" s="1"/>
  <c r="E165" i="4" s="1"/>
  <c r="E164" i="4" s="1"/>
  <c r="E163" i="4" s="1"/>
  <c r="E162" i="4" s="1"/>
  <c r="E161" i="4" s="1"/>
  <c r="E160" i="4" s="1"/>
  <c r="E159" i="4" s="1"/>
  <c r="E158" i="4" s="1"/>
  <c r="E157" i="4" s="1"/>
  <c r="E156" i="4" s="1"/>
  <c r="E155" i="4" s="1"/>
  <c r="E154" i="4" s="1"/>
  <c r="E153" i="4" s="1"/>
  <c r="E152" i="4" s="1"/>
  <c r="E151" i="4" s="1"/>
  <c r="E150" i="4" s="1"/>
  <c r="E149" i="4" s="1"/>
  <c r="E148" i="4" s="1"/>
  <c r="E147" i="4" s="1"/>
  <c r="E146" i="4" s="1"/>
  <c r="E145" i="4" s="1"/>
  <c r="E144" i="4" s="1"/>
  <c r="E143" i="4" s="1"/>
  <c r="E142" i="4" s="1"/>
  <c r="E141" i="4" s="1"/>
  <c r="E140" i="4" s="1"/>
  <c r="E139" i="4" s="1"/>
  <c r="E138" i="4" s="1"/>
  <c r="E137" i="4" s="1"/>
  <c r="E136" i="4" s="1"/>
  <c r="E135" i="4" s="1"/>
  <c r="E134" i="4" s="1"/>
  <c r="E133" i="4" s="1"/>
  <c r="E132" i="4" s="1"/>
  <c r="E131" i="4" s="1"/>
  <c r="E130" i="4" s="1"/>
  <c r="E129" i="4" s="1"/>
  <c r="E128" i="4" s="1"/>
  <c r="E127" i="4" s="1"/>
  <c r="E126" i="4" s="1"/>
  <c r="E125" i="4" s="1"/>
  <c r="E124" i="4" s="1"/>
  <c r="E123" i="4" s="1"/>
  <c r="E122" i="4" s="1"/>
  <c r="E121" i="4" s="1"/>
  <c r="E120" i="4" s="1"/>
  <c r="H203" i="4"/>
  <c r="H202" i="4" s="1"/>
  <c r="H201" i="4" s="1"/>
  <c r="H200" i="4" s="1"/>
  <c r="H199" i="4" s="1"/>
  <c r="H198" i="4" s="1"/>
  <c r="H197" i="4" s="1"/>
  <c r="H196" i="4" s="1"/>
  <c r="H195" i="4" s="1"/>
  <c r="H194" i="4" s="1"/>
  <c r="H193" i="4" s="1"/>
  <c r="H192" i="4" s="1"/>
  <c r="H191" i="4" s="1"/>
  <c r="H190" i="4" s="1"/>
  <c r="H189" i="4" s="1"/>
  <c r="H188" i="4" s="1"/>
  <c r="H187" i="4" s="1"/>
  <c r="H186" i="4" s="1"/>
  <c r="H185" i="4" s="1"/>
  <c r="H184" i="4" s="1"/>
  <c r="H183" i="4" s="1"/>
  <c r="H182" i="4" s="1"/>
  <c r="H181" i="4" s="1"/>
  <c r="H180" i="4" s="1"/>
  <c r="H179" i="4" s="1"/>
  <c r="H178" i="4" s="1"/>
  <c r="H177" i="4" s="1"/>
  <c r="H176" i="4" s="1"/>
  <c r="H175" i="4" s="1"/>
  <c r="H174" i="4" s="1"/>
  <c r="H173" i="4" s="1"/>
  <c r="H172" i="4" s="1"/>
  <c r="H171" i="4" s="1"/>
  <c r="H170" i="4" s="1"/>
  <c r="H169" i="4" s="1"/>
  <c r="H168" i="4" s="1"/>
  <c r="H167" i="4" s="1"/>
  <c r="H166" i="4" s="1"/>
  <c r="H165" i="4" s="1"/>
  <c r="H164" i="4" s="1"/>
  <c r="H163" i="4" s="1"/>
  <c r="H162" i="4" s="1"/>
  <c r="H161" i="4" s="1"/>
  <c r="H160" i="4" s="1"/>
  <c r="H159" i="4" s="1"/>
  <c r="H158" i="4" s="1"/>
  <c r="H157" i="4" s="1"/>
  <c r="H156" i="4" s="1"/>
  <c r="H155" i="4" s="1"/>
  <c r="H154" i="4" s="1"/>
  <c r="H153" i="4" s="1"/>
  <c r="H152" i="4" s="1"/>
  <c r="H151" i="4" s="1"/>
  <c r="H150" i="4" s="1"/>
  <c r="H149" i="4" s="1"/>
  <c r="H148" i="4" s="1"/>
  <c r="H147" i="4" s="1"/>
  <c r="H146" i="4" s="1"/>
  <c r="H145" i="4" s="1"/>
  <c r="H144" i="4" s="1"/>
  <c r="H143" i="4" s="1"/>
  <c r="H142" i="4" s="1"/>
  <c r="H141" i="4" s="1"/>
  <c r="H140" i="4" s="1"/>
  <c r="H139" i="4" s="1"/>
  <c r="H138" i="4" s="1"/>
  <c r="H137" i="4" s="1"/>
  <c r="H136" i="4" s="1"/>
  <c r="H135" i="4" s="1"/>
  <c r="H134" i="4" s="1"/>
  <c r="H133" i="4" s="1"/>
  <c r="H132" i="4" s="1"/>
  <c r="H131" i="4" s="1"/>
  <c r="H130" i="4" s="1"/>
  <c r="H129" i="4" s="1"/>
  <c r="H128" i="4" s="1"/>
  <c r="H127" i="4" s="1"/>
  <c r="H126" i="4" s="1"/>
  <c r="H125" i="4" s="1"/>
  <c r="H124" i="4" s="1"/>
  <c r="H123" i="4" s="1"/>
  <c r="H122" i="4" s="1"/>
  <c r="H121" i="4" s="1"/>
  <c r="H120" i="4" s="1"/>
  <c r="D203" i="4" l="1"/>
  <c r="D202" i="4" s="1"/>
  <c r="D201" i="4" s="1"/>
  <c r="D200" i="4" s="1"/>
  <c r="D199" i="4" s="1"/>
  <c r="D198" i="4" s="1"/>
  <c r="D197" i="4" s="1"/>
  <c r="D196" i="4" s="1"/>
  <c r="D195" i="4" s="1"/>
  <c r="D194" i="4" s="1"/>
  <c r="D193" i="4" s="1"/>
  <c r="D192" i="4" s="1"/>
  <c r="D191" i="4" s="1"/>
  <c r="D190" i="4" s="1"/>
  <c r="D189" i="4" s="1"/>
  <c r="D188" i="4" s="1"/>
  <c r="D187" i="4" s="1"/>
  <c r="D186" i="4" s="1"/>
  <c r="D185" i="4" s="1"/>
  <c r="D184" i="4" s="1"/>
  <c r="D183" i="4" s="1"/>
  <c r="D182" i="4" s="1"/>
  <c r="D181" i="4" s="1"/>
  <c r="D180" i="4" s="1"/>
  <c r="D179" i="4" s="1"/>
  <c r="D178" i="4" s="1"/>
  <c r="D177" i="4" s="1"/>
  <c r="D176" i="4" s="1"/>
  <c r="D175" i="4" s="1"/>
  <c r="D174" i="4" s="1"/>
  <c r="D173" i="4" s="1"/>
  <c r="D172" i="4" s="1"/>
  <c r="D171" i="4" s="1"/>
  <c r="D170" i="4" s="1"/>
  <c r="D169" i="4" s="1"/>
  <c r="D168" i="4" s="1"/>
  <c r="D167" i="4" s="1"/>
  <c r="D166" i="4" s="1"/>
  <c r="D165" i="4" s="1"/>
  <c r="D164" i="4" s="1"/>
  <c r="D163" i="4" s="1"/>
  <c r="D162" i="4" s="1"/>
  <c r="D161" i="4" s="1"/>
  <c r="D160" i="4" s="1"/>
  <c r="D159" i="4" s="1"/>
  <c r="D158" i="4" s="1"/>
  <c r="D157" i="4" s="1"/>
  <c r="D156" i="4" s="1"/>
  <c r="D155" i="4" s="1"/>
  <c r="D154" i="4" s="1"/>
  <c r="D153" i="4" s="1"/>
  <c r="D152" i="4" s="1"/>
  <c r="D151" i="4" s="1"/>
  <c r="D150" i="4" s="1"/>
  <c r="D149" i="4" s="1"/>
  <c r="D148" i="4" s="1"/>
  <c r="D147" i="4" s="1"/>
  <c r="D146" i="4" s="1"/>
  <c r="D145" i="4" s="1"/>
  <c r="D144" i="4" s="1"/>
  <c r="D143" i="4" s="1"/>
  <c r="D142" i="4" s="1"/>
  <c r="D141" i="4" s="1"/>
  <c r="D140" i="4" s="1"/>
  <c r="D139" i="4" s="1"/>
  <c r="D138" i="4" s="1"/>
  <c r="D137" i="4" s="1"/>
  <c r="D136" i="4" s="1"/>
  <c r="D135" i="4" s="1"/>
  <c r="D134" i="4" s="1"/>
  <c r="D133" i="4" s="1"/>
  <c r="D132" i="4" s="1"/>
  <c r="D131" i="4" s="1"/>
  <c r="F203" i="4"/>
  <c r="F202" i="4" s="1"/>
  <c r="F201" i="4" s="1"/>
  <c r="F200" i="4" s="1"/>
  <c r="F199" i="4" s="1"/>
  <c r="F198" i="4" s="1"/>
  <c r="F197" i="4" s="1"/>
  <c r="F196" i="4" s="1"/>
  <c r="F195" i="4" s="1"/>
  <c r="F194" i="4" s="1"/>
  <c r="F193" i="4" s="1"/>
  <c r="F192" i="4" s="1"/>
  <c r="F191" i="4" s="1"/>
  <c r="F190" i="4" s="1"/>
  <c r="F189" i="4" s="1"/>
  <c r="F188" i="4" s="1"/>
  <c r="F187" i="4" s="1"/>
  <c r="F186" i="4" s="1"/>
  <c r="F185" i="4" s="1"/>
  <c r="F184" i="4" s="1"/>
  <c r="F183" i="4" s="1"/>
  <c r="F182" i="4" s="1"/>
  <c r="F181" i="4" s="1"/>
  <c r="F180" i="4" s="1"/>
  <c r="F179" i="4" s="1"/>
  <c r="F178" i="4" s="1"/>
  <c r="F177" i="4" s="1"/>
  <c r="F176" i="4" s="1"/>
  <c r="F175" i="4" s="1"/>
  <c r="F174" i="4" s="1"/>
  <c r="F173" i="4" s="1"/>
  <c r="F172" i="4" s="1"/>
  <c r="F171" i="4" s="1"/>
  <c r="F170" i="4" s="1"/>
  <c r="F169" i="4" s="1"/>
  <c r="F168" i="4" s="1"/>
  <c r="F167" i="4" s="1"/>
  <c r="F166" i="4" s="1"/>
  <c r="F165" i="4" s="1"/>
  <c r="F164" i="4" s="1"/>
  <c r="F163" i="4" s="1"/>
  <c r="F162" i="4" s="1"/>
  <c r="F161" i="4" s="1"/>
  <c r="F160" i="4" s="1"/>
  <c r="F159" i="4" s="1"/>
  <c r="F158" i="4" s="1"/>
  <c r="F157" i="4" s="1"/>
  <c r="F156" i="4" s="1"/>
  <c r="F155" i="4" s="1"/>
  <c r="F154" i="4" s="1"/>
  <c r="F153" i="4" s="1"/>
  <c r="F152" i="4" s="1"/>
  <c r="F151" i="4" s="1"/>
  <c r="F150" i="4" s="1"/>
  <c r="F149" i="4" s="1"/>
  <c r="F148" i="4" s="1"/>
  <c r="F147" i="4" s="1"/>
  <c r="F146" i="4" s="1"/>
  <c r="F145" i="4" s="1"/>
  <c r="F144" i="4" s="1"/>
  <c r="F143" i="4" s="1"/>
  <c r="F142" i="4" s="1"/>
  <c r="F141" i="4" s="1"/>
  <c r="F140" i="4" s="1"/>
  <c r="F139" i="4" s="1"/>
  <c r="F138" i="4" s="1"/>
  <c r="F137" i="4" s="1"/>
  <c r="F136" i="4" s="1"/>
  <c r="F135" i="4" s="1"/>
  <c r="F134" i="4" s="1"/>
  <c r="F133" i="4" s="1"/>
  <c r="F132" i="4" s="1"/>
  <c r="F131" i="4" s="1"/>
  <c r="F130" i="4" s="1"/>
  <c r="F129" i="4" s="1"/>
  <c r="F128" i="4" s="1"/>
  <c r="F127" i="4" s="1"/>
  <c r="F126" i="4" s="1"/>
  <c r="F125" i="4" s="1"/>
  <c r="F124" i="4" s="1"/>
  <c r="F123" i="4" s="1"/>
  <c r="F122" i="4" s="1"/>
  <c r="F121" i="4" s="1"/>
  <c r="F120" i="4" s="1"/>
  <c r="I203" i="4"/>
  <c r="I202" i="4" s="1"/>
  <c r="I201" i="4" s="1"/>
  <c r="I200" i="4" s="1"/>
  <c r="I199" i="4" s="1"/>
  <c r="I198" i="4" s="1"/>
  <c r="I197" i="4" s="1"/>
  <c r="I196" i="4" s="1"/>
  <c r="I195" i="4" s="1"/>
  <c r="I194" i="4" s="1"/>
  <c r="I193" i="4" s="1"/>
  <c r="I192" i="4" s="1"/>
  <c r="I191" i="4" s="1"/>
  <c r="I190" i="4" s="1"/>
  <c r="I189" i="4" s="1"/>
  <c r="I188" i="4" s="1"/>
  <c r="I187" i="4" s="1"/>
  <c r="I186" i="4" s="1"/>
  <c r="I185" i="4" s="1"/>
  <c r="I184" i="4" s="1"/>
  <c r="I183" i="4" s="1"/>
  <c r="I182" i="4" s="1"/>
  <c r="I181" i="4" s="1"/>
  <c r="I180" i="4" s="1"/>
  <c r="I179" i="4" s="1"/>
  <c r="I178" i="4" s="1"/>
  <c r="I177" i="4" s="1"/>
  <c r="I176" i="4" s="1"/>
  <c r="I175" i="4" s="1"/>
  <c r="I174" i="4" s="1"/>
  <c r="I173" i="4" s="1"/>
  <c r="I172" i="4" s="1"/>
  <c r="I171" i="4" s="1"/>
  <c r="I170" i="4" s="1"/>
  <c r="I169" i="4" s="1"/>
  <c r="I168" i="4" s="1"/>
  <c r="I167" i="4" s="1"/>
  <c r="I166" i="4" s="1"/>
  <c r="I165" i="4" s="1"/>
  <c r="I164" i="4" s="1"/>
  <c r="I163" i="4" s="1"/>
  <c r="I162" i="4" s="1"/>
  <c r="I161" i="4" s="1"/>
  <c r="I160" i="4" s="1"/>
  <c r="I159" i="4" s="1"/>
  <c r="I158" i="4" s="1"/>
  <c r="I157" i="4" s="1"/>
  <c r="I156" i="4" s="1"/>
  <c r="I155" i="4" s="1"/>
  <c r="I154" i="4" s="1"/>
  <c r="I153" i="4" s="1"/>
  <c r="I152" i="4" s="1"/>
  <c r="I151" i="4" s="1"/>
  <c r="I150" i="4" s="1"/>
  <c r="I149" i="4" s="1"/>
  <c r="I148" i="4" s="1"/>
  <c r="I147" i="4" s="1"/>
  <c r="I146" i="4" s="1"/>
  <c r="I145" i="4" s="1"/>
  <c r="I144" i="4" s="1"/>
  <c r="I143" i="4" s="1"/>
  <c r="I142" i="4" s="1"/>
  <c r="I141" i="4" s="1"/>
  <c r="I140" i="4" s="1"/>
  <c r="I139" i="4" s="1"/>
  <c r="I138" i="4" s="1"/>
  <c r="I137" i="4" s="1"/>
  <c r="I136" i="4" s="1"/>
  <c r="I135" i="4" s="1"/>
  <c r="I134" i="4" s="1"/>
  <c r="I133" i="4" s="1"/>
  <c r="I132" i="4" s="1"/>
  <c r="I131" i="4" s="1"/>
  <c r="I130" i="4" s="1"/>
  <c r="I129" i="4" s="1"/>
  <c r="I128" i="4" s="1"/>
  <c r="I127" i="4" s="1"/>
  <c r="I126" i="4" s="1"/>
  <c r="I125" i="4" s="1"/>
  <c r="I124" i="4" s="1"/>
  <c r="I123" i="4" s="1"/>
  <c r="I122" i="4" s="1"/>
  <c r="I121" i="4" s="1"/>
  <c r="I120" i="4" s="1"/>
  <c r="J3" i="4" l="1"/>
  <c r="P3" i="4" s="1"/>
  <c r="V3" i="4" s="1"/>
  <c r="AB3" i="4" s="1"/>
  <c r="AH3" i="4" s="1"/>
  <c r="AN3" i="4" s="1"/>
  <c r="AT3" i="4" s="1"/>
  <c r="AZ3" i="4" s="1"/>
  <c r="BF3" i="4" s="1"/>
  <c r="BL3" i="4" s="1"/>
  <c r="BR3" i="4" s="1"/>
  <c r="K3" i="4"/>
  <c r="L3" i="4"/>
  <c r="M3" i="4"/>
  <c r="S3" i="4" s="1"/>
  <c r="Y3" i="4" s="1"/>
  <c r="AE3" i="4" s="1"/>
  <c r="AK3" i="4" s="1"/>
  <c r="AQ3" i="4" s="1"/>
  <c r="AW3" i="4" s="1"/>
  <c r="BC3" i="4" s="1"/>
  <c r="N3" i="4"/>
  <c r="O3" i="4"/>
  <c r="U3" i="4" s="1"/>
  <c r="AA3" i="4" s="1"/>
  <c r="AG3" i="4" s="1"/>
  <c r="AM3" i="4" s="1"/>
  <c r="AS3" i="4" s="1"/>
  <c r="Q3" i="4"/>
  <c r="Q106" i="4" s="1"/>
  <c r="Q4" i="4" s="1"/>
  <c r="R3" i="4"/>
  <c r="R106" i="4" s="1"/>
  <c r="R4" i="4" s="1"/>
  <c r="X3" i="4"/>
  <c r="X106" i="4" s="1"/>
  <c r="X4" i="4" s="1"/>
  <c r="W3" i="4" l="1"/>
  <c r="BC106" i="4"/>
  <c r="BC4" i="4" s="1"/>
  <c r="BI3" i="4"/>
  <c r="BO3" i="4" s="1"/>
  <c r="BR106" i="4"/>
  <c r="BR4" i="4" s="1"/>
  <c r="BX3" i="4"/>
  <c r="CD3" i="4" s="1"/>
  <c r="CJ3" i="4" s="1"/>
  <c r="CP3" i="4" s="1"/>
  <c r="CV3" i="4" s="1"/>
  <c r="DB3" i="4" s="1"/>
  <c r="DH3" i="4" s="1"/>
  <c r="DN3" i="4" s="1"/>
  <c r="DT3" i="4" s="1"/>
  <c r="DZ3" i="4" s="1"/>
  <c r="EF3" i="4" s="1"/>
  <c r="EL3" i="4" s="1"/>
  <c r="ER3" i="4" s="1"/>
  <c r="EX3" i="4" s="1"/>
  <c r="FD3" i="4" s="1"/>
  <c r="FJ3" i="4" s="1"/>
  <c r="FP3" i="4" s="1"/>
  <c r="FV3" i="4" s="1"/>
  <c r="GB3" i="4" s="1"/>
  <c r="GH3" i="4" s="1"/>
  <c r="GN3" i="4" s="1"/>
  <c r="GT3" i="4" s="1"/>
  <c r="AD3" i="4"/>
  <c r="AJ3" i="4" s="1"/>
  <c r="AY3" i="4"/>
  <c r="BE3" i="4" s="1"/>
  <c r="AS106" i="4"/>
  <c r="AC3" i="4"/>
  <c r="T3" i="4"/>
  <c r="BK3" i="4" l="1"/>
  <c r="BQ3" i="4" s="1"/>
  <c r="BE106" i="4"/>
  <c r="BO106" i="4"/>
  <c r="BO4" i="4" s="1"/>
  <c r="BU3" i="4"/>
  <c r="AJ106" i="4"/>
  <c r="AJ4" i="4" s="1"/>
  <c r="AP3" i="4"/>
  <c r="AV3" i="4" s="1"/>
  <c r="AI3" i="4"/>
  <c r="Z3" i="4"/>
  <c r="U16" i="3"/>
  <c r="U17" i="3"/>
  <c r="U18" i="3"/>
  <c r="U19" i="3"/>
  <c r="U13" i="3"/>
  <c r="U14" i="3"/>
  <c r="U15" i="3"/>
  <c r="U12" i="3"/>
  <c r="V5" i="3"/>
  <c r="W9" i="3"/>
  <c r="BU106" i="4" l="1"/>
  <c r="BU4" i="4" s="1"/>
  <c r="CA3" i="4"/>
  <c r="CG3" i="4" s="1"/>
  <c r="CM3" i="4" s="1"/>
  <c r="CS3" i="4" s="1"/>
  <c r="CY3" i="4" s="1"/>
  <c r="DE3" i="4" s="1"/>
  <c r="DK3" i="4" s="1"/>
  <c r="DQ3" i="4" s="1"/>
  <c r="DW3" i="4" s="1"/>
  <c r="EC3" i="4" s="1"/>
  <c r="EI3" i="4" s="1"/>
  <c r="EO3" i="4" s="1"/>
  <c r="EU3" i="4" s="1"/>
  <c r="FA3" i="4" s="1"/>
  <c r="FG3" i="4" s="1"/>
  <c r="FM3" i="4" s="1"/>
  <c r="FS3" i="4" s="1"/>
  <c r="FY3" i="4" s="1"/>
  <c r="GE3" i="4" s="1"/>
  <c r="GK3" i="4" s="1"/>
  <c r="GQ3" i="4" s="1"/>
  <c r="GW3" i="4" s="1"/>
  <c r="AV106" i="4"/>
  <c r="AV4" i="4" s="1"/>
  <c r="BB3" i="4"/>
  <c r="BW3" i="4"/>
  <c r="BQ106" i="4"/>
  <c r="AO3" i="4"/>
  <c r="AF3" i="4"/>
  <c r="A1" i="3"/>
  <c r="B38" i="2"/>
  <c r="B39" i="2"/>
  <c r="B40" i="2"/>
  <c r="B41" i="2"/>
  <c r="B42" i="2"/>
  <c r="B43" i="2"/>
  <c r="B44" i="2"/>
  <c r="B45" i="2"/>
  <c r="B46" i="2"/>
  <c r="B47" i="2"/>
  <c r="B48" i="2"/>
  <c r="B49" i="2"/>
  <c r="B50" i="2"/>
  <c r="B51" i="2"/>
  <c r="B52" i="2"/>
  <c r="B53" i="2"/>
  <c r="B54" i="2"/>
  <c r="B55" i="2"/>
  <c r="B56" i="2"/>
  <c r="BE4" i="4"/>
  <c r="B5" i="3" l="1"/>
  <c r="B4" i="3"/>
  <c r="BB106" i="4"/>
  <c r="BB4" i="4" s="1"/>
  <c r="BH3" i="4"/>
  <c r="CC3" i="4"/>
  <c r="CI3" i="4" s="1"/>
  <c r="CO3" i="4" s="1"/>
  <c r="CU3" i="4" s="1"/>
  <c r="DA3" i="4" s="1"/>
  <c r="DG3" i="4" s="1"/>
  <c r="DM3" i="4" s="1"/>
  <c r="DS3" i="4" s="1"/>
  <c r="DY3" i="4" s="1"/>
  <c r="EE3" i="4" s="1"/>
  <c r="EK3" i="4" s="1"/>
  <c r="EQ3" i="4" s="1"/>
  <c r="EW3" i="4" s="1"/>
  <c r="FC3" i="4" s="1"/>
  <c r="FI3" i="4" s="1"/>
  <c r="FO3" i="4" s="1"/>
  <c r="FU3" i="4" s="1"/>
  <c r="GA3" i="4" s="1"/>
  <c r="GG3" i="4" s="1"/>
  <c r="GM3" i="4" s="1"/>
  <c r="GS3" i="4" s="1"/>
  <c r="GY3" i="4" s="1"/>
  <c r="BW106" i="4"/>
  <c r="B8" i="3"/>
  <c r="B7" i="3"/>
  <c r="AU3" i="4"/>
  <c r="AL3" i="4"/>
  <c r="BQ4" i="4"/>
  <c r="BW4" i="4"/>
  <c r="AS4" i="4"/>
  <c r="BH106" i="4" l="1"/>
  <c r="BH4" i="4" s="1"/>
  <c r="BN3" i="4"/>
  <c r="BA3" i="4"/>
  <c r="AR3" i="4"/>
  <c r="AR106" i="4" s="1"/>
  <c r="H15" i="2"/>
  <c r="H12" i="2"/>
  <c r="F6" i="2"/>
  <c r="G6" i="2"/>
  <c r="G7" i="2"/>
  <c r="G9" i="2"/>
  <c r="J10" i="2"/>
  <c r="G11" i="2"/>
  <c r="G12" i="2"/>
  <c r="J12" i="2"/>
  <c r="G13" i="2"/>
  <c r="H14" i="2"/>
  <c r="J14" i="2"/>
  <c r="E15" i="2"/>
  <c r="J15"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GZ3" i="4"/>
  <c r="HF3" i="4" s="1"/>
  <c r="HC3" i="4"/>
  <c r="HI3" i="4" s="1"/>
  <c r="HE3" i="4"/>
  <c r="C107" i="4"/>
  <c r="C108" i="4"/>
  <c r="C109" i="4"/>
  <c r="C110" i="4"/>
  <c r="C111" i="4"/>
  <c r="C112" i="4"/>
  <c r="GU112" i="4" s="1"/>
  <c r="GU111" i="4" s="1"/>
  <c r="GU110" i="4" s="1"/>
  <c r="GU109" i="4" s="1"/>
  <c r="GU108" i="4" s="1"/>
  <c r="GU107" i="4" s="1"/>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K156" i="4" s="1"/>
  <c r="CK155" i="4" s="1"/>
  <c r="CK154" i="4" s="1"/>
  <c r="CK153" i="4" s="1"/>
  <c r="CK152" i="4" s="1"/>
  <c r="CK151" i="4" s="1"/>
  <c r="CK150" i="4" s="1"/>
  <c r="CK149" i="4" s="1"/>
  <c r="CK148" i="4" s="1"/>
  <c r="CK147" i="4" s="1"/>
  <c r="CK146" i="4" s="1"/>
  <c r="CK145" i="4" s="1"/>
  <c r="CK144" i="4" s="1"/>
  <c r="CK143" i="4" s="1"/>
  <c r="CK142" i="4" s="1"/>
  <c r="CK141" i="4" s="1"/>
  <c r="CK140" i="4" s="1"/>
  <c r="CK139" i="4" s="1"/>
  <c r="CK138" i="4" s="1"/>
  <c r="CK137" i="4" s="1"/>
  <c r="CK136" i="4" s="1"/>
  <c r="CK135" i="4" s="1"/>
  <c r="CK134" i="4" s="1"/>
  <c r="CK133" i="4" s="1"/>
  <c r="CK132" i="4" s="1"/>
  <c r="CK131" i="4" s="1"/>
  <c r="CK130" i="4" s="1"/>
  <c r="CK129" i="4" s="1"/>
  <c r="CK128" i="4" s="1"/>
  <c r="CK127" i="4" s="1"/>
  <c r="CK126" i="4" s="1"/>
  <c r="CK125" i="4" s="1"/>
  <c r="CK124" i="4" s="1"/>
  <c r="CK123" i="4" s="1"/>
  <c r="CK122" i="4" s="1"/>
  <c r="CK121" i="4" s="1"/>
  <c r="CK120" i="4" s="1"/>
  <c r="CK119" i="4" s="1"/>
  <c r="CK118" i="4" s="1"/>
  <c r="CK117" i="4" s="1"/>
  <c r="CK116" i="4" s="1"/>
  <c r="CK115" i="4" s="1"/>
  <c r="CK114" i="4" s="1"/>
  <c r="CK113" i="4" s="1"/>
  <c r="CK112" i="4" s="1"/>
  <c r="CK111" i="4" s="1"/>
  <c r="CK110" i="4" s="1"/>
  <c r="CK109" i="4" s="1"/>
  <c r="CK108" i="4" s="1"/>
  <c r="CK107" i="4" s="1"/>
  <c r="C157" i="4"/>
  <c r="C158" i="4"/>
  <c r="C159" i="4"/>
  <c r="C160" i="4"/>
  <c r="C161" i="4"/>
  <c r="JE161" i="4" s="1"/>
  <c r="JE160" i="4" s="1"/>
  <c r="JE159" i="4" s="1"/>
  <c r="JE158" i="4" s="1"/>
  <c r="JE157" i="4" s="1"/>
  <c r="JE156" i="4" s="1"/>
  <c r="JE155" i="4" s="1"/>
  <c r="JE154" i="4" s="1"/>
  <c r="JE153" i="4" s="1"/>
  <c r="JE152" i="4" s="1"/>
  <c r="JE151" i="4" s="1"/>
  <c r="JE150" i="4" s="1"/>
  <c r="JE149" i="4" s="1"/>
  <c r="JE148" i="4" s="1"/>
  <c r="JE147" i="4" s="1"/>
  <c r="JE146" i="4" s="1"/>
  <c r="JE145" i="4" s="1"/>
  <c r="JE144" i="4" s="1"/>
  <c r="JE143" i="4" s="1"/>
  <c r="JE142" i="4" s="1"/>
  <c r="JE141" i="4" s="1"/>
  <c r="JE140" i="4" s="1"/>
  <c r="JE139" i="4" s="1"/>
  <c r="JE138" i="4" s="1"/>
  <c r="JE137" i="4" s="1"/>
  <c r="JE136" i="4" s="1"/>
  <c r="JE135" i="4" s="1"/>
  <c r="JE134" i="4" s="1"/>
  <c r="JE133" i="4" s="1"/>
  <c r="JE132" i="4" s="1"/>
  <c r="JE131" i="4" s="1"/>
  <c r="JE130" i="4" s="1"/>
  <c r="JE129" i="4" s="1"/>
  <c r="JE128" i="4" s="1"/>
  <c r="JE127" i="4" s="1"/>
  <c r="JE126" i="4" s="1"/>
  <c r="JE125" i="4" s="1"/>
  <c r="JE124" i="4" s="1"/>
  <c r="JE123" i="4" s="1"/>
  <c r="JE122" i="4" s="1"/>
  <c r="JE121" i="4" s="1"/>
  <c r="JE120" i="4" s="1"/>
  <c r="JE119" i="4" s="1"/>
  <c r="JE118" i="4" s="1"/>
  <c r="JE117" i="4" s="1"/>
  <c r="JE116" i="4" s="1"/>
  <c r="JE115" i="4" s="1"/>
  <c r="JE114" i="4" s="1"/>
  <c r="JE113" i="4" s="1"/>
  <c r="JE112" i="4" s="1"/>
  <c r="JE111" i="4" s="1"/>
  <c r="JE110" i="4" s="1"/>
  <c r="JE109" i="4" s="1"/>
  <c r="JE108" i="4" s="1"/>
  <c r="JE107" i="4" s="1"/>
  <c r="C162" i="4"/>
  <c r="C163" i="4"/>
  <c r="C164" i="4"/>
  <c r="C165" i="4"/>
  <c r="C166" i="4"/>
  <c r="C167" i="4"/>
  <c r="C168" i="4"/>
  <c r="C169" i="4"/>
  <c r="C170" i="4"/>
  <c r="C171" i="4"/>
  <c r="G171" i="4" s="1"/>
  <c r="G170" i="4" s="1"/>
  <c r="G169" i="4" s="1"/>
  <c r="G168" i="4" s="1"/>
  <c r="G167" i="4" s="1"/>
  <c r="G166" i="4" s="1"/>
  <c r="G165" i="4" s="1"/>
  <c r="G164" i="4" s="1"/>
  <c r="G163" i="4" s="1"/>
  <c r="G162" i="4" s="1"/>
  <c r="G161" i="4" s="1"/>
  <c r="C172" i="4"/>
  <c r="IA172" i="4" s="1"/>
  <c r="C173" i="4"/>
  <c r="C174" i="4"/>
  <c r="C175" i="4"/>
  <c r="C176" i="4"/>
  <c r="C177" i="4"/>
  <c r="C178" i="4"/>
  <c r="C179" i="4"/>
  <c r="C180" i="4"/>
  <c r="GT180" i="4" s="1"/>
  <c r="GT179" i="4" s="1"/>
  <c r="GT178" i="4" s="1"/>
  <c r="GT177" i="4" s="1"/>
  <c r="C181" i="4"/>
  <c r="C182" i="4"/>
  <c r="C183" i="4"/>
  <c r="C184" i="4"/>
  <c r="C185" i="4"/>
  <c r="GW185" i="4" s="1"/>
  <c r="GW184" i="4" s="1"/>
  <c r="GW183" i="4" s="1"/>
  <c r="GW182" i="4" s="1"/>
  <c r="GW181" i="4" s="1"/>
  <c r="GW180" i="4" s="1"/>
  <c r="C186" i="4"/>
  <c r="CS186" i="4" s="1"/>
  <c r="C187" i="4"/>
  <c r="HR187" i="4" s="1"/>
  <c r="HR186" i="4" s="1"/>
  <c r="HR185" i="4" s="1"/>
  <c r="HR184" i="4" s="1"/>
  <c r="HR183" i="4" s="1"/>
  <c r="C188" i="4"/>
  <c r="C189" i="4"/>
  <c r="C190" i="4"/>
  <c r="C191" i="4"/>
  <c r="JZ191" i="4" s="1"/>
  <c r="JZ190" i="4" s="1"/>
  <c r="JZ189" i="4" s="1"/>
  <c r="JZ188" i="4" s="1"/>
  <c r="JZ187" i="4" s="1"/>
  <c r="JZ186" i="4" s="1"/>
  <c r="JZ185" i="4" s="1"/>
  <c r="JZ184" i="4" s="1"/>
  <c r="JZ183" i="4" s="1"/>
  <c r="JZ182" i="4" s="1"/>
  <c r="JZ181" i="4" s="1"/>
  <c r="JZ180" i="4" s="1"/>
  <c r="JZ179" i="4" s="1"/>
  <c r="JZ178" i="4" s="1"/>
  <c r="JZ177" i="4" s="1"/>
  <c r="JZ176" i="4" s="1"/>
  <c r="JZ175" i="4" s="1"/>
  <c r="JZ174" i="4" s="1"/>
  <c r="JZ173" i="4" s="1"/>
  <c r="JZ172" i="4" s="1"/>
  <c r="JZ171" i="4" s="1"/>
  <c r="JZ170" i="4" s="1"/>
  <c r="JZ169" i="4" s="1"/>
  <c r="JZ168" i="4" s="1"/>
  <c r="JZ167" i="4" s="1"/>
  <c r="JZ166" i="4" s="1"/>
  <c r="JZ165" i="4" s="1"/>
  <c r="JZ164" i="4" s="1"/>
  <c r="JZ163" i="4" s="1"/>
  <c r="JZ162" i="4" s="1"/>
  <c r="JZ161" i="4" s="1"/>
  <c r="JZ160" i="4" s="1"/>
  <c r="JZ159" i="4" s="1"/>
  <c r="JZ158" i="4" s="1"/>
  <c r="JZ157" i="4" s="1"/>
  <c r="JZ156" i="4" s="1"/>
  <c r="JZ155" i="4" s="1"/>
  <c r="JZ154" i="4" s="1"/>
  <c r="JZ153" i="4" s="1"/>
  <c r="JZ152" i="4" s="1"/>
  <c r="JZ151" i="4" s="1"/>
  <c r="JZ150" i="4" s="1"/>
  <c r="JZ149" i="4" s="1"/>
  <c r="JZ148" i="4" s="1"/>
  <c r="JZ147" i="4" s="1"/>
  <c r="JZ146" i="4" s="1"/>
  <c r="JZ145" i="4" s="1"/>
  <c r="JZ144" i="4" s="1"/>
  <c r="JZ143" i="4" s="1"/>
  <c r="JZ142" i="4" s="1"/>
  <c r="JZ141" i="4" s="1"/>
  <c r="JZ140" i="4" s="1"/>
  <c r="JZ139" i="4" s="1"/>
  <c r="JZ138" i="4" s="1"/>
  <c r="JZ137" i="4" s="1"/>
  <c r="JZ136" i="4" s="1"/>
  <c r="JZ135" i="4" s="1"/>
  <c r="JZ134" i="4" s="1"/>
  <c r="JZ133" i="4" s="1"/>
  <c r="JZ132" i="4" s="1"/>
  <c r="JZ131" i="4" s="1"/>
  <c r="JZ130" i="4" s="1"/>
  <c r="JZ129" i="4" s="1"/>
  <c r="JZ128" i="4" s="1"/>
  <c r="JZ127" i="4" s="1"/>
  <c r="JZ126" i="4" s="1"/>
  <c r="JZ125" i="4" s="1"/>
  <c r="JZ124" i="4" s="1"/>
  <c r="JZ123" i="4" s="1"/>
  <c r="JZ122" i="4" s="1"/>
  <c r="JZ121" i="4" s="1"/>
  <c r="JZ120" i="4" s="1"/>
  <c r="JZ119" i="4" s="1"/>
  <c r="JZ118" i="4" s="1"/>
  <c r="JZ117" i="4" s="1"/>
  <c r="JZ116" i="4" s="1"/>
  <c r="JZ115" i="4" s="1"/>
  <c r="JZ114" i="4" s="1"/>
  <c r="JZ113" i="4" s="1"/>
  <c r="JZ112" i="4" s="1"/>
  <c r="JZ111" i="4" s="1"/>
  <c r="JZ110" i="4" s="1"/>
  <c r="JZ109" i="4" s="1"/>
  <c r="JZ108" i="4" s="1"/>
  <c r="JZ107" i="4" s="1"/>
  <c r="C192" i="4"/>
  <c r="C193" i="4"/>
  <c r="C194" i="4"/>
  <c r="C195" i="4"/>
  <c r="C196" i="4"/>
  <c r="C197" i="4"/>
  <c r="Y197" i="4" s="1"/>
  <c r="C198" i="4"/>
  <c r="S198" i="4" s="1"/>
  <c r="C199" i="4"/>
  <c r="HU199" i="4" s="1"/>
  <c r="HU198" i="4" s="1"/>
  <c r="HU197" i="4" s="1"/>
  <c r="HU196" i="4" s="1"/>
  <c r="HU195" i="4" s="1"/>
  <c r="HU194" i="4" s="1"/>
  <c r="HU193" i="4" s="1"/>
  <c r="HU192" i="4" s="1"/>
  <c r="HU191" i="4" s="1"/>
  <c r="HU190" i="4" s="1"/>
  <c r="HU189" i="4" s="1"/>
  <c r="HU188" i="4" s="1"/>
  <c r="HU187" i="4" s="1"/>
  <c r="C200" i="4"/>
  <c r="C201" i="4"/>
  <c r="C202" i="4"/>
  <c r="C203" i="4"/>
  <c r="JK203" i="4" l="1"/>
  <c r="JK202" i="4" s="1"/>
  <c r="JK201" i="4" s="1"/>
  <c r="JK200" i="4" s="1"/>
  <c r="JK199" i="4" s="1"/>
  <c r="JK198" i="4" s="1"/>
  <c r="JK197" i="4" s="1"/>
  <c r="JK196" i="4" s="1"/>
  <c r="JK195" i="4" s="1"/>
  <c r="JK194" i="4" s="1"/>
  <c r="JK193" i="4" s="1"/>
  <c r="JK192" i="4" s="1"/>
  <c r="JK191" i="4" s="1"/>
  <c r="JK190" i="4" s="1"/>
  <c r="JK189" i="4" s="1"/>
  <c r="JK188" i="4" s="1"/>
  <c r="JK187" i="4" s="1"/>
  <c r="JK186" i="4" s="1"/>
  <c r="JK185" i="4" s="1"/>
  <c r="JK184" i="4" s="1"/>
  <c r="JK183" i="4" s="1"/>
  <c r="JK182" i="4" s="1"/>
  <c r="JK181" i="4" s="1"/>
  <c r="JK180" i="4" s="1"/>
  <c r="JK179" i="4" s="1"/>
  <c r="JK178" i="4" s="1"/>
  <c r="JK177" i="4" s="1"/>
  <c r="JK176" i="4" s="1"/>
  <c r="JK175" i="4" s="1"/>
  <c r="JK174" i="4" s="1"/>
  <c r="JK173" i="4" s="1"/>
  <c r="JK172" i="4" s="1"/>
  <c r="JK171" i="4" s="1"/>
  <c r="JK170" i="4" s="1"/>
  <c r="JK169" i="4" s="1"/>
  <c r="JK168" i="4" s="1"/>
  <c r="JK167" i="4" s="1"/>
  <c r="JK166" i="4" s="1"/>
  <c r="JK165" i="4" s="1"/>
  <c r="JK164" i="4" s="1"/>
  <c r="JK163" i="4" s="1"/>
  <c r="JK162" i="4" s="1"/>
  <c r="JK161" i="4" s="1"/>
  <c r="JK160" i="4" s="1"/>
  <c r="JK159" i="4" s="1"/>
  <c r="JK158" i="4" s="1"/>
  <c r="JK157" i="4" s="1"/>
  <c r="JK156" i="4" s="1"/>
  <c r="JK155" i="4" s="1"/>
  <c r="JK154" i="4" s="1"/>
  <c r="JK153" i="4" s="1"/>
  <c r="JK152" i="4" s="1"/>
  <c r="JK151" i="4" s="1"/>
  <c r="JK150" i="4" s="1"/>
  <c r="JK149" i="4" s="1"/>
  <c r="JK148" i="4" s="1"/>
  <c r="JK147" i="4" s="1"/>
  <c r="JK146" i="4" s="1"/>
  <c r="JK145" i="4" s="1"/>
  <c r="JK144" i="4" s="1"/>
  <c r="JK143" i="4" s="1"/>
  <c r="JK142" i="4" s="1"/>
  <c r="JK141" i="4" s="1"/>
  <c r="JK140" i="4" s="1"/>
  <c r="JK139" i="4" s="1"/>
  <c r="JK138" i="4" s="1"/>
  <c r="JK137" i="4" s="1"/>
  <c r="JK136" i="4" s="1"/>
  <c r="JK135" i="4" s="1"/>
  <c r="JK134" i="4" s="1"/>
  <c r="JK133" i="4" s="1"/>
  <c r="JK132" i="4" s="1"/>
  <c r="JK131" i="4" s="1"/>
  <c r="JK130" i="4" s="1"/>
  <c r="JK129" i="4" s="1"/>
  <c r="JK128" i="4" s="1"/>
  <c r="JK127" i="4" s="1"/>
  <c r="JK126" i="4" s="1"/>
  <c r="JK125" i="4" s="1"/>
  <c r="JK124" i="4" s="1"/>
  <c r="JK123" i="4" s="1"/>
  <c r="JK122" i="4" s="1"/>
  <c r="JK121" i="4" s="1"/>
  <c r="JK120" i="4" s="1"/>
  <c r="JK119" i="4" s="1"/>
  <c r="JK118" i="4" s="1"/>
  <c r="JK117" i="4" s="1"/>
  <c r="JK116" i="4" s="1"/>
  <c r="JK115" i="4" s="1"/>
  <c r="JK114" i="4" s="1"/>
  <c r="JK113" i="4" s="1"/>
  <c r="JK112" i="4" s="1"/>
  <c r="JK111" i="4" s="1"/>
  <c r="JK110" i="4" s="1"/>
  <c r="JK109" i="4" s="1"/>
  <c r="JK108" i="4" s="1"/>
  <c r="JK107" i="4" s="1"/>
  <c r="JQ203" i="4"/>
  <c r="JQ202" i="4" s="1"/>
  <c r="JQ201" i="4" s="1"/>
  <c r="JQ200" i="4" s="1"/>
  <c r="JQ199" i="4" s="1"/>
  <c r="JQ198" i="4" s="1"/>
  <c r="JQ197" i="4" s="1"/>
  <c r="JQ196" i="4" s="1"/>
  <c r="JQ195" i="4" s="1"/>
  <c r="JQ194" i="4" s="1"/>
  <c r="JQ193" i="4" s="1"/>
  <c r="JQ192" i="4" s="1"/>
  <c r="JQ191" i="4" s="1"/>
  <c r="JQ190" i="4" s="1"/>
  <c r="JQ189" i="4" s="1"/>
  <c r="JQ188" i="4" s="1"/>
  <c r="JQ187" i="4" s="1"/>
  <c r="JQ186" i="4" s="1"/>
  <c r="JQ185" i="4" s="1"/>
  <c r="JQ184" i="4" s="1"/>
  <c r="JQ183" i="4" s="1"/>
  <c r="JQ182" i="4" s="1"/>
  <c r="JQ181" i="4" s="1"/>
  <c r="JQ180" i="4" s="1"/>
  <c r="JQ179" i="4" s="1"/>
  <c r="JQ178" i="4" s="1"/>
  <c r="JQ177" i="4" s="1"/>
  <c r="JQ176" i="4" s="1"/>
  <c r="JQ175" i="4" s="1"/>
  <c r="JQ174" i="4" s="1"/>
  <c r="JQ173" i="4" s="1"/>
  <c r="JQ172" i="4" s="1"/>
  <c r="JQ171" i="4" s="1"/>
  <c r="JQ170" i="4" s="1"/>
  <c r="JQ169" i="4" s="1"/>
  <c r="JQ168" i="4" s="1"/>
  <c r="JQ167" i="4" s="1"/>
  <c r="JQ166" i="4" s="1"/>
  <c r="JQ165" i="4" s="1"/>
  <c r="JQ164" i="4" s="1"/>
  <c r="JQ163" i="4" s="1"/>
  <c r="JQ162" i="4" s="1"/>
  <c r="JQ161" i="4" s="1"/>
  <c r="JQ160" i="4" s="1"/>
  <c r="JQ159" i="4" s="1"/>
  <c r="JQ158" i="4" s="1"/>
  <c r="JQ157" i="4" s="1"/>
  <c r="JQ156" i="4" s="1"/>
  <c r="JQ155" i="4" s="1"/>
  <c r="JQ154" i="4" s="1"/>
  <c r="JQ153" i="4" s="1"/>
  <c r="JQ152" i="4" s="1"/>
  <c r="JQ151" i="4" s="1"/>
  <c r="JQ150" i="4" s="1"/>
  <c r="JQ149" i="4" s="1"/>
  <c r="JQ148" i="4" s="1"/>
  <c r="JQ147" i="4" s="1"/>
  <c r="JQ146" i="4" s="1"/>
  <c r="JQ145" i="4" s="1"/>
  <c r="JQ144" i="4" s="1"/>
  <c r="JQ143" i="4" s="1"/>
  <c r="JQ142" i="4" s="1"/>
  <c r="JQ141" i="4" s="1"/>
  <c r="JQ140" i="4" s="1"/>
  <c r="JQ139" i="4" s="1"/>
  <c r="JQ138" i="4" s="1"/>
  <c r="JQ137" i="4" s="1"/>
  <c r="JQ136" i="4" s="1"/>
  <c r="JQ135" i="4" s="1"/>
  <c r="JQ134" i="4" s="1"/>
  <c r="JQ133" i="4" s="1"/>
  <c r="JQ132" i="4" s="1"/>
  <c r="JQ131" i="4" s="1"/>
  <c r="JQ130" i="4" s="1"/>
  <c r="JQ129" i="4" s="1"/>
  <c r="JQ128" i="4" s="1"/>
  <c r="JQ127" i="4" s="1"/>
  <c r="JQ126" i="4" s="1"/>
  <c r="JQ125" i="4" s="1"/>
  <c r="JQ124" i="4" s="1"/>
  <c r="JQ123" i="4" s="1"/>
  <c r="JQ122" i="4" s="1"/>
  <c r="JQ121" i="4" s="1"/>
  <c r="JQ120" i="4" s="1"/>
  <c r="JQ119" i="4" s="1"/>
  <c r="JQ118" i="4" s="1"/>
  <c r="JQ117" i="4" s="1"/>
  <c r="JQ116" i="4" s="1"/>
  <c r="JQ115" i="4" s="1"/>
  <c r="JQ114" i="4" s="1"/>
  <c r="JQ113" i="4" s="1"/>
  <c r="JQ112" i="4" s="1"/>
  <c r="JQ111" i="4" s="1"/>
  <c r="JQ110" i="4" s="1"/>
  <c r="JQ109" i="4" s="1"/>
  <c r="JQ108" i="4" s="1"/>
  <c r="JQ107" i="4" s="1"/>
  <c r="JW203" i="4"/>
  <c r="JW202" i="4" s="1"/>
  <c r="JW201" i="4" s="1"/>
  <c r="JW200" i="4" s="1"/>
  <c r="JW199" i="4" s="1"/>
  <c r="JW198" i="4" s="1"/>
  <c r="JW197" i="4" s="1"/>
  <c r="JW196" i="4" s="1"/>
  <c r="JW195" i="4" s="1"/>
  <c r="JW194" i="4" s="1"/>
  <c r="JW193" i="4" s="1"/>
  <c r="JW192" i="4" s="1"/>
  <c r="JW191" i="4" s="1"/>
  <c r="JW190" i="4" s="1"/>
  <c r="JW189" i="4" s="1"/>
  <c r="JW188" i="4" s="1"/>
  <c r="JW187" i="4" s="1"/>
  <c r="JW186" i="4" s="1"/>
  <c r="JW185" i="4" s="1"/>
  <c r="JW184" i="4" s="1"/>
  <c r="JW183" i="4" s="1"/>
  <c r="JW182" i="4" s="1"/>
  <c r="JW181" i="4" s="1"/>
  <c r="JW180" i="4" s="1"/>
  <c r="JW179" i="4" s="1"/>
  <c r="JW178" i="4" s="1"/>
  <c r="JW177" i="4" s="1"/>
  <c r="JW176" i="4" s="1"/>
  <c r="JW175" i="4" s="1"/>
  <c r="JW174" i="4" s="1"/>
  <c r="JW173" i="4" s="1"/>
  <c r="JW172" i="4" s="1"/>
  <c r="JW171" i="4" s="1"/>
  <c r="JW170" i="4" s="1"/>
  <c r="JW169" i="4" s="1"/>
  <c r="JW168" i="4" s="1"/>
  <c r="JW167" i="4" s="1"/>
  <c r="JW166" i="4" s="1"/>
  <c r="JW165" i="4" s="1"/>
  <c r="JW164" i="4" s="1"/>
  <c r="JW163" i="4" s="1"/>
  <c r="JW162" i="4" s="1"/>
  <c r="JW161" i="4" s="1"/>
  <c r="JW160" i="4" s="1"/>
  <c r="JW159" i="4" s="1"/>
  <c r="JW158" i="4" s="1"/>
  <c r="JW157" i="4" s="1"/>
  <c r="JW156" i="4" s="1"/>
  <c r="JW155" i="4" s="1"/>
  <c r="JW154" i="4" s="1"/>
  <c r="JW153" i="4" s="1"/>
  <c r="JW152" i="4" s="1"/>
  <c r="JW151" i="4" s="1"/>
  <c r="JW150" i="4" s="1"/>
  <c r="JW149" i="4" s="1"/>
  <c r="JW148" i="4" s="1"/>
  <c r="JW147" i="4" s="1"/>
  <c r="JW146" i="4" s="1"/>
  <c r="JW145" i="4" s="1"/>
  <c r="JW144" i="4" s="1"/>
  <c r="JW143" i="4" s="1"/>
  <c r="JW142" i="4" s="1"/>
  <c r="JW141" i="4" s="1"/>
  <c r="JW140" i="4" s="1"/>
  <c r="JW139" i="4" s="1"/>
  <c r="JW138" i="4" s="1"/>
  <c r="JW137" i="4" s="1"/>
  <c r="JW136" i="4" s="1"/>
  <c r="JW135" i="4" s="1"/>
  <c r="JW134" i="4" s="1"/>
  <c r="JW133" i="4" s="1"/>
  <c r="JW132" i="4" s="1"/>
  <c r="JW131" i="4" s="1"/>
  <c r="JW130" i="4" s="1"/>
  <c r="JW129" i="4" s="1"/>
  <c r="JW128" i="4" s="1"/>
  <c r="JW127" i="4" s="1"/>
  <c r="JW126" i="4" s="1"/>
  <c r="JW125" i="4" s="1"/>
  <c r="JW124" i="4" s="1"/>
  <c r="JW123" i="4" s="1"/>
  <c r="JW122" i="4" s="1"/>
  <c r="JW121" i="4" s="1"/>
  <c r="JW120" i="4" s="1"/>
  <c r="JW119" i="4" s="1"/>
  <c r="JW118" i="4" s="1"/>
  <c r="JW117" i="4" s="1"/>
  <c r="JW116" i="4" s="1"/>
  <c r="JW115" i="4" s="1"/>
  <c r="JW114" i="4" s="1"/>
  <c r="JW113" i="4" s="1"/>
  <c r="JW112" i="4" s="1"/>
  <c r="JW111" i="4" s="1"/>
  <c r="JW110" i="4" s="1"/>
  <c r="JW109" i="4" s="1"/>
  <c r="JW108" i="4" s="1"/>
  <c r="JW107" i="4" s="1"/>
  <c r="KC203" i="4"/>
  <c r="KC202" i="4" s="1"/>
  <c r="KC201" i="4" s="1"/>
  <c r="KC200" i="4" s="1"/>
  <c r="KC199" i="4" s="1"/>
  <c r="KC198" i="4" s="1"/>
  <c r="KC197" i="4" s="1"/>
  <c r="KC196" i="4" s="1"/>
  <c r="KC195" i="4" s="1"/>
  <c r="KC194" i="4" s="1"/>
  <c r="KC193" i="4" s="1"/>
  <c r="KC192" i="4" s="1"/>
  <c r="KC191" i="4" s="1"/>
  <c r="KC190" i="4" s="1"/>
  <c r="KC189" i="4" s="1"/>
  <c r="KC188" i="4" s="1"/>
  <c r="KC187" i="4" s="1"/>
  <c r="KC186" i="4" s="1"/>
  <c r="KC185" i="4" s="1"/>
  <c r="KC184" i="4" s="1"/>
  <c r="KC183" i="4" s="1"/>
  <c r="KC182" i="4" s="1"/>
  <c r="KC181" i="4" s="1"/>
  <c r="KC180" i="4" s="1"/>
  <c r="KC179" i="4" s="1"/>
  <c r="KC178" i="4" s="1"/>
  <c r="KC177" i="4" s="1"/>
  <c r="KC176" i="4" s="1"/>
  <c r="KC175" i="4" s="1"/>
  <c r="KC174" i="4" s="1"/>
  <c r="KC173" i="4" s="1"/>
  <c r="KC172" i="4" s="1"/>
  <c r="KC171" i="4" s="1"/>
  <c r="KC170" i="4" s="1"/>
  <c r="KC169" i="4" s="1"/>
  <c r="KC168" i="4" s="1"/>
  <c r="KC167" i="4" s="1"/>
  <c r="KC166" i="4" s="1"/>
  <c r="KC165" i="4" s="1"/>
  <c r="KC164" i="4" s="1"/>
  <c r="KC163" i="4" s="1"/>
  <c r="KC162" i="4" s="1"/>
  <c r="KC161" i="4" s="1"/>
  <c r="KC160" i="4" s="1"/>
  <c r="KC159" i="4" s="1"/>
  <c r="KC158" i="4" s="1"/>
  <c r="KC157" i="4" s="1"/>
  <c r="KC156" i="4" s="1"/>
  <c r="KC155" i="4" s="1"/>
  <c r="KC154" i="4" s="1"/>
  <c r="KC153" i="4" s="1"/>
  <c r="KC152" i="4" s="1"/>
  <c r="KC151" i="4" s="1"/>
  <c r="KC150" i="4" s="1"/>
  <c r="KC149" i="4" s="1"/>
  <c r="KC148" i="4" s="1"/>
  <c r="KC147" i="4" s="1"/>
  <c r="KC146" i="4" s="1"/>
  <c r="KC145" i="4" s="1"/>
  <c r="KC144" i="4" s="1"/>
  <c r="KC143" i="4" s="1"/>
  <c r="KC142" i="4" s="1"/>
  <c r="KC141" i="4" s="1"/>
  <c r="KC140" i="4" s="1"/>
  <c r="KC139" i="4" s="1"/>
  <c r="KC138" i="4" s="1"/>
  <c r="KC137" i="4" s="1"/>
  <c r="KC136" i="4" s="1"/>
  <c r="KC135" i="4" s="1"/>
  <c r="KC134" i="4" s="1"/>
  <c r="KC133" i="4" s="1"/>
  <c r="KC132" i="4" s="1"/>
  <c r="KC131" i="4" s="1"/>
  <c r="KC130" i="4" s="1"/>
  <c r="KC129" i="4" s="1"/>
  <c r="KC128" i="4" s="1"/>
  <c r="KC127" i="4" s="1"/>
  <c r="KC126" i="4" s="1"/>
  <c r="KC125" i="4" s="1"/>
  <c r="KC124" i="4" s="1"/>
  <c r="KC123" i="4" s="1"/>
  <c r="KC122" i="4" s="1"/>
  <c r="KC121" i="4" s="1"/>
  <c r="KC120" i="4" s="1"/>
  <c r="KC119" i="4" s="1"/>
  <c r="KC118" i="4" s="1"/>
  <c r="KC117" i="4" s="1"/>
  <c r="KC116" i="4" s="1"/>
  <c r="KC115" i="4" s="1"/>
  <c r="KC114" i="4" s="1"/>
  <c r="KC113" i="4" s="1"/>
  <c r="KC112" i="4" s="1"/>
  <c r="KC111" i="4" s="1"/>
  <c r="KC110" i="4" s="1"/>
  <c r="KC109" i="4" s="1"/>
  <c r="KC108" i="4" s="1"/>
  <c r="KC107" i="4" s="1"/>
  <c r="AQ200" i="4"/>
  <c r="AQ199" i="4" s="1"/>
  <c r="AQ198" i="4" s="1"/>
  <c r="AQ197" i="4" s="1"/>
  <c r="AQ196" i="4" s="1"/>
  <c r="AQ195" i="4" s="1"/>
  <c r="AQ194" i="4" s="1"/>
  <c r="AQ193" i="4" s="1"/>
  <c r="AQ192" i="4" s="1"/>
  <c r="AQ191" i="4" s="1"/>
  <c r="AQ190" i="4" s="1"/>
  <c r="AQ189" i="4" s="1"/>
  <c r="AQ188" i="4" s="1"/>
  <c r="AQ187" i="4" s="1"/>
  <c r="AQ186" i="4" s="1"/>
  <c r="AQ185" i="4" s="1"/>
  <c r="AQ184" i="4" s="1"/>
  <c r="AQ183" i="4" s="1"/>
  <c r="AQ182" i="4" s="1"/>
  <c r="AQ181" i="4" s="1"/>
  <c r="AQ180" i="4" s="1"/>
  <c r="AQ179" i="4" s="1"/>
  <c r="AQ178" i="4" s="1"/>
  <c r="AQ177" i="4" s="1"/>
  <c r="AQ176" i="4" s="1"/>
  <c r="AQ175" i="4" s="1"/>
  <c r="AQ174" i="4" s="1"/>
  <c r="AQ173" i="4" s="1"/>
  <c r="AQ172" i="4" s="1"/>
  <c r="AQ171" i="4" s="1"/>
  <c r="AQ170" i="4" s="1"/>
  <c r="AQ169" i="4" s="1"/>
  <c r="AQ168" i="4" s="1"/>
  <c r="AQ167" i="4" s="1"/>
  <c r="AQ166" i="4" s="1"/>
  <c r="AQ165" i="4" s="1"/>
  <c r="AQ164" i="4" s="1"/>
  <c r="AQ163" i="4" s="1"/>
  <c r="AQ162" i="4" s="1"/>
  <c r="AQ161" i="4" s="1"/>
  <c r="AQ160" i="4" s="1"/>
  <c r="AQ159" i="4" s="1"/>
  <c r="AQ158" i="4" s="1"/>
  <c r="AQ157" i="4" s="1"/>
  <c r="AQ156" i="4" s="1"/>
  <c r="AQ155" i="4" s="1"/>
  <c r="AQ154" i="4" s="1"/>
  <c r="AQ153" i="4" s="1"/>
  <c r="AQ152" i="4" s="1"/>
  <c r="AQ151" i="4" s="1"/>
  <c r="AQ150" i="4" s="1"/>
  <c r="AQ149" i="4" s="1"/>
  <c r="AQ148" i="4" s="1"/>
  <c r="AQ147" i="4" s="1"/>
  <c r="AQ146" i="4" s="1"/>
  <c r="AQ145" i="4" s="1"/>
  <c r="AQ144" i="4" s="1"/>
  <c r="AQ143" i="4" s="1"/>
  <c r="AQ142" i="4" s="1"/>
  <c r="AQ141" i="4" s="1"/>
  <c r="AQ140" i="4" s="1"/>
  <c r="AQ139" i="4" s="1"/>
  <c r="AQ138" i="4" s="1"/>
  <c r="AQ137" i="4" s="1"/>
  <c r="AQ136" i="4" s="1"/>
  <c r="AQ135" i="4" s="1"/>
  <c r="AQ134" i="4" s="1"/>
  <c r="AQ133" i="4" s="1"/>
  <c r="AQ132" i="4" s="1"/>
  <c r="AQ131" i="4" s="1"/>
  <c r="AQ130" i="4" s="1"/>
  <c r="AQ129" i="4" s="1"/>
  <c r="AQ128" i="4" s="1"/>
  <c r="AQ127" i="4" s="1"/>
  <c r="AQ126" i="4" s="1"/>
  <c r="AQ125" i="4" s="1"/>
  <c r="AQ124" i="4" s="1"/>
  <c r="AQ123" i="4" s="1"/>
  <c r="AQ122" i="4" s="1"/>
  <c r="AQ121" i="4" s="1"/>
  <c r="AQ120" i="4" s="1"/>
  <c r="AQ119" i="4" s="1"/>
  <c r="AQ118" i="4" s="1"/>
  <c r="AQ117" i="4" s="1"/>
  <c r="AQ116" i="4" s="1"/>
  <c r="AQ115" i="4" s="1"/>
  <c r="AQ114" i="4" s="1"/>
  <c r="AQ113" i="4" s="1"/>
  <c r="AQ112" i="4" s="1"/>
  <c r="AQ111" i="4" s="1"/>
  <c r="AQ110" i="4" s="1"/>
  <c r="AQ109" i="4" s="1"/>
  <c r="AQ108" i="4" s="1"/>
  <c r="AQ107" i="4" s="1"/>
  <c r="AQ106" i="4" s="1"/>
  <c r="AQ4" i="4" s="1"/>
  <c r="HJ200" i="4"/>
  <c r="HJ199" i="4" s="1"/>
  <c r="HJ198" i="4" s="1"/>
  <c r="HJ197" i="4" s="1"/>
  <c r="HJ196" i="4" s="1"/>
  <c r="HJ195" i="4" s="1"/>
  <c r="HJ194" i="4" s="1"/>
  <c r="HJ193" i="4" s="1"/>
  <c r="HJ192" i="4" s="1"/>
  <c r="HJ191" i="4" s="1"/>
  <c r="HJ190" i="4" s="1"/>
  <c r="HJ189" i="4" s="1"/>
  <c r="HJ188" i="4" s="1"/>
  <c r="HJ187" i="4" s="1"/>
  <c r="HJ186" i="4" s="1"/>
  <c r="HJ185" i="4" s="1"/>
  <c r="HJ184" i="4" s="1"/>
  <c r="HJ183" i="4" s="1"/>
  <c r="HJ182" i="4" s="1"/>
  <c r="HJ181" i="4" s="1"/>
  <c r="HJ180" i="4" s="1"/>
  <c r="HJ179" i="4" s="1"/>
  <c r="HJ178" i="4" s="1"/>
  <c r="HJ177" i="4" s="1"/>
  <c r="HJ176" i="4" s="1"/>
  <c r="HJ175" i="4" s="1"/>
  <c r="HJ174" i="4" s="1"/>
  <c r="HJ173" i="4" s="1"/>
  <c r="HJ172" i="4" s="1"/>
  <c r="HJ171" i="4" s="1"/>
  <c r="HJ170" i="4" s="1"/>
  <c r="HJ169" i="4" s="1"/>
  <c r="HJ168" i="4" s="1"/>
  <c r="HJ167" i="4" s="1"/>
  <c r="HJ166" i="4" s="1"/>
  <c r="HJ165" i="4" s="1"/>
  <c r="HJ164" i="4" s="1"/>
  <c r="HJ163" i="4" s="1"/>
  <c r="HJ162" i="4" s="1"/>
  <c r="HJ161" i="4" s="1"/>
  <c r="HJ160" i="4" s="1"/>
  <c r="HJ159" i="4" s="1"/>
  <c r="HJ158" i="4" s="1"/>
  <c r="HJ157" i="4" s="1"/>
  <c r="HJ156" i="4" s="1"/>
  <c r="HJ155" i="4" s="1"/>
  <c r="HJ154" i="4" s="1"/>
  <c r="HJ153" i="4" s="1"/>
  <c r="HJ152" i="4" s="1"/>
  <c r="HJ151" i="4" s="1"/>
  <c r="HJ150" i="4" s="1"/>
  <c r="HJ149" i="4" s="1"/>
  <c r="HJ148" i="4" s="1"/>
  <c r="HJ147" i="4" s="1"/>
  <c r="HJ146" i="4" s="1"/>
  <c r="HJ145" i="4" s="1"/>
  <c r="HJ144" i="4" s="1"/>
  <c r="HJ143" i="4" s="1"/>
  <c r="HJ142" i="4" s="1"/>
  <c r="HJ141" i="4" s="1"/>
  <c r="HJ140" i="4" s="1"/>
  <c r="HJ139" i="4" s="1"/>
  <c r="HJ138" i="4" s="1"/>
  <c r="HJ137" i="4" s="1"/>
  <c r="HJ136" i="4" s="1"/>
  <c r="HJ135" i="4" s="1"/>
  <c r="HJ134" i="4" s="1"/>
  <c r="HJ133" i="4" s="1"/>
  <c r="HJ132" i="4" s="1"/>
  <c r="HJ131" i="4" s="1"/>
  <c r="HJ130" i="4" s="1"/>
  <c r="HJ129" i="4" s="1"/>
  <c r="HJ128" i="4" s="1"/>
  <c r="HJ127" i="4" s="1"/>
  <c r="HJ126" i="4" s="1"/>
  <c r="HJ125" i="4" s="1"/>
  <c r="HJ124" i="4" s="1"/>
  <c r="HJ123" i="4" s="1"/>
  <c r="HJ122" i="4" s="1"/>
  <c r="HJ121" i="4" s="1"/>
  <c r="HJ120" i="4" s="1"/>
  <c r="HJ119" i="4" s="1"/>
  <c r="HJ118" i="4" s="1"/>
  <c r="HJ117" i="4" s="1"/>
  <c r="HJ116" i="4" s="1"/>
  <c r="HJ115" i="4" s="1"/>
  <c r="HJ114" i="4" s="1"/>
  <c r="HJ113" i="4" s="1"/>
  <c r="HJ112" i="4" s="1"/>
  <c r="HJ111" i="4" s="1"/>
  <c r="HJ110" i="4" s="1"/>
  <c r="HJ109" i="4" s="1"/>
  <c r="HJ108" i="4" s="1"/>
  <c r="HJ107" i="4" s="1"/>
  <c r="HK200" i="4"/>
  <c r="HK199" i="4" s="1"/>
  <c r="HK198" i="4" s="1"/>
  <c r="HK197" i="4" s="1"/>
  <c r="HK196" i="4" s="1"/>
  <c r="HK195" i="4" s="1"/>
  <c r="HK194" i="4" s="1"/>
  <c r="HK193" i="4" s="1"/>
  <c r="HK192" i="4" s="1"/>
  <c r="HK191" i="4" s="1"/>
  <c r="HK190" i="4" s="1"/>
  <c r="HK189" i="4" s="1"/>
  <c r="HK188" i="4" s="1"/>
  <c r="HK187" i="4" s="1"/>
  <c r="HK186" i="4" s="1"/>
  <c r="HK185" i="4" s="1"/>
  <c r="HK184" i="4" s="1"/>
  <c r="HK183" i="4" s="1"/>
  <c r="HK182" i="4" s="1"/>
  <c r="HK181" i="4" s="1"/>
  <c r="HK180" i="4" s="1"/>
  <c r="HK179" i="4" s="1"/>
  <c r="HK178" i="4" s="1"/>
  <c r="HK177" i="4" s="1"/>
  <c r="HK176" i="4" s="1"/>
  <c r="HK175" i="4" s="1"/>
  <c r="HK174" i="4" s="1"/>
  <c r="HK173" i="4" s="1"/>
  <c r="HK172" i="4" s="1"/>
  <c r="HK171" i="4" s="1"/>
  <c r="HK170" i="4" s="1"/>
  <c r="HK169" i="4" s="1"/>
  <c r="HK168" i="4" s="1"/>
  <c r="HK167" i="4" s="1"/>
  <c r="HK166" i="4" s="1"/>
  <c r="HK165" i="4" s="1"/>
  <c r="HK164" i="4" s="1"/>
  <c r="HK163" i="4" s="1"/>
  <c r="HK162" i="4" s="1"/>
  <c r="HK161" i="4" s="1"/>
  <c r="HK160" i="4" s="1"/>
  <c r="HK159" i="4" s="1"/>
  <c r="HK158" i="4" s="1"/>
  <c r="HK157" i="4" s="1"/>
  <c r="HK156" i="4" s="1"/>
  <c r="HK155" i="4" s="1"/>
  <c r="HK154" i="4" s="1"/>
  <c r="HK153" i="4" s="1"/>
  <c r="HK152" i="4" s="1"/>
  <c r="HK151" i="4" s="1"/>
  <c r="HK150" i="4" s="1"/>
  <c r="HK149" i="4" s="1"/>
  <c r="HK148" i="4" s="1"/>
  <c r="HK147" i="4" s="1"/>
  <c r="HK146" i="4" s="1"/>
  <c r="HK145" i="4" s="1"/>
  <c r="HK144" i="4" s="1"/>
  <c r="HK143" i="4" s="1"/>
  <c r="HK142" i="4" s="1"/>
  <c r="HK141" i="4" s="1"/>
  <c r="HK140" i="4" s="1"/>
  <c r="HK139" i="4" s="1"/>
  <c r="HK138" i="4" s="1"/>
  <c r="HK137" i="4" s="1"/>
  <c r="HK136" i="4" s="1"/>
  <c r="HK135" i="4" s="1"/>
  <c r="HK134" i="4" s="1"/>
  <c r="HK133" i="4" s="1"/>
  <c r="HK132" i="4" s="1"/>
  <c r="HK131" i="4" s="1"/>
  <c r="HK130" i="4" s="1"/>
  <c r="HK129" i="4" s="1"/>
  <c r="HK128" i="4" s="1"/>
  <c r="HK127" i="4" s="1"/>
  <c r="HK126" i="4" s="1"/>
  <c r="HK125" i="4" s="1"/>
  <c r="HK124" i="4" s="1"/>
  <c r="HK123" i="4" s="1"/>
  <c r="HK122" i="4" s="1"/>
  <c r="HK121" i="4" s="1"/>
  <c r="HK120" i="4" s="1"/>
  <c r="HK119" i="4" s="1"/>
  <c r="HK118" i="4" s="1"/>
  <c r="HK117" i="4" s="1"/>
  <c r="HK116" i="4" s="1"/>
  <c r="HK115" i="4" s="1"/>
  <c r="HK114" i="4" s="1"/>
  <c r="HK113" i="4" s="1"/>
  <c r="HK112" i="4" s="1"/>
  <c r="HK111" i="4" s="1"/>
  <c r="HK110" i="4" s="1"/>
  <c r="HK109" i="4" s="1"/>
  <c r="HK108" i="4" s="1"/>
  <c r="HK107" i="4" s="1"/>
  <c r="IF179" i="4"/>
  <c r="IF178" i="4" s="1"/>
  <c r="IF177" i="4" s="1"/>
  <c r="IF176" i="4" s="1"/>
  <c r="IF175" i="4" s="1"/>
  <c r="IF174" i="4" s="1"/>
  <c r="IF173" i="4" s="1"/>
  <c r="IF172" i="4" s="1"/>
  <c r="IF171" i="4" s="1"/>
  <c r="IF170" i="4" s="1"/>
  <c r="IF169" i="4" s="1"/>
  <c r="IF168" i="4" s="1"/>
  <c r="IF167" i="4" s="1"/>
  <c r="IF166" i="4" s="1"/>
  <c r="IF165" i="4" s="1"/>
  <c r="IF164" i="4" s="1"/>
  <c r="IF163" i="4" s="1"/>
  <c r="IF162" i="4" s="1"/>
  <c r="IF161" i="4" s="1"/>
  <c r="IF160" i="4" s="1"/>
  <c r="IF159" i="4" s="1"/>
  <c r="IF158" i="4" s="1"/>
  <c r="IF157" i="4" s="1"/>
  <c r="IF156" i="4" s="1"/>
  <c r="IF155" i="4" s="1"/>
  <c r="IF154" i="4" s="1"/>
  <c r="IF153" i="4" s="1"/>
  <c r="IF152" i="4" s="1"/>
  <c r="IF151" i="4" s="1"/>
  <c r="IF150" i="4" s="1"/>
  <c r="IF149" i="4" s="1"/>
  <c r="IF148" i="4" s="1"/>
  <c r="IF147" i="4" s="1"/>
  <c r="IF146" i="4" s="1"/>
  <c r="IF145" i="4" s="1"/>
  <c r="IF144" i="4" s="1"/>
  <c r="IF143" i="4" s="1"/>
  <c r="IF142" i="4" s="1"/>
  <c r="IF141" i="4" s="1"/>
  <c r="IF140" i="4" s="1"/>
  <c r="IF139" i="4" s="1"/>
  <c r="IF138" i="4" s="1"/>
  <c r="IF137" i="4" s="1"/>
  <c r="IF136" i="4" s="1"/>
  <c r="IF135" i="4" s="1"/>
  <c r="IF134" i="4" s="1"/>
  <c r="IF133" i="4" s="1"/>
  <c r="IF132" i="4" s="1"/>
  <c r="IF131" i="4" s="1"/>
  <c r="IF130" i="4" s="1"/>
  <c r="IF129" i="4" s="1"/>
  <c r="IF128" i="4" s="1"/>
  <c r="IF127" i="4" s="1"/>
  <c r="IF126" i="4" s="1"/>
  <c r="IF125" i="4" s="1"/>
  <c r="IF124" i="4" s="1"/>
  <c r="IF123" i="4" s="1"/>
  <c r="IF122" i="4" s="1"/>
  <c r="IF121" i="4" s="1"/>
  <c r="IF120" i="4" s="1"/>
  <c r="IF119" i="4" s="1"/>
  <c r="IF118" i="4" s="1"/>
  <c r="IF117" i="4" s="1"/>
  <c r="IF116" i="4" s="1"/>
  <c r="IF115" i="4" s="1"/>
  <c r="IF114" i="4" s="1"/>
  <c r="IF113" i="4" s="1"/>
  <c r="IF112" i="4" s="1"/>
  <c r="IF111" i="4" s="1"/>
  <c r="IF110" i="4" s="1"/>
  <c r="IF109" i="4" s="1"/>
  <c r="IF108" i="4" s="1"/>
  <c r="IF107" i="4" s="1"/>
  <c r="IE179" i="4"/>
  <c r="IE178" i="4" s="1"/>
  <c r="IE177" i="4" s="1"/>
  <c r="IE176" i="4" s="1"/>
  <c r="IE175" i="4" s="1"/>
  <c r="IE174" i="4" s="1"/>
  <c r="IE173" i="4" s="1"/>
  <c r="IE172" i="4" s="1"/>
  <c r="IE171" i="4" s="1"/>
  <c r="IE170" i="4" s="1"/>
  <c r="IE169" i="4" s="1"/>
  <c r="IE168" i="4" s="1"/>
  <c r="IE167" i="4" s="1"/>
  <c r="IE166" i="4" s="1"/>
  <c r="IE165" i="4" s="1"/>
  <c r="IE164" i="4" s="1"/>
  <c r="IE163" i="4" s="1"/>
  <c r="IE162" i="4" s="1"/>
  <c r="IE161" i="4" s="1"/>
  <c r="IE160" i="4" s="1"/>
  <c r="IE159" i="4" s="1"/>
  <c r="IE158" i="4" s="1"/>
  <c r="IE157" i="4" s="1"/>
  <c r="IE156" i="4" s="1"/>
  <c r="IE155" i="4" s="1"/>
  <c r="IE154" i="4" s="1"/>
  <c r="IE153" i="4" s="1"/>
  <c r="IE152" i="4" s="1"/>
  <c r="IE151" i="4" s="1"/>
  <c r="IE150" i="4" s="1"/>
  <c r="IE149" i="4" s="1"/>
  <c r="IE148" i="4" s="1"/>
  <c r="IE147" i="4" s="1"/>
  <c r="IE146" i="4" s="1"/>
  <c r="IE145" i="4" s="1"/>
  <c r="IE144" i="4" s="1"/>
  <c r="IE143" i="4" s="1"/>
  <c r="IE142" i="4" s="1"/>
  <c r="IE141" i="4" s="1"/>
  <c r="IE140" i="4" s="1"/>
  <c r="IE139" i="4" s="1"/>
  <c r="IE138" i="4" s="1"/>
  <c r="IE137" i="4" s="1"/>
  <c r="IE136" i="4" s="1"/>
  <c r="IE135" i="4" s="1"/>
  <c r="IE134" i="4" s="1"/>
  <c r="IE133" i="4" s="1"/>
  <c r="IE132" i="4" s="1"/>
  <c r="IE131" i="4" s="1"/>
  <c r="IE130" i="4" s="1"/>
  <c r="IE129" i="4" s="1"/>
  <c r="IE128" i="4" s="1"/>
  <c r="IE127" i="4" s="1"/>
  <c r="IE126" i="4" s="1"/>
  <c r="IE125" i="4" s="1"/>
  <c r="IE124" i="4" s="1"/>
  <c r="IE123" i="4" s="1"/>
  <c r="IE122" i="4" s="1"/>
  <c r="IE121" i="4" s="1"/>
  <c r="IE120" i="4" s="1"/>
  <c r="IE119" i="4" s="1"/>
  <c r="IE118" i="4" s="1"/>
  <c r="IE117" i="4" s="1"/>
  <c r="IE116" i="4" s="1"/>
  <c r="IE115" i="4" s="1"/>
  <c r="IE114" i="4" s="1"/>
  <c r="IE113" i="4" s="1"/>
  <c r="IE112" i="4" s="1"/>
  <c r="IE111" i="4" s="1"/>
  <c r="IE110" i="4" s="1"/>
  <c r="IE109" i="4" s="1"/>
  <c r="IE108" i="4" s="1"/>
  <c r="IE107" i="4" s="1"/>
  <c r="II179" i="4"/>
  <c r="II178" i="4" s="1"/>
  <c r="II177" i="4" s="1"/>
  <c r="II176" i="4" s="1"/>
  <c r="II175" i="4" s="1"/>
  <c r="II174" i="4" s="1"/>
  <c r="II173" i="4" s="1"/>
  <c r="II172" i="4" s="1"/>
  <c r="II171" i="4" s="1"/>
  <c r="II170" i="4" s="1"/>
  <c r="II169" i="4" s="1"/>
  <c r="II168" i="4" s="1"/>
  <c r="II167" i="4" s="1"/>
  <c r="II166" i="4" s="1"/>
  <c r="II165" i="4" s="1"/>
  <c r="II164" i="4" s="1"/>
  <c r="II163" i="4" s="1"/>
  <c r="II162" i="4" s="1"/>
  <c r="II161" i="4" s="1"/>
  <c r="II160" i="4" s="1"/>
  <c r="II159" i="4" s="1"/>
  <c r="II158" i="4" s="1"/>
  <c r="II157" i="4" s="1"/>
  <c r="II156" i="4" s="1"/>
  <c r="II155" i="4" s="1"/>
  <c r="II154" i="4" s="1"/>
  <c r="II153" i="4" s="1"/>
  <c r="II152" i="4" s="1"/>
  <c r="II151" i="4" s="1"/>
  <c r="II150" i="4" s="1"/>
  <c r="II149" i="4" s="1"/>
  <c r="II148" i="4" s="1"/>
  <c r="II147" i="4" s="1"/>
  <c r="II146" i="4" s="1"/>
  <c r="II145" i="4" s="1"/>
  <c r="II144" i="4" s="1"/>
  <c r="II143" i="4" s="1"/>
  <c r="II142" i="4" s="1"/>
  <c r="II141" i="4" s="1"/>
  <c r="II140" i="4" s="1"/>
  <c r="II139" i="4" s="1"/>
  <c r="II138" i="4" s="1"/>
  <c r="II137" i="4" s="1"/>
  <c r="II136" i="4" s="1"/>
  <c r="II135" i="4" s="1"/>
  <c r="II134" i="4" s="1"/>
  <c r="II133" i="4" s="1"/>
  <c r="II132" i="4" s="1"/>
  <c r="II131" i="4" s="1"/>
  <c r="II130" i="4" s="1"/>
  <c r="II129" i="4" s="1"/>
  <c r="II128" i="4" s="1"/>
  <c r="II127" i="4" s="1"/>
  <c r="II126" i="4" s="1"/>
  <c r="II125" i="4" s="1"/>
  <c r="II124" i="4" s="1"/>
  <c r="II123" i="4" s="1"/>
  <c r="II122" i="4" s="1"/>
  <c r="II121" i="4" s="1"/>
  <c r="II120" i="4" s="1"/>
  <c r="II119" i="4" s="1"/>
  <c r="II118" i="4" s="1"/>
  <c r="II117" i="4" s="1"/>
  <c r="II116" i="4" s="1"/>
  <c r="II115" i="4" s="1"/>
  <c r="II114" i="4" s="1"/>
  <c r="II113" i="4" s="1"/>
  <c r="II112" i="4" s="1"/>
  <c r="II111" i="4" s="1"/>
  <c r="II110" i="4" s="1"/>
  <c r="II109" i="4" s="1"/>
  <c r="II108" i="4" s="1"/>
  <c r="II107" i="4" s="1"/>
  <c r="IH179" i="4"/>
  <c r="IH178" i="4" s="1"/>
  <c r="IH177" i="4" s="1"/>
  <c r="IH176" i="4" s="1"/>
  <c r="IH175" i="4" s="1"/>
  <c r="IH174" i="4" s="1"/>
  <c r="IH173" i="4" s="1"/>
  <c r="IH172" i="4" s="1"/>
  <c r="IH171" i="4" s="1"/>
  <c r="IH170" i="4" s="1"/>
  <c r="IH169" i="4" s="1"/>
  <c r="IH168" i="4" s="1"/>
  <c r="IH167" i="4" s="1"/>
  <c r="IH166" i="4" s="1"/>
  <c r="IH165" i="4" s="1"/>
  <c r="IH164" i="4" s="1"/>
  <c r="IH163" i="4" s="1"/>
  <c r="IH162" i="4" s="1"/>
  <c r="IH161" i="4" s="1"/>
  <c r="IH160" i="4" s="1"/>
  <c r="IH159" i="4" s="1"/>
  <c r="IH158" i="4" s="1"/>
  <c r="IH157" i="4" s="1"/>
  <c r="IH156" i="4" s="1"/>
  <c r="IH155" i="4" s="1"/>
  <c r="IH154" i="4" s="1"/>
  <c r="IH153" i="4" s="1"/>
  <c r="IH152" i="4" s="1"/>
  <c r="IH151" i="4" s="1"/>
  <c r="IH150" i="4" s="1"/>
  <c r="IH149" i="4" s="1"/>
  <c r="IH148" i="4" s="1"/>
  <c r="IH147" i="4" s="1"/>
  <c r="IH146" i="4" s="1"/>
  <c r="IH145" i="4" s="1"/>
  <c r="IH144" i="4" s="1"/>
  <c r="IH143" i="4" s="1"/>
  <c r="IH142" i="4" s="1"/>
  <c r="IH141" i="4" s="1"/>
  <c r="IH140" i="4" s="1"/>
  <c r="IH139" i="4" s="1"/>
  <c r="IH138" i="4" s="1"/>
  <c r="IH137" i="4" s="1"/>
  <c r="IH136" i="4" s="1"/>
  <c r="IH135" i="4" s="1"/>
  <c r="IH134" i="4" s="1"/>
  <c r="IH133" i="4" s="1"/>
  <c r="IH132" i="4" s="1"/>
  <c r="IH131" i="4" s="1"/>
  <c r="IH130" i="4" s="1"/>
  <c r="IH129" i="4" s="1"/>
  <c r="IH128" i="4" s="1"/>
  <c r="IH127" i="4" s="1"/>
  <c r="IH126" i="4" s="1"/>
  <c r="IH125" i="4" s="1"/>
  <c r="IH124" i="4" s="1"/>
  <c r="IH123" i="4" s="1"/>
  <c r="IH122" i="4" s="1"/>
  <c r="IH121" i="4" s="1"/>
  <c r="IH120" i="4" s="1"/>
  <c r="IH119" i="4" s="1"/>
  <c r="IH118" i="4" s="1"/>
  <c r="IH117" i="4" s="1"/>
  <c r="IH116" i="4" s="1"/>
  <c r="IH115" i="4" s="1"/>
  <c r="IH114" i="4" s="1"/>
  <c r="IH113" i="4" s="1"/>
  <c r="IH112" i="4" s="1"/>
  <c r="IH111" i="4" s="1"/>
  <c r="IH110" i="4" s="1"/>
  <c r="IH109" i="4" s="1"/>
  <c r="IH108" i="4" s="1"/>
  <c r="IH107" i="4" s="1"/>
  <c r="IG179" i="4"/>
  <c r="IG178" i="4" s="1"/>
  <c r="IG177" i="4" s="1"/>
  <c r="IG176" i="4" s="1"/>
  <c r="IG175" i="4" s="1"/>
  <c r="IG174" i="4" s="1"/>
  <c r="IG173" i="4" s="1"/>
  <c r="IG172" i="4" s="1"/>
  <c r="IG171" i="4" s="1"/>
  <c r="IG170" i="4" s="1"/>
  <c r="IG169" i="4" s="1"/>
  <c r="IG168" i="4" s="1"/>
  <c r="IG167" i="4" s="1"/>
  <c r="IG166" i="4" s="1"/>
  <c r="IG165" i="4" s="1"/>
  <c r="IG164" i="4" s="1"/>
  <c r="IG163" i="4" s="1"/>
  <c r="IG162" i="4" s="1"/>
  <c r="IG161" i="4" s="1"/>
  <c r="IG160" i="4" s="1"/>
  <c r="IG159" i="4" s="1"/>
  <c r="IG158" i="4" s="1"/>
  <c r="IG157" i="4" s="1"/>
  <c r="IG156" i="4" s="1"/>
  <c r="IG155" i="4" s="1"/>
  <c r="IG154" i="4" s="1"/>
  <c r="IG153" i="4" s="1"/>
  <c r="IG152" i="4" s="1"/>
  <c r="IG151" i="4" s="1"/>
  <c r="IG150" i="4" s="1"/>
  <c r="IG149" i="4" s="1"/>
  <c r="IG148" i="4" s="1"/>
  <c r="IG147" i="4" s="1"/>
  <c r="IG146" i="4" s="1"/>
  <c r="IG145" i="4" s="1"/>
  <c r="IG144" i="4" s="1"/>
  <c r="IG143" i="4" s="1"/>
  <c r="IG142" i="4" s="1"/>
  <c r="IG141" i="4" s="1"/>
  <c r="IG140" i="4" s="1"/>
  <c r="IG139" i="4" s="1"/>
  <c r="IG138" i="4" s="1"/>
  <c r="IG137" i="4" s="1"/>
  <c r="IG136" i="4" s="1"/>
  <c r="IG135" i="4" s="1"/>
  <c r="IG134" i="4" s="1"/>
  <c r="IG133" i="4" s="1"/>
  <c r="IG132" i="4" s="1"/>
  <c r="IG131" i="4" s="1"/>
  <c r="IG130" i="4" s="1"/>
  <c r="IG129" i="4" s="1"/>
  <c r="IG128" i="4" s="1"/>
  <c r="IG127" i="4" s="1"/>
  <c r="IG126" i="4" s="1"/>
  <c r="IG125" i="4" s="1"/>
  <c r="IG124" i="4" s="1"/>
  <c r="IG123" i="4" s="1"/>
  <c r="IG122" i="4" s="1"/>
  <c r="IG121" i="4" s="1"/>
  <c r="IG120" i="4" s="1"/>
  <c r="IG119" i="4" s="1"/>
  <c r="IG118" i="4" s="1"/>
  <c r="IG117" i="4" s="1"/>
  <c r="IG116" i="4" s="1"/>
  <c r="IG115" i="4" s="1"/>
  <c r="IG114" i="4" s="1"/>
  <c r="IG113" i="4" s="1"/>
  <c r="IG112" i="4" s="1"/>
  <c r="IG111" i="4" s="1"/>
  <c r="IG110" i="4" s="1"/>
  <c r="IG109" i="4" s="1"/>
  <c r="IG108" i="4" s="1"/>
  <c r="IG107" i="4" s="1"/>
  <c r="IJ155" i="4"/>
  <c r="IJ154" i="4" s="1"/>
  <c r="IJ153" i="4" s="1"/>
  <c r="IJ152" i="4" s="1"/>
  <c r="IJ151" i="4" s="1"/>
  <c r="IJ150" i="4" s="1"/>
  <c r="IJ149" i="4" s="1"/>
  <c r="IJ148" i="4" s="1"/>
  <c r="IJ147" i="4" s="1"/>
  <c r="IJ146" i="4" s="1"/>
  <c r="IJ145" i="4" s="1"/>
  <c r="IJ144" i="4" s="1"/>
  <c r="IJ143" i="4" s="1"/>
  <c r="IJ142" i="4" s="1"/>
  <c r="IJ141" i="4" s="1"/>
  <c r="IJ140" i="4" s="1"/>
  <c r="IJ139" i="4" s="1"/>
  <c r="IJ138" i="4" s="1"/>
  <c r="IJ137" i="4" s="1"/>
  <c r="IJ136" i="4" s="1"/>
  <c r="IJ135" i="4" s="1"/>
  <c r="IJ134" i="4" s="1"/>
  <c r="IJ133" i="4" s="1"/>
  <c r="IJ132" i="4" s="1"/>
  <c r="IJ131" i="4" s="1"/>
  <c r="IJ130" i="4" s="1"/>
  <c r="IJ129" i="4" s="1"/>
  <c r="IJ128" i="4" s="1"/>
  <c r="IJ127" i="4" s="1"/>
  <c r="IJ126" i="4" s="1"/>
  <c r="IJ125" i="4" s="1"/>
  <c r="IJ124" i="4" s="1"/>
  <c r="IJ123" i="4" s="1"/>
  <c r="IJ122" i="4" s="1"/>
  <c r="IJ121" i="4" s="1"/>
  <c r="IJ120" i="4" s="1"/>
  <c r="IJ119" i="4" s="1"/>
  <c r="IJ118" i="4" s="1"/>
  <c r="IJ117" i="4" s="1"/>
  <c r="IJ116" i="4" s="1"/>
  <c r="IJ115" i="4" s="1"/>
  <c r="IJ114" i="4" s="1"/>
  <c r="IJ113" i="4" s="1"/>
  <c r="IJ112" i="4" s="1"/>
  <c r="IJ111" i="4" s="1"/>
  <c r="IJ110" i="4" s="1"/>
  <c r="IJ109" i="4" s="1"/>
  <c r="IJ108" i="4" s="1"/>
  <c r="IJ107" i="4" s="1"/>
  <c r="ID155" i="4"/>
  <c r="ID154" i="4" s="1"/>
  <c r="ID153" i="4" s="1"/>
  <c r="ID152" i="4" s="1"/>
  <c r="ID151" i="4" s="1"/>
  <c r="ID150" i="4" s="1"/>
  <c r="ID149" i="4" s="1"/>
  <c r="ID148" i="4" s="1"/>
  <c r="ID147" i="4" s="1"/>
  <c r="ID146" i="4" s="1"/>
  <c r="ID145" i="4" s="1"/>
  <c r="ID144" i="4" s="1"/>
  <c r="ID143" i="4" s="1"/>
  <c r="ID142" i="4" s="1"/>
  <c r="ID141" i="4" s="1"/>
  <c r="ID140" i="4" s="1"/>
  <c r="ID139" i="4" s="1"/>
  <c r="ID138" i="4" s="1"/>
  <c r="ID137" i="4" s="1"/>
  <c r="ID136" i="4" s="1"/>
  <c r="ID135" i="4" s="1"/>
  <c r="ID134" i="4" s="1"/>
  <c r="ID133" i="4" s="1"/>
  <c r="ID132" i="4" s="1"/>
  <c r="ID131" i="4" s="1"/>
  <c r="ID130" i="4" s="1"/>
  <c r="ID129" i="4" s="1"/>
  <c r="ID128" i="4" s="1"/>
  <c r="ID127" i="4" s="1"/>
  <c r="ID126" i="4" s="1"/>
  <c r="ID125" i="4" s="1"/>
  <c r="ID124" i="4" s="1"/>
  <c r="ID123" i="4" s="1"/>
  <c r="ID122" i="4" s="1"/>
  <c r="ID121" i="4" s="1"/>
  <c r="ID120" i="4" s="1"/>
  <c r="ID119" i="4" s="1"/>
  <c r="ID118" i="4" s="1"/>
  <c r="ID117" i="4" s="1"/>
  <c r="ID116" i="4" s="1"/>
  <c r="ID115" i="4" s="1"/>
  <c r="ID114" i="4" s="1"/>
  <c r="ID113" i="4" s="1"/>
  <c r="ID112" i="4" s="1"/>
  <c r="ID111" i="4" s="1"/>
  <c r="ID110" i="4" s="1"/>
  <c r="ID109" i="4" s="1"/>
  <c r="ID108" i="4" s="1"/>
  <c r="ID107" i="4" s="1"/>
  <c r="AN131" i="4"/>
  <c r="AN130" i="4" s="1"/>
  <c r="AN129" i="4" s="1"/>
  <c r="AN128" i="4" s="1"/>
  <c r="AN127" i="4" s="1"/>
  <c r="AN126" i="4" s="1"/>
  <c r="AN125" i="4" s="1"/>
  <c r="AN124" i="4" s="1"/>
  <c r="AN123" i="4" s="1"/>
  <c r="AN122" i="4" s="1"/>
  <c r="AN121" i="4" s="1"/>
  <c r="AN120" i="4" s="1"/>
  <c r="AN119" i="4" s="1"/>
  <c r="AN118" i="4" s="1"/>
  <c r="AN117" i="4" s="1"/>
  <c r="AN116" i="4" s="1"/>
  <c r="AN115" i="4" s="1"/>
  <c r="AN114" i="4" s="1"/>
  <c r="AN113" i="4" s="1"/>
  <c r="AN112" i="4" s="1"/>
  <c r="AN111" i="4" s="1"/>
  <c r="AN110" i="4" s="1"/>
  <c r="AN109" i="4" s="1"/>
  <c r="AN108" i="4" s="1"/>
  <c r="AN107" i="4" s="1"/>
  <c r="AN106" i="4" s="1"/>
  <c r="AN4" i="4" s="1"/>
  <c r="JB131" i="4"/>
  <c r="JB130" i="4" s="1"/>
  <c r="JB129" i="4" s="1"/>
  <c r="JB128" i="4" s="1"/>
  <c r="JB127" i="4" s="1"/>
  <c r="JB126" i="4" s="1"/>
  <c r="JB125" i="4" s="1"/>
  <c r="JB124" i="4" s="1"/>
  <c r="JB123" i="4" s="1"/>
  <c r="JB122" i="4" s="1"/>
  <c r="JB121" i="4" s="1"/>
  <c r="JB120" i="4" s="1"/>
  <c r="JB119" i="4" s="1"/>
  <c r="JB118" i="4" s="1"/>
  <c r="JB117" i="4" s="1"/>
  <c r="JB116" i="4" s="1"/>
  <c r="JB115" i="4" s="1"/>
  <c r="JB114" i="4" s="1"/>
  <c r="JB113" i="4" s="1"/>
  <c r="JB112" i="4" s="1"/>
  <c r="JB111" i="4" s="1"/>
  <c r="JB110" i="4" s="1"/>
  <c r="JB109" i="4" s="1"/>
  <c r="JB108" i="4" s="1"/>
  <c r="JB107" i="4" s="1"/>
  <c r="HG131" i="4"/>
  <c r="HG130" i="4" s="1"/>
  <c r="HG129" i="4" s="1"/>
  <c r="HG128" i="4" s="1"/>
  <c r="HG127" i="4" s="1"/>
  <c r="HG126" i="4" s="1"/>
  <c r="HG125" i="4" s="1"/>
  <c r="HG124" i="4" s="1"/>
  <c r="HG123" i="4" s="1"/>
  <c r="HG122" i="4" s="1"/>
  <c r="HG121" i="4" s="1"/>
  <c r="HG120" i="4" s="1"/>
  <c r="HG119" i="4" s="1"/>
  <c r="HG118" i="4" s="1"/>
  <c r="HG117" i="4" s="1"/>
  <c r="HG116" i="4" s="1"/>
  <c r="HG115" i="4" s="1"/>
  <c r="HG114" i="4" s="1"/>
  <c r="HG113" i="4" s="1"/>
  <c r="HG112" i="4" s="1"/>
  <c r="HG111" i="4" s="1"/>
  <c r="HG110" i="4" s="1"/>
  <c r="HG109" i="4" s="1"/>
  <c r="HG108" i="4" s="1"/>
  <c r="HG107" i="4" s="1"/>
  <c r="JX107" i="4"/>
  <c r="JY107" i="4"/>
  <c r="HU186" i="4"/>
  <c r="HU185" i="4" s="1"/>
  <c r="HU184" i="4" s="1"/>
  <c r="HU183" i="4" s="1"/>
  <c r="HU182" i="4" s="1"/>
  <c r="HU181" i="4" s="1"/>
  <c r="HU180" i="4" s="1"/>
  <c r="HU179" i="4" s="1"/>
  <c r="HU178" i="4" s="1"/>
  <c r="HU177" i="4" s="1"/>
  <c r="HU176" i="4" s="1"/>
  <c r="HU175" i="4" s="1"/>
  <c r="HU174" i="4" s="1"/>
  <c r="HU173" i="4" s="1"/>
  <c r="HU172" i="4" s="1"/>
  <c r="HU171" i="4" s="1"/>
  <c r="HU170" i="4" s="1"/>
  <c r="HU169" i="4" s="1"/>
  <c r="HU168" i="4" s="1"/>
  <c r="HU167" i="4" s="1"/>
  <c r="HU166" i="4" s="1"/>
  <c r="HU165" i="4" s="1"/>
  <c r="HU164" i="4" s="1"/>
  <c r="HU163" i="4" s="1"/>
  <c r="HU162" i="4" s="1"/>
  <c r="HU161" i="4" s="1"/>
  <c r="HU160" i="4" s="1"/>
  <c r="HU159" i="4" s="1"/>
  <c r="HU158" i="4" s="1"/>
  <c r="HU157" i="4" s="1"/>
  <c r="HU156" i="4" s="1"/>
  <c r="HU155" i="4" s="1"/>
  <c r="HU154" i="4" s="1"/>
  <c r="HU153" i="4" s="1"/>
  <c r="HU152" i="4" s="1"/>
  <c r="HU151" i="4" s="1"/>
  <c r="HU150" i="4" s="1"/>
  <c r="HU149" i="4" s="1"/>
  <c r="HU148" i="4" s="1"/>
  <c r="HU147" i="4" s="1"/>
  <c r="HU146" i="4" s="1"/>
  <c r="HU145" i="4" s="1"/>
  <c r="HU144" i="4" s="1"/>
  <c r="HU143" i="4" s="1"/>
  <c r="HU142" i="4" s="1"/>
  <c r="HU141" i="4" s="1"/>
  <c r="HU140" i="4" s="1"/>
  <c r="HU139" i="4" s="1"/>
  <c r="HU138" i="4" s="1"/>
  <c r="HU137" i="4" s="1"/>
  <c r="HU136" i="4" s="1"/>
  <c r="HU135" i="4" s="1"/>
  <c r="HU134" i="4" s="1"/>
  <c r="HU133" i="4" s="1"/>
  <c r="HU132" i="4" s="1"/>
  <c r="HU131" i="4" s="1"/>
  <c r="HU130" i="4" s="1"/>
  <c r="HU129" i="4" s="1"/>
  <c r="HU128" i="4" s="1"/>
  <c r="HU127" i="4" s="1"/>
  <c r="HU126" i="4" s="1"/>
  <c r="HU125" i="4" s="1"/>
  <c r="HU124" i="4" s="1"/>
  <c r="HU123" i="4" s="1"/>
  <c r="HU122" i="4" s="1"/>
  <c r="HU121" i="4" s="1"/>
  <c r="HU120" i="4" s="1"/>
  <c r="HU119" i="4" s="1"/>
  <c r="HU118" i="4" s="1"/>
  <c r="HU117" i="4" s="1"/>
  <c r="HU116" i="4" s="1"/>
  <c r="HU115" i="4" s="1"/>
  <c r="HU114" i="4" s="1"/>
  <c r="HU113" i="4" s="1"/>
  <c r="HU112" i="4" s="1"/>
  <c r="HU111" i="4" s="1"/>
  <c r="HU110" i="4" s="1"/>
  <c r="HU109" i="4" s="1"/>
  <c r="HU108" i="4" s="1"/>
  <c r="HU107" i="4" s="1"/>
  <c r="IN190" i="4"/>
  <c r="IN189" i="4" s="1"/>
  <c r="IN188" i="4" s="1"/>
  <c r="IN187" i="4" s="1"/>
  <c r="IN186" i="4" s="1"/>
  <c r="IN185" i="4" s="1"/>
  <c r="IN184" i="4" s="1"/>
  <c r="IN183" i="4" s="1"/>
  <c r="IN182" i="4" s="1"/>
  <c r="IN181" i="4" s="1"/>
  <c r="IN180" i="4" s="1"/>
  <c r="IN179" i="4" s="1"/>
  <c r="IN178" i="4" s="1"/>
  <c r="IN177" i="4" s="1"/>
  <c r="IN176" i="4" s="1"/>
  <c r="IN175" i="4" s="1"/>
  <c r="IN174" i="4" s="1"/>
  <c r="IN173" i="4" s="1"/>
  <c r="IN172" i="4" s="1"/>
  <c r="IN171" i="4" s="1"/>
  <c r="IN170" i="4" s="1"/>
  <c r="IN169" i="4" s="1"/>
  <c r="IN168" i="4" s="1"/>
  <c r="IN167" i="4" s="1"/>
  <c r="IN166" i="4" s="1"/>
  <c r="IN165" i="4" s="1"/>
  <c r="IN164" i="4" s="1"/>
  <c r="IN163" i="4" s="1"/>
  <c r="IN162" i="4" s="1"/>
  <c r="IN161" i="4" s="1"/>
  <c r="IN160" i="4" s="1"/>
  <c r="IN159" i="4" s="1"/>
  <c r="IN158" i="4" s="1"/>
  <c r="IN157" i="4" s="1"/>
  <c r="IN156" i="4" s="1"/>
  <c r="IN155" i="4" s="1"/>
  <c r="IN154" i="4" s="1"/>
  <c r="IN153" i="4" s="1"/>
  <c r="IN152" i="4" s="1"/>
  <c r="IN151" i="4" s="1"/>
  <c r="IN150" i="4" s="1"/>
  <c r="IN149" i="4" s="1"/>
  <c r="IN148" i="4" s="1"/>
  <c r="IN147" i="4" s="1"/>
  <c r="IN146" i="4" s="1"/>
  <c r="IN145" i="4" s="1"/>
  <c r="IN144" i="4" s="1"/>
  <c r="IN143" i="4" s="1"/>
  <c r="IN142" i="4" s="1"/>
  <c r="IN141" i="4" s="1"/>
  <c r="IN140" i="4" s="1"/>
  <c r="IN139" i="4" s="1"/>
  <c r="IN138" i="4" s="1"/>
  <c r="IN137" i="4" s="1"/>
  <c r="IN136" i="4" s="1"/>
  <c r="IN135" i="4" s="1"/>
  <c r="IN134" i="4" s="1"/>
  <c r="IN133" i="4" s="1"/>
  <c r="IN132" i="4" s="1"/>
  <c r="IN131" i="4" s="1"/>
  <c r="IN130" i="4" s="1"/>
  <c r="IN129" i="4" s="1"/>
  <c r="IN128" i="4" s="1"/>
  <c r="IN127" i="4" s="1"/>
  <c r="IN126" i="4" s="1"/>
  <c r="IN125" i="4" s="1"/>
  <c r="IN124" i="4" s="1"/>
  <c r="IN123" i="4" s="1"/>
  <c r="IN122" i="4" s="1"/>
  <c r="IN121" i="4" s="1"/>
  <c r="IN120" i="4" s="1"/>
  <c r="IN119" i="4" s="1"/>
  <c r="IN118" i="4" s="1"/>
  <c r="IN117" i="4" s="1"/>
  <c r="IN116" i="4" s="1"/>
  <c r="IN115" i="4" s="1"/>
  <c r="IN114" i="4" s="1"/>
  <c r="IN113" i="4" s="1"/>
  <c r="IN112" i="4" s="1"/>
  <c r="IN111" i="4" s="1"/>
  <c r="IN110" i="4" s="1"/>
  <c r="IN109" i="4" s="1"/>
  <c r="IN108" i="4" s="1"/>
  <c r="IN107" i="4" s="1"/>
  <c r="HX190" i="4"/>
  <c r="HX189" i="4" s="1"/>
  <c r="HX188" i="4" s="1"/>
  <c r="HX187" i="4" s="1"/>
  <c r="HX186" i="4" s="1"/>
  <c r="HX185" i="4" s="1"/>
  <c r="HX184" i="4" s="1"/>
  <c r="HX183" i="4" s="1"/>
  <c r="HX182" i="4" s="1"/>
  <c r="HX181" i="4" s="1"/>
  <c r="HX180" i="4" s="1"/>
  <c r="HX179" i="4" s="1"/>
  <c r="HX178" i="4" s="1"/>
  <c r="HX177" i="4" s="1"/>
  <c r="HX176" i="4" s="1"/>
  <c r="HX175" i="4" s="1"/>
  <c r="HX174" i="4" s="1"/>
  <c r="HX173" i="4" s="1"/>
  <c r="HX172" i="4" s="1"/>
  <c r="HX171" i="4" s="1"/>
  <c r="HX170" i="4" s="1"/>
  <c r="HX169" i="4" s="1"/>
  <c r="HX168" i="4" s="1"/>
  <c r="HX167" i="4" s="1"/>
  <c r="HX166" i="4" s="1"/>
  <c r="HX165" i="4" s="1"/>
  <c r="HX164" i="4" s="1"/>
  <c r="HX163" i="4" s="1"/>
  <c r="HX162" i="4" s="1"/>
  <c r="HX161" i="4" s="1"/>
  <c r="HX160" i="4" s="1"/>
  <c r="HX159" i="4" s="1"/>
  <c r="HX158" i="4" s="1"/>
  <c r="HX157" i="4" s="1"/>
  <c r="HX156" i="4" s="1"/>
  <c r="HX155" i="4" s="1"/>
  <c r="HX154" i="4" s="1"/>
  <c r="HX153" i="4" s="1"/>
  <c r="HX152" i="4" s="1"/>
  <c r="HX151" i="4" s="1"/>
  <c r="HX150" i="4" s="1"/>
  <c r="HX149" i="4" s="1"/>
  <c r="HX148" i="4" s="1"/>
  <c r="HX147" i="4" s="1"/>
  <c r="HX146" i="4" s="1"/>
  <c r="HX145" i="4" s="1"/>
  <c r="HX144" i="4" s="1"/>
  <c r="HX143" i="4" s="1"/>
  <c r="HX142" i="4" s="1"/>
  <c r="HX141" i="4" s="1"/>
  <c r="HX140" i="4" s="1"/>
  <c r="HX139" i="4" s="1"/>
  <c r="HX138" i="4" s="1"/>
  <c r="HX137" i="4" s="1"/>
  <c r="HX136" i="4" s="1"/>
  <c r="HX135" i="4" s="1"/>
  <c r="HX134" i="4" s="1"/>
  <c r="HX133" i="4" s="1"/>
  <c r="HX132" i="4" s="1"/>
  <c r="HX131" i="4" s="1"/>
  <c r="HX130" i="4" s="1"/>
  <c r="HX129" i="4" s="1"/>
  <c r="HX128" i="4" s="1"/>
  <c r="HX127" i="4" s="1"/>
  <c r="HX126" i="4" s="1"/>
  <c r="HX125" i="4" s="1"/>
  <c r="HX124" i="4" s="1"/>
  <c r="HX123" i="4" s="1"/>
  <c r="HX122" i="4" s="1"/>
  <c r="HX121" i="4" s="1"/>
  <c r="HX120" i="4" s="1"/>
  <c r="HX119" i="4" s="1"/>
  <c r="HX118" i="4" s="1"/>
  <c r="HX117" i="4" s="1"/>
  <c r="HX116" i="4" s="1"/>
  <c r="HX115" i="4" s="1"/>
  <c r="HX114" i="4" s="1"/>
  <c r="HX113" i="4" s="1"/>
  <c r="HX112" i="4" s="1"/>
  <c r="HX111" i="4" s="1"/>
  <c r="HX110" i="4" s="1"/>
  <c r="HX109" i="4" s="1"/>
  <c r="HX108" i="4" s="1"/>
  <c r="HX107" i="4" s="1"/>
  <c r="IO190" i="4"/>
  <c r="IO189" i="4" s="1"/>
  <c r="IO188" i="4" s="1"/>
  <c r="IO187" i="4" s="1"/>
  <c r="IO186" i="4" s="1"/>
  <c r="IO185" i="4" s="1"/>
  <c r="IO184" i="4" s="1"/>
  <c r="IO183" i="4" s="1"/>
  <c r="IO182" i="4" s="1"/>
  <c r="IO181" i="4" s="1"/>
  <c r="IO180" i="4" s="1"/>
  <c r="IO179" i="4" s="1"/>
  <c r="IO178" i="4" s="1"/>
  <c r="IO177" i="4" s="1"/>
  <c r="IO176" i="4" s="1"/>
  <c r="IO175" i="4" s="1"/>
  <c r="IO174" i="4" s="1"/>
  <c r="IO173" i="4" s="1"/>
  <c r="IO172" i="4" s="1"/>
  <c r="IO171" i="4" s="1"/>
  <c r="IO170" i="4" s="1"/>
  <c r="IO169" i="4" s="1"/>
  <c r="IO168" i="4" s="1"/>
  <c r="IO167" i="4" s="1"/>
  <c r="IO166" i="4" s="1"/>
  <c r="IO165" i="4" s="1"/>
  <c r="IO164" i="4" s="1"/>
  <c r="IO163" i="4" s="1"/>
  <c r="IO162" i="4" s="1"/>
  <c r="IO161" i="4" s="1"/>
  <c r="IO160" i="4" s="1"/>
  <c r="IO159" i="4" s="1"/>
  <c r="IO158" i="4" s="1"/>
  <c r="IO157" i="4" s="1"/>
  <c r="IO156" i="4" s="1"/>
  <c r="IO155" i="4" s="1"/>
  <c r="IO154" i="4" s="1"/>
  <c r="IO153" i="4" s="1"/>
  <c r="IO152" i="4" s="1"/>
  <c r="IO151" i="4" s="1"/>
  <c r="IO150" i="4" s="1"/>
  <c r="IO149" i="4" s="1"/>
  <c r="IO148" i="4" s="1"/>
  <c r="IO147" i="4" s="1"/>
  <c r="IO146" i="4" s="1"/>
  <c r="IO145" i="4" s="1"/>
  <c r="IO144" i="4" s="1"/>
  <c r="IO143" i="4" s="1"/>
  <c r="IO142" i="4" s="1"/>
  <c r="IO141" i="4" s="1"/>
  <c r="IO140" i="4" s="1"/>
  <c r="IO139" i="4" s="1"/>
  <c r="IO138" i="4" s="1"/>
  <c r="IO137" i="4" s="1"/>
  <c r="IO136" i="4" s="1"/>
  <c r="IO135" i="4" s="1"/>
  <c r="IO134" i="4" s="1"/>
  <c r="IO133" i="4" s="1"/>
  <c r="IO132" i="4" s="1"/>
  <c r="IO131" i="4" s="1"/>
  <c r="IO130" i="4" s="1"/>
  <c r="IO129" i="4" s="1"/>
  <c r="IO128" i="4" s="1"/>
  <c r="IO127" i="4" s="1"/>
  <c r="IO126" i="4" s="1"/>
  <c r="IO125" i="4" s="1"/>
  <c r="IO124" i="4" s="1"/>
  <c r="IO123" i="4" s="1"/>
  <c r="IO122" i="4" s="1"/>
  <c r="IO121" i="4" s="1"/>
  <c r="IO120" i="4" s="1"/>
  <c r="IO119" i="4" s="1"/>
  <c r="IO118" i="4" s="1"/>
  <c r="IO117" i="4" s="1"/>
  <c r="IO116" i="4" s="1"/>
  <c r="IO115" i="4" s="1"/>
  <c r="IO114" i="4" s="1"/>
  <c r="IO113" i="4" s="1"/>
  <c r="IO112" i="4" s="1"/>
  <c r="IO111" i="4" s="1"/>
  <c r="IO110" i="4" s="1"/>
  <c r="IO109" i="4" s="1"/>
  <c r="IO108" i="4" s="1"/>
  <c r="IO107" i="4" s="1"/>
  <c r="JF190" i="4"/>
  <c r="JF189" i="4" s="1"/>
  <c r="JF188" i="4" s="1"/>
  <c r="JF187" i="4" s="1"/>
  <c r="JF186" i="4" s="1"/>
  <c r="JF185" i="4" s="1"/>
  <c r="JF184" i="4" s="1"/>
  <c r="JF183" i="4" s="1"/>
  <c r="JF182" i="4" s="1"/>
  <c r="JF181" i="4" s="1"/>
  <c r="JF180" i="4" s="1"/>
  <c r="JF179" i="4" s="1"/>
  <c r="JF178" i="4" s="1"/>
  <c r="JF177" i="4" s="1"/>
  <c r="JF176" i="4" s="1"/>
  <c r="JF175" i="4" s="1"/>
  <c r="JF174" i="4" s="1"/>
  <c r="JF173" i="4" s="1"/>
  <c r="JF172" i="4" s="1"/>
  <c r="JF171" i="4" s="1"/>
  <c r="JF170" i="4" s="1"/>
  <c r="JF169" i="4" s="1"/>
  <c r="JF168" i="4" s="1"/>
  <c r="JF167" i="4" s="1"/>
  <c r="JF166" i="4" s="1"/>
  <c r="JF165" i="4" s="1"/>
  <c r="JF164" i="4" s="1"/>
  <c r="JF163" i="4" s="1"/>
  <c r="JF162" i="4" s="1"/>
  <c r="JF161" i="4" s="1"/>
  <c r="JF160" i="4" s="1"/>
  <c r="JF159" i="4" s="1"/>
  <c r="JF158" i="4" s="1"/>
  <c r="JF157" i="4" s="1"/>
  <c r="JF156" i="4" s="1"/>
  <c r="JF155" i="4" s="1"/>
  <c r="JF154" i="4" s="1"/>
  <c r="JF153" i="4" s="1"/>
  <c r="JF152" i="4" s="1"/>
  <c r="JF151" i="4" s="1"/>
  <c r="JF150" i="4" s="1"/>
  <c r="JF149" i="4" s="1"/>
  <c r="JF148" i="4" s="1"/>
  <c r="JF147" i="4" s="1"/>
  <c r="JF146" i="4" s="1"/>
  <c r="JF145" i="4" s="1"/>
  <c r="JF144" i="4" s="1"/>
  <c r="JF143" i="4" s="1"/>
  <c r="JF142" i="4" s="1"/>
  <c r="JF141" i="4" s="1"/>
  <c r="JF140" i="4" s="1"/>
  <c r="JF139" i="4" s="1"/>
  <c r="JF138" i="4" s="1"/>
  <c r="JF137" i="4" s="1"/>
  <c r="JF136" i="4" s="1"/>
  <c r="JF135" i="4" s="1"/>
  <c r="JF134" i="4" s="1"/>
  <c r="JF133" i="4" s="1"/>
  <c r="JF132" i="4" s="1"/>
  <c r="JF131" i="4" s="1"/>
  <c r="JF130" i="4" s="1"/>
  <c r="JF129" i="4" s="1"/>
  <c r="JF128" i="4" s="1"/>
  <c r="JF127" i="4" s="1"/>
  <c r="JF126" i="4" s="1"/>
  <c r="JF125" i="4" s="1"/>
  <c r="JF124" i="4" s="1"/>
  <c r="JF123" i="4" s="1"/>
  <c r="JF122" i="4" s="1"/>
  <c r="JF121" i="4" s="1"/>
  <c r="JF120" i="4" s="1"/>
  <c r="JF119" i="4" s="1"/>
  <c r="JF118" i="4" s="1"/>
  <c r="JF117" i="4" s="1"/>
  <c r="JF116" i="4" s="1"/>
  <c r="JF115" i="4" s="1"/>
  <c r="JF114" i="4" s="1"/>
  <c r="JF113" i="4" s="1"/>
  <c r="JF112" i="4" s="1"/>
  <c r="JF111" i="4" s="1"/>
  <c r="JF110" i="4" s="1"/>
  <c r="JF109" i="4" s="1"/>
  <c r="JF108" i="4" s="1"/>
  <c r="JF107" i="4" s="1"/>
  <c r="JG190" i="4"/>
  <c r="JG189" i="4" s="1"/>
  <c r="JG188" i="4" s="1"/>
  <c r="JG187" i="4" s="1"/>
  <c r="JG186" i="4" s="1"/>
  <c r="JG185" i="4" s="1"/>
  <c r="JG184" i="4" s="1"/>
  <c r="JG183" i="4" s="1"/>
  <c r="JG182" i="4" s="1"/>
  <c r="JG181" i="4" s="1"/>
  <c r="JG180" i="4" s="1"/>
  <c r="JG179" i="4" s="1"/>
  <c r="JG178" i="4" s="1"/>
  <c r="JG177" i="4" s="1"/>
  <c r="JG176" i="4" s="1"/>
  <c r="JG175" i="4" s="1"/>
  <c r="JG174" i="4" s="1"/>
  <c r="JG173" i="4" s="1"/>
  <c r="JG172" i="4" s="1"/>
  <c r="JG171" i="4" s="1"/>
  <c r="JG170" i="4" s="1"/>
  <c r="JG169" i="4" s="1"/>
  <c r="JG168" i="4" s="1"/>
  <c r="JG167" i="4" s="1"/>
  <c r="JG166" i="4" s="1"/>
  <c r="JG165" i="4" s="1"/>
  <c r="JG164" i="4" s="1"/>
  <c r="JG163" i="4" s="1"/>
  <c r="JG162" i="4" s="1"/>
  <c r="JG161" i="4" s="1"/>
  <c r="JG160" i="4" s="1"/>
  <c r="JG159" i="4" s="1"/>
  <c r="JG158" i="4" s="1"/>
  <c r="JG157" i="4" s="1"/>
  <c r="JG156" i="4" s="1"/>
  <c r="JG155" i="4" s="1"/>
  <c r="JG154" i="4" s="1"/>
  <c r="JG153" i="4" s="1"/>
  <c r="JG152" i="4" s="1"/>
  <c r="JG151" i="4" s="1"/>
  <c r="JG150" i="4" s="1"/>
  <c r="JG149" i="4" s="1"/>
  <c r="JG148" i="4" s="1"/>
  <c r="JG147" i="4" s="1"/>
  <c r="JG146" i="4" s="1"/>
  <c r="JG145" i="4" s="1"/>
  <c r="JG144" i="4" s="1"/>
  <c r="JG143" i="4" s="1"/>
  <c r="JG142" i="4" s="1"/>
  <c r="JG141" i="4" s="1"/>
  <c r="JG140" i="4" s="1"/>
  <c r="JG139" i="4" s="1"/>
  <c r="JG138" i="4" s="1"/>
  <c r="JG137" i="4" s="1"/>
  <c r="JG136" i="4" s="1"/>
  <c r="JG135" i="4" s="1"/>
  <c r="JG134" i="4" s="1"/>
  <c r="JG133" i="4" s="1"/>
  <c r="JG132" i="4" s="1"/>
  <c r="JG131" i="4" s="1"/>
  <c r="JG130" i="4" s="1"/>
  <c r="JG129" i="4" s="1"/>
  <c r="JG128" i="4" s="1"/>
  <c r="JG127" i="4" s="1"/>
  <c r="JG126" i="4" s="1"/>
  <c r="JG125" i="4" s="1"/>
  <c r="JG124" i="4" s="1"/>
  <c r="JG123" i="4" s="1"/>
  <c r="JG122" i="4" s="1"/>
  <c r="JG121" i="4" s="1"/>
  <c r="JG120" i="4" s="1"/>
  <c r="JG119" i="4" s="1"/>
  <c r="JG118" i="4" s="1"/>
  <c r="JG117" i="4" s="1"/>
  <c r="JG116" i="4" s="1"/>
  <c r="JG115" i="4" s="1"/>
  <c r="JG114" i="4" s="1"/>
  <c r="JG113" i="4" s="1"/>
  <c r="JG112" i="4" s="1"/>
  <c r="JG111" i="4" s="1"/>
  <c r="JG110" i="4" s="1"/>
  <c r="JG109" i="4" s="1"/>
  <c r="JG108" i="4" s="1"/>
  <c r="JG107" i="4" s="1"/>
  <c r="HI190" i="4"/>
  <c r="HI189" i="4" s="1"/>
  <c r="HI188" i="4" s="1"/>
  <c r="HI187" i="4" s="1"/>
  <c r="HI186" i="4" s="1"/>
  <c r="HI185" i="4" s="1"/>
  <c r="HI184" i="4" s="1"/>
  <c r="HI183" i="4" s="1"/>
  <c r="HI182" i="4" s="1"/>
  <c r="HI181" i="4" s="1"/>
  <c r="HI180" i="4" s="1"/>
  <c r="HI179" i="4" s="1"/>
  <c r="HI178" i="4" s="1"/>
  <c r="HI177" i="4" s="1"/>
  <c r="HI176" i="4" s="1"/>
  <c r="HI175" i="4" s="1"/>
  <c r="HI174" i="4" s="1"/>
  <c r="HI173" i="4" s="1"/>
  <c r="HI172" i="4" s="1"/>
  <c r="HI171" i="4" s="1"/>
  <c r="HI170" i="4" s="1"/>
  <c r="HI169" i="4" s="1"/>
  <c r="HI168" i="4" s="1"/>
  <c r="HI167" i="4" s="1"/>
  <c r="HI166" i="4" s="1"/>
  <c r="HI165" i="4" s="1"/>
  <c r="HI164" i="4" s="1"/>
  <c r="HI163" i="4" s="1"/>
  <c r="HI162" i="4" s="1"/>
  <c r="HI161" i="4" s="1"/>
  <c r="HI160" i="4" s="1"/>
  <c r="HI159" i="4" s="1"/>
  <c r="HI158" i="4" s="1"/>
  <c r="HI157" i="4" s="1"/>
  <c r="HI156" i="4" s="1"/>
  <c r="HI155" i="4" s="1"/>
  <c r="HI154" i="4" s="1"/>
  <c r="HI153" i="4" s="1"/>
  <c r="HI152" i="4" s="1"/>
  <c r="HI151" i="4" s="1"/>
  <c r="HI150" i="4" s="1"/>
  <c r="HI149" i="4" s="1"/>
  <c r="HI148" i="4" s="1"/>
  <c r="HI147" i="4" s="1"/>
  <c r="HI146" i="4" s="1"/>
  <c r="HI145" i="4" s="1"/>
  <c r="HI144" i="4" s="1"/>
  <c r="HI143" i="4" s="1"/>
  <c r="HI142" i="4" s="1"/>
  <c r="HI141" i="4" s="1"/>
  <c r="HI140" i="4" s="1"/>
  <c r="HI139" i="4" s="1"/>
  <c r="HI138" i="4" s="1"/>
  <c r="HI137" i="4" s="1"/>
  <c r="HI136" i="4" s="1"/>
  <c r="HI135" i="4" s="1"/>
  <c r="HI134" i="4" s="1"/>
  <c r="HI133" i="4" s="1"/>
  <c r="HI132" i="4" s="1"/>
  <c r="HI131" i="4" s="1"/>
  <c r="HI130" i="4" s="1"/>
  <c r="HI129" i="4" s="1"/>
  <c r="HI128" i="4" s="1"/>
  <c r="HI127" i="4" s="1"/>
  <c r="HI126" i="4" s="1"/>
  <c r="HI125" i="4" s="1"/>
  <c r="HI124" i="4" s="1"/>
  <c r="HI123" i="4" s="1"/>
  <c r="HI122" i="4" s="1"/>
  <c r="HI121" i="4" s="1"/>
  <c r="HI120" i="4" s="1"/>
  <c r="HI119" i="4" s="1"/>
  <c r="HI118" i="4" s="1"/>
  <c r="HI117" i="4" s="1"/>
  <c r="HI116" i="4" s="1"/>
  <c r="HI115" i="4" s="1"/>
  <c r="HI114" i="4" s="1"/>
  <c r="HI113" i="4" s="1"/>
  <c r="HI112" i="4" s="1"/>
  <c r="HI111" i="4" s="1"/>
  <c r="HI110" i="4" s="1"/>
  <c r="HI109" i="4" s="1"/>
  <c r="HI108" i="4" s="1"/>
  <c r="HI107" i="4" s="1"/>
  <c r="HO190" i="4"/>
  <c r="HO189" i="4" s="1"/>
  <c r="HO188" i="4" s="1"/>
  <c r="HO187" i="4" s="1"/>
  <c r="HO186" i="4" s="1"/>
  <c r="HO185" i="4" s="1"/>
  <c r="HO184" i="4" s="1"/>
  <c r="HO183" i="4" s="1"/>
  <c r="HO182" i="4" s="1"/>
  <c r="HO181" i="4" s="1"/>
  <c r="HO180" i="4" s="1"/>
  <c r="HO179" i="4" s="1"/>
  <c r="HO178" i="4" s="1"/>
  <c r="HO177" i="4" s="1"/>
  <c r="HO176" i="4" s="1"/>
  <c r="HO175" i="4" s="1"/>
  <c r="HO174" i="4" s="1"/>
  <c r="HO173" i="4" s="1"/>
  <c r="HO172" i="4" s="1"/>
  <c r="HO171" i="4" s="1"/>
  <c r="HO170" i="4" s="1"/>
  <c r="HO169" i="4" s="1"/>
  <c r="HO168" i="4" s="1"/>
  <c r="HO167" i="4" s="1"/>
  <c r="HO166" i="4" s="1"/>
  <c r="HO165" i="4" s="1"/>
  <c r="HO164" i="4" s="1"/>
  <c r="HO163" i="4" s="1"/>
  <c r="HO162" i="4" s="1"/>
  <c r="HO161" i="4" s="1"/>
  <c r="HO160" i="4" s="1"/>
  <c r="HO159" i="4" s="1"/>
  <c r="HO158" i="4" s="1"/>
  <c r="HO157" i="4" s="1"/>
  <c r="HO156" i="4" s="1"/>
  <c r="HO155" i="4" s="1"/>
  <c r="HO154" i="4" s="1"/>
  <c r="HO153" i="4" s="1"/>
  <c r="HO152" i="4" s="1"/>
  <c r="HO151" i="4" s="1"/>
  <c r="HO150" i="4" s="1"/>
  <c r="HO149" i="4" s="1"/>
  <c r="HO148" i="4" s="1"/>
  <c r="HO147" i="4" s="1"/>
  <c r="HO146" i="4" s="1"/>
  <c r="HO145" i="4" s="1"/>
  <c r="HO144" i="4" s="1"/>
  <c r="HO143" i="4" s="1"/>
  <c r="HO142" i="4" s="1"/>
  <c r="HO141" i="4" s="1"/>
  <c r="HO140" i="4" s="1"/>
  <c r="HO139" i="4" s="1"/>
  <c r="HO138" i="4" s="1"/>
  <c r="HO137" i="4" s="1"/>
  <c r="HO136" i="4" s="1"/>
  <c r="HO135" i="4" s="1"/>
  <c r="HO134" i="4" s="1"/>
  <c r="HO133" i="4" s="1"/>
  <c r="HO132" i="4" s="1"/>
  <c r="HO131" i="4" s="1"/>
  <c r="HO130" i="4" s="1"/>
  <c r="HO129" i="4" s="1"/>
  <c r="HO128" i="4" s="1"/>
  <c r="HO127" i="4" s="1"/>
  <c r="HO126" i="4" s="1"/>
  <c r="HO125" i="4" s="1"/>
  <c r="HO124" i="4" s="1"/>
  <c r="HO123" i="4" s="1"/>
  <c r="HO122" i="4" s="1"/>
  <c r="HO121" i="4" s="1"/>
  <c r="HO120" i="4" s="1"/>
  <c r="HO119" i="4" s="1"/>
  <c r="HO118" i="4" s="1"/>
  <c r="HO117" i="4" s="1"/>
  <c r="HO116" i="4" s="1"/>
  <c r="HO115" i="4" s="1"/>
  <c r="HO114" i="4" s="1"/>
  <c r="HO113" i="4" s="1"/>
  <c r="HO112" i="4" s="1"/>
  <c r="HO111" i="4" s="1"/>
  <c r="HO110" i="4" s="1"/>
  <c r="HO109" i="4" s="1"/>
  <c r="HO108" i="4" s="1"/>
  <c r="HO107" i="4" s="1"/>
  <c r="HR182" i="4"/>
  <c r="HR181" i="4" s="1"/>
  <c r="HR180" i="4" s="1"/>
  <c r="HR179" i="4" s="1"/>
  <c r="HR178" i="4" s="1"/>
  <c r="HR177" i="4" s="1"/>
  <c r="HR176" i="4" s="1"/>
  <c r="HR175" i="4" s="1"/>
  <c r="HR174" i="4" s="1"/>
  <c r="HR173" i="4" s="1"/>
  <c r="HR172" i="4" s="1"/>
  <c r="HR171" i="4" s="1"/>
  <c r="HR170" i="4" s="1"/>
  <c r="HR169" i="4" s="1"/>
  <c r="HR168" i="4" s="1"/>
  <c r="HR167" i="4" s="1"/>
  <c r="HR166" i="4" s="1"/>
  <c r="HR165" i="4" s="1"/>
  <c r="HR164" i="4" s="1"/>
  <c r="HR163" i="4" s="1"/>
  <c r="HR162" i="4" s="1"/>
  <c r="HR161" i="4" s="1"/>
  <c r="HR160" i="4" s="1"/>
  <c r="HR159" i="4" s="1"/>
  <c r="HR158" i="4" s="1"/>
  <c r="HR157" i="4" s="1"/>
  <c r="HR156" i="4" s="1"/>
  <c r="HR155" i="4" s="1"/>
  <c r="HR154" i="4" s="1"/>
  <c r="HR153" i="4" s="1"/>
  <c r="HR152" i="4" s="1"/>
  <c r="HR151" i="4" s="1"/>
  <c r="HR150" i="4" s="1"/>
  <c r="HR149" i="4" s="1"/>
  <c r="HR148" i="4" s="1"/>
  <c r="HR147" i="4" s="1"/>
  <c r="HR146" i="4" s="1"/>
  <c r="HR145" i="4" s="1"/>
  <c r="HR144" i="4" s="1"/>
  <c r="HR143" i="4" s="1"/>
  <c r="HR142" i="4" s="1"/>
  <c r="HR141" i="4" s="1"/>
  <c r="HR140" i="4" s="1"/>
  <c r="HR139" i="4" s="1"/>
  <c r="HR138" i="4" s="1"/>
  <c r="HR137" i="4" s="1"/>
  <c r="HR136" i="4" s="1"/>
  <c r="HR135" i="4" s="1"/>
  <c r="HR134" i="4" s="1"/>
  <c r="HR133" i="4" s="1"/>
  <c r="HR132" i="4" s="1"/>
  <c r="HR131" i="4" s="1"/>
  <c r="HR130" i="4" s="1"/>
  <c r="HR129" i="4" s="1"/>
  <c r="HR128" i="4" s="1"/>
  <c r="HR127" i="4" s="1"/>
  <c r="HR126" i="4" s="1"/>
  <c r="HR125" i="4" s="1"/>
  <c r="HR124" i="4" s="1"/>
  <c r="HR123" i="4" s="1"/>
  <c r="HR122" i="4" s="1"/>
  <c r="HR121" i="4" s="1"/>
  <c r="HR120" i="4" s="1"/>
  <c r="HR119" i="4" s="1"/>
  <c r="HR118" i="4" s="1"/>
  <c r="HR117" i="4" s="1"/>
  <c r="HR116" i="4" s="1"/>
  <c r="HR115" i="4" s="1"/>
  <c r="HR114" i="4" s="1"/>
  <c r="HR113" i="4" s="1"/>
  <c r="HR112" i="4" s="1"/>
  <c r="HR111" i="4" s="1"/>
  <c r="HR110" i="4" s="1"/>
  <c r="HR109" i="4" s="1"/>
  <c r="HR108" i="4" s="1"/>
  <c r="HR107" i="4" s="1"/>
  <c r="IA171" i="4"/>
  <c r="IA170" i="4" s="1"/>
  <c r="IA169" i="4" s="1"/>
  <c r="IA168" i="4" s="1"/>
  <c r="IA167" i="4" s="1"/>
  <c r="IA166" i="4" s="1"/>
  <c r="IA165" i="4" s="1"/>
  <c r="IA164" i="4" s="1"/>
  <c r="IA163" i="4" s="1"/>
  <c r="IA162" i="4" s="1"/>
  <c r="IA161" i="4" s="1"/>
  <c r="IA160" i="4" s="1"/>
  <c r="IA159" i="4" s="1"/>
  <c r="IA158" i="4" s="1"/>
  <c r="IA157" i="4" s="1"/>
  <c r="IA156" i="4" s="1"/>
  <c r="IA155" i="4" s="1"/>
  <c r="IA154" i="4" s="1"/>
  <c r="IA153" i="4" s="1"/>
  <c r="IA152" i="4" s="1"/>
  <c r="IA151" i="4" s="1"/>
  <c r="IA150" i="4" s="1"/>
  <c r="IA149" i="4" s="1"/>
  <c r="IA148" i="4" s="1"/>
  <c r="IA147" i="4" s="1"/>
  <c r="IA146" i="4" s="1"/>
  <c r="IA145" i="4" s="1"/>
  <c r="IA144" i="4" s="1"/>
  <c r="IA143" i="4" s="1"/>
  <c r="IA142" i="4" s="1"/>
  <c r="IA141" i="4" s="1"/>
  <c r="IA140" i="4" s="1"/>
  <c r="IA139" i="4" s="1"/>
  <c r="IA138" i="4" s="1"/>
  <c r="IA137" i="4" s="1"/>
  <c r="IA136" i="4" s="1"/>
  <c r="IA135" i="4" s="1"/>
  <c r="IA134" i="4" s="1"/>
  <c r="IA133" i="4" s="1"/>
  <c r="IA132" i="4" s="1"/>
  <c r="IA131" i="4" s="1"/>
  <c r="IA130" i="4" s="1"/>
  <c r="IA129" i="4" s="1"/>
  <c r="IA128" i="4" s="1"/>
  <c r="IA127" i="4" s="1"/>
  <c r="IA126" i="4" s="1"/>
  <c r="IA125" i="4" s="1"/>
  <c r="IA124" i="4" s="1"/>
  <c r="IA123" i="4" s="1"/>
  <c r="IA122" i="4" s="1"/>
  <c r="IA121" i="4" s="1"/>
  <c r="IA120" i="4" s="1"/>
  <c r="IA119" i="4" s="1"/>
  <c r="IA118" i="4" s="1"/>
  <c r="IA117" i="4" s="1"/>
  <c r="IA116" i="4" s="1"/>
  <c r="IA115" i="4" s="1"/>
  <c r="IA114" i="4" s="1"/>
  <c r="IA113" i="4" s="1"/>
  <c r="IA112" i="4" s="1"/>
  <c r="IA111" i="4" s="1"/>
  <c r="IA110" i="4" s="1"/>
  <c r="IA109" i="4" s="1"/>
  <c r="IA108" i="4" s="1"/>
  <c r="IA107" i="4" s="1"/>
  <c r="IP160" i="4"/>
  <c r="IP159" i="4" s="1"/>
  <c r="IP158" i="4" s="1"/>
  <c r="IP157" i="4" s="1"/>
  <c r="IP156" i="4" s="1"/>
  <c r="IP155" i="4" s="1"/>
  <c r="IP154" i="4" s="1"/>
  <c r="IP153" i="4" s="1"/>
  <c r="IP152" i="4" s="1"/>
  <c r="IP151" i="4" s="1"/>
  <c r="IP150" i="4" s="1"/>
  <c r="IP149" i="4" s="1"/>
  <c r="IP148" i="4" s="1"/>
  <c r="IP147" i="4" s="1"/>
  <c r="IP146" i="4" s="1"/>
  <c r="IP145" i="4" s="1"/>
  <c r="IP144" i="4" s="1"/>
  <c r="IP143" i="4" s="1"/>
  <c r="IP142" i="4" s="1"/>
  <c r="IP141" i="4" s="1"/>
  <c r="IP140" i="4" s="1"/>
  <c r="IP139" i="4" s="1"/>
  <c r="IP138" i="4" s="1"/>
  <c r="IP137" i="4" s="1"/>
  <c r="IP136" i="4" s="1"/>
  <c r="IP135" i="4" s="1"/>
  <c r="IP134" i="4" s="1"/>
  <c r="IP133" i="4" s="1"/>
  <c r="IP132" i="4" s="1"/>
  <c r="IP131" i="4" s="1"/>
  <c r="IP130" i="4" s="1"/>
  <c r="IP129" i="4" s="1"/>
  <c r="IP128" i="4" s="1"/>
  <c r="IP127" i="4" s="1"/>
  <c r="IP126" i="4" s="1"/>
  <c r="IP125" i="4" s="1"/>
  <c r="IP124" i="4" s="1"/>
  <c r="IP123" i="4" s="1"/>
  <c r="IP122" i="4" s="1"/>
  <c r="IP121" i="4" s="1"/>
  <c r="IP120" i="4" s="1"/>
  <c r="IP119" i="4" s="1"/>
  <c r="IP118" i="4" s="1"/>
  <c r="IP117" i="4" s="1"/>
  <c r="IP116" i="4" s="1"/>
  <c r="IP115" i="4" s="1"/>
  <c r="IP114" i="4" s="1"/>
  <c r="IP113" i="4" s="1"/>
  <c r="IP112" i="4" s="1"/>
  <c r="IP111" i="4" s="1"/>
  <c r="IP110" i="4" s="1"/>
  <c r="IP109" i="4" s="1"/>
  <c r="IP108" i="4" s="1"/>
  <c r="IP107" i="4" s="1"/>
  <c r="IV160" i="4"/>
  <c r="IV159" i="4" s="1"/>
  <c r="IV158" i="4" s="1"/>
  <c r="IV157" i="4" s="1"/>
  <c r="IV156" i="4" s="1"/>
  <c r="IV155" i="4" s="1"/>
  <c r="IV154" i="4" s="1"/>
  <c r="IV153" i="4" s="1"/>
  <c r="IV152" i="4" s="1"/>
  <c r="IV151" i="4" s="1"/>
  <c r="IV150" i="4" s="1"/>
  <c r="IV149" i="4" s="1"/>
  <c r="IV148" i="4" s="1"/>
  <c r="IV147" i="4" s="1"/>
  <c r="IV146" i="4" s="1"/>
  <c r="IV145" i="4" s="1"/>
  <c r="IV144" i="4" s="1"/>
  <c r="IV143" i="4" s="1"/>
  <c r="IV142" i="4" s="1"/>
  <c r="IV141" i="4" s="1"/>
  <c r="IV140" i="4" s="1"/>
  <c r="IV139" i="4" s="1"/>
  <c r="IV138" i="4" s="1"/>
  <c r="IV137" i="4" s="1"/>
  <c r="IV136" i="4" s="1"/>
  <c r="IV135" i="4" s="1"/>
  <c r="IV134" i="4" s="1"/>
  <c r="IV133" i="4" s="1"/>
  <c r="IV132" i="4" s="1"/>
  <c r="IV131" i="4" s="1"/>
  <c r="IV130" i="4" s="1"/>
  <c r="IV129" i="4" s="1"/>
  <c r="IV128" i="4" s="1"/>
  <c r="IV127" i="4" s="1"/>
  <c r="IV126" i="4" s="1"/>
  <c r="IV125" i="4" s="1"/>
  <c r="IV124" i="4" s="1"/>
  <c r="IV123" i="4" s="1"/>
  <c r="IV122" i="4" s="1"/>
  <c r="IV121" i="4" s="1"/>
  <c r="IV120" i="4" s="1"/>
  <c r="IV119" i="4" s="1"/>
  <c r="IV118" i="4" s="1"/>
  <c r="IV117" i="4" s="1"/>
  <c r="IV116" i="4" s="1"/>
  <c r="IV115" i="4" s="1"/>
  <c r="IV114" i="4" s="1"/>
  <c r="IV113" i="4" s="1"/>
  <c r="IV112" i="4" s="1"/>
  <c r="IV111" i="4" s="1"/>
  <c r="IV110" i="4" s="1"/>
  <c r="IV109" i="4" s="1"/>
  <c r="IV108" i="4" s="1"/>
  <c r="IV107" i="4" s="1"/>
  <c r="HV160" i="4"/>
  <c r="HV159" i="4" s="1"/>
  <c r="HV158" i="4" s="1"/>
  <c r="HV157" i="4" s="1"/>
  <c r="HV156" i="4" s="1"/>
  <c r="HV155" i="4" s="1"/>
  <c r="HV154" i="4" s="1"/>
  <c r="HV153" i="4" s="1"/>
  <c r="HV152" i="4" s="1"/>
  <c r="HV151" i="4" s="1"/>
  <c r="HV150" i="4" s="1"/>
  <c r="HV149" i="4" s="1"/>
  <c r="HV148" i="4" s="1"/>
  <c r="HV147" i="4" s="1"/>
  <c r="HV146" i="4" s="1"/>
  <c r="HV145" i="4" s="1"/>
  <c r="HV144" i="4" s="1"/>
  <c r="HV143" i="4" s="1"/>
  <c r="HV142" i="4" s="1"/>
  <c r="HV141" i="4" s="1"/>
  <c r="HV140" i="4" s="1"/>
  <c r="HV139" i="4" s="1"/>
  <c r="HV138" i="4" s="1"/>
  <c r="HV137" i="4" s="1"/>
  <c r="HV136" i="4" s="1"/>
  <c r="HV135" i="4" s="1"/>
  <c r="HV134" i="4" s="1"/>
  <c r="HV133" i="4" s="1"/>
  <c r="HV132" i="4" s="1"/>
  <c r="HV131" i="4" s="1"/>
  <c r="HV130" i="4" s="1"/>
  <c r="HV129" i="4" s="1"/>
  <c r="HV128" i="4" s="1"/>
  <c r="HV127" i="4" s="1"/>
  <c r="HV126" i="4" s="1"/>
  <c r="HV125" i="4" s="1"/>
  <c r="HV124" i="4" s="1"/>
  <c r="HV123" i="4" s="1"/>
  <c r="HV122" i="4" s="1"/>
  <c r="HV121" i="4" s="1"/>
  <c r="HV120" i="4" s="1"/>
  <c r="HV119" i="4" s="1"/>
  <c r="HV118" i="4" s="1"/>
  <c r="HV117" i="4" s="1"/>
  <c r="HV116" i="4" s="1"/>
  <c r="HV115" i="4" s="1"/>
  <c r="HV114" i="4" s="1"/>
  <c r="HV113" i="4" s="1"/>
  <c r="HV112" i="4" s="1"/>
  <c r="HV111" i="4" s="1"/>
  <c r="HV110" i="4" s="1"/>
  <c r="HV109" i="4" s="1"/>
  <c r="HV108" i="4" s="1"/>
  <c r="HV107" i="4" s="1"/>
  <c r="HW160" i="4"/>
  <c r="HW159" i="4" s="1"/>
  <c r="HW158" i="4" s="1"/>
  <c r="HW157" i="4" s="1"/>
  <c r="HW156" i="4" s="1"/>
  <c r="HW155" i="4" s="1"/>
  <c r="HW154" i="4" s="1"/>
  <c r="HW153" i="4" s="1"/>
  <c r="HW152" i="4" s="1"/>
  <c r="HW151" i="4" s="1"/>
  <c r="HW150" i="4" s="1"/>
  <c r="HW149" i="4" s="1"/>
  <c r="HW148" i="4" s="1"/>
  <c r="HW147" i="4" s="1"/>
  <c r="HW146" i="4" s="1"/>
  <c r="HW145" i="4" s="1"/>
  <c r="HW144" i="4" s="1"/>
  <c r="HW143" i="4" s="1"/>
  <c r="HW142" i="4" s="1"/>
  <c r="HW141" i="4" s="1"/>
  <c r="HW140" i="4" s="1"/>
  <c r="HW139" i="4" s="1"/>
  <c r="HW138" i="4" s="1"/>
  <c r="HW137" i="4" s="1"/>
  <c r="HW136" i="4" s="1"/>
  <c r="HW135" i="4" s="1"/>
  <c r="HW134" i="4" s="1"/>
  <c r="HW133" i="4" s="1"/>
  <c r="HW132" i="4" s="1"/>
  <c r="HW131" i="4" s="1"/>
  <c r="HW130" i="4" s="1"/>
  <c r="HW129" i="4" s="1"/>
  <c r="HW128" i="4" s="1"/>
  <c r="HW127" i="4" s="1"/>
  <c r="HW126" i="4" s="1"/>
  <c r="HW125" i="4" s="1"/>
  <c r="HW124" i="4" s="1"/>
  <c r="HW123" i="4" s="1"/>
  <c r="HW122" i="4" s="1"/>
  <c r="HW121" i="4" s="1"/>
  <c r="HW120" i="4" s="1"/>
  <c r="HW119" i="4" s="1"/>
  <c r="HW118" i="4" s="1"/>
  <c r="HW117" i="4" s="1"/>
  <c r="HW116" i="4" s="1"/>
  <c r="HW115" i="4" s="1"/>
  <c r="HW114" i="4" s="1"/>
  <c r="HW113" i="4" s="1"/>
  <c r="HW112" i="4" s="1"/>
  <c r="HW111" i="4" s="1"/>
  <c r="HW110" i="4" s="1"/>
  <c r="HW109" i="4" s="1"/>
  <c r="HW108" i="4" s="1"/>
  <c r="HW107" i="4" s="1"/>
  <c r="JH160" i="4"/>
  <c r="JH159" i="4" s="1"/>
  <c r="JH158" i="4" s="1"/>
  <c r="JH157" i="4" s="1"/>
  <c r="JH156" i="4" s="1"/>
  <c r="JH155" i="4" s="1"/>
  <c r="JH154" i="4" s="1"/>
  <c r="JH153" i="4" s="1"/>
  <c r="JH152" i="4" s="1"/>
  <c r="JH151" i="4" s="1"/>
  <c r="JH150" i="4" s="1"/>
  <c r="JH149" i="4" s="1"/>
  <c r="JH148" i="4" s="1"/>
  <c r="JH147" i="4" s="1"/>
  <c r="JH146" i="4" s="1"/>
  <c r="JH145" i="4" s="1"/>
  <c r="JH144" i="4" s="1"/>
  <c r="JH143" i="4" s="1"/>
  <c r="JH142" i="4" s="1"/>
  <c r="JH141" i="4" s="1"/>
  <c r="JH140" i="4" s="1"/>
  <c r="JH139" i="4" s="1"/>
  <c r="JH138" i="4" s="1"/>
  <c r="JH137" i="4" s="1"/>
  <c r="JH136" i="4" s="1"/>
  <c r="JH135" i="4" s="1"/>
  <c r="JH134" i="4" s="1"/>
  <c r="JH133" i="4" s="1"/>
  <c r="JH132" i="4" s="1"/>
  <c r="JH131" i="4" s="1"/>
  <c r="JH130" i="4" s="1"/>
  <c r="JH129" i="4" s="1"/>
  <c r="JH128" i="4" s="1"/>
  <c r="JH127" i="4" s="1"/>
  <c r="JH126" i="4" s="1"/>
  <c r="JH125" i="4" s="1"/>
  <c r="JH124" i="4" s="1"/>
  <c r="JH123" i="4" s="1"/>
  <c r="JH122" i="4" s="1"/>
  <c r="JH121" i="4" s="1"/>
  <c r="JH120" i="4" s="1"/>
  <c r="JH119" i="4" s="1"/>
  <c r="JH118" i="4" s="1"/>
  <c r="JH117" i="4" s="1"/>
  <c r="JH116" i="4" s="1"/>
  <c r="JH115" i="4" s="1"/>
  <c r="JH114" i="4" s="1"/>
  <c r="JH113" i="4" s="1"/>
  <c r="JH112" i="4" s="1"/>
  <c r="JH111" i="4" s="1"/>
  <c r="JH110" i="4" s="1"/>
  <c r="JH109" i="4" s="1"/>
  <c r="JH108" i="4" s="1"/>
  <c r="JH107" i="4" s="1"/>
  <c r="HP160" i="4"/>
  <c r="HP159" i="4" s="1"/>
  <c r="HP158" i="4" s="1"/>
  <c r="HP157" i="4" s="1"/>
  <c r="HP156" i="4" s="1"/>
  <c r="HP155" i="4" s="1"/>
  <c r="HP154" i="4" s="1"/>
  <c r="HP153" i="4" s="1"/>
  <c r="HP152" i="4" s="1"/>
  <c r="HP151" i="4" s="1"/>
  <c r="HP150" i="4" s="1"/>
  <c r="HP149" i="4" s="1"/>
  <c r="HP148" i="4" s="1"/>
  <c r="HP147" i="4" s="1"/>
  <c r="HP146" i="4" s="1"/>
  <c r="HP145" i="4" s="1"/>
  <c r="HP144" i="4" s="1"/>
  <c r="HP143" i="4" s="1"/>
  <c r="HP142" i="4" s="1"/>
  <c r="HP141" i="4" s="1"/>
  <c r="HP140" i="4" s="1"/>
  <c r="HP139" i="4" s="1"/>
  <c r="HP138" i="4" s="1"/>
  <c r="HP137" i="4" s="1"/>
  <c r="HP136" i="4" s="1"/>
  <c r="HP135" i="4" s="1"/>
  <c r="HP134" i="4" s="1"/>
  <c r="HP133" i="4" s="1"/>
  <c r="HP132" i="4" s="1"/>
  <c r="HP131" i="4" s="1"/>
  <c r="HP130" i="4" s="1"/>
  <c r="HP129" i="4" s="1"/>
  <c r="HP128" i="4" s="1"/>
  <c r="HP127" i="4" s="1"/>
  <c r="HP126" i="4" s="1"/>
  <c r="HP125" i="4" s="1"/>
  <c r="HP124" i="4" s="1"/>
  <c r="HP123" i="4" s="1"/>
  <c r="HP122" i="4" s="1"/>
  <c r="HP121" i="4" s="1"/>
  <c r="HP120" i="4" s="1"/>
  <c r="HP119" i="4" s="1"/>
  <c r="HP118" i="4" s="1"/>
  <c r="HP117" i="4" s="1"/>
  <c r="HP116" i="4" s="1"/>
  <c r="HP115" i="4" s="1"/>
  <c r="HP114" i="4" s="1"/>
  <c r="HP113" i="4" s="1"/>
  <c r="HP112" i="4" s="1"/>
  <c r="HP111" i="4" s="1"/>
  <c r="HP110" i="4" s="1"/>
  <c r="HP109" i="4" s="1"/>
  <c r="HP108" i="4" s="1"/>
  <c r="HP107" i="4" s="1"/>
  <c r="HQ160" i="4"/>
  <c r="HQ159" i="4" s="1"/>
  <c r="HQ158" i="4" s="1"/>
  <c r="HQ157" i="4" s="1"/>
  <c r="HQ156" i="4" s="1"/>
  <c r="HQ155" i="4" s="1"/>
  <c r="HQ154" i="4" s="1"/>
  <c r="HQ153" i="4" s="1"/>
  <c r="HQ152" i="4" s="1"/>
  <c r="HQ151" i="4" s="1"/>
  <c r="HQ150" i="4" s="1"/>
  <c r="HQ149" i="4" s="1"/>
  <c r="HQ148" i="4" s="1"/>
  <c r="HQ147" i="4" s="1"/>
  <c r="HQ146" i="4" s="1"/>
  <c r="HQ145" i="4" s="1"/>
  <c r="HQ144" i="4" s="1"/>
  <c r="HQ143" i="4" s="1"/>
  <c r="HQ142" i="4" s="1"/>
  <c r="HQ141" i="4" s="1"/>
  <c r="HQ140" i="4" s="1"/>
  <c r="HQ139" i="4" s="1"/>
  <c r="HQ138" i="4" s="1"/>
  <c r="HQ137" i="4" s="1"/>
  <c r="HQ136" i="4" s="1"/>
  <c r="HQ135" i="4" s="1"/>
  <c r="HQ134" i="4" s="1"/>
  <c r="HQ133" i="4" s="1"/>
  <c r="HQ132" i="4" s="1"/>
  <c r="HQ131" i="4" s="1"/>
  <c r="HQ130" i="4" s="1"/>
  <c r="HQ129" i="4" s="1"/>
  <c r="HQ128" i="4" s="1"/>
  <c r="HQ127" i="4" s="1"/>
  <c r="HQ126" i="4" s="1"/>
  <c r="HQ125" i="4" s="1"/>
  <c r="HQ124" i="4" s="1"/>
  <c r="HQ123" i="4" s="1"/>
  <c r="HQ122" i="4" s="1"/>
  <c r="HQ121" i="4" s="1"/>
  <c r="HQ120" i="4" s="1"/>
  <c r="HQ119" i="4" s="1"/>
  <c r="HQ118" i="4" s="1"/>
  <c r="HQ117" i="4" s="1"/>
  <c r="HQ116" i="4" s="1"/>
  <c r="HQ115" i="4" s="1"/>
  <c r="HQ114" i="4" s="1"/>
  <c r="HQ113" i="4" s="1"/>
  <c r="HQ112" i="4" s="1"/>
  <c r="HQ111" i="4" s="1"/>
  <c r="HQ110" i="4" s="1"/>
  <c r="HQ109" i="4" s="1"/>
  <c r="HQ108" i="4" s="1"/>
  <c r="HQ107" i="4" s="1"/>
  <c r="KD157" i="4"/>
  <c r="KD156" i="4" s="1"/>
  <c r="KD155" i="4" s="1"/>
  <c r="KD154" i="4" s="1"/>
  <c r="KD153" i="4" s="1"/>
  <c r="KD152" i="4" s="1"/>
  <c r="KD151" i="4" s="1"/>
  <c r="KD150" i="4" s="1"/>
  <c r="KD149" i="4" s="1"/>
  <c r="KD148" i="4" s="1"/>
  <c r="KD147" i="4" s="1"/>
  <c r="KD146" i="4" s="1"/>
  <c r="KD145" i="4" s="1"/>
  <c r="KD144" i="4" s="1"/>
  <c r="KD143" i="4" s="1"/>
  <c r="KD142" i="4" s="1"/>
  <c r="KD141" i="4" s="1"/>
  <c r="KD140" i="4" s="1"/>
  <c r="KD139" i="4" s="1"/>
  <c r="KD138" i="4" s="1"/>
  <c r="KD137" i="4" s="1"/>
  <c r="KD136" i="4" s="1"/>
  <c r="KD135" i="4" s="1"/>
  <c r="KD134" i="4" s="1"/>
  <c r="KD133" i="4" s="1"/>
  <c r="KD132" i="4" s="1"/>
  <c r="KD131" i="4" s="1"/>
  <c r="KD130" i="4" s="1"/>
  <c r="KD129" i="4" s="1"/>
  <c r="KD128" i="4" s="1"/>
  <c r="KD127" i="4" s="1"/>
  <c r="KD126" i="4" s="1"/>
  <c r="KD125" i="4" s="1"/>
  <c r="KD124" i="4" s="1"/>
  <c r="KD123" i="4" s="1"/>
  <c r="KD122" i="4" s="1"/>
  <c r="KD121" i="4" s="1"/>
  <c r="KD120" i="4" s="1"/>
  <c r="KD119" i="4" s="1"/>
  <c r="KD118" i="4" s="1"/>
  <c r="KD117" i="4" s="1"/>
  <c r="KD116" i="4" s="1"/>
  <c r="KD115" i="4" s="1"/>
  <c r="KD114" i="4" s="1"/>
  <c r="KD113" i="4" s="1"/>
  <c r="KD112" i="4" s="1"/>
  <c r="KD111" i="4" s="1"/>
  <c r="KD110" i="4" s="1"/>
  <c r="KD109" i="4" s="1"/>
  <c r="KD108" i="4" s="1"/>
  <c r="KD107" i="4" s="1"/>
  <c r="KE157" i="4"/>
  <c r="KE156" i="4" s="1"/>
  <c r="KE155" i="4" s="1"/>
  <c r="KE154" i="4" s="1"/>
  <c r="KE153" i="4" s="1"/>
  <c r="KE152" i="4" s="1"/>
  <c r="KE151" i="4" s="1"/>
  <c r="KE150" i="4" s="1"/>
  <c r="KE149" i="4" s="1"/>
  <c r="KE148" i="4" s="1"/>
  <c r="KE147" i="4" s="1"/>
  <c r="KE146" i="4" s="1"/>
  <c r="KE145" i="4" s="1"/>
  <c r="KE144" i="4" s="1"/>
  <c r="KE143" i="4" s="1"/>
  <c r="KE142" i="4" s="1"/>
  <c r="KE141" i="4" s="1"/>
  <c r="KE140" i="4" s="1"/>
  <c r="KE139" i="4" s="1"/>
  <c r="KE138" i="4" s="1"/>
  <c r="KE137" i="4" s="1"/>
  <c r="KE136" i="4" s="1"/>
  <c r="KE135" i="4" s="1"/>
  <c r="KE134" i="4" s="1"/>
  <c r="KE133" i="4" s="1"/>
  <c r="KE132" i="4" s="1"/>
  <c r="KE131" i="4" s="1"/>
  <c r="KE130" i="4" s="1"/>
  <c r="KE129" i="4" s="1"/>
  <c r="KE128" i="4" s="1"/>
  <c r="KE127" i="4" s="1"/>
  <c r="KE126" i="4" s="1"/>
  <c r="KE125" i="4" s="1"/>
  <c r="KE124" i="4" s="1"/>
  <c r="KE123" i="4" s="1"/>
  <c r="KE122" i="4" s="1"/>
  <c r="KE121" i="4" s="1"/>
  <c r="KE120" i="4" s="1"/>
  <c r="KE119" i="4" s="1"/>
  <c r="KE118" i="4" s="1"/>
  <c r="KE117" i="4" s="1"/>
  <c r="KE116" i="4" s="1"/>
  <c r="KE115" i="4" s="1"/>
  <c r="KE114" i="4" s="1"/>
  <c r="KE113" i="4" s="1"/>
  <c r="KE112" i="4" s="1"/>
  <c r="KE111" i="4" s="1"/>
  <c r="KE110" i="4" s="1"/>
  <c r="KE109" i="4" s="1"/>
  <c r="KE108" i="4" s="1"/>
  <c r="KE107" i="4" s="1"/>
  <c r="JM157" i="4"/>
  <c r="JM156" i="4" s="1"/>
  <c r="JM155" i="4" s="1"/>
  <c r="JM154" i="4" s="1"/>
  <c r="JM153" i="4" s="1"/>
  <c r="JM152" i="4" s="1"/>
  <c r="JM151" i="4" s="1"/>
  <c r="JM150" i="4" s="1"/>
  <c r="JM149" i="4" s="1"/>
  <c r="JM148" i="4" s="1"/>
  <c r="JM147" i="4" s="1"/>
  <c r="JM146" i="4" s="1"/>
  <c r="JM145" i="4" s="1"/>
  <c r="JM144" i="4" s="1"/>
  <c r="JM143" i="4" s="1"/>
  <c r="JM142" i="4" s="1"/>
  <c r="JM141" i="4" s="1"/>
  <c r="JM140" i="4" s="1"/>
  <c r="JM139" i="4" s="1"/>
  <c r="JM138" i="4" s="1"/>
  <c r="JM137" i="4" s="1"/>
  <c r="JM136" i="4" s="1"/>
  <c r="JM135" i="4" s="1"/>
  <c r="JM134" i="4" s="1"/>
  <c r="JM133" i="4" s="1"/>
  <c r="JM132" i="4" s="1"/>
  <c r="JM131" i="4" s="1"/>
  <c r="JM130" i="4" s="1"/>
  <c r="JM129" i="4" s="1"/>
  <c r="JM128" i="4" s="1"/>
  <c r="JM127" i="4" s="1"/>
  <c r="JM126" i="4" s="1"/>
  <c r="JM125" i="4" s="1"/>
  <c r="JM124" i="4" s="1"/>
  <c r="JM123" i="4" s="1"/>
  <c r="JM122" i="4" s="1"/>
  <c r="JM121" i="4" s="1"/>
  <c r="JM120" i="4" s="1"/>
  <c r="JM119" i="4" s="1"/>
  <c r="JM118" i="4" s="1"/>
  <c r="JM117" i="4" s="1"/>
  <c r="JM116" i="4" s="1"/>
  <c r="JM115" i="4" s="1"/>
  <c r="JM114" i="4" s="1"/>
  <c r="JM113" i="4" s="1"/>
  <c r="JM112" i="4" s="1"/>
  <c r="JM111" i="4" s="1"/>
  <c r="JM110" i="4" s="1"/>
  <c r="JM109" i="4" s="1"/>
  <c r="JM108" i="4" s="1"/>
  <c r="JM107" i="4" s="1"/>
  <c r="KB157" i="4"/>
  <c r="KB156" i="4" s="1"/>
  <c r="KB155" i="4" s="1"/>
  <c r="KB154" i="4" s="1"/>
  <c r="KB153" i="4" s="1"/>
  <c r="KB152" i="4" s="1"/>
  <c r="KB151" i="4" s="1"/>
  <c r="KB150" i="4" s="1"/>
  <c r="KB149" i="4" s="1"/>
  <c r="KB148" i="4" s="1"/>
  <c r="KB147" i="4" s="1"/>
  <c r="KB146" i="4" s="1"/>
  <c r="KB145" i="4" s="1"/>
  <c r="KB144" i="4" s="1"/>
  <c r="KB143" i="4" s="1"/>
  <c r="KB142" i="4" s="1"/>
  <c r="KB141" i="4" s="1"/>
  <c r="KB140" i="4" s="1"/>
  <c r="KB139" i="4" s="1"/>
  <c r="KB138" i="4" s="1"/>
  <c r="KB137" i="4" s="1"/>
  <c r="KB136" i="4" s="1"/>
  <c r="KB135" i="4" s="1"/>
  <c r="KB134" i="4" s="1"/>
  <c r="KB133" i="4" s="1"/>
  <c r="KB132" i="4" s="1"/>
  <c r="KB131" i="4" s="1"/>
  <c r="KB130" i="4" s="1"/>
  <c r="KB129" i="4" s="1"/>
  <c r="KB128" i="4" s="1"/>
  <c r="KB127" i="4" s="1"/>
  <c r="KB126" i="4" s="1"/>
  <c r="KB125" i="4" s="1"/>
  <c r="KB124" i="4" s="1"/>
  <c r="KB123" i="4" s="1"/>
  <c r="KB122" i="4" s="1"/>
  <c r="KB121" i="4" s="1"/>
  <c r="KB120" i="4" s="1"/>
  <c r="KB119" i="4" s="1"/>
  <c r="KB118" i="4" s="1"/>
  <c r="KB117" i="4" s="1"/>
  <c r="KB116" i="4" s="1"/>
  <c r="KB115" i="4" s="1"/>
  <c r="KB114" i="4" s="1"/>
  <c r="KB113" i="4" s="1"/>
  <c r="KB112" i="4" s="1"/>
  <c r="KB111" i="4" s="1"/>
  <c r="KB110" i="4" s="1"/>
  <c r="KB109" i="4" s="1"/>
  <c r="KB108" i="4" s="1"/>
  <c r="KB107" i="4" s="1"/>
  <c r="KA157" i="4"/>
  <c r="KA156" i="4" s="1"/>
  <c r="KA155" i="4" s="1"/>
  <c r="KA154" i="4" s="1"/>
  <c r="KA153" i="4" s="1"/>
  <c r="KA152" i="4" s="1"/>
  <c r="KA151" i="4" s="1"/>
  <c r="KA150" i="4" s="1"/>
  <c r="KA149" i="4" s="1"/>
  <c r="KA148" i="4" s="1"/>
  <c r="KA147" i="4" s="1"/>
  <c r="KA146" i="4" s="1"/>
  <c r="KA145" i="4" s="1"/>
  <c r="KA144" i="4" s="1"/>
  <c r="KA143" i="4" s="1"/>
  <c r="KA142" i="4" s="1"/>
  <c r="KA141" i="4" s="1"/>
  <c r="KA140" i="4" s="1"/>
  <c r="KA139" i="4" s="1"/>
  <c r="KA138" i="4" s="1"/>
  <c r="KA137" i="4" s="1"/>
  <c r="KA136" i="4" s="1"/>
  <c r="KA135" i="4" s="1"/>
  <c r="KA134" i="4" s="1"/>
  <c r="KA133" i="4" s="1"/>
  <c r="KA132" i="4" s="1"/>
  <c r="KA131" i="4" s="1"/>
  <c r="KA130" i="4" s="1"/>
  <c r="KA129" i="4" s="1"/>
  <c r="KA128" i="4" s="1"/>
  <c r="KA127" i="4" s="1"/>
  <c r="KA126" i="4" s="1"/>
  <c r="KA125" i="4" s="1"/>
  <c r="KA124" i="4" s="1"/>
  <c r="KA123" i="4" s="1"/>
  <c r="KA122" i="4" s="1"/>
  <c r="KA121" i="4" s="1"/>
  <c r="KA120" i="4" s="1"/>
  <c r="KA119" i="4" s="1"/>
  <c r="KA118" i="4" s="1"/>
  <c r="KA117" i="4" s="1"/>
  <c r="KA116" i="4" s="1"/>
  <c r="KA115" i="4" s="1"/>
  <c r="KA114" i="4" s="1"/>
  <c r="KA113" i="4" s="1"/>
  <c r="KA112" i="4" s="1"/>
  <c r="KA111" i="4" s="1"/>
  <c r="KA110" i="4" s="1"/>
  <c r="KA109" i="4" s="1"/>
  <c r="KA108" i="4" s="1"/>
  <c r="KA107" i="4" s="1"/>
  <c r="JL157" i="4"/>
  <c r="JL156" i="4" s="1"/>
  <c r="JL155" i="4" s="1"/>
  <c r="JL154" i="4" s="1"/>
  <c r="JL153" i="4" s="1"/>
  <c r="JL152" i="4" s="1"/>
  <c r="JL151" i="4" s="1"/>
  <c r="JL150" i="4" s="1"/>
  <c r="JL149" i="4" s="1"/>
  <c r="JL148" i="4" s="1"/>
  <c r="JL147" i="4" s="1"/>
  <c r="JL146" i="4" s="1"/>
  <c r="JL145" i="4" s="1"/>
  <c r="JL144" i="4" s="1"/>
  <c r="JL143" i="4" s="1"/>
  <c r="JL142" i="4" s="1"/>
  <c r="JL141" i="4" s="1"/>
  <c r="JL140" i="4" s="1"/>
  <c r="JL139" i="4" s="1"/>
  <c r="JL138" i="4" s="1"/>
  <c r="JL137" i="4" s="1"/>
  <c r="JL136" i="4" s="1"/>
  <c r="JL135" i="4" s="1"/>
  <c r="JL134" i="4" s="1"/>
  <c r="JL133" i="4" s="1"/>
  <c r="JL132" i="4" s="1"/>
  <c r="JL131" i="4" s="1"/>
  <c r="JL130" i="4" s="1"/>
  <c r="JL129" i="4" s="1"/>
  <c r="JL128" i="4" s="1"/>
  <c r="JL127" i="4" s="1"/>
  <c r="JL126" i="4" s="1"/>
  <c r="JL125" i="4" s="1"/>
  <c r="JL124" i="4" s="1"/>
  <c r="JL123" i="4" s="1"/>
  <c r="JL122" i="4" s="1"/>
  <c r="JL121" i="4" s="1"/>
  <c r="JL120" i="4" s="1"/>
  <c r="JL119" i="4" s="1"/>
  <c r="JL118" i="4" s="1"/>
  <c r="JL117" i="4" s="1"/>
  <c r="JL116" i="4" s="1"/>
  <c r="JL115" i="4" s="1"/>
  <c r="JL114" i="4" s="1"/>
  <c r="JL113" i="4" s="1"/>
  <c r="JL112" i="4" s="1"/>
  <c r="JL111" i="4" s="1"/>
  <c r="JL110" i="4" s="1"/>
  <c r="JL109" i="4" s="1"/>
  <c r="JL108" i="4" s="1"/>
  <c r="JL107" i="4" s="1"/>
  <c r="HM136" i="4"/>
  <c r="HM135" i="4" s="1"/>
  <c r="HM134" i="4" s="1"/>
  <c r="HM133" i="4" s="1"/>
  <c r="HM132" i="4" s="1"/>
  <c r="HM131" i="4" s="1"/>
  <c r="HM130" i="4" s="1"/>
  <c r="HM129" i="4" s="1"/>
  <c r="HM128" i="4" s="1"/>
  <c r="HM127" i="4" s="1"/>
  <c r="HM126" i="4" s="1"/>
  <c r="HM125" i="4" s="1"/>
  <c r="HM124" i="4" s="1"/>
  <c r="HM123" i="4" s="1"/>
  <c r="HM122" i="4" s="1"/>
  <c r="HM121" i="4" s="1"/>
  <c r="HM120" i="4" s="1"/>
  <c r="HM119" i="4" s="1"/>
  <c r="HM118" i="4" s="1"/>
  <c r="HM117" i="4" s="1"/>
  <c r="HM116" i="4" s="1"/>
  <c r="HM115" i="4" s="1"/>
  <c r="HM114" i="4" s="1"/>
  <c r="HM113" i="4" s="1"/>
  <c r="HM112" i="4" s="1"/>
  <c r="HM111" i="4" s="1"/>
  <c r="HM110" i="4" s="1"/>
  <c r="HM109" i="4" s="1"/>
  <c r="HM108" i="4" s="1"/>
  <c r="HM107" i="4" s="1"/>
  <c r="HN136" i="4"/>
  <c r="HN135" i="4" s="1"/>
  <c r="HN134" i="4" s="1"/>
  <c r="HN133" i="4" s="1"/>
  <c r="HN132" i="4" s="1"/>
  <c r="HN131" i="4" s="1"/>
  <c r="HN130" i="4" s="1"/>
  <c r="HN129" i="4" s="1"/>
  <c r="HN128" i="4" s="1"/>
  <c r="HN127" i="4" s="1"/>
  <c r="HN126" i="4" s="1"/>
  <c r="HN125" i="4" s="1"/>
  <c r="HN124" i="4" s="1"/>
  <c r="HN123" i="4" s="1"/>
  <c r="HN122" i="4" s="1"/>
  <c r="HN121" i="4" s="1"/>
  <c r="HN120" i="4" s="1"/>
  <c r="HN119" i="4" s="1"/>
  <c r="HN118" i="4" s="1"/>
  <c r="HN117" i="4" s="1"/>
  <c r="HN116" i="4" s="1"/>
  <c r="HN115" i="4" s="1"/>
  <c r="HN114" i="4" s="1"/>
  <c r="HN113" i="4" s="1"/>
  <c r="HN112" i="4" s="1"/>
  <c r="HN111" i="4" s="1"/>
  <c r="HN110" i="4" s="1"/>
  <c r="HN109" i="4" s="1"/>
  <c r="HN108" i="4" s="1"/>
  <c r="HN107" i="4" s="1"/>
  <c r="IB188" i="4"/>
  <c r="IB187" i="4" s="1"/>
  <c r="IB186" i="4" s="1"/>
  <c r="IB185" i="4" s="1"/>
  <c r="IB184" i="4" s="1"/>
  <c r="IB183" i="4" s="1"/>
  <c r="IB182" i="4" s="1"/>
  <c r="IB181" i="4" s="1"/>
  <c r="IB180" i="4" s="1"/>
  <c r="IB179" i="4" s="1"/>
  <c r="IB178" i="4" s="1"/>
  <c r="IB177" i="4" s="1"/>
  <c r="IB176" i="4" s="1"/>
  <c r="IB175" i="4" s="1"/>
  <c r="IB174" i="4" s="1"/>
  <c r="IB173" i="4" s="1"/>
  <c r="IB172" i="4" s="1"/>
  <c r="IB171" i="4" s="1"/>
  <c r="IB170" i="4" s="1"/>
  <c r="IB169" i="4" s="1"/>
  <c r="IB168" i="4" s="1"/>
  <c r="IB167" i="4" s="1"/>
  <c r="IB166" i="4" s="1"/>
  <c r="IB165" i="4" s="1"/>
  <c r="IB164" i="4" s="1"/>
  <c r="IB163" i="4" s="1"/>
  <c r="IB162" i="4" s="1"/>
  <c r="IB161" i="4" s="1"/>
  <c r="IB160" i="4" s="1"/>
  <c r="IB159" i="4" s="1"/>
  <c r="IB158" i="4" s="1"/>
  <c r="IB157" i="4" s="1"/>
  <c r="IB156" i="4" s="1"/>
  <c r="IB155" i="4" s="1"/>
  <c r="IB154" i="4" s="1"/>
  <c r="IB153" i="4" s="1"/>
  <c r="IB152" i="4" s="1"/>
  <c r="IB151" i="4" s="1"/>
  <c r="IB150" i="4" s="1"/>
  <c r="IB149" i="4" s="1"/>
  <c r="IB148" i="4" s="1"/>
  <c r="IB147" i="4" s="1"/>
  <c r="IB146" i="4" s="1"/>
  <c r="IB145" i="4" s="1"/>
  <c r="IB144" i="4" s="1"/>
  <c r="IB143" i="4" s="1"/>
  <c r="IB142" i="4" s="1"/>
  <c r="IB141" i="4" s="1"/>
  <c r="IB140" i="4" s="1"/>
  <c r="IB139" i="4" s="1"/>
  <c r="IB138" i="4" s="1"/>
  <c r="IB137" i="4" s="1"/>
  <c r="IB136" i="4" s="1"/>
  <c r="IB135" i="4" s="1"/>
  <c r="IB134" i="4" s="1"/>
  <c r="IB133" i="4" s="1"/>
  <c r="IB132" i="4" s="1"/>
  <c r="IB131" i="4" s="1"/>
  <c r="IB130" i="4" s="1"/>
  <c r="IB129" i="4" s="1"/>
  <c r="IB128" i="4" s="1"/>
  <c r="IB127" i="4" s="1"/>
  <c r="IB126" i="4" s="1"/>
  <c r="IB125" i="4" s="1"/>
  <c r="IB124" i="4" s="1"/>
  <c r="IB123" i="4" s="1"/>
  <c r="IB122" i="4" s="1"/>
  <c r="IB121" i="4" s="1"/>
  <c r="IB120" i="4" s="1"/>
  <c r="IB119" i="4" s="1"/>
  <c r="IB118" i="4" s="1"/>
  <c r="IB117" i="4" s="1"/>
  <c r="IB116" i="4" s="1"/>
  <c r="IB115" i="4" s="1"/>
  <c r="IB114" i="4" s="1"/>
  <c r="IB113" i="4" s="1"/>
  <c r="IB112" i="4" s="1"/>
  <c r="IB111" i="4" s="1"/>
  <c r="IB110" i="4" s="1"/>
  <c r="IB109" i="4" s="1"/>
  <c r="IB108" i="4" s="1"/>
  <c r="IB107" i="4" s="1"/>
  <c r="IC188" i="4"/>
  <c r="IC187" i="4" s="1"/>
  <c r="IC186" i="4" s="1"/>
  <c r="IC185" i="4" s="1"/>
  <c r="IC184" i="4" s="1"/>
  <c r="IC183" i="4" s="1"/>
  <c r="IC182" i="4" s="1"/>
  <c r="IC181" i="4" s="1"/>
  <c r="IC180" i="4" s="1"/>
  <c r="IC179" i="4" s="1"/>
  <c r="IC178" i="4" s="1"/>
  <c r="IC177" i="4" s="1"/>
  <c r="IC176" i="4" s="1"/>
  <c r="IC175" i="4" s="1"/>
  <c r="IC174" i="4" s="1"/>
  <c r="IC173" i="4" s="1"/>
  <c r="IC172" i="4" s="1"/>
  <c r="IC171" i="4" s="1"/>
  <c r="IC170" i="4" s="1"/>
  <c r="IC169" i="4" s="1"/>
  <c r="IC168" i="4" s="1"/>
  <c r="IC167" i="4" s="1"/>
  <c r="IC166" i="4" s="1"/>
  <c r="IC165" i="4" s="1"/>
  <c r="IC164" i="4" s="1"/>
  <c r="IC163" i="4" s="1"/>
  <c r="IC162" i="4" s="1"/>
  <c r="IC161" i="4" s="1"/>
  <c r="IC160" i="4" s="1"/>
  <c r="IC159" i="4" s="1"/>
  <c r="IC158" i="4" s="1"/>
  <c r="IC157" i="4" s="1"/>
  <c r="IC156" i="4" s="1"/>
  <c r="IC155" i="4" s="1"/>
  <c r="IC154" i="4" s="1"/>
  <c r="IC153" i="4" s="1"/>
  <c r="IC152" i="4" s="1"/>
  <c r="IC151" i="4" s="1"/>
  <c r="IC150" i="4" s="1"/>
  <c r="IC149" i="4" s="1"/>
  <c r="IC148" i="4" s="1"/>
  <c r="IC147" i="4" s="1"/>
  <c r="IC146" i="4" s="1"/>
  <c r="IC145" i="4" s="1"/>
  <c r="IC144" i="4" s="1"/>
  <c r="IC143" i="4" s="1"/>
  <c r="IC142" i="4" s="1"/>
  <c r="IC141" i="4" s="1"/>
  <c r="IC140" i="4" s="1"/>
  <c r="IC139" i="4" s="1"/>
  <c r="IC138" i="4" s="1"/>
  <c r="IC137" i="4" s="1"/>
  <c r="IC136" i="4" s="1"/>
  <c r="IC135" i="4" s="1"/>
  <c r="IC134" i="4" s="1"/>
  <c r="IC133" i="4" s="1"/>
  <c r="IC132" i="4" s="1"/>
  <c r="IC131" i="4" s="1"/>
  <c r="IC130" i="4" s="1"/>
  <c r="IC129" i="4" s="1"/>
  <c r="IC128" i="4" s="1"/>
  <c r="IC127" i="4" s="1"/>
  <c r="IC126" i="4" s="1"/>
  <c r="IC125" i="4" s="1"/>
  <c r="IC124" i="4" s="1"/>
  <c r="IC123" i="4" s="1"/>
  <c r="IC122" i="4" s="1"/>
  <c r="IC121" i="4" s="1"/>
  <c r="IC120" i="4" s="1"/>
  <c r="IC119" i="4" s="1"/>
  <c r="IC118" i="4" s="1"/>
  <c r="IC117" i="4" s="1"/>
  <c r="IC116" i="4" s="1"/>
  <c r="IC115" i="4" s="1"/>
  <c r="IC114" i="4" s="1"/>
  <c r="IC113" i="4" s="1"/>
  <c r="IC112" i="4" s="1"/>
  <c r="IC111" i="4" s="1"/>
  <c r="IC110" i="4" s="1"/>
  <c r="IC109" i="4" s="1"/>
  <c r="IC108" i="4" s="1"/>
  <c r="IC107" i="4" s="1"/>
  <c r="S197" i="4"/>
  <c r="S196" i="4" s="1"/>
  <c r="BL195" i="4"/>
  <c r="BL194" i="4" s="1"/>
  <c r="BL193" i="4" s="1"/>
  <c r="BL192" i="4" s="1"/>
  <c r="BL191" i="4" s="1"/>
  <c r="BL190" i="4" s="1"/>
  <c r="BL189" i="4" s="1"/>
  <c r="BL188" i="4" s="1"/>
  <c r="BL187" i="4" s="1"/>
  <c r="BL186" i="4" s="1"/>
  <c r="BL185" i="4" s="1"/>
  <c r="BL184" i="4" s="1"/>
  <c r="BL183" i="4" s="1"/>
  <c r="BL182" i="4" s="1"/>
  <c r="BL181" i="4" s="1"/>
  <c r="BL180" i="4" s="1"/>
  <c r="BL179" i="4" s="1"/>
  <c r="BL178" i="4" s="1"/>
  <c r="BL177" i="4" s="1"/>
  <c r="BL176" i="4" s="1"/>
  <c r="BL175" i="4" s="1"/>
  <c r="BL174" i="4" s="1"/>
  <c r="BL173" i="4" s="1"/>
  <c r="BL172" i="4" s="1"/>
  <c r="BL171" i="4" s="1"/>
  <c r="BL170" i="4" s="1"/>
  <c r="BL169" i="4" s="1"/>
  <c r="BL168" i="4" s="1"/>
  <c r="BL167" i="4" s="1"/>
  <c r="BL166" i="4" s="1"/>
  <c r="BL165" i="4" s="1"/>
  <c r="BL164" i="4" s="1"/>
  <c r="BL163" i="4" s="1"/>
  <c r="BL162" i="4" s="1"/>
  <c r="BL161" i="4" s="1"/>
  <c r="BL160" i="4" s="1"/>
  <c r="BL159" i="4" s="1"/>
  <c r="BL158" i="4" s="1"/>
  <c r="BL157" i="4" s="1"/>
  <c r="BL156" i="4" s="1"/>
  <c r="BL155" i="4" s="1"/>
  <c r="BL154" i="4" s="1"/>
  <c r="BL153" i="4" s="1"/>
  <c r="BL152" i="4" s="1"/>
  <c r="BL151" i="4" s="1"/>
  <c r="BL150" i="4" s="1"/>
  <c r="BL149" i="4" s="1"/>
  <c r="BL148" i="4" s="1"/>
  <c r="BL147" i="4" s="1"/>
  <c r="BL146" i="4" s="1"/>
  <c r="BL145" i="4" s="1"/>
  <c r="BL144" i="4" s="1"/>
  <c r="BL143" i="4" s="1"/>
  <c r="BL142" i="4" s="1"/>
  <c r="BL141" i="4" s="1"/>
  <c r="BL140" i="4" s="1"/>
  <c r="BL139" i="4" s="1"/>
  <c r="BL138" i="4" s="1"/>
  <c r="BL137" i="4" s="1"/>
  <c r="BL136" i="4" s="1"/>
  <c r="BL135" i="4" s="1"/>
  <c r="BL134" i="4" s="1"/>
  <c r="BL133" i="4" s="1"/>
  <c r="BL132" i="4" s="1"/>
  <c r="BL131" i="4" s="1"/>
  <c r="BL130" i="4" s="1"/>
  <c r="BL129" i="4" s="1"/>
  <c r="BL128" i="4" s="1"/>
  <c r="BL127" i="4" s="1"/>
  <c r="BL126" i="4" s="1"/>
  <c r="BL125" i="4" s="1"/>
  <c r="BL124" i="4" s="1"/>
  <c r="BL123" i="4" s="1"/>
  <c r="BL122" i="4" s="1"/>
  <c r="BL121" i="4" s="1"/>
  <c r="BL120" i="4" s="1"/>
  <c r="BL119" i="4" s="1"/>
  <c r="BL118" i="4" s="1"/>
  <c r="BL117" i="4" s="1"/>
  <c r="BL116" i="4" s="1"/>
  <c r="BL115" i="4" s="1"/>
  <c r="BL114" i="4" s="1"/>
  <c r="BL113" i="4" s="1"/>
  <c r="BL112" i="4" s="1"/>
  <c r="BL111" i="4" s="1"/>
  <c r="BL110" i="4" s="1"/>
  <c r="BL109" i="4" s="1"/>
  <c r="BL108" i="4" s="1"/>
  <c r="BL107" i="4" s="1"/>
  <c r="BL106" i="4" s="1"/>
  <c r="BL4" i="4" s="1"/>
  <c r="HY195" i="4"/>
  <c r="HY194" i="4" s="1"/>
  <c r="HY193" i="4" s="1"/>
  <c r="HY192" i="4" s="1"/>
  <c r="HY191" i="4" s="1"/>
  <c r="HY190" i="4" s="1"/>
  <c r="HY189" i="4" s="1"/>
  <c r="HY188" i="4" s="1"/>
  <c r="HY187" i="4" s="1"/>
  <c r="HY186" i="4" s="1"/>
  <c r="HY185" i="4" s="1"/>
  <c r="HY184" i="4" s="1"/>
  <c r="HY183" i="4" s="1"/>
  <c r="HY182" i="4" s="1"/>
  <c r="HY181" i="4" s="1"/>
  <c r="HY180" i="4" s="1"/>
  <c r="HY179" i="4" s="1"/>
  <c r="HY178" i="4" s="1"/>
  <c r="HY177" i="4" s="1"/>
  <c r="HY176" i="4" s="1"/>
  <c r="HY175" i="4" s="1"/>
  <c r="HY174" i="4" s="1"/>
  <c r="HY173" i="4" s="1"/>
  <c r="HY172" i="4" s="1"/>
  <c r="HY171" i="4" s="1"/>
  <c r="HY170" i="4" s="1"/>
  <c r="HY169" i="4" s="1"/>
  <c r="HY168" i="4" s="1"/>
  <c r="HY167" i="4" s="1"/>
  <c r="HY166" i="4" s="1"/>
  <c r="HY165" i="4" s="1"/>
  <c r="HY164" i="4" s="1"/>
  <c r="HY163" i="4" s="1"/>
  <c r="HY162" i="4" s="1"/>
  <c r="HY161" i="4" s="1"/>
  <c r="HY160" i="4" s="1"/>
  <c r="HY159" i="4" s="1"/>
  <c r="HY158" i="4" s="1"/>
  <c r="HY157" i="4" s="1"/>
  <c r="HY156" i="4" s="1"/>
  <c r="HY155" i="4" s="1"/>
  <c r="HY154" i="4" s="1"/>
  <c r="HY153" i="4" s="1"/>
  <c r="HY152" i="4" s="1"/>
  <c r="HY151" i="4" s="1"/>
  <c r="HY150" i="4" s="1"/>
  <c r="HY149" i="4" s="1"/>
  <c r="HY148" i="4" s="1"/>
  <c r="HY147" i="4" s="1"/>
  <c r="HY146" i="4" s="1"/>
  <c r="HY145" i="4" s="1"/>
  <c r="HY144" i="4" s="1"/>
  <c r="HY143" i="4" s="1"/>
  <c r="HY142" i="4" s="1"/>
  <c r="HY141" i="4" s="1"/>
  <c r="HY140" i="4" s="1"/>
  <c r="HY139" i="4" s="1"/>
  <c r="HY138" i="4" s="1"/>
  <c r="HY137" i="4" s="1"/>
  <c r="HY136" i="4" s="1"/>
  <c r="HY135" i="4" s="1"/>
  <c r="HY134" i="4" s="1"/>
  <c r="HY133" i="4" s="1"/>
  <c r="HY132" i="4" s="1"/>
  <c r="HY131" i="4" s="1"/>
  <c r="HY130" i="4" s="1"/>
  <c r="HY129" i="4" s="1"/>
  <c r="HY128" i="4" s="1"/>
  <c r="HY127" i="4" s="1"/>
  <c r="HY126" i="4" s="1"/>
  <c r="HY125" i="4" s="1"/>
  <c r="HY124" i="4" s="1"/>
  <c r="HY123" i="4" s="1"/>
  <c r="HY122" i="4" s="1"/>
  <c r="HY121" i="4" s="1"/>
  <c r="HY120" i="4" s="1"/>
  <c r="HY119" i="4" s="1"/>
  <c r="HY118" i="4" s="1"/>
  <c r="HY117" i="4" s="1"/>
  <c r="HY116" i="4" s="1"/>
  <c r="HY115" i="4" s="1"/>
  <c r="HY114" i="4" s="1"/>
  <c r="HY113" i="4" s="1"/>
  <c r="HY112" i="4" s="1"/>
  <c r="HY111" i="4" s="1"/>
  <c r="HY110" i="4" s="1"/>
  <c r="HY109" i="4" s="1"/>
  <c r="HY108" i="4" s="1"/>
  <c r="HY107" i="4" s="1"/>
  <c r="HZ195" i="4"/>
  <c r="HZ194" i="4" s="1"/>
  <c r="HZ193" i="4" s="1"/>
  <c r="HZ192" i="4" s="1"/>
  <c r="HZ191" i="4" s="1"/>
  <c r="HZ190" i="4" s="1"/>
  <c r="HZ189" i="4" s="1"/>
  <c r="HZ188" i="4" s="1"/>
  <c r="HZ187" i="4" s="1"/>
  <c r="HZ186" i="4" s="1"/>
  <c r="HZ185" i="4" s="1"/>
  <c r="HZ184" i="4" s="1"/>
  <c r="HZ183" i="4" s="1"/>
  <c r="HZ182" i="4" s="1"/>
  <c r="HZ181" i="4" s="1"/>
  <c r="HZ180" i="4" s="1"/>
  <c r="HZ179" i="4" s="1"/>
  <c r="HZ178" i="4" s="1"/>
  <c r="HZ177" i="4" s="1"/>
  <c r="HZ176" i="4" s="1"/>
  <c r="HZ175" i="4" s="1"/>
  <c r="HZ174" i="4" s="1"/>
  <c r="HZ173" i="4" s="1"/>
  <c r="HZ172" i="4" s="1"/>
  <c r="HZ171" i="4" s="1"/>
  <c r="HZ170" i="4" s="1"/>
  <c r="HZ169" i="4" s="1"/>
  <c r="HZ168" i="4" s="1"/>
  <c r="HZ167" i="4" s="1"/>
  <c r="HZ166" i="4" s="1"/>
  <c r="HZ165" i="4" s="1"/>
  <c r="HZ164" i="4" s="1"/>
  <c r="HZ163" i="4" s="1"/>
  <c r="HZ162" i="4" s="1"/>
  <c r="HZ161" i="4" s="1"/>
  <c r="HZ160" i="4" s="1"/>
  <c r="HZ159" i="4" s="1"/>
  <c r="HZ158" i="4" s="1"/>
  <c r="HZ157" i="4" s="1"/>
  <c r="HZ156" i="4" s="1"/>
  <c r="HZ155" i="4" s="1"/>
  <c r="HZ154" i="4" s="1"/>
  <c r="HZ153" i="4" s="1"/>
  <c r="HZ152" i="4" s="1"/>
  <c r="HZ151" i="4" s="1"/>
  <c r="HZ150" i="4" s="1"/>
  <c r="HZ149" i="4" s="1"/>
  <c r="HZ148" i="4" s="1"/>
  <c r="HZ147" i="4" s="1"/>
  <c r="HZ146" i="4" s="1"/>
  <c r="HZ145" i="4" s="1"/>
  <c r="HZ144" i="4" s="1"/>
  <c r="HZ143" i="4" s="1"/>
  <c r="HZ142" i="4" s="1"/>
  <c r="HZ141" i="4" s="1"/>
  <c r="HZ140" i="4" s="1"/>
  <c r="HZ139" i="4" s="1"/>
  <c r="HZ138" i="4" s="1"/>
  <c r="HZ137" i="4" s="1"/>
  <c r="HZ136" i="4" s="1"/>
  <c r="HZ135" i="4" s="1"/>
  <c r="HZ134" i="4" s="1"/>
  <c r="HZ133" i="4" s="1"/>
  <c r="HZ132" i="4" s="1"/>
  <c r="HZ131" i="4" s="1"/>
  <c r="HZ130" i="4" s="1"/>
  <c r="HZ129" i="4" s="1"/>
  <c r="HZ128" i="4" s="1"/>
  <c r="HZ127" i="4" s="1"/>
  <c r="HZ126" i="4" s="1"/>
  <c r="HZ125" i="4" s="1"/>
  <c r="HZ124" i="4" s="1"/>
  <c r="HZ123" i="4" s="1"/>
  <c r="HZ122" i="4" s="1"/>
  <c r="HZ121" i="4" s="1"/>
  <c r="HZ120" i="4" s="1"/>
  <c r="HZ119" i="4" s="1"/>
  <c r="HZ118" i="4" s="1"/>
  <c r="HZ117" i="4" s="1"/>
  <c r="HZ116" i="4" s="1"/>
  <c r="HZ115" i="4" s="1"/>
  <c r="HZ114" i="4" s="1"/>
  <c r="HZ113" i="4" s="1"/>
  <c r="HZ112" i="4" s="1"/>
  <c r="HZ111" i="4" s="1"/>
  <c r="HZ110" i="4" s="1"/>
  <c r="HZ109" i="4" s="1"/>
  <c r="HZ108" i="4" s="1"/>
  <c r="HZ107" i="4" s="1"/>
  <c r="IL189" i="4"/>
  <c r="IL188" i="4" s="1"/>
  <c r="IL187" i="4" s="1"/>
  <c r="IL186" i="4" s="1"/>
  <c r="IL185" i="4" s="1"/>
  <c r="IL184" i="4" s="1"/>
  <c r="IL183" i="4" s="1"/>
  <c r="IL182" i="4" s="1"/>
  <c r="IL181" i="4" s="1"/>
  <c r="IL180" i="4" s="1"/>
  <c r="IL179" i="4" s="1"/>
  <c r="IL178" i="4" s="1"/>
  <c r="IL177" i="4" s="1"/>
  <c r="IL176" i="4" s="1"/>
  <c r="IL175" i="4" s="1"/>
  <c r="IL174" i="4" s="1"/>
  <c r="IL173" i="4" s="1"/>
  <c r="IL172" i="4" s="1"/>
  <c r="IL171" i="4" s="1"/>
  <c r="IL170" i="4" s="1"/>
  <c r="IL169" i="4" s="1"/>
  <c r="IL168" i="4" s="1"/>
  <c r="IL167" i="4" s="1"/>
  <c r="IL166" i="4" s="1"/>
  <c r="IL165" i="4" s="1"/>
  <c r="IL164" i="4" s="1"/>
  <c r="IL163" i="4" s="1"/>
  <c r="IL162" i="4" s="1"/>
  <c r="IL161" i="4" s="1"/>
  <c r="IL160" i="4" s="1"/>
  <c r="IL159" i="4" s="1"/>
  <c r="IL158" i="4" s="1"/>
  <c r="IL157" i="4" s="1"/>
  <c r="IL156" i="4" s="1"/>
  <c r="IL155" i="4" s="1"/>
  <c r="IL154" i="4" s="1"/>
  <c r="IL153" i="4" s="1"/>
  <c r="IL152" i="4" s="1"/>
  <c r="IL151" i="4" s="1"/>
  <c r="IL150" i="4" s="1"/>
  <c r="IL149" i="4" s="1"/>
  <c r="IL148" i="4" s="1"/>
  <c r="IL147" i="4" s="1"/>
  <c r="IL146" i="4" s="1"/>
  <c r="IL145" i="4" s="1"/>
  <c r="IL144" i="4" s="1"/>
  <c r="IL143" i="4" s="1"/>
  <c r="IL142" i="4" s="1"/>
  <c r="IL141" i="4" s="1"/>
  <c r="IL140" i="4" s="1"/>
  <c r="IL139" i="4" s="1"/>
  <c r="IL138" i="4" s="1"/>
  <c r="IL137" i="4" s="1"/>
  <c r="IL136" i="4" s="1"/>
  <c r="IL135" i="4" s="1"/>
  <c r="IL134" i="4" s="1"/>
  <c r="IL133" i="4" s="1"/>
  <c r="IL132" i="4" s="1"/>
  <c r="IL131" i="4" s="1"/>
  <c r="IL130" i="4" s="1"/>
  <c r="IL129" i="4" s="1"/>
  <c r="IL128" i="4" s="1"/>
  <c r="IL127" i="4" s="1"/>
  <c r="IL126" i="4" s="1"/>
  <c r="IL125" i="4" s="1"/>
  <c r="IL124" i="4" s="1"/>
  <c r="IL123" i="4" s="1"/>
  <c r="IL122" i="4" s="1"/>
  <c r="IL121" i="4" s="1"/>
  <c r="IL120" i="4" s="1"/>
  <c r="IL119" i="4" s="1"/>
  <c r="IL118" i="4" s="1"/>
  <c r="IL117" i="4" s="1"/>
  <c r="IL116" i="4" s="1"/>
  <c r="IL115" i="4" s="1"/>
  <c r="IL114" i="4" s="1"/>
  <c r="IL113" i="4" s="1"/>
  <c r="IL112" i="4" s="1"/>
  <c r="IL111" i="4" s="1"/>
  <c r="IL110" i="4" s="1"/>
  <c r="IL109" i="4" s="1"/>
  <c r="IL108" i="4" s="1"/>
  <c r="IL107" i="4" s="1"/>
  <c r="IK189" i="4"/>
  <c r="IK188" i="4" s="1"/>
  <c r="IK187" i="4" s="1"/>
  <c r="IK186" i="4" s="1"/>
  <c r="IK185" i="4" s="1"/>
  <c r="IK184" i="4" s="1"/>
  <c r="IK183" i="4" s="1"/>
  <c r="IK182" i="4" s="1"/>
  <c r="IK181" i="4" s="1"/>
  <c r="IK180" i="4" s="1"/>
  <c r="IK179" i="4" s="1"/>
  <c r="IK178" i="4" s="1"/>
  <c r="IK177" i="4" s="1"/>
  <c r="IK176" i="4" s="1"/>
  <c r="IK175" i="4" s="1"/>
  <c r="IK174" i="4" s="1"/>
  <c r="IK173" i="4" s="1"/>
  <c r="IK172" i="4" s="1"/>
  <c r="IK171" i="4" s="1"/>
  <c r="IK170" i="4" s="1"/>
  <c r="IK169" i="4" s="1"/>
  <c r="IK168" i="4" s="1"/>
  <c r="IK167" i="4" s="1"/>
  <c r="IK166" i="4" s="1"/>
  <c r="IK165" i="4" s="1"/>
  <c r="IK164" i="4" s="1"/>
  <c r="IK163" i="4" s="1"/>
  <c r="IK162" i="4" s="1"/>
  <c r="IK161" i="4" s="1"/>
  <c r="IK160" i="4" s="1"/>
  <c r="IK159" i="4" s="1"/>
  <c r="IK158" i="4" s="1"/>
  <c r="IK157" i="4" s="1"/>
  <c r="IK156" i="4" s="1"/>
  <c r="IK155" i="4" s="1"/>
  <c r="IK154" i="4" s="1"/>
  <c r="IK153" i="4" s="1"/>
  <c r="IK152" i="4" s="1"/>
  <c r="IK151" i="4" s="1"/>
  <c r="IK150" i="4" s="1"/>
  <c r="IK149" i="4" s="1"/>
  <c r="IK148" i="4" s="1"/>
  <c r="IK147" i="4" s="1"/>
  <c r="IK146" i="4" s="1"/>
  <c r="IK145" i="4" s="1"/>
  <c r="IK144" i="4" s="1"/>
  <c r="IK143" i="4" s="1"/>
  <c r="IK142" i="4" s="1"/>
  <c r="IK141" i="4" s="1"/>
  <c r="IK140" i="4" s="1"/>
  <c r="IK139" i="4" s="1"/>
  <c r="IK138" i="4" s="1"/>
  <c r="IK137" i="4" s="1"/>
  <c r="IK136" i="4" s="1"/>
  <c r="IK135" i="4" s="1"/>
  <c r="IK134" i="4" s="1"/>
  <c r="IK133" i="4" s="1"/>
  <c r="IK132" i="4" s="1"/>
  <c r="IK131" i="4" s="1"/>
  <c r="IK130" i="4" s="1"/>
  <c r="IK129" i="4" s="1"/>
  <c r="IK128" i="4" s="1"/>
  <c r="IK127" i="4" s="1"/>
  <c r="IK126" i="4" s="1"/>
  <c r="IK125" i="4" s="1"/>
  <c r="IK124" i="4" s="1"/>
  <c r="IK123" i="4" s="1"/>
  <c r="IK122" i="4" s="1"/>
  <c r="IK121" i="4" s="1"/>
  <c r="IK120" i="4" s="1"/>
  <c r="IK119" i="4" s="1"/>
  <c r="IK118" i="4" s="1"/>
  <c r="IK117" i="4" s="1"/>
  <c r="IK116" i="4" s="1"/>
  <c r="IK115" i="4" s="1"/>
  <c r="IK114" i="4" s="1"/>
  <c r="IK113" i="4" s="1"/>
  <c r="IK112" i="4" s="1"/>
  <c r="IK111" i="4" s="1"/>
  <c r="IK110" i="4" s="1"/>
  <c r="IK109" i="4" s="1"/>
  <c r="IK108" i="4" s="1"/>
  <c r="IK107" i="4" s="1"/>
  <c r="IM189" i="4"/>
  <c r="IM188" i="4" s="1"/>
  <c r="IM187" i="4" s="1"/>
  <c r="IM186" i="4" s="1"/>
  <c r="IM185" i="4" s="1"/>
  <c r="IM184" i="4" s="1"/>
  <c r="IM183" i="4" s="1"/>
  <c r="IM182" i="4" s="1"/>
  <c r="IM181" i="4" s="1"/>
  <c r="IM180" i="4" s="1"/>
  <c r="IM179" i="4" s="1"/>
  <c r="IM178" i="4" s="1"/>
  <c r="IM177" i="4" s="1"/>
  <c r="IM176" i="4" s="1"/>
  <c r="IM175" i="4" s="1"/>
  <c r="IM174" i="4" s="1"/>
  <c r="IM173" i="4" s="1"/>
  <c r="IM172" i="4" s="1"/>
  <c r="IM171" i="4" s="1"/>
  <c r="IM170" i="4" s="1"/>
  <c r="IM169" i="4" s="1"/>
  <c r="IM168" i="4" s="1"/>
  <c r="IM167" i="4" s="1"/>
  <c r="IM166" i="4" s="1"/>
  <c r="IM165" i="4" s="1"/>
  <c r="IM164" i="4" s="1"/>
  <c r="IM163" i="4" s="1"/>
  <c r="IM162" i="4" s="1"/>
  <c r="IM161" i="4" s="1"/>
  <c r="IM160" i="4" s="1"/>
  <c r="IM159" i="4" s="1"/>
  <c r="IM158" i="4" s="1"/>
  <c r="IM157" i="4" s="1"/>
  <c r="IM156" i="4" s="1"/>
  <c r="IM155" i="4" s="1"/>
  <c r="IM154" i="4" s="1"/>
  <c r="IM153" i="4" s="1"/>
  <c r="IM152" i="4" s="1"/>
  <c r="IM151" i="4" s="1"/>
  <c r="IM150" i="4" s="1"/>
  <c r="IM149" i="4" s="1"/>
  <c r="IM148" i="4" s="1"/>
  <c r="IM147" i="4" s="1"/>
  <c r="IM146" i="4" s="1"/>
  <c r="IM145" i="4" s="1"/>
  <c r="IM144" i="4" s="1"/>
  <c r="IM143" i="4" s="1"/>
  <c r="IM142" i="4" s="1"/>
  <c r="IM141" i="4" s="1"/>
  <c r="IM140" i="4" s="1"/>
  <c r="IM139" i="4" s="1"/>
  <c r="IM138" i="4" s="1"/>
  <c r="IM137" i="4" s="1"/>
  <c r="IM136" i="4" s="1"/>
  <c r="IM135" i="4" s="1"/>
  <c r="IM134" i="4" s="1"/>
  <c r="IM133" i="4" s="1"/>
  <c r="IM132" i="4" s="1"/>
  <c r="IM131" i="4" s="1"/>
  <c r="IM130" i="4" s="1"/>
  <c r="IM129" i="4" s="1"/>
  <c r="IM128" i="4" s="1"/>
  <c r="IM127" i="4" s="1"/>
  <c r="IM126" i="4" s="1"/>
  <c r="IM125" i="4" s="1"/>
  <c r="IM124" i="4" s="1"/>
  <c r="IM123" i="4" s="1"/>
  <c r="IM122" i="4" s="1"/>
  <c r="IM121" i="4" s="1"/>
  <c r="IM120" i="4" s="1"/>
  <c r="IM119" i="4" s="1"/>
  <c r="IM118" i="4" s="1"/>
  <c r="IM117" i="4" s="1"/>
  <c r="IM116" i="4" s="1"/>
  <c r="IM115" i="4" s="1"/>
  <c r="IM114" i="4" s="1"/>
  <c r="IM113" i="4" s="1"/>
  <c r="IM112" i="4" s="1"/>
  <c r="IM111" i="4" s="1"/>
  <c r="IM110" i="4" s="1"/>
  <c r="IM109" i="4" s="1"/>
  <c r="IM108" i="4" s="1"/>
  <c r="IM107" i="4" s="1"/>
  <c r="CS185" i="4"/>
  <c r="GT176" i="4"/>
  <c r="GT175" i="4" s="1"/>
  <c r="GT174" i="4" s="1"/>
  <c r="GT173" i="4" s="1"/>
  <c r="GT172" i="4" s="1"/>
  <c r="GT171" i="4" s="1"/>
  <c r="GT170" i="4" s="1"/>
  <c r="GT169" i="4" s="1"/>
  <c r="GT168" i="4" s="1"/>
  <c r="GT167" i="4" s="1"/>
  <c r="GT166" i="4" s="1"/>
  <c r="GT165" i="4" s="1"/>
  <c r="GT164" i="4" s="1"/>
  <c r="GT163" i="4" s="1"/>
  <c r="GT162" i="4" s="1"/>
  <c r="GT161" i="4" s="1"/>
  <c r="GT160" i="4" s="1"/>
  <c r="GT159" i="4" s="1"/>
  <c r="GT158" i="4" s="1"/>
  <c r="GT157" i="4" s="1"/>
  <c r="GT156" i="4" s="1"/>
  <c r="GT155" i="4" s="1"/>
  <c r="GT154" i="4" s="1"/>
  <c r="GT153" i="4" s="1"/>
  <c r="GT152" i="4" s="1"/>
  <c r="GT151" i="4" s="1"/>
  <c r="GT150" i="4" s="1"/>
  <c r="GT149" i="4" s="1"/>
  <c r="GT148" i="4" s="1"/>
  <c r="GT147" i="4" s="1"/>
  <c r="GT146" i="4" s="1"/>
  <c r="GT145" i="4" s="1"/>
  <c r="GT144" i="4" s="1"/>
  <c r="GT143" i="4" s="1"/>
  <c r="GT142" i="4" s="1"/>
  <c r="GT141" i="4" s="1"/>
  <c r="GT140" i="4" s="1"/>
  <c r="GT139" i="4" s="1"/>
  <c r="GT138" i="4" s="1"/>
  <c r="GT137" i="4" s="1"/>
  <c r="GT136" i="4" s="1"/>
  <c r="GT135" i="4" s="1"/>
  <c r="GT134" i="4" s="1"/>
  <c r="GT133" i="4" s="1"/>
  <c r="GT132" i="4" s="1"/>
  <c r="GT131" i="4" s="1"/>
  <c r="GT130" i="4" s="1"/>
  <c r="GT129" i="4" s="1"/>
  <c r="GT128" i="4" s="1"/>
  <c r="GT127" i="4" s="1"/>
  <c r="GT126" i="4" s="1"/>
  <c r="GT125" i="4" s="1"/>
  <c r="GT124" i="4" s="1"/>
  <c r="GT123" i="4" s="1"/>
  <c r="GT122" i="4" s="1"/>
  <c r="GT121" i="4" s="1"/>
  <c r="GT120" i="4" s="1"/>
  <c r="GT119" i="4" s="1"/>
  <c r="GT118" i="4" s="1"/>
  <c r="GT117" i="4" s="1"/>
  <c r="GT116" i="4" s="1"/>
  <c r="GT115" i="4" s="1"/>
  <c r="GT114" i="4" s="1"/>
  <c r="GT113" i="4" s="1"/>
  <c r="GT112" i="4" s="1"/>
  <c r="GT111" i="4" s="1"/>
  <c r="GT110" i="4" s="1"/>
  <c r="GT109" i="4" s="1"/>
  <c r="GT108" i="4" s="1"/>
  <c r="GT107" i="4" s="1"/>
  <c r="GT106" i="4" s="1"/>
  <c r="GT4" i="4" s="1"/>
  <c r="IU168" i="4"/>
  <c r="IU167" i="4" s="1"/>
  <c r="IU166" i="4" s="1"/>
  <c r="IU165" i="4" s="1"/>
  <c r="IU164" i="4" s="1"/>
  <c r="IU163" i="4" s="1"/>
  <c r="IU162" i="4" s="1"/>
  <c r="IU161" i="4" s="1"/>
  <c r="IU160" i="4" s="1"/>
  <c r="IU159" i="4" s="1"/>
  <c r="IU158" i="4" s="1"/>
  <c r="IU157" i="4" s="1"/>
  <c r="IU156" i="4" s="1"/>
  <c r="IU155" i="4" s="1"/>
  <c r="IU154" i="4" s="1"/>
  <c r="IU153" i="4" s="1"/>
  <c r="IU152" i="4" s="1"/>
  <c r="IU151" i="4" s="1"/>
  <c r="IU150" i="4" s="1"/>
  <c r="IU149" i="4" s="1"/>
  <c r="IU148" i="4" s="1"/>
  <c r="IU147" i="4" s="1"/>
  <c r="IU146" i="4" s="1"/>
  <c r="IU145" i="4" s="1"/>
  <c r="IU144" i="4" s="1"/>
  <c r="IU143" i="4" s="1"/>
  <c r="IU142" i="4" s="1"/>
  <c r="IU141" i="4" s="1"/>
  <c r="IU140" i="4" s="1"/>
  <c r="IU139" i="4" s="1"/>
  <c r="IU138" i="4" s="1"/>
  <c r="IU137" i="4" s="1"/>
  <c r="IU136" i="4" s="1"/>
  <c r="IU135" i="4" s="1"/>
  <c r="IU134" i="4" s="1"/>
  <c r="IU133" i="4" s="1"/>
  <c r="IU132" i="4" s="1"/>
  <c r="IU131" i="4" s="1"/>
  <c r="IU130" i="4" s="1"/>
  <c r="IU129" i="4" s="1"/>
  <c r="IU128" i="4" s="1"/>
  <c r="IU127" i="4" s="1"/>
  <c r="IU126" i="4" s="1"/>
  <c r="IU125" i="4" s="1"/>
  <c r="IU124" i="4" s="1"/>
  <c r="IU123" i="4" s="1"/>
  <c r="IU122" i="4" s="1"/>
  <c r="IU121" i="4" s="1"/>
  <c r="IU120" i="4" s="1"/>
  <c r="IU119" i="4" s="1"/>
  <c r="IU118" i="4" s="1"/>
  <c r="IU117" i="4" s="1"/>
  <c r="IU116" i="4" s="1"/>
  <c r="IU115" i="4" s="1"/>
  <c r="IU114" i="4" s="1"/>
  <c r="IU113" i="4" s="1"/>
  <c r="IU112" i="4" s="1"/>
  <c r="IU111" i="4" s="1"/>
  <c r="IU110" i="4" s="1"/>
  <c r="IU109" i="4" s="1"/>
  <c r="IU108" i="4" s="1"/>
  <c r="IU107" i="4" s="1"/>
  <c r="IT168" i="4"/>
  <c r="IT167" i="4" s="1"/>
  <c r="IT166" i="4" s="1"/>
  <c r="IT165" i="4" s="1"/>
  <c r="IT164" i="4" s="1"/>
  <c r="IT163" i="4" s="1"/>
  <c r="IT162" i="4" s="1"/>
  <c r="IT161" i="4" s="1"/>
  <c r="IT160" i="4" s="1"/>
  <c r="IT159" i="4" s="1"/>
  <c r="IT158" i="4" s="1"/>
  <c r="IT157" i="4" s="1"/>
  <c r="IT156" i="4" s="1"/>
  <c r="IT155" i="4" s="1"/>
  <c r="IT154" i="4" s="1"/>
  <c r="IT153" i="4" s="1"/>
  <c r="IT152" i="4" s="1"/>
  <c r="IT151" i="4" s="1"/>
  <c r="IT150" i="4" s="1"/>
  <c r="IT149" i="4" s="1"/>
  <c r="IT148" i="4" s="1"/>
  <c r="IT147" i="4" s="1"/>
  <c r="IT146" i="4" s="1"/>
  <c r="IT145" i="4" s="1"/>
  <c r="IT144" i="4" s="1"/>
  <c r="IT143" i="4" s="1"/>
  <c r="IT142" i="4" s="1"/>
  <c r="IT141" i="4" s="1"/>
  <c r="IT140" i="4" s="1"/>
  <c r="IT139" i="4" s="1"/>
  <c r="IT138" i="4" s="1"/>
  <c r="IT137" i="4" s="1"/>
  <c r="IT136" i="4" s="1"/>
  <c r="IT135" i="4" s="1"/>
  <c r="IT134" i="4" s="1"/>
  <c r="IT133" i="4" s="1"/>
  <c r="IT132" i="4" s="1"/>
  <c r="IT131" i="4" s="1"/>
  <c r="IT130" i="4" s="1"/>
  <c r="IT129" i="4" s="1"/>
  <c r="IT128" i="4" s="1"/>
  <c r="IT127" i="4" s="1"/>
  <c r="IT126" i="4" s="1"/>
  <c r="IT125" i="4" s="1"/>
  <c r="IT124" i="4" s="1"/>
  <c r="IT123" i="4" s="1"/>
  <c r="IT122" i="4" s="1"/>
  <c r="IT121" i="4" s="1"/>
  <c r="IT120" i="4" s="1"/>
  <c r="IT119" i="4" s="1"/>
  <c r="IT118" i="4" s="1"/>
  <c r="IT117" i="4" s="1"/>
  <c r="IT116" i="4" s="1"/>
  <c r="IT115" i="4" s="1"/>
  <c r="IT114" i="4" s="1"/>
  <c r="IT113" i="4" s="1"/>
  <c r="IT112" i="4" s="1"/>
  <c r="IT111" i="4" s="1"/>
  <c r="IT110" i="4" s="1"/>
  <c r="IT109" i="4" s="1"/>
  <c r="IT108" i="4" s="1"/>
  <c r="IT107" i="4" s="1"/>
  <c r="IX168" i="4"/>
  <c r="IX167" i="4" s="1"/>
  <c r="IX166" i="4" s="1"/>
  <c r="IX165" i="4" s="1"/>
  <c r="IX164" i="4" s="1"/>
  <c r="IX163" i="4" s="1"/>
  <c r="IX162" i="4" s="1"/>
  <c r="IX161" i="4" s="1"/>
  <c r="IX160" i="4" s="1"/>
  <c r="IX159" i="4" s="1"/>
  <c r="IX158" i="4" s="1"/>
  <c r="IX157" i="4" s="1"/>
  <c r="IX156" i="4" s="1"/>
  <c r="IX155" i="4" s="1"/>
  <c r="IX154" i="4" s="1"/>
  <c r="IX153" i="4" s="1"/>
  <c r="IX152" i="4" s="1"/>
  <c r="IX151" i="4" s="1"/>
  <c r="IX150" i="4" s="1"/>
  <c r="IX149" i="4" s="1"/>
  <c r="IX148" i="4" s="1"/>
  <c r="IX147" i="4" s="1"/>
  <c r="IX146" i="4" s="1"/>
  <c r="IX145" i="4" s="1"/>
  <c r="IX144" i="4" s="1"/>
  <c r="IX143" i="4" s="1"/>
  <c r="IX142" i="4" s="1"/>
  <c r="IX141" i="4" s="1"/>
  <c r="IX140" i="4" s="1"/>
  <c r="IX139" i="4" s="1"/>
  <c r="IX138" i="4" s="1"/>
  <c r="IX137" i="4" s="1"/>
  <c r="IX136" i="4" s="1"/>
  <c r="IX135" i="4" s="1"/>
  <c r="IX134" i="4" s="1"/>
  <c r="IX133" i="4" s="1"/>
  <c r="IX132" i="4" s="1"/>
  <c r="IX131" i="4" s="1"/>
  <c r="IX130" i="4" s="1"/>
  <c r="IX129" i="4" s="1"/>
  <c r="IX128" i="4" s="1"/>
  <c r="IX127" i="4" s="1"/>
  <c r="IX126" i="4" s="1"/>
  <c r="IX125" i="4" s="1"/>
  <c r="IX124" i="4" s="1"/>
  <c r="IX123" i="4" s="1"/>
  <c r="IX122" i="4" s="1"/>
  <c r="IX121" i="4" s="1"/>
  <c r="IX120" i="4" s="1"/>
  <c r="IX119" i="4" s="1"/>
  <c r="IX118" i="4" s="1"/>
  <c r="IX117" i="4" s="1"/>
  <c r="IX116" i="4" s="1"/>
  <c r="IX115" i="4" s="1"/>
  <c r="IX114" i="4" s="1"/>
  <c r="IX113" i="4" s="1"/>
  <c r="IX112" i="4" s="1"/>
  <c r="IX111" i="4" s="1"/>
  <c r="IX110" i="4" s="1"/>
  <c r="IX109" i="4" s="1"/>
  <c r="IX108" i="4" s="1"/>
  <c r="IX107" i="4" s="1"/>
  <c r="IR168" i="4"/>
  <c r="IR167" i="4" s="1"/>
  <c r="IR166" i="4" s="1"/>
  <c r="IR165" i="4" s="1"/>
  <c r="IR164" i="4" s="1"/>
  <c r="IR163" i="4" s="1"/>
  <c r="IR162" i="4" s="1"/>
  <c r="IR161" i="4" s="1"/>
  <c r="IR160" i="4" s="1"/>
  <c r="IR159" i="4" s="1"/>
  <c r="IR158" i="4" s="1"/>
  <c r="IR157" i="4" s="1"/>
  <c r="IR156" i="4" s="1"/>
  <c r="IR155" i="4" s="1"/>
  <c r="IR154" i="4" s="1"/>
  <c r="IR153" i="4" s="1"/>
  <c r="IR152" i="4" s="1"/>
  <c r="IR151" i="4" s="1"/>
  <c r="IR150" i="4" s="1"/>
  <c r="IR149" i="4" s="1"/>
  <c r="IR148" i="4" s="1"/>
  <c r="IR147" i="4" s="1"/>
  <c r="IR146" i="4" s="1"/>
  <c r="IR145" i="4" s="1"/>
  <c r="IR144" i="4" s="1"/>
  <c r="IR143" i="4" s="1"/>
  <c r="IR142" i="4" s="1"/>
  <c r="IR141" i="4" s="1"/>
  <c r="IR140" i="4" s="1"/>
  <c r="IR139" i="4" s="1"/>
  <c r="IR138" i="4" s="1"/>
  <c r="IR137" i="4" s="1"/>
  <c r="IR136" i="4" s="1"/>
  <c r="IR135" i="4" s="1"/>
  <c r="IR134" i="4" s="1"/>
  <c r="IR133" i="4" s="1"/>
  <c r="IR132" i="4" s="1"/>
  <c r="IR131" i="4" s="1"/>
  <c r="IR130" i="4" s="1"/>
  <c r="IR129" i="4" s="1"/>
  <c r="IR128" i="4" s="1"/>
  <c r="IR127" i="4" s="1"/>
  <c r="IR126" i="4" s="1"/>
  <c r="IR125" i="4" s="1"/>
  <c r="IR124" i="4" s="1"/>
  <c r="IR123" i="4" s="1"/>
  <c r="IR122" i="4" s="1"/>
  <c r="IR121" i="4" s="1"/>
  <c r="IR120" i="4" s="1"/>
  <c r="IR119" i="4" s="1"/>
  <c r="IR118" i="4" s="1"/>
  <c r="IR117" i="4" s="1"/>
  <c r="IR116" i="4" s="1"/>
  <c r="IR115" i="4" s="1"/>
  <c r="IR114" i="4" s="1"/>
  <c r="IR113" i="4" s="1"/>
  <c r="IR112" i="4" s="1"/>
  <c r="IR111" i="4" s="1"/>
  <c r="IR110" i="4" s="1"/>
  <c r="IR109" i="4" s="1"/>
  <c r="IR108" i="4" s="1"/>
  <c r="IR107" i="4" s="1"/>
  <c r="IZ168" i="4"/>
  <c r="IZ167" i="4" s="1"/>
  <c r="IZ166" i="4" s="1"/>
  <c r="IZ165" i="4" s="1"/>
  <c r="IZ164" i="4" s="1"/>
  <c r="IZ163" i="4" s="1"/>
  <c r="IZ162" i="4" s="1"/>
  <c r="IZ161" i="4" s="1"/>
  <c r="IZ160" i="4" s="1"/>
  <c r="IZ159" i="4" s="1"/>
  <c r="IZ158" i="4" s="1"/>
  <c r="IZ157" i="4" s="1"/>
  <c r="IZ156" i="4" s="1"/>
  <c r="IZ155" i="4" s="1"/>
  <c r="IZ154" i="4" s="1"/>
  <c r="IZ153" i="4" s="1"/>
  <c r="IZ152" i="4" s="1"/>
  <c r="IZ151" i="4" s="1"/>
  <c r="IZ150" i="4" s="1"/>
  <c r="IZ149" i="4" s="1"/>
  <c r="IZ148" i="4" s="1"/>
  <c r="IZ147" i="4" s="1"/>
  <c r="IZ146" i="4" s="1"/>
  <c r="IZ145" i="4" s="1"/>
  <c r="IZ144" i="4" s="1"/>
  <c r="IZ143" i="4" s="1"/>
  <c r="IZ142" i="4" s="1"/>
  <c r="IZ141" i="4" s="1"/>
  <c r="IZ140" i="4" s="1"/>
  <c r="IZ139" i="4" s="1"/>
  <c r="IZ138" i="4" s="1"/>
  <c r="IZ137" i="4" s="1"/>
  <c r="IZ136" i="4" s="1"/>
  <c r="IZ135" i="4" s="1"/>
  <c r="IZ134" i="4" s="1"/>
  <c r="IZ133" i="4" s="1"/>
  <c r="IZ132" i="4" s="1"/>
  <c r="IZ131" i="4" s="1"/>
  <c r="IZ130" i="4" s="1"/>
  <c r="IZ129" i="4" s="1"/>
  <c r="IZ128" i="4" s="1"/>
  <c r="IZ127" i="4" s="1"/>
  <c r="IZ126" i="4" s="1"/>
  <c r="IZ125" i="4" s="1"/>
  <c r="IZ124" i="4" s="1"/>
  <c r="IZ123" i="4" s="1"/>
  <c r="IZ122" i="4" s="1"/>
  <c r="IZ121" i="4" s="1"/>
  <c r="IZ120" i="4" s="1"/>
  <c r="IZ119" i="4" s="1"/>
  <c r="IZ118" i="4" s="1"/>
  <c r="IZ117" i="4" s="1"/>
  <c r="IZ116" i="4" s="1"/>
  <c r="IZ115" i="4" s="1"/>
  <c r="IZ114" i="4" s="1"/>
  <c r="IZ113" i="4" s="1"/>
  <c r="IZ112" i="4" s="1"/>
  <c r="IZ111" i="4" s="1"/>
  <c r="IZ110" i="4" s="1"/>
  <c r="IZ109" i="4" s="1"/>
  <c r="IZ108" i="4" s="1"/>
  <c r="IZ107" i="4" s="1"/>
  <c r="IY168" i="4"/>
  <c r="IY167" i="4" s="1"/>
  <c r="IY166" i="4" s="1"/>
  <c r="IY165" i="4" s="1"/>
  <c r="IY164" i="4" s="1"/>
  <c r="IY163" i="4" s="1"/>
  <c r="IY162" i="4" s="1"/>
  <c r="IY161" i="4" s="1"/>
  <c r="IY160" i="4" s="1"/>
  <c r="IY159" i="4" s="1"/>
  <c r="IY158" i="4" s="1"/>
  <c r="IY157" i="4" s="1"/>
  <c r="IY156" i="4" s="1"/>
  <c r="IY155" i="4" s="1"/>
  <c r="IY154" i="4" s="1"/>
  <c r="IY153" i="4" s="1"/>
  <c r="IY152" i="4" s="1"/>
  <c r="IY151" i="4" s="1"/>
  <c r="IY150" i="4" s="1"/>
  <c r="IY149" i="4" s="1"/>
  <c r="IY148" i="4" s="1"/>
  <c r="IY147" i="4" s="1"/>
  <c r="IY146" i="4" s="1"/>
  <c r="IY145" i="4" s="1"/>
  <c r="IY144" i="4" s="1"/>
  <c r="IY143" i="4" s="1"/>
  <c r="IY142" i="4" s="1"/>
  <c r="IY141" i="4" s="1"/>
  <c r="IY140" i="4" s="1"/>
  <c r="IY139" i="4" s="1"/>
  <c r="IY138" i="4" s="1"/>
  <c r="IY137" i="4" s="1"/>
  <c r="IY136" i="4" s="1"/>
  <c r="IY135" i="4" s="1"/>
  <c r="IY134" i="4" s="1"/>
  <c r="IY133" i="4" s="1"/>
  <c r="IY132" i="4" s="1"/>
  <c r="IY131" i="4" s="1"/>
  <c r="IY130" i="4" s="1"/>
  <c r="IY129" i="4" s="1"/>
  <c r="IY128" i="4" s="1"/>
  <c r="IY127" i="4" s="1"/>
  <c r="IY126" i="4" s="1"/>
  <c r="IY125" i="4" s="1"/>
  <c r="IY124" i="4" s="1"/>
  <c r="IY123" i="4" s="1"/>
  <c r="IY122" i="4" s="1"/>
  <c r="IY121" i="4" s="1"/>
  <c r="IY120" i="4" s="1"/>
  <c r="IY119" i="4" s="1"/>
  <c r="IY118" i="4" s="1"/>
  <c r="IY117" i="4" s="1"/>
  <c r="IY116" i="4" s="1"/>
  <c r="IY115" i="4" s="1"/>
  <c r="IY114" i="4" s="1"/>
  <c r="IY113" i="4" s="1"/>
  <c r="IY112" i="4" s="1"/>
  <c r="IY111" i="4" s="1"/>
  <c r="IY110" i="4" s="1"/>
  <c r="IY109" i="4" s="1"/>
  <c r="IY108" i="4" s="1"/>
  <c r="IY107" i="4" s="1"/>
  <c r="JA168" i="4"/>
  <c r="JA167" i="4" s="1"/>
  <c r="JA166" i="4" s="1"/>
  <c r="JA165" i="4" s="1"/>
  <c r="JA164" i="4" s="1"/>
  <c r="JA163" i="4" s="1"/>
  <c r="JA162" i="4" s="1"/>
  <c r="JA161" i="4" s="1"/>
  <c r="JA160" i="4" s="1"/>
  <c r="JA159" i="4" s="1"/>
  <c r="JA158" i="4" s="1"/>
  <c r="JA157" i="4" s="1"/>
  <c r="JA156" i="4" s="1"/>
  <c r="JA155" i="4" s="1"/>
  <c r="JA154" i="4" s="1"/>
  <c r="JA153" i="4" s="1"/>
  <c r="JA152" i="4" s="1"/>
  <c r="JA151" i="4" s="1"/>
  <c r="JA150" i="4" s="1"/>
  <c r="JA149" i="4" s="1"/>
  <c r="JA148" i="4" s="1"/>
  <c r="JA147" i="4" s="1"/>
  <c r="JA146" i="4" s="1"/>
  <c r="JA145" i="4" s="1"/>
  <c r="JA144" i="4" s="1"/>
  <c r="JA143" i="4" s="1"/>
  <c r="JA142" i="4" s="1"/>
  <c r="JA141" i="4" s="1"/>
  <c r="JA140" i="4" s="1"/>
  <c r="JA139" i="4" s="1"/>
  <c r="JA138" i="4" s="1"/>
  <c r="JA137" i="4" s="1"/>
  <c r="JA136" i="4" s="1"/>
  <c r="JA135" i="4" s="1"/>
  <c r="JA134" i="4" s="1"/>
  <c r="JA133" i="4" s="1"/>
  <c r="JA132" i="4" s="1"/>
  <c r="JA131" i="4" s="1"/>
  <c r="JA130" i="4" s="1"/>
  <c r="JA129" i="4" s="1"/>
  <c r="JA128" i="4" s="1"/>
  <c r="JA127" i="4" s="1"/>
  <c r="JA126" i="4" s="1"/>
  <c r="JA125" i="4" s="1"/>
  <c r="JA124" i="4" s="1"/>
  <c r="JA123" i="4" s="1"/>
  <c r="JA122" i="4" s="1"/>
  <c r="JA121" i="4" s="1"/>
  <c r="JA120" i="4" s="1"/>
  <c r="JA119" i="4" s="1"/>
  <c r="JA118" i="4" s="1"/>
  <c r="JA117" i="4" s="1"/>
  <c r="JA116" i="4" s="1"/>
  <c r="JA115" i="4" s="1"/>
  <c r="JA114" i="4" s="1"/>
  <c r="JA113" i="4" s="1"/>
  <c r="JA112" i="4" s="1"/>
  <c r="JA111" i="4" s="1"/>
  <c r="JA110" i="4" s="1"/>
  <c r="JA109" i="4" s="1"/>
  <c r="JA108" i="4" s="1"/>
  <c r="JA107" i="4" s="1"/>
  <c r="IQ168" i="4"/>
  <c r="IQ167" i="4" s="1"/>
  <c r="IQ166" i="4" s="1"/>
  <c r="IQ165" i="4" s="1"/>
  <c r="IQ164" i="4" s="1"/>
  <c r="IQ163" i="4" s="1"/>
  <c r="IQ162" i="4" s="1"/>
  <c r="IQ161" i="4" s="1"/>
  <c r="IQ160" i="4" s="1"/>
  <c r="IQ159" i="4" s="1"/>
  <c r="IQ158" i="4" s="1"/>
  <c r="IQ157" i="4" s="1"/>
  <c r="IQ156" i="4" s="1"/>
  <c r="IQ155" i="4" s="1"/>
  <c r="IQ154" i="4" s="1"/>
  <c r="IQ153" i="4" s="1"/>
  <c r="IQ152" i="4" s="1"/>
  <c r="IQ151" i="4" s="1"/>
  <c r="IQ150" i="4" s="1"/>
  <c r="IQ149" i="4" s="1"/>
  <c r="IQ148" i="4" s="1"/>
  <c r="IQ147" i="4" s="1"/>
  <c r="IQ146" i="4" s="1"/>
  <c r="IQ145" i="4" s="1"/>
  <c r="IQ144" i="4" s="1"/>
  <c r="IQ143" i="4" s="1"/>
  <c r="IQ142" i="4" s="1"/>
  <c r="IQ141" i="4" s="1"/>
  <c r="IQ140" i="4" s="1"/>
  <c r="IQ139" i="4" s="1"/>
  <c r="IQ138" i="4" s="1"/>
  <c r="IQ137" i="4" s="1"/>
  <c r="IQ136" i="4" s="1"/>
  <c r="IQ135" i="4" s="1"/>
  <c r="IQ134" i="4" s="1"/>
  <c r="IQ133" i="4" s="1"/>
  <c r="IQ132" i="4" s="1"/>
  <c r="IQ131" i="4" s="1"/>
  <c r="IQ130" i="4" s="1"/>
  <c r="IQ129" i="4" s="1"/>
  <c r="IQ128" i="4" s="1"/>
  <c r="IQ127" i="4" s="1"/>
  <c r="IQ126" i="4" s="1"/>
  <c r="IQ125" i="4" s="1"/>
  <c r="IQ124" i="4" s="1"/>
  <c r="IQ123" i="4" s="1"/>
  <c r="IQ122" i="4" s="1"/>
  <c r="IQ121" i="4" s="1"/>
  <c r="IQ120" i="4" s="1"/>
  <c r="IQ119" i="4" s="1"/>
  <c r="IQ118" i="4" s="1"/>
  <c r="IQ117" i="4" s="1"/>
  <c r="IQ116" i="4" s="1"/>
  <c r="IQ115" i="4" s="1"/>
  <c r="IQ114" i="4" s="1"/>
  <c r="IQ113" i="4" s="1"/>
  <c r="IQ112" i="4" s="1"/>
  <c r="IQ111" i="4" s="1"/>
  <c r="IQ110" i="4" s="1"/>
  <c r="IQ109" i="4" s="1"/>
  <c r="IQ108" i="4" s="1"/>
  <c r="IQ107" i="4" s="1"/>
  <c r="IS168" i="4"/>
  <c r="IS167" i="4" s="1"/>
  <c r="IS166" i="4" s="1"/>
  <c r="IS165" i="4" s="1"/>
  <c r="IS164" i="4" s="1"/>
  <c r="IS163" i="4" s="1"/>
  <c r="IS162" i="4" s="1"/>
  <c r="IS161" i="4" s="1"/>
  <c r="IS160" i="4" s="1"/>
  <c r="IS159" i="4" s="1"/>
  <c r="IS158" i="4" s="1"/>
  <c r="IS157" i="4" s="1"/>
  <c r="IS156" i="4" s="1"/>
  <c r="IS155" i="4" s="1"/>
  <c r="IS154" i="4" s="1"/>
  <c r="IS153" i="4" s="1"/>
  <c r="IS152" i="4" s="1"/>
  <c r="IS151" i="4" s="1"/>
  <c r="IS150" i="4" s="1"/>
  <c r="IS149" i="4" s="1"/>
  <c r="IS148" i="4" s="1"/>
  <c r="IS147" i="4" s="1"/>
  <c r="IS146" i="4" s="1"/>
  <c r="IS145" i="4" s="1"/>
  <c r="IS144" i="4" s="1"/>
  <c r="IS143" i="4" s="1"/>
  <c r="IS142" i="4" s="1"/>
  <c r="IS141" i="4" s="1"/>
  <c r="IS140" i="4" s="1"/>
  <c r="IS139" i="4" s="1"/>
  <c r="IS138" i="4" s="1"/>
  <c r="IS137" i="4" s="1"/>
  <c r="IS136" i="4" s="1"/>
  <c r="IS135" i="4" s="1"/>
  <c r="IS134" i="4" s="1"/>
  <c r="IS133" i="4" s="1"/>
  <c r="IS132" i="4" s="1"/>
  <c r="IS131" i="4" s="1"/>
  <c r="IS130" i="4" s="1"/>
  <c r="IS129" i="4" s="1"/>
  <c r="IS128" i="4" s="1"/>
  <c r="IS127" i="4" s="1"/>
  <c r="IS126" i="4" s="1"/>
  <c r="IS125" i="4" s="1"/>
  <c r="IS124" i="4" s="1"/>
  <c r="IS123" i="4" s="1"/>
  <c r="IS122" i="4" s="1"/>
  <c r="IS121" i="4" s="1"/>
  <c r="IS120" i="4" s="1"/>
  <c r="IS119" i="4" s="1"/>
  <c r="IS118" i="4" s="1"/>
  <c r="IS117" i="4" s="1"/>
  <c r="IS116" i="4" s="1"/>
  <c r="IS115" i="4" s="1"/>
  <c r="IS114" i="4" s="1"/>
  <c r="IS113" i="4" s="1"/>
  <c r="IS112" i="4" s="1"/>
  <c r="IS111" i="4" s="1"/>
  <c r="IS110" i="4" s="1"/>
  <c r="IS109" i="4" s="1"/>
  <c r="IS108" i="4" s="1"/>
  <c r="IS107" i="4" s="1"/>
  <c r="IW168" i="4"/>
  <c r="IW167" i="4" s="1"/>
  <c r="IW166" i="4" s="1"/>
  <c r="IW165" i="4" s="1"/>
  <c r="IW164" i="4" s="1"/>
  <c r="IW163" i="4" s="1"/>
  <c r="IW162" i="4" s="1"/>
  <c r="IW161" i="4" s="1"/>
  <c r="IW160" i="4" s="1"/>
  <c r="IW159" i="4" s="1"/>
  <c r="IW158" i="4" s="1"/>
  <c r="IW157" i="4" s="1"/>
  <c r="IW156" i="4" s="1"/>
  <c r="IW155" i="4" s="1"/>
  <c r="IW154" i="4" s="1"/>
  <c r="IW153" i="4" s="1"/>
  <c r="IW152" i="4" s="1"/>
  <c r="IW151" i="4" s="1"/>
  <c r="IW150" i="4" s="1"/>
  <c r="IW149" i="4" s="1"/>
  <c r="IW148" i="4" s="1"/>
  <c r="IW147" i="4" s="1"/>
  <c r="IW146" i="4" s="1"/>
  <c r="IW145" i="4" s="1"/>
  <c r="IW144" i="4" s="1"/>
  <c r="IW143" i="4" s="1"/>
  <c r="IW142" i="4" s="1"/>
  <c r="IW141" i="4" s="1"/>
  <c r="IW140" i="4" s="1"/>
  <c r="IW139" i="4" s="1"/>
  <c r="IW138" i="4" s="1"/>
  <c r="IW137" i="4" s="1"/>
  <c r="IW136" i="4" s="1"/>
  <c r="IW135" i="4" s="1"/>
  <c r="IW134" i="4" s="1"/>
  <c r="IW133" i="4" s="1"/>
  <c r="IW132" i="4" s="1"/>
  <c r="IW131" i="4" s="1"/>
  <c r="IW130" i="4" s="1"/>
  <c r="IW129" i="4" s="1"/>
  <c r="IW128" i="4" s="1"/>
  <c r="IW127" i="4" s="1"/>
  <c r="IW126" i="4" s="1"/>
  <c r="IW125" i="4" s="1"/>
  <c r="IW124" i="4" s="1"/>
  <c r="IW123" i="4" s="1"/>
  <c r="IW122" i="4" s="1"/>
  <c r="IW121" i="4" s="1"/>
  <c r="IW120" i="4" s="1"/>
  <c r="IW119" i="4" s="1"/>
  <c r="IW118" i="4" s="1"/>
  <c r="IW117" i="4" s="1"/>
  <c r="IW116" i="4" s="1"/>
  <c r="IW115" i="4" s="1"/>
  <c r="IW114" i="4" s="1"/>
  <c r="IW113" i="4" s="1"/>
  <c r="IW112" i="4" s="1"/>
  <c r="IW111" i="4" s="1"/>
  <c r="IW110" i="4" s="1"/>
  <c r="IW109" i="4" s="1"/>
  <c r="IW108" i="4" s="1"/>
  <c r="IW107" i="4" s="1"/>
  <c r="GZ162" i="4"/>
  <c r="GZ161" i="4" s="1"/>
  <c r="JN162" i="4"/>
  <c r="JN161" i="4" s="1"/>
  <c r="JN160" i="4" s="1"/>
  <c r="JN159" i="4" s="1"/>
  <c r="JN158" i="4" s="1"/>
  <c r="JN157" i="4" s="1"/>
  <c r="JN156" i="4" s="1"/>
  <c r="JN155" i="4" s="1"/>
  <c r="JN154" i="4" s="1"/>
  <c r="JN153" i="4" s="1"/>
  <c r="JN152" i="4" s="1"/>
  <c r="JN151" i="4" s="1"/>
  <c r="JN150" i="4" s="1"/>
  <c r="JN149" i="4" s="1"/>
  <c r="JN148" i="4" s="1"/>
  <c r="JN147" i="4" s="1"/>
  <c r="JN146" i="4" s="1"/>
  <c r="JN145" i="4" s="1"/>
  <c r="JN144" i="4" s="1"/>
  <c r="JN143" i="4" s="1"/>
  <c r="JN142" i="4" s="1"/>
  <c r="JN141" i="4" s="1"/>
  <c r="JN140" i="4" s="1"/>
  <c r="JN139" i="4" s="1"/>
  <c r="JN138" i="4" s="1"/>
  <c r="JN137" i="4" s="1"/>
  <c r="JN136" i="4" s="1"/>
  <c r="JN135" i="4" s="1"/>
  <c r="JN134" i="4" s="1"/>
  <c r="JN133" i="4" s="1"/>
  <c r="JN132" i="4" s="1"/>
  <c r="JN131" i="4" s="1"/>
  <c r="JN130" i="4" s="1"/>
  <c r="JN129" i="4" s="1"/>
  <c r="JN128" i="4" s="1"/>
  <c r="JN127" i="4" s="1"/>
  <c r="JN126" i="4" s="1"/>
  <c r="JN125" i="4" s="1"/>
  <c r="JN124" i="4" s="1"/>
  <c r="JN123" i="4" s="1"/>
  <c r="JN122" i="4" s="1"/>
  <c r="JN121" i="4" s="1"/>
  <c r="JN120" i="4" s="1"/>
  <c r="JN119" i="4" s="1"/>
  <c r="JN118" i="4" s="1"/>
  <c r="JN117" i="4" s="1"/>
  <c r="JN116" i="4" s="1"/>
  <c r="JN115" i="4" s="1"/>
  <c r="JN114" i="4" s="1"/>
  <c r="JN113" i="4" s="1"/>
  <c r="JN112" i="4" s="1"/>
  <c r="JN111" i="4" s="1"/>
  <c r="JN110" i="4" s="1"/>
  <c r="JN109" i="4" s="1"/>
  <c r="JN108" i="4" s="1"/>
  <c r="JN107" i="4" s="1"/>
  <c r="JT162" i="4"/>
  <c r="JT161" i="4" s="1"/>
  <c r="JT160" i="4" s="1"/>
  <c r="JT159" i="4" s="1"/>
  <c r="JT158" i="4" s="1"/>
  <c r="JT157" i="4" s="1"/>
  <c r="JT156" i="4" s="1"/>
  <c r="JT155" i="4" s="1"/>
  <c r="JT154" i="4" s="1"/>
  <c r="JT153" i="4" s="1"/>
  <c r="JT152" i="4" s="1"/>
  <c r="JT151" i="4" s="1"/>
  <c r="JT150" i="4" s="1"/>
  <c r="JT149" i="4" s="1"/>
  <c r="JT148" i="4" s="1"/>
  <c r="JT147" i="4" s="1"/>
  <c r="JT146" i="4" s="1"/>
  <c r="JT145" i="4" s="1"/>
  <c r="JT144" i="4" s="1"/>
  <c r="JT143" i="4" s="1"/>
  <c r="JT142" i="4" s="1"/>
  <c r="JT141" i="4" s="1"/>
  <c r="JT140" i="4" s="1"/>
  <c r="JT139" i="4" s="1"/>
  <c r="JT138" i="4" s="1"/>
  <c r="JT137" i="4" s="1"/>
  <c r="JT136" i="4" s="1"/>
  <c r="JT135" i="4" s="1"/>
  <c r="JT134" i="4" s="1"/>
  <c r="JT133" i="4" s="1"/>
  <c r="JT132" i="4" s="1"/>
  <c r="JT131" i="4" s="1"/>
  <c r="JT130" i="4" s="1"/>
  <c r="JT129" i="4" s="1"/>
  <c r="JT128" i="4" s="1"/>
  <c r="JT127" i="4" s="1"/>
  <c r="JT126" i="4" s="1"/>
  <c r="JT125" i="4" s="1"/>
  <c r="JT124" i="4" s="1"/>
  <c r="JT123" i="4" s="1"/>
  <c r="JT122" i="4" s="1"/>
  <c r="JT121" i="4" s="1"/>
  <c r="JT120" i="4" s="1"/>
  <c r="JT119" i="4" s="1"/>
  <c r="JT118" i="4" s="1"/>
  <c r="JT117" i="4" s="1"/>
  <c r="JT116" i="4" s="1"/>
  <c r="JT115" i="4" s="1"/>
  <c r="JT114" i="4" s="1"/>
  <c r="JT113" i="4" s="1"/>
  <c r="JT112" i="4" s="1"/>
  <c r="JT111" i="4" s="1"/>
  <c r="JT110" i="4" s="1"/>
  <c r="JT109" i="4" s="1"/>
  <c r="JT108" i="4" s="1"/>
  <c r="JT107" i="4" s="1"/>
  <c r="HL162" i="4"/>
  <c r="HL161" i="4" s="1"/>
  <c r="HL160" i="4" s="1"/>
  <c r="HL159" i="4" s="1"/>
  <c r="HL158" i="4" s="1"/>
  <c r="HL157" i="4" s="1"/>
  <c r="HL156" i="4" s="1"/>
  <c r="HL155" i="4" s="1"/>
  <c r="HL154" i="4" s="1"/>
  <c r="HL153" i="4" s="1"/>
  <c r="HL152" i="4" s="1"/>
  <c r="HL151" i="4" s="1"/>
  <c r="HL150" i="4" s="1"/>
  <c r="HL149" i="4" s="1"/>
  <c r="HL148" i="4" s="1"/>
  <c r="HL147" i="4" s="1"/>
  <c r="HL146" i="4" s="1"/>
  <c r="HL145" i="4" s="1"/>
  <c r="HL144" i="4" s="1"/>
  <c r="HL143" i="4" s="1"/>
  <c r="HL142" i="4" s="1"/>
  <c r="HL141" i="4" s="1"/>
  <c r="HL140" i="4" s="1"/>
  <c r="HL139" i="4" s="1"/>
  <c r="HL138" i="4" s="1"/>
  <c r="HL137" i="4" s="1"/>
  <c r="HL136" i="4" s="1"/>
  <c r="HL135" i="4" s="1"/>
  <c r="HL134" i="4" s="1"/>
  <c r="HL133" i="4" s="1"/>
  <c r="HL132" i="4" s="1"/>
  <c r="HL131" i="4" s="1"/>
  <c r="HL130" i="4" s="1"/>
  <c r="HL129" i="4" s="1"/>
  <c r="HL128" i="4" s="1"/>
  <c r="HL127" i="4" s="1"/>
  <c r="HL126" i="4" s="1"/>
  <c r="HL125" i="4" s="1"/>
  <c r="HL124" i="4" s="1"/>
  <c r="HL123" i="4" s="1"/>
  <c r="HL122" i="4" s="1"/>
  <c r="HL121" i="4" s="1"/>
  <c r="HL120" i="4" s="1"/>
  <c r="HL119" i="4" s="1"/>
  <c r="HL118" i="4" s="1"/>
  <c r="HL117" i="4" s="1"/>
  <c r="HL116" i="4" s="1"/>
  <c r="HL115" i="4" s="1"/>
  <c r="HL114" i="4" s="1"/>
  <c r="HL113" i="4" s="1"/>
  <c r="HL112" i="4" s="1"/>
  <c r="HL111" i="4" s="1"/>
  <c r="HL110" i="4" s="1"/>
  <c r="HL109" i="4" s="1"/>
  <c r="HL108" i="4" s="1"/>
  <c r="HL107" i="4" s="1"/>
  <c r="JC123" i="4"/>
  <c r="JC122" i="4" s="1"/>
  <c r="JC121" i="4" s="1"/>
  <c r="JC120" i="4" s="1"/>
  <c r="JC119" i="4" s="1"/>
  <c r="JC118" i="4" s="1"/>
  <c r="JC117" i="4" s="1"/>
  <c r="JC116" i="4" s="1"/>
  <c r="JC115" i="4" s="1"/>
  <c r="JC114" i="4" s="1"/>
  <c r="JC113" i="4" s="1"/>
  <c r="JC112" i="4" s="1"/>
  <c r="JC111" i="4" s="1"/>
  <c r="JC110" i="4" s="1"/>
  <c r="JC109" i="4" s="1"/>
  <c r="JC108" i="4" s="1"/>
  <c r="JC107" i="4" s="1"/>
  <c r="JD123" i="4"/>
  <c r="JD122" i="4" s="1"/>
  <c r="JD121" i="4" s="1"/>
  <c r="JD120" i="4" s="1"/>
  <c r="JD119" i="4" s="1"/>
  <c r="JD118" i="4" s="1"/>
  <c r="JD117" i="4" s="1"/>
  <c r="JD116" i="4" s="1"/>
  <c r="JD115" i="4" s="1"/>
  <c r="JD114" i="4" s="1"/>
  <c r="JD113" i="4" s="1"/>
  <c r="JD112" i="4" s="1"/>
  <c r="JD111" i="4" s="1"/>
  <c r="JD110" i="4" s="1"/>
  <c r="JD109" i="4" s="1"/>
  <c r="JD108" i="4" s="1"/>
  <c r="JD107" i="4" s="1"/>
  <c r="HT108" i="4"/>
  <c r="HT107" i="4" s="1"/>
  <c r="JR108" i="4"/>
  <c r="JR107" i="4" s="1"/>
  <c r="HS108" i="4"/>
  <c r="HS107" i="4" s="1"/>
  <c r="KF108" i="4"/>
  <c r="KF107" i="4" s="1"/>
  <c r="JV108" i="4"/>
  <c r="JV107" i="4" s="1"/>
  <c r="JU108" i="4"/>
  <c r="JU107" i="4" s="1"/>
  <c r="JP108" i="4"/>
  <c r="JP107" i="4" s="1"/>
  <c r="JI108" i="4"/>
  <c r="JI107" i="4" s="1"/>
  <c r="JO108" i="4"/>
  <c r="JO107" i="4" s="1"/>
  <c r="JS108" i="4"/>
  <c r="JS107" i="4" s="1"/>
  <c r="JJ108" i="4"/>
  <c r="JJ107" i="4" s="1"/>
  <c r="HF108" i="4"/>
  <c r="HF107" i="4" s="1"/>
  <c r="HH108" i="4"/>
  <c r="HH107" i="4" s="1"/>
  <c r="B2" i="3"/>
  <c r="AO152" i="4"/>
  <c r="AO151" i="4" s="1"/>
  <c r="AO150" i="4" s="1"/>
  <c r="AO149" i="4" s="1"/>
  <c r="AO148" i="4" s="1"/>
  <c r="AO147" i="4" s="1"/>
  <c r="AO146" i="4" s="1"/>
  <c r="AO145" i="4" s="1"/>
  <c r="AO144" i="4" s="1"/>
  <c r="AO143" i="4" s="1"/>
  <c r="AO142" i="4" s="1"/>
  <c r="AO141" i="4" s="1"/>
  <c r="AO140" i="4" s="1"/>
  <c r="AO139" i="4" s="1"/>
  <c r="AO138" i="4" s="1"/>
  <c r="AO137" i="4" s="1"/>
  <c r="AO136" i="4" s="1"/>
  <c r="AO135" i="4" s="1"/>
  <c r="AO134" i="4" s="1"/>
  <c r="AO133" i="4" s="1"/>
  <c r="AO132" i="4" s="1"/>
  <c r="AO131" i="4" s="1"/>
  <c r="AO130" i="4" s="1"/>
  <c r="AO129" i="4" s="1"/>
  <c r="AO128" i="4" s="1"/>
  <c r="AO127" i="4" s="1"/>
  <c r="AO126" i="4" s="1"/>
  <c r="AO125" i="4" s="1"/>
  <c r="AO124" i="4" s="1"/>
  <c r="AO123" i="4" s="1"/>
  <c r="AO122" i="4" s="1"/>
  <c r="AO121" i="4" s="1"/>
  <c r="AO120" i="4" s="1"/>
  <c r="AO119" i="4" s="1"/>
  <c r="AO118" i="4" s="1"/>
  <c r="AO117" i="4" s="1"/>
  <c r="AO116" i="4" s="1"/>
  <c r="AO115" i="4" s="1"/>
  <c r="AO114" i="4" s="1"/>
  <c r="AO113" i="4" s="1"/>
  <c r="AO112" i="4" s="1"/>
  <c r="AO111" i="4" s="1"/>
  <c r="AO110" i="4" s="1"/>
  <c r="AO109" i="4" s="1"/>
  <c r="AO108" i="4" s="1"/>
  <c r="AO107" i="4" s="1"/>
  <c r="AO106" i="4" s="1"/>
  <c r="AO4" i="4" s="1"/>
  <c r="AP152" i="4"/>
  <c r="AP151" i="4" s="1"/>
  <c r="AP150" i="4" s="1"/>
  <c r="AP149" i="4" s="1"/>
  <c r="AP148" i="4" s="1"/>
  <c r="AP147" i="4" s="1"/>
  <c r="AP146" i="4" s="1"/>
  <c r="AP145" i="4" s="1"/>
  <c r="AP144" i="4" s="1"/>
  <c r="AP143" i="4" s="1"/>
  <c r="AP142" i="4" s="1"/>
  <c r="AP141" i="4" s="1"/>
  <c r="AP140" i="4" s="1"/>
  <c r="AP139" i="4" s="1"/>
  <c r="AP138" i="4" s="1"/>
  <c r="AP137" i="4" s="1"/>
  <c r="AP136" i="4" s="1"/>
  <c r="AP135" i="4" s="1"/>
  <c r="AP134" i="4" s="1"/>
  <c r="AP133" i="4" s="1"/>
  <c r="AP132" i="4" s="1"/>
  <c r="AP131" i="4" s="1"/>
  <c r="AP130" i="4" s="1"/>
  <c r="AP129" i="4" s="1"/>
  <c r="AP128" i="4" s="1"/>
  <c r="AP127" i="4" s="1"/>
  <c r="AP126" i="4" s="1"/>
  <c r="AP125" i="4" s="1"/>
  <c r="AP124" i="4" s="1"/>
  <c r="AP123" i="4" s="1"/>
  <c r="AP122" i="4" s="1"/>
  <c r="AP121" i="4" s="1"/>
  <c r="AP120" i="4" s="1"/>
  <c r="AP119" i="4" s="1"/>
  <c r="AP118" i="4" s="1"/>
  <c r="AP117" i="4" s="1"/>
  <c r="AP116" i="4" s="1"/>
  <c r="AP115" i="4" s="1"/>
  <c r="AP114" i="4" s="1"/>
  <c r="AP113" i="4" s="1"/>
  <c r="AP112" i="4" s="1"/>
  <c r="AP111" i="4" s="1"/>
  <c r="AP110" i="4" s="1"/>
  <c r="AP109" i="4" s="1"/>
  <c r="AP108" i="4" s="1"/>
  <c r="AP107" i="4" s="1"/>
  <c r="AP106" i="4" s="1"/>
  <c r="AP4" i="4" s="1"/>
  <c r="DI108" i="4"/>
  <c r="DI107" i="4" s="1"/>
  <c r="DD108" i="4"/>
  <c r="DD107" i="4" s="1"/>
  <c r="DP108" i="4"/>
  <c r="DP107" i="4" s="1"/>
  <c r="DC108" i="4"/>
  <c r="DC107" i="4" s="1"/>
  <c r="DJ108" i="4"/>
  <c r="DJ107" i="4" s="1"/>
  <c r="HB108" i="4"/>
  <c r="HB107" i="4" s="1"/>
  <c r="CL108" i="4"/>
  <c r="CL107" i="4" s="1"/>
  <c r="CX108" i="4"/>
  <c r="CX107" i="4" s="1"/>
  <c r="HA108" i="4"/>
  <c r="HA107" i="4" s="1"/>
  <c r="CR108" i="4"/>
  <c r="CR107" i="4" s="1"/>
  <c r="GV108" i="4"/>
  <c r="GV107" i="4" s="1"/>
  <c r="DO108" i="4"/>
  <c r="DO107" i="4" s="1"/>
  <c r="DV108" i="4"/>
  <c r="DV107" i="4" s="1"/>
  <c r="DU108" i="4"/>
  <c r="DU107" i="4" s="1"/>
  <c r="CF108" i="4"/>
  <c r="CF107" i="4" s="1"/>
  <c r="EA108" i="4"/>
  <c r="EA107" i="4" s="1"/>
  <c r="EB108" i="4"/>
  <c r="EB107" i="4" s="1"/>
  <c r="HO3" i="4"/>
  <c r="HI106" i="4"/>
  <c r="HI4" i="4" s="1"/>
  <c r="H39" i="2" s="1"/>
  <c r="GY176" i="4"/>
  <c r="GY175" i="4" s="1"/>
  <c r="GY174" i="4" s="1"/>
  <c r="GY173" i="4" s="1"/>
  <c r="GY172" i="4" s="1"/>
  <c r="GY171" i="4" s="1"/>
  <c r="GY170" i="4" s="1"/>
  <c r="GY169" i="4" s="1"/>
  <c r="GY168" i="4" s="1"/>
  <c r="GY167" i="4" s="1"/>
  <c r="GY166" i="4" s="1"/>
  <c r="GY165" i="4" s="1"/>
  <c r="GY164" i="4" s="1"/>
  <c r="GY163" i="4" s="1"/>
  <c r="GY162" i="4" s="1"/>
  <c r="GY161" i="4" s="1"/>
  <c r="GY160" i="4" s="1"/>
  <c r="GY159" i="4" s="1"/>
  <c r="GY158" i="4" s="1"/>
  <c r="GY157" i="4" s="1"/>
  <c r="GY156" i="4" s="1"/>
  <c r="GY155" i="4" s="1"/>
  <c r="GY154" i="4" s="1"/>
  <c r="GY153" i="4" s="1"/>
  <c r="GY152" i="4" s="1"/>
  <c r="GY151" i="4" s="1"/>
  <c r="GY150" i="4" s="1"/>
  <c r="GY149" i="4" s="1"/>
  <c r="GY148" i="4" s="1"/>
  <c r="GY147" i="4" s="1"/>
  <c r="GY146" i="4" s="1"/>
  <c r="GY145" i="4" s="1"/>
  <c r="GY144" i="4" s="1"/>
  <c r="GY143" i="4" s="1"/>
  <c r="GY142" i="4" s="1"/>
  <c r="GY141" i="4" s="1"/>
  <c r="GY140" i="4" s="1"/>
  <c r="GY139" i="4" s="1"/>
  <c r="GY138" i="4" s="1"/>
  <c r="GY137" i="4" s="1"/>
  <c r="GY136" i="4" s="1"/>
  <c r="GY135" i="4" s="1"/>
  <c r="GY134" i="4" s="1"/>
  <c r="GY133" i="4" s="1"/>
  <c r="GY132" i="4" s="1"/>
  <c r="GY131" i="4" s="1"/>
  <c r="GY130" i="4" s="1"/>
  <c r="GY129" i="4" s="1"/>
  <c r="GY128" i="4" s="1"/>
  <c r="GY127" i="4" s="1"/>
  <c r="GY126" i="4" s="1"/>
  <c r="GY125" i="4" s="1"/>
  <c r="GY124" i="4" s="1"/>
  <c r="GY123" i="4" s="1"/>
  <c r="GY122" i="4" s="1"/>
  <c r="GY121" i="4" s="1"/>
  <c r="GY120" i="4" s="1"/>
  <c r="GY119" i="4" s="1"/>
  <c r="GY118" i="4" s="1"/>
  <c r="GY117" i="4" s="1"/>
  <c r="GY116" i="4" s="1"/>
  <c r="GY115" i="4" s="1"/>
  <c r="GY114" i="4" s="1"/>
  <c r="GY113" i="4" s="1"/>
  <c r="GY112" i="4" s="1"/>
  <c r="GY111" i="4" s="1"/>
  <c r="GY110" i="4" s="1"/>
  <c r="GY109" i="4" s="1"/>
  <c r="GY108" i="4" s="1"/>
  <c r="GY107" i="4" s="1"/>
  <c r="GY106" i="4" s="1"/>
  <c r="GX176" i="4"/>
  <c r="GX175" i="4" s="1"/>
  <c r="GX174" i="4" s="1"/>
  <c r="GX173" i="4" s="1"/>
  <c r="GX172" i="4" s="1"/>
  <c r="GX171" i="4" s="1"/>
  <c r="GX170" i="4" s="1"/>
  <c r="GX169" i="4" s="1"/>
  <c r="GX168" i="4" s="1"/>
  <c r="GX167" i="4" s="1"/>
  <c r="GX166" i="4" s="1"/>
  <c r="GX165" i="4" s="1"/>
  <c r="GX164" i="4" s="1"/>
  <c r="GX163" i="4" s="1"/>
  <c r="GX162" i="4" s="1"/>
  <c r="GX161" i="4" s="1"/>
  <c r="GX160" i="4" s="1"/>
  <c r="GX159" i="4" s="1"/>
  <c r="GX158" i="4" s="1"/>
  <c r="GX157" i="4" s="1"/>
  <c r="GX156" i="4" s="1"/>
  <c r="GX155" i="4" s="1"/>
  <c r="GX154" i="4" s="1"/>
  <c r="GX153" i="4" s="1"/>
  <c r="GX152" i="4" s="1"/>
  <c r="GX151" i="4" s="1"/>
  <c r="GX150" i="4" s="1"/>
  <c r="GX149" i="4" s="1"/>
  <c r="GX148" i="4" s="1"/>
  <c r="GX147" i="4" s="1"/>
  <c r="GX146" i="4" s="1"/>
  <c r="GX145" i="4" s="1"/>
  <c r="GX144" i="4" s="1"/>
  <c r="GX143" i="4" s="1"/>
  <c r="GX142" i="4" s="1"/>
  <c r="GX141" i="4" s="1"/>
  <c r="GX140" i="4" s="1"/>
  <c r="GX139" i="4" s="1"/>
  <c r="GX138" i="4" s="1"/>
  <c r="GX137" i="4" s="1"/>
  <c r="GX136" i="4" s="1"/>
  <c r="GX135" i="4" s="1"/>
  <c r="GX134" i="4" s="1"/>
  <c r="GX133" i="4" s="1"/>
  <c r="GX132" i="4" s="1"/>
  <c r="GX131" i="4" s="1"/>
  <c r="GX130" i="4" s="1"/>
  <c r="GX129" i="4" s="1"/>
  <c r="GX128" i="4" s="1"/>
  <c r="GX127" i="4" s="1"/>
  <c r="GX126" i="4" s="1"/>
  <c r="GX125" i="4" s="1"/>
  <c r="GX124" i="4" s="1"/>
  <c r="GX123" i="4" s="1"/>
  <c r="GX122" i="4" s="1"/>
  <c r="GX121" i="4" s="1"/>
  <c r="GX120" i="4" s="1"/>
  <c r="GX119" i="4" s="1"/>
  <c r="GX118" i="4" s="1"/>
  <c r="GX117" i="4" s="1"/>
  <c r="GX116" i="4" s="1"/>
  <c r="GX115" i="4" s="1"/>
  <c r="GX114" i="4" s="1"/>
  <c r="GX113" i="4" s="1"/>
  <c r="GX112" i="4" s="1"/>
  <c r="GX111" i="4" s="1"/>
  <c r="GX110" i="4" s="1"/>
  <c r="GX109" i="4" s="1"/>
  <c r="GX108" i="4" s="1"/>
  <c r="GX107" i="4" s="1"/>
  <c r="H119" i="4"/>
  <c r="H118" i="4" s="1"/>
  <c r="H117" i="4" s="1"/>
  <c r="H116" i="4" s="1"/>
  <c r="H115" i="4" s="1"/>
  <c r="H114" i="4" s="1"/>
  <c r="H113" i="4" s="1"/>
  <c r="H112" i="4" s="1"/>
  <c r="H111" i="4" s="1"/>
  <c r="H110" i="4" s="1"/>
  <c r="H109" i="4" s="1"/>
  <c r="H108" i="4" s="1"/>
  <c r="H107" i="4" s="1"/>
  <c r="E119" i="4"/>
  <c r="E118" i="4" s="1"/>
  <c r="E117" i="4" s="1"/>
  <c r="E116" i="4" s="1"/>
  <c r="E115" i="4" s="1"/>
  <c r="E114" i="4" s="1"/>
  <c r="E113" i="4" s="1"/>
  <c r="E112" i="4" s="1"/>
  <c r="E111" i="4" s="1"/>
  <c r="E110" i="4" s="1"/>
  <c r="E109" i="4" s="1"/>
  <c r="E108" i="4" s="1"/>
  <c r="E107" i="4" s="1"/>
  <c r="E106" i="4" s="1"/>
  <c r="DB119" i="4"/>
  <c r="DB118" i="4" s="1"/>
  <c r="DB117" i="4" s="1"/>
  <c r="DB116" i="4" s="1"/>
  <c r="DB115" i="4" s="1"/>
  <c r="DB114" i="4" s="1"/>
  <c r="DB113" i="4" s="1"/>
  <c r="DB112" i="4" s="1"/>
  <c r="DB111" i="4" s="1"/>
  <c r="DB110" i="4" s="1"/>
  <c r="DB109" i="4" s="1"/>
  <c r="DB108" i="4" s="1"/>
  <c r="DB107" i="4" s="1"/>
  <c r="DB106" i="4" s="1"/>
  <c r="DB4" i="4" s="1"/>
  <c r="I119" i="4"/>
  <c r="I118" i="4" s="1"/>
  <c r="I117" i="4" s="1"/>
  <c r="I116" i="4" s="1"/>
  <c r="I115" i="4" s="1"/>
  <c r="I114" i="4" s="1"/>
  <c r="I113" i="4" s="1"/>
  <c r="I112" i="4" s="1"/>
  <c r="I111" i="4" s="1"/>
  <c r="I110" i="4" s="1"/>
  <c r="I109" i="4" s="1"/>
  <c r="I108" i="4" s="1"/>
  <c r="F119" i="4"/>
  <c r="F118" i="4" s="1"/>
  <c r="F117" i="4" s="1"/>
  <c r="F116" i="4" s="1"/>
  <c r="F115" i="4" s="1"/>
  <c r="F114" i="4" s="1"/>
  <c r="F113" i="4" s="1"/>
  <c r="F112" i="4" s="1"/>
  <c r="F111" i="4" s="1"/>
  <c r="F110" i="4" s="1"/>
  <c r="F109" i="4" s="1"/>
  <c r="F108" i="4" s="1"/>
  <c r="BA107" i="4"/>
  <c r="BA106" i="4" s="1"/>
  <c r="BM107" i="4"/>
  <c r="HL3" i="4"/>
  <c r="HF106" i="4"/>
  <c r="HF4" i="4" s="1"/>
  <c r="E39" i="2" s="1"/>
  <c r="CM172" i="4"/>
  <c r="CM171" i="4" s="1"/>
  <c r="CM170" i="4" s="1"/>
  <c r="CM169" i="4" s="1"/>
  <c r="CM168" i="4" s="1"/>
  <c r="CM167" i="4" s="1"/>
  <c r="CM166" i="4" s="1"/>
  <c r="CM165" i="4" s="1"/>
  <c r="CM164" i="4" s="1"/>
  <c r="CM163" i="4" s="1"/>
  <c r="CM162" i="4" s="1"/>
  <c r="CM161" i="4" s="1"/>
  <c r="CM160" i="4" s="1"/>
  <c r="CM159" i="4" s="1"/>
  <c r="CM158" i="4" s="1"/>
  <c r="CM157" i="4" s="1"/>
  <c r="CM156" i="4" s="1"/>
  <c r="CM155" i="4" s="1"/>
  <c r="CM154" i="4" s="1"/>
  <c r="CM153" i="4" s="1"/>
  <c r="CM152" i="4" s="1"/>
  <c r="CM151" i="4" s="1"/>
  <c r="CM150" i="4" s="1"/>
  <c r="CM149" i="4" s="1"/>
  <c r="CM148" i="4" s="1"/>
  <c r="CM147" i="4" s="1"/>
  <c r="CM146" i="4" s="1"/>
  <c r="CM145" i="4" s="1"/>
  <c r="CM144" i="4" s="1"/>
  <c r="CM143" i="4" s="1"/>
  <c r="CM142" i="4" s="1"/>
  <c r="CM141" i="4" s="1"/>
  <c r="CM140" i="4" s="1"/>
  <c r="CM139" i="4" s="1"/>
  <c r="CM138" i="4" s="1"/>
  <c r="CM137" i="4" s="1"/>
  <c r="CM136" i="4" s="1"/>
  <c r="CM135" i="4" s="1"/>
  <c r="CM134" i="4" s="1"/>
  <c r="CM133" i="4" s="1"/>
  <c r="CM132" i="4" s="1"/>
  <c r="CM131" i="4" s="1"/>
  <c r="CM130" i="4" s="1"/>
  <c r="CM129" i="4" s="1"/>
  <c r="CM128" i="4" s="1"/>
  <c r="CM127" i="4" s="1"/>
  <c r="CM126" i="4" s="1"/>
  <c r="CM125" i="4" s="1"/>
  <c r="CM124" i="4" s="1"/>
  <c r="CM123" i="4" s="1"/>
  <c r="CM122" i="4" s="1"/>
  <c r="CM121" i="4" s="1"/>
  <c r="CM120" i="4" s="1"/>
  <c r="CM119" i="4" s="1"/>
  <c r="CM118" i="4" s="1"/>
  <c r="CM117" i="4" s="1"/>
  <c r="CM116" i="4" s="1"/>
  <c r="CM115" i="4" s="1"/>
  <c r="CM114" i="4" s="1"/>
  <c r="CM113" i="4" s="1"/>
  <c r="CM112" i="4" s="1"/>
  <c r="CM111" i="4" s="1"/>
  <c r="CM110" i="4" s="1"/>
  <c r="CM109" i="4" s="1"/>
  <c r="CM108" i="4" s="1"/>
  <c r="CM107" i="4" s="1"/>
  <c r="CM106" i="4" s="1"/>
  <c r="CM4" i="4" s="1"/>
  <c r="CY172" i="4"/>
  <c r="CY171" i="4" s="1"/>
  <c r="CY170" i="4" s="1"/>
  <c r="CY169" i="4" s="1"/>
  <c r="CY168" i="4" s="1"/>
  <c r="CY167" i="4" s="1"/>
  <c r="CY166" i="4" s="1"/>
  <c r="CY165" i="4" s="1"/>
  <c r="CY164" i="4" s="1"/>
  <c r="CY163" i="4" s="1"/>
  <c r="CY162" i="4" s="1"/>
  <c r="CY161" i="4" s="1"/>
  <c r="CY160" i="4" s="1"/>
  <c r="CY159" i="4" s="1"/>
  <c r="CY158" i="4" s="1"/>
  <c r="CY157" i="4" s="1"/>
  <c r="CY156" i="4" s="1"/>
  <c r="CY155" i="4" s="1"/>
  <c r="CY154" i="4" s="1"/>
  <c r="CY153" i="4" s="1"/>
  <c r="CY152" i="4" s="1"/>
  <c r="CY151" i="4" s="1"/>
  <c r="CY150" i="4" s="1"/>
  <c r="CY149" i="4" s="1"/>
  <c r="CY148" i="4" s="1"/>
  <c r="CY147" i="4" s="1"/>
  <c r="CY146" i="4" s="1"/>
  <c r="CY145" i="4" s="1"/>
  <c r="CY144" i="4" s="1"/>
  <c r="CY143" i="4" s="1"/>
  <c r="CY142" i="4" s="1"/>
  <c r="CY141" i="4" s="1"/>
  <c r="CY140" i="4" s="1"/>
  <c r="CY139" i="4" s="1"/>
  <c r="CY138" i="4" s="1"/>
  <c r="CY137" i="4" s="1"/>
  <c r="CY136" i="4" s="1"/>
  <c r="CY135" i="4" s="1"/>
  <c r="CY134" i="4" s="1"/>
  <c r="CY133" i="4" s="1"/>
  <c r="CY132" i="4" s="1"/>
  <c r="CY131" i="4" s="1"/>
  <c r="CY130" i="4" s="1"/>
  <c r="CY129" i="4" s="1"/>
  <c r="CY128" i="4" s="1"/>
  <c r="CY127" i="4" s="1"/>
  <c r="CY126" i="4" s="1"/>
  <c r="CY125" i="4" s="1"/>
  <c r="CY124" i="4" s="1"/>
  <c r="CY123" i="4" s="1"/>
  <c r="CY122" i="4" s="1"/>
  <c r="CY121" i="4" s="1"/>
  <c r="CY120" i="4" s="1"/>
  <c r="CY119" i="4" s="1"/>
  <c r="CY118" i="4" s="1"/>
  <c r="CY117" i="4" s="1"/>
  <c r="CY116" i="4" s="1"/>
  <c r="CY115" i="4" s="1"/>
  <c r="CY114" i="4" s="1"/>
  <c r="CY113" i="4" s="1"/>
  <c r="CY112" i="4" s="1"/>
  <c r="CY111" i="4" s="1"/>
  <c r="CY110" i="4" s="1"/>
  <c r="CY109" i="4" s="1"/>
  <c r="CY108" i="4" s="1"/>
  <c r="CY107" i="4" s="1"/>
  <c r="CY106" i="4" s="1"/>
  <c r="CY4" i="4" s="1"/>
  <c r="CA172" i="4"/>
  <c r="CA171" i="4" s="1"/>
  <c r="CA170" i="4" s="1"/>
  <c r="CA169" i="4" s="1"/>
  <c r="CA168" i="4" s="1"/>
  <c r="CA167" i="4" s="1"/>
  <c r="CA166" i="4" s="1"/>
  <c r="CA165" i="4" s="1"/>
  <c r="CA164" i="4" s="1"/>
  <c r="CA163" i="4" s="1"/>
  <c r="CA162" i="4" s="1"/>
  <c r="CA161" i="4" s="1"/>
  <c r="CA160" i="4" s="1"/>
  <c r="CA159" i="4" s="1"/>
  <c r="CA158" i="4" s="1"/>
  <c r="CA157" i="4" s="1"/>
  <c r="CA156" i="4" s="1"/>
  <c r="CA155" i="4" s="1"/>
  <c r="CA154" i="4" s="1"/>
  <c r="CA153" i="4" s="1"/>
  <c r="CA152" i="4" s="1"/>
  <c r="CA151" i="4" s="1"/>
  <c r="CA150" i="4" s="1"/>
  <c r="CA149" i="4" s="1"/>
  <c r="CA148" i="4" s="1"/>
  <c r="CA147" i="4" s="1"/>
  <c r="CA146" i="4" s="1"/>
  <c r="CA145" i="4" s="1"/>
  <c r="CA144" i="4" s="1"/>
  <c r="CA143" i="4" s="1"/>
  <c r="CA142" i="4" s="1"/>
  <c r="CA141" i="4" s="1"/>
  <c r="CA140" i="4" s="1"/>
  <c r="CA139" i="4" s="1"/>
  <c r="CA138" i="4" s="1"/>
  <c r="CA137" i="4" s="1"/>
  <c r="CA136" i="4" s="1"/>
  <c r="CA135" i="4" s="1"/>
  <c r="CA134" i="4" s="1"/>
  <c r="CA133" i="4" s="1"/>
  <c r="CA132" i="4" s="1"/>
  <c r="CA131" i="4" s="1"/>
  <c r="CA130" i="4" s="1"/>
  <c r="CA129" i="4" s="1"/>
  <c r="CA128" i="4" s="1"/>
  <c r="CA127" i="4" s="1"/>
  <c r="CA126" i="4" s="1"/>
  <c r="CA125" i="4" s="1"/>
  <c r="CA124" i="4" s="1"/>
  <c r="CA123" i="4" s="1"/>
  <c r="CA122" i="4" s="1"/>
  <c r="CA121" i="4" s="1"/>
  <c r="CA120" i="4" s="1"/>
  <c r="CA119" i="4" s="1"/>
  <c r="CA118" i="4" s="1"/>
  <c r="CA117" i="4" s="1"/>
  <c r="CA116" i="4" s="1"/>
  <c r="CA115" i="4" s="1"/>
  <c r="CA114" i="4" s="1"/>
  <c r="CA113" i="4" s="1"/>
  <c r="CA112" i="4" s="1"/>
  <c r="CA111" i="4" s="1"/>
  <c r="CA110" i="4" s="1"/>
  <c r="CA109" i="4" s="1"/>
  <c r="CA108" i="4" s="1"/>
  <c r="CA107" i="4" s="1"/>
  <c r="CA106" i="4" s="1"/>
  <c r="CA4" i="4" s="1"/>
  <c r="N168" i="4"/>
  <c r="N167" i="4" s="1"/>
  <c r="N166" i="4" s="1"/>
  <c r="N165" i="4" s="1"/>
  <c r="N164" i="4" s="1"/>
  <c r="N163" i="4" s="1"/>
  <c r="N162" i="4" s="1"/>
  <c r="N161" i="4" s="1"/>
  <c r="N160" i="4" s="1"/>
  <c r="N159" i="4" s="1"/>
  <c r="N158" i="4" s="1"/>
  <c r="N157" i="4" s="1"/>
  <c r="N156" i="4" s="1"/>
  <c r="N155" i="4" s="1"/>
  <c r="N154" i="4" s="1"/>
  <c r="N153" i="4" s="1"/>
  <c r="N152" i="4" s="1"/>
  <c r="N151" i="4" s="1"/>
  <c r="N150" i="4" s="1"/>
  <c r="N149" i="4" s="1"/>
  <c r="N148" i="4" s="1"/>
  <c r="N147" i="4" s="1"/>
  <c r="N146" i="4" s="1"/>
  <c r="N145" i="4" s="1"/>
  <c r="N144" i="4" s="1"/>
  <c r="N143" i="4" s="1"/>
  <c r="N142" i="4" s="1"/>
  <c r="N141" i="4" s="1"/>
  <c r="N140" i="4" s="1"/>
  <c r="N139" i="4" s="1"/>
  <c r="N138" i="4" s="1"/>
  <c r="N137" i="4" s="1"/>
  <c r="N136" i="4" s="1"/>
  <c r="N135" i="4" s="1"/>
  <c r="N134" i="4" s="1"/>
  <c r="N133" i="4" s="1"/>
  <c r="N132" i="4" s="1"/>
  <c r="N131" i="4" s="1"/>
  <c r="N130" i="4" s="1"/>
  <c r="N129" i="4" s="1"/>
  <c r="N128" i="4" s="1"/>
  <c r="N127" i="4" s="1"/>
  <c r="N126" i="4" s="1"/>
  <c r="N125" i="4" s="1"/>
  <c r="N124" i="4" s="1"/>
  <c r="N123" i="4" s="1"/>
  <c r="N122" i="4" s="1"/>
  <c r="N121" i="4" s="1"/>
  <c r="N120" i="4" s="1"/>
  <c r="N119" i="4" s="1"/>
  <c r="N118" i="4" s="1"/>
  <c r="N117" i="4" s="1"/>
  <c r="N116" i="4" s="1"/>
  <c r="N115" i="4" s="1"/>
  <c r="N114" i="4" s="1"/>
  <c r="N113" i="4" s="1"/>
  <c r="N112" i="4" s="1"/>
  <c r="N111" i="4" s="1"/>
  <c r="N110" i="4" s="1"/>
  <c r="N109" i="4" s="1"/>
  <c r="N108" i="4" s="1"/>
  <c r="N107" i="4" s="1"/>
  <c r="N106" i="4" s="1"/>
  <c r="O168" i="4"/>
  <c r="O167" i="4" s="1"/>
  <c r="O166" i="4" s="1"/>
  <c r="O165" i="4" s="1"/>
  <c r="O164" i="4" s="1"/>
  <c r="O163" i="4" s="1"/>
  <c r="O162" i="4" s="1"/>
  <c r="O161" i="4" s="1"/>
  <c r="O160" i="4" s="1"/>
  <c r="O159" i="4" s="1"/>
  <c r="O158" i="4" s="1"/>
  <c r="O157" i="4" s="1"/>
  <c r="O156" i="4" s="1"/>
  <c r="O155" i="4" s="1"/>
  <c r="O154" i="4" s="1"/>
  <c r="O153" i="4" s="1"/>
  <c r="O152" i="4" s="1"/>
  <c r="O151" i="4" s="1"/>
  <c r="O150" i="4" s="1"/>
  <c r="O149" i="4" s="1"/>
  <c r="O148" i="4" s="1"/>
  <c r="O147" i="4" s="1"/>
  <c r="O146" i="4" s="1"/>
  <c r="O145" i="4" s="1"/>
  <c r="O144" i="4" s="1"/>
  <c r="O143" i="4" s="1"/>
  <c r="O142" i="4" s="1"/>
  <c r="O141" i="4" s="1"/>
  <c r="O140" i="4" s="1"/>
  <c r="O139" i="4" s="1"/>
  <c r="O138" i="4" s="1"/>
  <c r="O137" i="4" s="1"/>
  <c r="O136" i="4" s="1"/>
  <c r="O135" i="4" s="1"/>
  <c r="O134" i="4" s="1"/>
  <c r="O133" i="4" s="1"/>
  <c r="O132" i="4" s="1"/>
  <c r="O131" i="4" s="1"/>
  <c r="O130" i="4" s="1"/>
  <c r="O129" i="4" s="1"/>
  <c r="O128" i="4" s="1"/>
  <c r="O127" i="4" s="1"/>
  <c r="O126" i="4" s="1"/>
  <c r="O125" i="4" s="1"/>
  <c r="O124" i="4" s="1"/>
  <c r="O123" i="4" s="1"/>
  <c r="O122" i="4" s="1"/>
  <c r="O121" i="4" s="1"/>
  <c r="O120" i="4" s="1"/>
  <c r="O119" i="4" s="1"/>
  <c r="O118" i="4" s="1"/>
  <c r="O117" i="4" s="1"/>
  <c r="O116" i="4" s="1"/>
  <c r="O115" i="4" s="1"/>
  <c r="O114" i="4" s="1"/>
  <c r="O113" i="4" s="1"/>
  <c r="O112" i="4" s="1"/>
  <c r="O111" i="4" s="1"/>
  <c r="O110" i="4" s="1"/>
  <c r="O109" i="4" s="1"/>
  <c r="O108" i="4" s="1"/>
  <c r="O107" i="4" s="1"/>
  <c r="O106" i="4" s="1"/>
  <c r="CC164" i="4"/>
  <c r="CC163" i="4" s="1"/>
  <c r="CC162" i="4" s="1"/>
  <c r="CC161" i="4" s="1"/>
  <c r="CC160" i="4" s="1"/>
  <c r="CC159" i="4" s="1"/>
  <c r="CC158" i="4" s="1"/>
  <c r="CC157" i="4" s="1"/>
  <c r="CC156" i="4" s="1"/>
  <c r="CC155" i="4" s="1"/>
  <c r="CC154" i="4" s="1"/>
  <c r="CC153" i="4" s="1"/>
  <c r="CC152" i="4" s="1"/>
  <c r="CC151" i="4" s="1"/>
  <c r="CC150" i="4" s="1"/>
  <c r="CC149" i="4" s="1"/>
  <c r="CC148" i="4" s="1"/>
  <c r="CC147" i="4" s="1"/>
  <c r="CC146" i="4" s="1"/>
  <c r="CC145" i="4" s="1"/>
  <c r="CC144" i="4" s="1"/>
  <c r="CC143" i="4" s="1"/>
  <c r="CC142" i="4" s="1"/>
  <c r="CC141" i="4" s="1"/>
  <c r="CC140" i="4" s="1"/>
  <c r="CC139" i="4" s="1"/>
  <c r="CC138" i="4" s="1"/>
  <c r="CC137" i="4" s="1"/>
  <c r="CC136" i="4" s="1"/>
  <c r="CC135" i="4" s="1"/>
  <c r="CC134" i="4" s="1"/>
  <c r="CC133" i="4" s="1"/>
  <c r="CC132" i="4" s="1"/>
  <c r="CC131" i="4" s="1"/>
  <c r="CC130" i="4" s="1"/>
  <c r="CC129" i="4" s="1"/>
  <c r="CC128" i="4" s="1"/>
  <c r="CC127" i="4" s="1"/>
  <c r="CC126" i="4" s="1"/>
  <c r="CC125" i="4" s="1"/>
  <c r="CC124" i="4" s="1"/>
  <c r="CC123" i="4" s="1"/>
  <c r="CC122" i="4" s="1"/>
  <c r="CC121" i="4" s="1"/>
  <c r="CC120" i="4" s="1"/>
  <c r="CC119" i="4" s="1"/>
  <c r="CC118" i="4" s="1"/>
  <c r="CC117" i="4" s="1"/>
  <c r="CC116" i="4" s="1"/>
  <c r="CC115" i="4" s="1"/>
  <c r="CC114" i="4" s="1"/>
  <c r="CC113" i="4" s="1"/>
  <c r="CC112" i="4" s="1"/>
  <c r="CC111" i="4" s="1"/>
  <c r="CC110" i="4" s="1"/>
  <c r="CC109" i="4" s="1"/>
  <c r="CC108" i="4" s="1"/>
  <c r="CC107" i="4" s="1"/>
  <c r="CC106" i="4" s="1"/>
  <c r="CB164" i="4"/>
  <c r="CB163" i="4" s="1"/>
  <c r="CB162" i="4" s="1"/>
  <c r="CB161" i="4" s="1"/>
  <c r="CB160" i="4" s="1"/>
  <c r="CB159" i="4" s="1"/>
  <c r="CB158" i="4" s="1"/>
  <c r="CB157" i="4" s="1"/>
  <c r="CB156" i="4" s="1"/>
  <c r="CB155" i="4" s="1"/>
  <c r="CB154" i="4" s="1"/>
  <c r="CB153" i="4" s="1"/>
  <c r="CB152" i="4" s="1"/>
  <c r="CB151" i="4" s="1"/>
  <c r="CB150" i="4" s="1"/>
  <c r="CB149" i="4" s="1"/>
  <c r="CB148" i="4" s="1"/>
  <c r="CB147" i="4" s="1"/>
  <c r="CB146" i="4" s="1"/>
  <c r="CB145" i="4" s="1"/>
  <c r="CB144" i="4" s="1"/>
  <c r="CB143" i="4" s="1"/>
  <c r="CB142" i="4" s="1"/>
  <c r="CB141" i="4" s="1"/>
  <c r="CB140" i="4" s="1"/>
  <c r="CB139" i="4" s="1"/>
  <c r="CB138" i="4" s="1"/>
  <c r="CB137" i="4" s="1"/>
  <c r="CB136" i="4" s="1"/>
  <c r="CB135" i="4" s="1"/>
  <c r="CB134" i="4" s="1"/>
  <c r="CB133" i="4" s="1"/>
  <c r="CB132" i="4" s="1"/>
  <c r="CB131" i="4" s="1"/>
  <c r="CB130" i="4" s="1"/>
  <c r="CB129" i="4" s="1"/>
  <c r="CB128" i="4" s="1"/>
  <c r="CB127" i="4" s="1"/>
  <c r="CB126" i="4" s="1"/>
  <c r="CB125" i="4" s="1"/>
  <c r="CB124" i="4" s="1"/>
  <c r="CB123" i="4" s="1"/>
  <c r="CB122" i="4" s="1"/>
  <c r="CB121" i="4" s="1"/>
  <c r="CB120" i="4" s="1"/>
  <c r="CB119" i="4" s="1"/>
  <c r="CB118" i="4" s="1"/>
  <c r="CB117" i="4" s="1"/>
  <c r="CB116" i="4" s="1"/>
  <c r="CB115" i="4" s="1"/>
  <c r="CB114" i="4" s="1"/>
  <c r="CB113" i="4" s="1"/>
  <c r="CB112" i="4" s="1"/>
  <c r="CB111" i="4" s="1"/>
  <c r="CB110" i="4" s="1"/>
  <c r="CB109" i="4" s="1"/>
  <c r="CB108" i="4" s="1"/>
  <c r="CB107" i="4" s="1"/>
  <c r="T160" i="4"/>
  <c r="T159" i="4" s="1"/>
  <c r="T158" i="4" s="1"/>
  <c r="T157" i="4" s="1"/>
  <c r="T156" i="4" s="1"/>
  <c r="T155" i="4" s="1"/>
  <c r="T154" i="4" s="1"/>
  <c r="T153" i="4" s="1"/>
  <c r="T152" i="4" s="1"/>
  <c r="T151" i="4" s="1"/>
  <c r="T150" i="4" s="1"/>
  <c r="T149" i="4" s="1"/>
  <c r="T148" i="4" s="1"/>
  <c r="T147" i="4" s="1"/>
  <c r="T146" i="4" s="1"/>
  <c r="T145" i="4" s="1"/>
  <c r="T144" i="4" s="1"/>
  <c r="T143" i="4" s="1"/>
  <c r="T142" i="4" s="1"/>
  <c r="T141" i="4" s="1"/>
  <c r="T140" i="4" s="1"/>
  <c r="T139" i="4" s="1"/>
  <c r="T138" i="4" s="1"/>
  <c r="T137" i="4" s="1"/>
  <c r="T136" i="4" s="1"/>
  <c r="T135" i="4" s="1"/>
  <c r="T134" i="4" s="1"/>
  <c r="T133" i="4" s="1"/>
  <c r="T132" i="4" s="1"/>
  <c r="T131" i="4" s="1"/>
  <c r="T130" i="4" s="1"/>
  <c r="T129" i="4" s="1"/>
  <c r="T128" i="4" s="1"/>
  <c r="T127" i="4" s="1"/>
  <c r="T126" i="4" s="1"/>
  <c r="T125" i="4" s="1"/>
  <c r="T124" i="4" s="1"/>
  <c r="T123" i="4" s="1"/>
  <c r="T122" i="4" s="1"/>
  <c r="T121" i="4" s="1"/>
  <c r="T120" i="4" s="1"/>
  <c r="T119" i="4" s="1"/>
  <c r="T118" i="4" s="1"/>
  <c r="T117" i="4" s="1"/>
  <c r="T116" i="4" s="1"/>
  <c r="T115" i="4" s="1"/>
  <c r="T114" i="4" s="1"/>
  <c r="T113" i="4" s="1"/>
  <c r="T112" i="4" s="1"/>
  <c r="T111" i="4" s="1"/>
  <c r="T110" i="4" s="1"/>
  <c r="T109" i="4" s="1"/>
  <c r="T108" i="4" s="1"/>
  <c r="T107" i="4" s="1"/>
  <c r="T106" i="4" s="1"/>
  <c r="DS160" i="4"/>
  <c r="DS159" i="4" s="1"/>
  <c r="DS158" i="4" s="1"/>
  <c r="DS157" i="4" s="1"/>
  <c r="DS156" i="4" s="1"/>
  <c r="DS155" i="4" s="1"/>
  <c r="DS154" i="4" s="1"/>
  <c r="DS153" i="4" s="1"/>
  <c r="DS152" i="4" s="1"/>
  <c r="DS151" i="4" s="1"/>
  <c r="DS150" i="4" s="1"/>
  <c r="DS149" i="4" s="1"/>
  <c r="DS148" i="4" s="1"/>
  <c r="DS147" i="4" s="1"/>
  <c r="DS146" i="4" s="1"/>
  <c r="DS145" i="4" s="1"/>
  <c r="DS144" i="4" s="1"/>
  <c r="DS143" i="4" s="1"/>
  <c r="DS142" i="4" s="1"/>
  <c r="DS141" i="4" s="1"/>
  <c r="DS140" i="4" s="1"/>
  <c r="DS139" i="4" s="1"/>
  <c r="DS138" i="4" s="1"/>
  <c r="DS137" i="4" s="1"/>
  <c r="DS136" i="4" s="1"/>
  <c r="DS135" i="4" s="1"/>
  <c r="DS134" i="4" s="1"/>
  <c r="DS133" i="4" s="1"/>
  <c r="DS132" i="4" s="1"/>
  <c r="DS131" i="4" s="1"/>
  <c r="DS130" i="4" s="1"/>
  <c r="DS129" i="4" s="1"/>
  <c r="DS128" i="4" s="1"/>
  <c r="DS127" i="4" s="1"/>
  <c r="DS126" i="4" s="1"/>
  <c r="DS125" i="4" s="1"/>
  <c r="DS124" i="4" s="1"/>
  <c r="DS123" i="4" s="1"/>
  <c r="DS122" i="4" s="1"/>
  <c r="DS121" i="4" s="1"/>
  <c r="DS120" i="4" s="1"/>
  <c r="DS119" i="4" s="1"/>
  <c r="DS118" i="4" s="1"/>
  <c r="DS117" i="4" s="1"/>
  <c r="DS116" i="4" s="1"/>
  <c r="DS115" i="4" s="1"/>
  <c r="DS114" i="4" s="1"/>
  <c r="DS113" i="4" s="1"/>
  <c r="DS112" i="4" s="1"/>
  <c r="DS111" i="4" s="1"/>
  <c r="DS110" i="4" s="1"/>
  <c r="DS109" i="4" s="1"/>
  <c r="DS108" i="4" s="1"/>
  <c r="DS107" i="4" s="1"/>
  <c r="DS106" i="4" s="1"/>
  <c r="K160" i="4"/>
  <c r="K159" i="4" s="1"/>
  <c r="K158" i="4" s="1"/>
  <c r="K157" i="4" s="1"/>
  <c r="K156" i="4" s="1"/>
  <c r="K155" i="4" s="1"/>
  <c r="K154" i="4" s="1"/>
  <c r="K153" i="4" s="1"/>
  <c r="K152" i="4" s="1"/>
  <c r="K151" i="4" s="1"/>
  <c r="K150" i="4" s="1"/>
  <c r="K149" i="4" s="1"/>
  <c r="K148" i="4" s="1"/>
  <c r="K147" i="4" s="1"/>
  <c r="K146" i="4" s="1"/>
  <c r="K145" i="4" s="1"/>
  <c r="K144" i="4" s="1"/>
  <c r="K143" i="4" s="1"/>
  <c r="K142" i="4" s="1"/>
  <c r="K141" i="4" s="1"/>
  <c r="K140" i="4" s="1"/>
  <c r="K139" i="4" s="1"/>
  <c r="K138" i="4" s="1"/>
  <c r="K137" i="4" s="1"/>
  <c r="K136" i="4" s="1"/>
  <c r="K135" i="4" s="1"/>
  <c r="K134" i="4" s="1"/>
  <c r="K133" i="4" s="1"/>
  <c r="K132" i="4" s="1"/>
  <c r="K131" i="4" s="1"/>
  <c r="K130" i="4" s="1"/>
  <c r="K129" i="4" s="1"/>
  <c r="K128" i="4" s="1"/>
  <c r="K127" i="4" s="1"/>
  <c r="K126" i="4" s="1"/>
  <c r="K125" i="4" s="1"/>
  <c r="K124" i="4" s="1"/>
  <c r="K123" i="4" s="1"/>
  <c r="K122" i="4" s="1"/>
  <c r="K121" i="4" s="1"/>
  <c r="K120" i="4" s="1"/>
  <c r="K119" i="4" s="1"/>
  <c r="K118" i="4" s="1"/>
  <c r="K117" i="4" s="1"/>
  <c r="K116" i="4" s="1"/>
  <c r="K115" i="4" s="1"/>
  <c r="K114" i="4" s="1"/>
  <c r="K113" i="4" s="1"/>
  <c r="K112" i="4" s="1"/>
  <c r="K111" i="4" s="1"/>
  <c r="K110" i="4" s="1"/>
  <c r="K109" i="4" s="1"/>
  <c r="K108" i="4" s="1"/>
  <c r="K107" i="4" s="1"/>
  <c r="K106" i="4" s="1"/>
  <c r="K4" i="4" s="1"/>
  <c r="DZ160" i="4"/>
  <c r="DZ159" i="4" s="1"/>
  <c r="DZ158" i="4" s="1"/>
  <c r="DZ157" i="4" s="1"/>
  <c r="DZ156" i="4" s="1"/>
  <c r="DZ155" i="4" s="1"/>
  <c r="DZ154" i="4" s="1"/>
  <c r="DZ153" i="4" s="1"/>
  <c r="DZ152" i="4" s="1"/>
  <c r="DZ151" i="4" s="1"/>
  <c r="DZ150" i="4" s="1"/>
  <c r="DZ149" i="4" s="1"/>
  <c r="DZ148" i="4" s="1"/>
  <c r="DZ147" i="4" s="1"/>
  <c r="DZ146" i="4" s="1"/>
  <c r="DZ145" i="4" s="1"/>
  <c r="DZ144" i="4" s="1"/>
  <c r="DZ143" i="4" s="1"/>
  <c r="DZ142" i="4" s="1"/>
  <c r="DZ141" i="4" s="1"/>
  <c r="DZ140" i="4" s="1"/>
  <c r="DZ139" i="4" s="1"/>
  <c r="DZ138" i="4" s="1"/>
  <c r="DZ137" i="4" s="1"/>
  <c r="DZ136" i="4" s="1"/>
  <c r="DZ135" i="4" s="1"/>
  <c r="DZ134" i="4" s="1"/>
  <c r="DZ133" i="4" s="1"/>
  <c r="DZ132" i="4" s="1"/>
  <c r="DZ131" i="4" s="1"/>
  <c r="DZ130" i="4" s="1"/>
  <c r="DZ129" i="4" s="1"/>
  <c r="DZ128" i="4" s="1"/>
  <c r="DZ127" i="4" s="1"/>
  <c r="DZ126" i="4" s="1"/>
  <c r="DZ125" i="4" s="1"/>
  <c r="DZ124" i="4" s="1"/>
  <c r="DZ123" i="4" s="1"/>
  <c r="DZ122" i="4" s="1"/>
  <c r="DZ121" i="4" s="1"/>
  <c r="DZ120" i="4" s="1"/>
  <c r="DZ119" i="4" s="1"/>
  <c r="DZ118" i="4" s="1"/>
  <c r="DZ117" i="4" s="1"/>
  <c r="DZ116" i="4" s="1"/>
  <c r="DZ115" i="4" s="1"/>
  <c r="DZ114" i="4" s="1"/>
  <c r="DZ113" i="4" s="1"/>
  <c r="DZ112" i="4" s="1"/>
  <c r="DZ111" i="4" s="1"/>
  <c r="DZ110" i="4" s="1"/>
  <c r="DZ109" i="4" s="1"/>
  <c r="DZ108" i="4" s="1"/>
  <c r="DZ107" i="4" s="1"/>
  <c r="DZ106" i="4" s="1"/>
  <c r="DZ4" i="4" s="1"/>
  <c r="U160" i="4"/>
  <c r="U159" i="4" s="1"/>
  <c r="U158" i="4" s="1"/>
  <c r="U157" i="4" s="1"/>
  <c r="U156" i="4" s="1"/>
  <c r="U155" i="4" s="1"/>
  <c r="U154" i="4" s="1"/>
  <c r="U153" i="4" s="1"/>
  <c r="U152" i="4" s="1"/>
  <c r="U151" i="4" s="1"/>
  <c r="U150" i="4" s="1"/>
  <c r="U149" i="4" s="1"/>
  <c r="U148" i="4" s="1"/>
  <c r="U147" i="4" s="1"/>
  <c r="U146" i="4" s="1"/>
  <c r="U145" i="4" s="1"/>
  <c r="U144" i="4" s="1"/>
  <c r="U143" i="4" s="1"/>
  <c r="U142" i="4" s="1"/>
  <c r="U141" i="4" s="1"/>
  <c r="U140" i="4" s="1"/>
  <c r="U139" i="4" s="1"/>
  <c r="U138" i="4" s="1"/>
  <c r="U137" i="4" s="1"/>
  <c r="U136" i="4" s="1"/>
  <c r="U135" i="4" s="1"/>
  <c r="U134" i="4" s="1"/>
  <c r="U133" i="4" s="1"/>
  <c r="U132" i="4" s="1"/>
  <c r="U131" i="4" s="1"/>
  <c r="U130" i="4" s="1"/>
  <c r="U129" i="4" s="1"/>
  <c r="U128" i="4" s="1"/>
  <c r="U127" i="4" s="1"/>
  <c r="U126" i="4" s="1"/>
  <c r="U125" i="4" s="1"/>
  <c r="U124" i="4" s="1"/>
  <c r="U123" i="4" s="1"/>
  <c r="U122" i="4" s="1"/>
  <c r="U121" i="4" s="1"/>
  <c r="U120" i="4" s="1"/>
  <c r="U119" i="4" s="1"/>
  <c r="U118" i="4" s="1"/>
  <c r="U117" i="4" s="1"/>
  <c r="U116" i="4" s="1"/>
  <c r="U115" i="4" s="1"/>
  <c r="U114" i="4" s="1"/>
  <c r="U113" i="4" s="1"/>
  <c r="U112" i="4" s="1"/>
  <c r="U111" i="4" s="1"/>
  <c r="U110" i="4" s="1"/>
  <c r="U109" i="4" s="1"/>
  <c r="U108" i="4" s="1"/>
  <c r="U107" i="4" s="1"/>
  <c r="U106" i="4" s="1"/>
  <c r="DL160" i="4"/>
  <c r="DL159" i="4" s="1"/>
  <c r="DL158" i="4" s="1"/>
  <c r="DL157" i="4" s="1"/>
  <c r="DL156" i="4" s="1"/>
  <c r="DL155" i="4" s="1"/>
  <c r="DL154" i="4" s="1"/>
  <c r="DL153" i="4" s="1"/>
  <c r="DL152" i="4" s="1"/>
  <c r="DL151" i="4" s="1"/>
  <c r="DL150" i="4" s="1"/>
  <c r="DL149" i="4" s="1"/>
  <c r="DL148" i="4" s="1"/>
  <c r="DL147" i="4" s="1"/>
  <c r="DL146" i="4" s="1"/>
  <c r="DL145" i="4" s="1"/>
  <c r="DL144" i="4" s="1"/>
  <c r="DL143" i="4" s="1"/>
  <c r="DL142" i="4" s="1"/>
  <c r="DL141" i="4" s="1"/>
  <c r="DL140" i="4" s="1"/>
  <c r="DL139" i="4" s="1"/>
  <c r="DL138" i="4" s="1"/>
  <c r="DL137" i="4" s="1"/>
  <c r="DL136" i="4" s="1"/>
  <c r="DL135" i="4" s="1"/>
  <c r="DL134" i="4" s="1"/>
  <c r="DL133" i="4" s="1"/>
  <c r="DL132" i="4" s="1"/>
  <c r="DL131" i="4" s="1"/>
  <c r="DL130" i="4" s="1"/>
  <c r="DL129" i="4" s="1"/>
  <c r="DL128" i="4" s="1"/>
  <c r="DL127" i="4" s="1"/>
  <c r="DL126" i="4" s="1"/>
  <c r="DL125" i="4" s="1"/>
  <c r="DL124" i="4" s="1"/>
  <c r="DL123" i="4" s="1"/>
  <c r="DL122" i="4" s="1"/>
  <c r="DL121" i="4" s="1"/>
  <c r="DL120" i="4" s="1"/>
  <c r="DL119" i="4" s="1"/>
  <c r="DL118" i="4" s="1"/>
  <c r="DL117" i="4" s="1"/>
  <c r="DL116" i="4" s="1"/>
  <c r="DL115" i="4" s="1"/>
  <c r="DL114" i="4" s="1"/>
  <c r="DL113" i="4" s="1"/>
  <c r="DL112" i="4" s="1"/>
  <c r="DL111" i="4" s="1"/>
  <c r="DL110" i="4" s="1"/>
  <c r="DL109" i="4" s="1"/>
  <c r="DL108" i="4" s="1"/>
  <c r="DL107" i="4" s="1"/>
  <c r="DT160" i="4"/>
  <c r="DT159" i="4" s="1"/>
  <c r="DT158" i="4" s="1"/>
  <c r="DT157" i="4" s="1"/>
  <c r="DT156" i="4" s="1"/>
  <c r="DT155" i="4" s="1"/>
  <c r="DT154" i="4" s="1"/>
  <c r="DT153" i="4" s="1"/>
  <c r="DT152" i="4" s="1"/>
  <c r="DT151" i="4" s="1"/>
  <c r="DT150" i="4" s="1"/>
  <c r="DT149" i="4" s="1"/>
  <c r="DT148" i="4" s="1"/>
  <c r="DT147" i="4" s="1"/>
  <c r="DT146" i="4" s="1"/>
  <c r="DT145" i="4" s="1"/>
  <c r="DT144" i="4" s="1"/>
  <c r="DT143" i="4" s="1"/>
  <c r="DT142" i="4" s="1"/>
  <c r="DT141" i="4" s="1"/>
  <c r="DT140" i="4" s="1"/>
  <c r="DT139" i="4" s="1"/>
  <c r="DT138" i="4" s="1"/>
  <c r="DT137" i="4" s="1"/>
  <c r="DT136" i="4" s="1"/>
  <c r="DT135" i="4" s="1"/>
  <c r="DT134" i="4" s="1"/>
  <c r="DT133" i="4" s="1"/>
  <c r="DT132" i="4" s="1"/>
  <c r="DT131" i="4" s="1"/>
  <c r="DT130" i="4" s="1"/>
  <c r="DT129" i="4" s="1"/>
  <c r="DT128" i="4" s="1"/>
  <c r="DT127" i="4" s="1"/>
  <c r="DT126" i="4" s="1"/>
  <c r="DT125" i="4" s="1"/>
  <c r="DT124" i="4" s="1"/>
  <c r="DT123" i="4" s="1"/>
  <c r="DT122" i="4" s="1"/>
  <c r="DT121" i="4" s="1"/>
  <c r="DT120" i="4" s="1"/>
  <c r="DT119" i="4" s="1"/>
  <c r="DT118" i="4" s="1"/>
  <c r="DT117" i="4" s="1"/>
  <c r="DT116" i="4" s="1"/>
  <c r="DT115" i="4" s="1"/>
  <c r="DT114" i="4" s="1"/>
  <c r="DT113" i="4" s="1"/>
  <c r="DT112" i="4" s="1"/>
  <c r="DT111" i="4" s="1"/>
  <c r="DT110" i="4" s="1"/>
  <c r="DT109" i="4" s="1"/>
  <c r="DT108" i="4" s="1"/>
  <c r="DT107" i="4" s="1"/>
  <c r="DT106" i="4" s="1"/>
  <c r="DT4" i="4" s="1"/>
  <c r="EL160" i="4"/>
  <c r="EL159" i="4" s="1"/>
  <c r="EL158" i="4" s="1"/>
  <c r="EL157" i="4" s="1"/>
  <c r="EL156" i="4" s="1"/>
  <c r="EL155" i="4" s="1"/>
  <c r="EL154" i="4" s="1"/>
  <c r="EL153" i="4" s="1"/>
  <c r="EL152" i="4" s="1"/>
  <c r="EL151" i="4" s="1"/>
  <c r="EL150" i="4" s="1"/>
  <c r="EL149" i="4" s="1"/>
  <c r="EL148" i="4" s="1"/>
  <c r="EL147" i="4" s="1"/>
  <c r="EL146" i="4" s="1"/>
  <c r="EL145" i="4" s="1"/>
  <c r="EL144" i="4" s="1"/>
  <c r="EL143" i="4" s="1"/>
  <c r="EL142" i="4" s="1"/>
  <c r="EL141" i="4" s="1"/>
  <c r="EL140" i="4" s="1"/>
  <c r="EL139" i="4" s="1"/>
  <c r="EL138" i="4" s="1"/>
  <c r="EL137" i="4" s="1"/>
  <c r="EL136" i="4" s="1"/>
  <c r="EL135" i="4" s="1"/>
  <c r="EL134" i="4" s="1"/>
  <c r="EL133" i="4" s="1"/>
  <c r="EL132" i="4" s="1"/>
  <c r="EL131" i="4" s="1"/>
  <c r="EL130" i="4" s="1"/>
  <c r="EL129" i="4" s="1"/>
  <c r="EL128" i="4" s="1"/>
  <c r="EL127" i="4" s="1"/>
  <c r="EL126" i="4" s="1"/>
  <c r="EL125" i="4" s="1"/>
  <c r="EL124" i="4" s="1"/>
  <c r="EL123" i="4" s="1"/>
  <c r="EL122" i="4" s="1"/>
  <c r="EL121" i="4" s="1"/>
  <c r="EL120" i="4" s="1"/>
  <c r="EL119" i="4" s="1"/>
  <c r="EL118" i="4" s="1"/>
  <c r="EL117" i="4" s="1"/>
  <c r="EL116" i="4" s="1"/>
  <c r="EL115" i="4" s="1"/>
  <c r="EL114" i="4" s="1"/>
  <c r="EL113" i="4" s="1"/>
  <c r="EL112" i="4" s="1"/>
  <c r="EL111" i="4" s="1"/>
  <c r="EL110" i="4" s="1"/>
  <c r="EL109" i="4" s="1"/>
  <c r="EL108" i="4" s="1"/>
  <c r="EL107" i="4" s="1"/>
  <c r="EL106" i="4" s="1"/>
  <c r="EL4" i="4" s="1"/>
  <c r="DR160" i="4"/>
  <c r="DR159" i="4" s="1"/>
  <c r="DR158" i="4" s="1"/>
  <c r="DR157" i="4" s="1"/>
  <c r="DR156" i="4" s="1"/>
  <c r="DR155" i="4" s="1"/>
  <c r="DR154" i="4" s="1"/>
  <c r="DR153" i="4" s="1"/>
  <c r="DR152" i="4" s="1"/>
  <c r="DR151" i="4" s="1"/>
  <c r="DR150" i="4" s="1"/>
  <c r="DR149" i="4" s="1"/>
  <c r="DR148" i="4" s="1"/>
  <c r="DR147" i="4" s="1"/>
  <c r="DR146" i="4" s="1"/>
  <c r="DR145" i="4" s="1"/>
  <c r="DR144" i="4" s="1"/>
  <c r="DR143" i="4" s="1"/>
  <c r="DR142" i="4" s="1"/>
  <c r="DR141" i="4" s="1"/>
  <c r="DR140" i="4" s="1"/>
  <c r="DR139" i="4" s="1"/>
  <c r="DR138" i="4" s="1"/>
  <c r="DR137" i="4" s="1"/>
  <c r="DR136" i="4" s="1"/>
  <c r="DR135" i="4" s="1"/>
  <c r="DR134" i="4" s="1"/>
  <c r="DR133" i="4" s="1"/>
  <c r="DR132" i="4" s="1"/>
  <c r="DR131" i="4" s="1"/>
  <c r="DR130" i="4" s="1"/>
  <c r="DR129" i="4" s="1"/>
  <c r="DR128" i="4" s="1"/>
  <c r="DR127" i="4" s="1"/>
  <c r="DR126" i="4" s="1"/>
  <c r="DR125" i="4" s="1"/>
  <c r="DR124" i="4" s="1"/>
  <c r="DR123" i="4" s="1"/>
  <c r="DR122" i="4" s="1"/>
  <c r="DR121" i="4" s="1"/>
  <c r="DR120" i="4" s="1"/>
  <c r="DR119" i="4" s="1"/>
  <c r="DR118" i="4" s="1"/>
  <c r="DR117" i="4" s="1"/>
  <c r="DR116" i="4" s="1"/>
  <c r="DR115" i="4" s="1"/>
  <c r="DR114" i="4" s="1"/>
  <c r="DR113" i="4" s="1"/>
  <c r="DR112" i="4" s="1"/>
  <c r="DR111" i="4" s="1"/>
  <c r="DR110" i="4" s="1"/>
  <c r="DR109" i="4" s="1"/>
  <c r="DR108" i="4" s="1"/>
  <c r="DR107" i="4" s="1"/>
  <c r="EF160" i="4"/>
  <c r="EF159" i="4" s="1"/>
  <c r="EF158" i="4" s="1"/>
  <c r="EF157" i="4" s="1"/>
  <c r="EF156" i="4" s="1"/>
  <c r="EF155" i="4" s="1"/>
  <c r="EF154" i="4" s="1"/>
  <c r="EF153" i="4" s="1"/>
  <c r="EF152" i="4" s="1"/>
  <c r="EF151" i="4" s="1"/>
  <c r="EF150" i="4" s="1"/>
  <c r="EF149" i="4" s="1"/>
  <c r="EF148" i="4" s="1"/>
  <c r="EF147" i="4" s="1"/>
  <c r="EF146" i="4" s="1"/>
  <c r="EF145" i="4" s="1"/>
  <c r="EF144" i="4" s="1"/>
  <c r="EF143" i="4" s="1"/>
  <c r="EF142" i="4" s="1"/>
  <c r="EF141" i="4" s="1"/>
  <c r="EF140" i="4" s="1"/>
  <c r="EF139" i="4" s="1"/>
  <c r="EF138" i="4" s="1"/>
  <c r="EF137" i="4" s="1"/>
  <c r="EF136" i="4" s="1"/>
  <c r="EF135" i="4" s="1"/>
  <c r="EF134" i="4" s="1"/>
  <c r="EF133" i="4" s="1"/>
  <c r="EF132" i="4" s="1"/>
  <c r="EF131" i="4" s="1"/>
  <c r="EF130" i="4" s="1"/>
  <c r="EF129" i="4" s="1"/>
  <c r="EF128" i="4" s="1"/>
  <c r="EF127" i="4" s="1"/>
  <c r="EF126" i="4" s="1"/>
  <c r="EF125" i="4" s="1"/>
  <c r="EF124" i="4" s="1"/>
  <c r="EF123" i="4" s="1"/>
  <c r="EF122" i="4" s="1"/>
  <c r="EF121" i="4" s="1"/>
  <c r="EF120" i="4" s="1"/>
  <c r="EF119" i="4" s="1"/>
  <c r="EF118" i="4" s="1"/>
  <c r="EF117" i="4" s="1"/>
  <c r="EF116" i="4" s="1"/>
  <c r="EF115" i="4" s="1"/>
  <c r="EF114" i="4" s="1"/>
  <c r="EF113" i="4" s="1"/>
  <c r="EF112" i="4" s="1"/>
  <c r="EF111" i="4" s="1"/>
  <c r="EF110" i="4" s="1"/>
  <c r="EF109" i="4" s="1"/>
  <c r="EF108" i="4" s="1"/>
  <c r="EF107" i="4" s="1"/>
  <c r="EF106" i="4" s="1"/>
  <c r="EF4" i="4" s="1"/>
  <c r="L160" i="4"/>
  <c r="L159" i="4" s="1"/>
  <c r="L158" i="4" s="1"/>
  <c r="L157" i="4" s="1"/>
  <c r="L156" i="4" s="1"/>
  <c r="L155" i="4" s="1"/>
  <c r="L154" i="4" s="1"/>
  <c r="L153" i="4" s="1"/>
  <c r="L152" i="4" s="1"/>
  <c r="L151" i="4" s="1"/>
  <c r="L150" i="4" s="1"/>
  <c r="L149" i="4" s="1"/>
  <c r="L148" i="4" s="1"/>
  <c r="L147" i="4" s="1"/>
  <c r="L146" i="4" s="1"/>
  <c r="L145" i="4" s="1"/>
  <c r="L144" i="4" s="1"/>
  <c r="L143" i="4" s="1"/>
  <c r="L142" i="4" s="1"/>
  <c r="L141" i="4" s="1"/>
  <c r="L140" i="4" s="1"/>
  <c r="L139" i="4" s="1"/>
  <c r="L138" i="4" s="1"/>
  <c r="L137" i="4" s="1"/>
  <c r="L136" i="4" s="1"/>
  <c r="L135" i="4" s="1"/>
  <c r="L134" i="4" s="1"/>
  <c r="L133" i="4" s="1"/>
  <c r="L132" i="4" s="1"/>
  <c r="L131" i="4" s="1"/>
  <c r="L130" i="4" s="1"/>
  <c r="L129" i="4" s="1"/>
  <c r="L128" i="4" s="1"/>
  <c r="L127" i="4" s="1"/>
  <c r="L126" i="4" s="1"/>
  <c r="L125" i="4" s="1"/>
  <c r="L124" i="4" s="1"/>
  <c r="L123" i="4" s="1"/>
  <c r="L122" i="4" s="1"/>
  <c r="L121" i="4" s="1"/>
  <c r="L120" i="4" s="1"/>
  <c r="L119" i="4" s="1"/>
  <c r="L118" i="4" s="1"/>
  <c r="L117" i="4" s="1"/>
  <c r="L116" i="4" s="1"/>
  <c r="L115" i="4" s="1"/>
  <c r="L114" i="4" s="1"/>
  <c r="L113" i="4" s="1"/>
  <c r="L112" i="4" s="1"/>
  <c r="L111" i="4" s="1"/>
  <c r="L110" i="4" s="1"/>
  <c r="L109" i="4" s="1"/>
  <c r="L108" i="4" s="1"/>
  <c r="L107" i="4" s="1"/>
  <c r="L106" i="4" s="1"/>
  <c r="L4" i="4" s="1"/>
  <c r="DM160" i="4"/>
  <c r="DM159" i="4" s="1"/>
  <c r="DM158" i="4" s="1"/>
  <c r="DM157" i="4" s="1"/>
  <c r="DM156" i="4" s="1"/>
  <c r="DM155" i="4" s="1"/>
  <c r="DM154" i="4" s="1"/>
  <c r="DM153" i="4" s="1"/>
  <c r="DM152" i="4" s="1"/>
  <c r="DM151" i="4" s="1"/>
  <c r="DM150" i="4" s="1"/>
  <c r="DM149" i="4" s="1"/>
  <c r="DM148" i="4" s="1"/>
  <c r="DM147" i="4" s="1"/>
  <c r="DM146" i="4" s="1"/>
  <c r="DM145" i="4" s="1"/>
  <c r="DM144" i="4" s="1"/>
  <c r="DM143" i="4" s="1"/>
  <c r="DM142" i="4" s="1"/>
  <c r="DM141" i="4" s="1"/>
  <c r="DM140" i="4" s="1"/>
  <c r="DM139" i="4" s="1"/>
  <c r="DM138" i="4" s="1"/>
  <c r="DM137" i="4" s="1"/>
  <c r="DM136" i="4" s="1"/>
  <c r="DM135" i="4" s="1"/>
  <c r="DM134" i="4" s="1"/>
  <c r="DM133" i="4" s="1"/>
  <c r="DM132" i="4" s="1"/>
  <c r="DM131" i="4" s="1"/>
  <c r="DM130" i="4" s="1"/>
  <c r="DM129" i="4" s="1"/>
  <c r="DM128" i="4" s="1"/>
  <c r="DM127" i="4" s="1"/>
  <c r="DM126" i="4" s="1"/>
  <c r="DM125" i="4" s="1"/>
  <c r="DM124" i="4" s="1"/>
  <c r="DM123" i="4" s="1"/>
  <c r="DM122" i="4" s="1"/>
  <c r="DM121" i="4" s="1"/>
  <c r="DM120" i="4" s="1"/>
  <c r="DM119" i="4" s="1"/>
  <c r="DM118" i="4" s="1"/>
  <c r="DM117" i="4" s="1"/>
  <c r="DM116" i="4" s="1"/>
  <c r="DM115" i="4" s="1"/>
  <c r="DM114" i="4" s="1"/>
  <c r="DM113" i="4" s="1"/>
  <c r="DM112" i="4" s="1"/>
  <c r="DM111" i="4" s="1"/>
  <c r="DM110" i="4" s="1"/>
  <c r="DM109" i="4" s="1"/>
  <c r="DM108" i="4" s="1"/>
  <c r="DM107" i="4" s="1"/>
  <c r="DM106" i="4" s="1"/>
  <c r="EP203" i="4"/>
  <c r="EP202" i="4" s="1"/>
  <c r="EP201" i="4" s="1"/>
  <c r="EP200" i="4" s="1"/>
  <c r="EP199" i="4" s="1"/>
  <c r="EP198" i="4" s="1"/>
  <c r="EP197" i="4" s="1"/>
  <c r="EP196" i="4" s="1"/>
  <c r="EP195" i="4" s="1"/>
  <c r="EP194" i="4" s="1"/>
  <c r="EP193" i="4" s="1"/>
  <c r="EP192" i="4" s="1"/>
  <c r="EP191" i="4" s="1"/>
  <c r="EP190" i="4" s="1"/>
  <c r="EP189" i="4" s="1"/>
  <c r="EP188" i="4" s="1"/>
  <c r="EP187" i="4" s="1"/>
  <c r="EP186" i="4" s="1"/>
  <c r="EP185" i="4" s="1"/>
  <c r="EP184" i="4" s="1"/>
  <c r="EP183" i="4" s="1"/>
  <c r="EP182" i="4" s="1"/>
  <c r="EP181" i="4" s="1"/>
  <c r="EP180" i="4" s="1"/>
  <c r="EP179" i="4" s="1"/>
  <c r="EP178" i="4" s="1"/>
  <c r="EP177" i="4" s="1"/>
  <c r="EP176" i="4" s="1"/>
  <c r="EP175" i="4" s="1"/>
  <c r="EP174" i="4" s="1"/>
  <c r="EP173" i="4" s="1"/>
  <c r="EP172" i="4" s="1"/>
  <c r="EP171" i="4" s="1"/>
  <c r="EP170" i="4" s="1"/>
  <c r="EP169" i="4" s="1"/>
  <c r="EP168" i="4" s="1"/>
  <c r="EP167" i="4" s="1"/>
  <c r="EP166" i="4" s="1"/>
  <c r="EP165" i="4" s="1"/>
  <c r="EP164" i="4" s="1"/>
  <c r="EP163" i="4" s="1"/>
  <c r="EP162" i="4" s="1"/>
  <c r="EP161" i="4" s="1"/>
  <c r="EP160" i="4" s="1"/>
  <c r="EP159" i="4" s="1"/>
  <c r="EP158" i="4" s="1"/>
  <c r="EP157" i="4" s="1"/>
  <c r="EP156" i="4" s="1"/>
  <c r="EP155" i="4" s="1"/>
  <c r="EP154" i="4" s="1"/>
  <c r="EP153" i="4" s="1"/>
  <c r="EP152" i="4" s="1"/>
  <c r="EP151" i="4" s="1"/>
  <c r="EP150" i="4" s="1"/>
  <c r="EP149" i="4" s="1"/>
  <c r="EP148" i="4" s="1"/>
  <c r="EP147" i="4" s="1"/>
  <c r="EP146" i="4" s="1"/>
  <c r="EP145" i="4" s="1"/>
  <c r="EP144" i="4" s="1"/>
  <c r="EP143" i="4" s="1"/>
  <c r="EP142" i="4" s="1"/>
  <c r="EP141" i="4" s="1"/>
  <c r="EP140" i="4" s="1"/>
  <c r="EP139" i="4" s="1"/>
  <c r="EP138" i="4" s="1"/>
  <c r="EP137" i="4" s="1"/>
  <c r="EP136" i="4" s="1"/>
  <c r="EP135" i="4" s="1"/>
  <c r="EP134" i="4" s="1"/>
  <c r="EP133" i="4" s="1"/>
  <c r="EP132" i="4" s="1"/>
  <c r="EP131" i="4" s="1"/>
  <c r="EP130" i="4" s="1"/>
  <c r="EP129" i="4" s="1"/>
  <c r="EP128" i="4" s="1"/>
  <c r="EP127" i="4" s="1"/>
  <c r="EP126" i="4" s="1"/>
  <c r="EP125" i="4" s="1"/>
  <c r="EP124" i="4" s="1"/>
  <c r="EP123" i="4" s="1"/>
  <c r="EP122" i="4" s="1"/>
  <c r="EP121" i="4" s="1"/>
  <c r="EP120" i="4" s="1"/>
  <c r="EP119" i="4" s="1"/>
  <c r="EP118" i="4" s="1"/>
  <c r="EP117" i="4" s="1"/>
  <c r="EP116" i="4" s="1"/>
  <c r="EP115" i="4" s="1"/>
  <c r="EP114" i="4" s="1"/>
  <c r="EP113" i="4" s="1"/>
  <c r="EP112" i="4" s="1"/>
  <c r="EP111" i="4" s="1"/>
  <c r="EP110" i="4" s="1"/>
  <c r="EP109" i="4" s="1"/>
  <c r="EP108" i="4" s="1"/>
  <c r="EP107" i="4" s="1"/>
  <c r="FB203" i="4"/>
  <c r="FB202" i="4" s="1"/>
  <c r="FB201" i="4" s="1"/>
  <c r="FB200" i="4" s="1"/>
  <c r="FB199" i="4" s="1"/>
  <c r="FB198" i="4" s="1"/>
  <c r="FB197" i="4" s="1"/>
  <c r="FB196" i="4" s="1"/>
  <c r="FB195" i="4" s="1"/>
  <c r="FB194" i="4" s="1"/>
  <c r="FB193" i="4" s="1"/>
  <c r="FB192" i="4" s="1"/>
  <c r="FB191" i="4" s="1"/>
  <c r="FB190" i="4" s="1"/>
  <c r="FB189" i="4" s="1"/>
  <c r="FB188" i="4" s="1"/>
  <c r="FB187" i="4" s="1"/>
  <c r="FB186" i="4" s="1"/>
  <c r="FB185" i="4" s="1"/>
  <c r="FB184" i="4" s="1"/>
  <c r="FB183" i="4" s="1"/>
  <c r="FB182" i="4" s="1"/>
  <c r="FB181" i="4" s="1"/>
  <c r="FB180" i="4" s="1"/>
  <c r="FB179" i="4" s="1"/>
  <c r="FB178" i="4" s="1"/>
  <c r="FB177" i="4" s="1"/>
  <c r="FB176" i="4" s="1"/>
  <c r="FB175" i="4" s="1"/>
  <c r="FB174" i="4" s="1"/>
  <c r="FB173" i="4" s="1"/>
  <c r="FB172" i="4" s="1"/>
  <c r="FB171" i="4" s="1"/>
  <c r="FB170" i="4" s="1"/>
  <c r="FB169" i="4" s="1"/>
  <c r="FB168" i="4" s="1"/>
  <c r="FB167" i="4" s="1"/>
  <c r="FB166" i="4" s="1"/>
  <c r="FB165" i="4" s="1"/>
  <c r="FB164" i="4" s="1"/>
  <c r="FB163" i="4" s="1"/>
  <c r="FB162" i="4" s="1"/>
  <c r="FB161" i="4" s="1"/>
  <c r="FB160" i="4" s="1"/>
  <c r="FB159" i="4" s="1"/>
  <c r="FB158" i="4" s="1"/>
  <c r="FB157" i="4" s="1"/>
  <c r="FB156" i="4" s="1"/>
  <c r="FB155" i="4" s="1"/>
  <c r="FB154" i="4" s="1"/>
  <c r="FB153" i="4" s="1"/>
  <c r="FB152" i="4" s="1"/>
  <c r="FB151" i="4" s="1"/>
  <c r="FB150" i="4" s="1"/>
  <c r="FB149" i="4" s="1"/>
  <c r="FB148" i="4" s="1"/>
  <c r="FB147" i="4" s="1"/>
  <c r="FB146" i="4" s="1"/>
  <c r="FB145" i="4" s="1"/>
  <c r="FB144" i="4" s="1"/>
  <c r="FB143" i="4" s="1"/>
  <c r="FB142" i="4" s="1"/>
  <c r="FB141" i="4" s="1"/>
  <c r="FB140" i="4" s="1"/>
  <c r="FB139" i="4" s="1"/>
  <c r="FB138" i="4" s="1"/>
  <c r="FB137" i="4" s="1"/>
  <c r="FB136" i="4" s="1"/>
  <c r="FB135" i="4" s="1"/>
  <c r="FB134" i="4" s="1"/>
  <c r="FB133" i="4" s="1"/>
  <c r="FB132" i="4" s="1"/>
  <c r="FB131" i="4" s="1"/>
  <c r="FB130" i="4" s="1"/>
  <c r="FB129" i="4" s="1"/>
  <c r="FB128" i="4" s="1"/>
  <c r="FB127" i="4" s="1"/>
  <c r="FB126" i="4" s="1"/>
  <c r="FB125" i="4" s="1"/>
  <c r="FB124" i="4" s="1"/>
  <c r="FB123" i="4" s="1"/>
  <c r="FB122" i="4" s="1"/>
  <c r="FB121" i="4" s="1"/>
  <c r="FB120" i="4" s="1"/>
  <c r="FB119" i="4" s="1"/>
  <c r="FB118" i="4" s="1"/>
  <c r="FB117" i="4" s="1"/>
  <c r="FB116" i="4" s="1"/>
  <c r="FB115" i="4" s="1"/>
  <c r="FB114" i="4" s="1"/>
  <c r="FB113" i="4" s="1"/>
  <c r="FB112" i="4" s="1"/>
  <c r="FB111" i="4" s="1"/>
  <c r="FB110" i="4" s="1"/>
  <c r="FB109" i="4" s="1"/>
  <c r="FB108" i="4" s="1"/>
  <c r="FB107" i="4" s="1"/>
  <c r="FN203" i="4"/>
  <c r="FN202" i="4" s="1"/>
  <c r="FN201" i="4" s="1"/>
  <c r="FN200" i="4" s="1"/>
  <c r="FN199" i="4" s="1"/>
  <c r="FN198" i="4" s="1"/>
  <c r="FN197" i="4" s="1"/>
  <c r="FN196" i="4" s="1"/>
  <c r="FN195" i="4" s="1"/>
  <c r="FN194" i="4" s="1"/>
  <c r="FN193" i="4" s="1"/>
  <c r="FN192" i="4" s="1"/>
  <c r="FN191" i="4" s="1"/>
  <c r="FN190" i="4" s="1"/>
  <c r="FN189" i="4" s="1"/>
  <c r="FN188" i="4" s="1"/>
  <c r="FN187" i="4" s="1"/>
  <c r="FN186" i="4" s="1"/>
  <c r="FN185" i="4" s="1"/>
  <c r="FN184" i="4" s="1"/>
  <c r="FN183" i="4" s="1"/>
  <c r="FN182" i="4" s="1"/>
  <c r="FN181" i="4" s="1"/>
  <c r="FN180" i="4" s="1"/>
  <c r="FN179" i="4" s="1"/>
  <c r="FN178" i="4" s="1"/>
  <c r="FN177" i="4" s="1"/>
  <c r="FN176" i="4" s="1"/>
  <c r="FN175" i="4" s="1"/>
  <c r="FN174" i="4" s="1"/>
  <c r="FN173" i="4" s="1"/>
  <c r="FN172" i="4" s="1"/>
  <c r="FN171" i="4" s="1"/>
  <c r="FN170" i="4" s="1"/>
  <c r="FN169" i="4" s="1"/>
  <c r="FN168" i="4" s="1"/>
  <c r="FN167" i="4" s="1"/>
  <c r="FN166" i="4" s="1"/>
  <c r="FN165" i="4" s="1"/>
  <c r="FN164" i="4" s="1"/>
  <c r="FN163" i="4" s="1"/>
  <c r="FN162" i="4" s="1"/>
  <c r="FN161" i="4" s="1"/>
  <c r="FN160" i="4" s="1"/>
  <c r="FN159" i="4" s="1"/>
  <c r="FN158" i="4" s="1"/>
  <c r="FN157" i="4" s="1"/>
  <c r="FN156" i="4" s="1"/>
  <c r="FN155" i="4" s="1"/>
  <c r="FN154" i="4" s="1"/>
  <c r="FN153" i="4" s="1"/>
  <c r="FN152" i="4" s="1"/>
  <c r="FN151" i="4" s="1"/>
  <c r="FN150" i="4" s="1"/>
  <c r="FN149" i="4" s="1"/>
  <c r="FN148" i="4" s="1"/>
  <c r="FN147" i="4" s="1"/>
  <c r="FN146" i="4" s="1"/>
  <c r="FN145" i="4" s="1"/>
  <c r="FN144" i="4" s="1"/>
  <c r="FN143" i="4" s="1"/>
  <c r="FN142" i="4" s="1"/>
  <c r="FN141" i="4" s="1"/>
  <c r="FN140" i="4" s="1"/>
  <c r="FN139" i="4" s="1"/>
  <c r="FN138" i="4" s="1"/>
  <c r="FN137" i="4" s="1"/>
  <c r="FN136" i="4" s="1"/>
  <c r="FN135" i="4" s="1"/>
  <c r="FN134" i="4" s="1"/>
  <c r="FN133" i="4" s="1"/>
  <c r="FN132" i="4" s="1"/>
  <c r="FN131" i="4" s="1"/>
  <c r="FN130" i="4" s="1"/>
  <c r="FN129" i="4" s="1"/>
  <c r="FN128" i="4" s="1"/>
  <c r="FN127" i="4" s="1"/>
  <c r="FN126" i="4" s="1"/>
  <c r="FN125" i="4" s="1"/>
  <c r="FN124" i="4" s="1"/>
  <c r="FN123" i="4" s="1"/>
  <c r="FN122" i="4" s="1"/>
  <c r="FN121" i="4" s="1"/>
  <c r="FN120" i="4" s="1"/>
  <c r="FN119" i="4" s="1"/>
  <c r="FN118" i="4" s="1"/>
  <c r="FN117" i="4" s="1"/>
  <c r="FN116" i="4" s="1"/>
  <c r="FN115" i="4" s="1"/>
  <c r="FN114" i="4" s="1"/>
  <c r="FN113" i="4" s="1"/>
  <c r="FN112" i="4" s="1"/>
  <c r="FN111" i="4" s="1"/>
  <c r="FN110" i="4" s="1"/>
  <c r="FN109" i="4" s="1"/>
  <c r="FN108" i="4" s="1"/>
  <c r="FN107" i="4" s="1"/>
  <c r="FZ203" i="4"/>
  <c r="FZ202" i="4" s="1"/>
  <c r="FZ201" i="4" s="1"/>
  <c r="FZ200" i="4" s="1"/>
  <c r="FZ199" i="4" s="1"/>
  <c r="FZ198" i="4" s="1"/>
  <c r="FZ197" i="4" s="1"/>
  <c r="FZ196" i="4" s="1"/>
  <c r="FZ195" i="4" s="1"/>
  <c r="FZ194" i="4" s="1"/>
  <c r="FZ193" i="4" s="1"/>
  <c r="FZ192" i="4" s="1"/>
  <c r="FZ191" i="4" s="1"/>
  <c r="FZ190" i="4" s="1"/>
  <c r="FZ189" i="4" s="1"/>
  <c r="FZ188" i="4" s="1"/>
  <c r="FZ187" i="4" s="1"/>
  <c r="FZ186" i="4" s="1"/>
  <c r="FZ185" i="4" s="1"/>
  <c r="FZ184" i="4" s="1"/>
  <c r="FZ183" i="4" s="1"/>
  <c r="FZ182" i="4" s="1"/>
  <c r="FZ181" i="4" s="1"/>
  <c r="FZ180" i="4" s="1"/>
  <c r="GL203" i="4"/>
  <c r="GL202" i="4" s="1"/>
  <c r="GL201" i="4" s="1"/>
  <c r="GL200" i="4" s="1"/>
  <c r="GL199" i="4" s="1"/>
  <c r="GL198" i="4" s="1"/>
  <c r="GL197" i="4" s="1"/>
  <c r="GL196" i="4" s="1"/>
  <c r="GL195" i="4" s="1"/>
  <c r="GL194" i="4" s="1"/>
  <c r="GL193" i="4" s="1"/>
  <c r="GL192" i="4" s="1"/>
  <c r="GL191" i="4" s="1"/>
  <c r="GL190" i="4" s="1"/>
  <c r="GL189" i="4" s="1"/>
  <c r="GL188" i="4" s="1"/>
  <c r="GL187" i="4" s="1"/>
  <c r="GL186" i="4" s="1"/>
  <c r="GL185" i="4" s="1"/>
  <c r="GL184" i="4" s="1"/>
  <c r="GL183" i="4" s="1"/>
  <c r="GL182" i="4" s="1"/>
  <c r="GL181" i="4" s="1"/>
  <c r="GL180" i="4" s="1"/>
  <c r="GL179" i="4" s="1"/>
  <c r="GL178" i="4" s="1"/>
  <c r="GL177" i="4" s="1"/>
  <c r="GL176" i="4" s="1"/>
  <c r="GL175" i="4" s="1"/>
  <c r="GL174" i="4" s="1"/>
  <c r="GL173" i="4" s="1"/>
  <c r="GL172" i="4" s="1"/>
  <c r="GL171" i="4" s="1"/>
  <c r="GL170" i="4" s="1"/>
  <c r="GL169" i="4" s="1"/>
  <c r="GL168" i="4" s="1"/>
  <c r="GL167" i="4" s="1"/>
  <c r="GL166" i="4" s="1"/>
  <c r="GL165" i="4" s="1"/>
  <c r="GL164" i="4" s="1"/>
  <c r="GL163" i="4" s="1"/>
  <c r="GL162" i="4" s="1"/>
  <c r="GL161" i="4" s="1"/>
  <c r="GL160" i="4" s="1"/>
  <c r="GL159" i="4" s="1"/>
  <c r="GL158" i="4" s="1"/>
  <c r="GL157" i="4" s="1"/>
  <c r="GL156" i="4" s="1"/>
  <c r="GL155" i="4" s="1"/>
  <c r="GL154" i="4" s="1"/>
  <c r="GL153" i="4" s="1"/>
  <c r="GL152" i="4" s="1"/>
  <c r="GL151" i="4" s="1"/>
  <c r="GL150" i="4" s="1"/>
  <c r="GL149" i="4" s="1"/>
  <c r="GL148" i="4" s="1"/>
  <c r="GL147" i="4" s="1"/>
  <c r="GL146" i="4" s="1"/>
  <c r="GL145" i="4" s="1"/>
  <c r="GL144" i="4" s="1"/>
  <c r="GL143" i="4" s="1"/>
  <c r="GL142" i="4" s="1"/>
  <c r="GL141" i="4" s="1"/>
  <c r="GL140" i="4" s="1"/>
  <c r="GL139" i="4" s="1"/>
  <c r="GL138" i="4" s="1"/>
  <c r="GL137" i="4" s="1"/>
  <c r="GL136" i="4" s="1"/>
  <c r="GL135" i="4" s="1"/>
  <c r="GL134" i="4" s="1"/>
  <c r="GL133" i="4" s="1"/>
  <c r="GL132" i="4" s="1"/>
  <c r="GL131" i="4" s="1"/>
  <c r="GL130" i="4" s="1"/>
  <c r="GL129" i="4" s="1"/>
  <c r="GL128" i="4" s="1"/>
  <c r="GL127" i="4" s="1"/>
  <c r="GL126" i="4" s="1"/>
  <c r="GL125" i="4" s="1"/>
  <c r="GL124" i="4" s="1"/>
  <c r="GL123" i="4" s="1"/>
  <c r="GL122" i="4" s="1"/>
  <c r="GL121" i="4" s="1"/>
  <c r="GL120" i="4" s="1"/>
  <c r="GL119" i="4" s="1"/>
  <c r="GL118" i="4" s="1"/>
  <c r="GL117" i="4" s="1"/>
  <c r="GL116" i="4" s="1"/>
  <c r="GL115" i="4" s="1"/>
  <c r="GL114" i="4" s="1"/>
  <c r="GL113" i="4" s="1"/>
  <c r="GL112" i="4" s="1"/>
  <c r="GL111" i="4" s="1"/>
  <c r="GL110" i="4" s="1"/>
  <c r="GL109" i="4" s="1"/>
  <c r="GL108" i="4" s="1"/>
  <c r="GL107" i="4" s="1"/>
  <c r="EJ203" i="4"/>
  <c r="EJ202" i="4" s="1"/>
  <c r="EJ201" i="4" s="1"/>
  <c r="EJ200" i="4" s="1"/>
  <c r="EJ199" i="4" s="1"/>
  <c r="EJ198" i="4" s="1"/>
  <c r="EJ197" i="4" s="1"/>
  <c r="EJ196" i="4" s="1"/>
  <c r="EJ195" i="4" s="1"/>
  <c r="EJ194" i="4" s="1"/>
  <c r="EJ193" i="4" s="1"/>
  <c r="EJ192" i="4" s="1"/>
  <c r="EJ191" i="4" s="1"/>
  <c r="EJ190" i="4" s="1"/>
  <c r="EJ189" i="4" s="1"/>
  <c r="EJ188" i="4" s="1"/>
  <c r="EJ187" i="4" s="1"/>
  <c r="EJ186" i="4" s="1"/>
  <c r="EJ185" i="4" s="1"/>
  <c r="EJ184" i="4" s="1"/>
  <c r="EJ183" i="4" s="1"/>
  <c r="EJ182" i="4" s="1"/>
  <c r="EJ181" i="4" s="1"/>
  <c r="EJ180" i="4" s="1"/>
  <c r="EJ179" i="4" s="1"/>
  <c r="EJ178" i="4" s="1"/>
  <c r="EJ177" i="4" s="1"/>
  <c r="EJ176" i="4" s="1"/>
  <c r="EJ175" i="4" s="1"/>
  <c r="EJ174" i="4" s="1"/>
  <c r="EJ173" i="4" s="1"/>
  <c r="EJ172" i="4" s="1"/>
  <c r="EJ171" i="4" s="1"/>
  <c r="EJ170" i="4" s="1"/>
  <c r="EJ169" i="4" s="1"/>
  <c r="EJ168" i="4" s="1"/>
  <c r="EJ167" i="4" s="1"/>
  <c r="EJ166" i="4" s="1"/>
  <c r="EJ165" i="4" s="1"/>
  <c r="EJ164" i="4" s="1"/>
  <c r="EJ163" i="4" s="1"/>
  <c r="EJ162" i="4" s="1"/>
  <c r="EJ161" i="4" s="1"/>
  <c r="EJ160" i="4" s="1"/>
  <c r="EJ159" i="4" s="1"/>
  <c r="EJ158" i="4" s="1"/>
  <c r="EJ157" i="4" s="1"/>
  <c r="EJ156" i="4" s="1"/>
  <c r="EJ155" i="4" s="1"/>
  <c r="EJ154" i="4" s="1"/>
  <c r="EJ153" i="4" s="1"/>
  <c r="EJ152" i="4" s="1"/>
  <c r="EJ151" i="4" s="1"/>
  <c r="EJ150" i="4" s="1"/>
  <c r="EJ149" i="4" s="1"/>
  <c r="EJ148" i="4" s="1"/>
  <c r="EJ147" i="4" s="1"/>
  <c r="EJ146" i="4" s="1"/>
  <c r="EJ145" i="4" s="1"/>
  <c r="EJ144" i="4" s="1"/>
  <c r="EJ143" i="4" s="1"/>
  <c r="EJ142" i="4" s="1"/>
  <c r="EJ141" i="4" s="1"/>
  <c r="EJ140" i="4" s="1"/>
  <c r="EJ139" i="4" s="1"/>
  <c r="EJ138" i="4" s="1"/>
  <c r="EJ137" i="4" s="1"/>
  <c r="EJ136" i="4" s="1"/>
  <c r="EJ135" i="4" s="1"/>
  <c r="EJ134" i="4" s="1"/>
  <c r="EJ133" i="4" s="1"/>
  <c r="EJ132" i="4" s="1"/>
  <c r="EJ131" i="4" s="1"/>
  <c r="EJ130" i="4" s="1"/>
  <c r="EJ129" i="4" s="1"/>
  <c r="EJ128" i="4" s="1"/>
  <c r="EJ127" i="4" s="1"/>
  <c r="EJ126" i="4" s="1"/>
  <c r="EJ125" i="4" s="1"/>
  <c r="EJ124" i="4" s="1"/>
  <c r="EJ123" i="4" s="1"/>
  <c r="EJ122" i="4" s="1"/>
  <c r="EJ121" i="4" s="1"/>
  <c r="EJ120" i="4" s="1"/>
  <c r="EJ119" i="4" s="1"/>
  <c r="EJ118" i="4" s="1"/>
  <c r="EJ117" i="4" s="1"/>
  <c r="EJ116" i="4" s="1"/>
  <c r="EJ115" i="4" s="1"/>
  <c r="EJ114" i="4" s="1"/>
  <c r="EJ113" i="4" s="1"/>
  <c r="EJ112" i="4" s="1"/>
  <c r="EJ111" i="4" s="1"/>
  <c r="EJ110" i="4" s="1"/>
  <c r="EJ109" i="4" s="1"/>
  <c r="EJ108" i="4" s="1"/>
  <c r="EJ107" i="4" s="1"/>
  <c r="FH203" i="4"/>
  <c r="FH202" i="4" s="1"/>
  <c r="FH201" i="4" s="1"/>
  <c r="FH200" i="4" s="1"/>
  <c r="FH199" i="4" s="1"/>
  <c r="FH198" i="4" s="1"/>
  <c r="FH197" i="4" s="1"/>
  <c r="FH196" i="4" s="1"/>
  <c r="FH195" i="4" s="1"/>
  <c r="FH194" i="4" s="1"/>
  <c r="FH193" i="4" s="1"/>
  <c r="FH192" i="4" s="1"/>
  <c r="FH191" i="4" s="1"/>
  <c r="FH190" i="4" s="1"/>
  <c r="FH189" i="4" s="1"/>
  <c r="FH188" i="4" s="1"/>
  <c r="FH187" i="4" s="1"/>
  <c r="FH186" i="4" s="1"/>
  <c r="FH185" i="4" s="1"/>
  <c r="FH184" i="4" s="1"/>
  <c r="FH183" i="4" s="1"/>
  <c r="FH182" i="4" s="1"/>
  <c r="FH181" i="4" s="1"/>
  <c r="FH180" i="4" s="1"/>
  <c r="FT203" i="4"/>
  <c r="FT202" i="4" s="1"/>
  <c r="FT201" i="4" s="1"/>
  <c r="FT200" i="4" s="1"/>
  <c r="FT199" i="4" s="1"/>
  <c r="FT198" i="4" s="1"/>
  <c r="FT197" i="4" s="1"/>
  <c r="FT196" i="4" s="1"/>
  <c r="FT195" i="4" s="1"/>
  <c r="FT194" i="4" s="1"/>
  <c r="FT193" i="4" s="1"/>
  <c r="FT192" i="4" s="1"/>
  <c r="FT191" i="4" s="1"/>
  <c r="FT190" i="4" s="1"/>
  <c r="FT189" i="4" s="1"/>
  <c r="FT188" i="4" s="1"/>
  <c r="FT187" i="4" s="1"/>
  <c r="FT186" i="4" s="1"/>
  <c r="FT185" i="4" s="1"/>
  <c r="FT184" i="4" s="1"/>
  <c r="FT183" i="4" s="1"/>
  <c r="FT182" i="4" s="1"/>
  <c r="FT181" i="4" s="1"/>
  <c r="FT180" i="4" s="1"/>
  <c r="FT179" i="4" s="1"/>
  <c r="FT178" i="4" s="1"/>
  <c r="FT177" i="4" s="1"/>
  <c r="FT176" i="4" s="1"/>
  <c r="FT175" i="4" s="1"/>
  <c r="FT174" i="4" s="1"/>
  <c r="FT173" i="4" s="1"/>
  <c r="FT172" i="4" s="1"/>
  <c r="FT171" i="4" s="1"/>
  <c r="FT170" i="4" s="1"/>
  <c r="FT169" i="4" s="1"/>
  <c r="FT168" i="4" s="1"/>
  <c r="FT167" i="4" s="1"/>
  <c r="FT166" i="4" s="1"/>
  <c r="FT165" i="4" s="1"/>
  <c r="FT164" i="4" s="1"/>
  <c r="FT163" i="4" s="1"/>
  <c r="FT162" i="4" s="1"/>
  <c r="FT161" i="4" s="1"/>
  <c r="FT160" i="4" s="1"/>
  <c r="FT159" i="4" s="1"/>
  <c r="FT158" i="4" s="1"/>
  <c r="FT157" i="4" s="1"/>
  <c r="FT156" i="4" s="1"/>
  <c r="FT155" i="4" s="1"/>
  <c r="FT154" i="4" s="1"/>
  <c r="FT153" i="4" s="1"/>
  <c r="FT152" i="4" s="1"/>
  <c r="FT151" i="4" s="1"/>
  <c r="FT150" i="4" s="1"/>
  <c r="FT149" i="4" s="1"/>
  <c r="FT148" i="4" s="1"/>
  <c r="FT147" i="4" s="1"/>
  <c r="FT146" i="4" s="1"/>
  <c r="FT145" i="4" s="1"/>
  <c r="FT144" i="4" s="1"/>
  <c r="FT143" i="4" s="1"/>
  <c r="FT142" i="4" s="1"/>
  <c r="FT141" i="4" s="1"/>
  <c r="FT140" i="4" s="1"/>
  <c r="FT139" i="4" s="1"/>
  <c r="FT138" i="4" s="1"/>
  <c r="FT137" i="4" s="1"/>
  <c r="FT136" i="4" s="1"/>
  <c r="FT135" i="4" s="1"/>
  <c r="FT134" i="4" s="1"/>
  <c r="FT133" i="4" s="1"/>
  <c r="FT132" i="4" s="1"/>
  <c r="FT131" i="4" s="1"/>
  <c r="FT130" i="4" s="1"/>
  <c r="FT129" i="4" s="1"/>
  <c r="FT128" i="4" s="1"/>
  <c r="FT127" i="4" s="1"/>
  <c r="FT126" i="4" s="1"/>
  <c r="FT125" i="4" s="1"/>
  <c r="FT124" i="4" s="1"/>
  <c r="FT123" i="4" s="1"/>
  <c r="FT122" i="4" s="1"/>
  <c r="FT121" i="4" s="1"/>
  <c r="FT120" i="4" s="1"/>
  <c r="FT119" i="4" s="1"/>
  <c r="FT118" i="4" s="1"/>
  <c r="FT117" i="4" s="1"/>
  <c r="FT116" i="4" s="1"/>
  <c r="FT115" i="4" s="1"/>
  <c r="FT114" i="4" s="1"/>
  <c r="FT113" i="4" s="1"/>
  <c r="FT112" i="4" s="1"/>
  <c r="FT111" i="4" s="1"/>
  <c r="FT110" i="4" s="1"/>
  <c r="FT109" i="4" s="1"/>
  <c r="FT108" i="4" s="1"/>
  <c r="FT107" i="4" s="1"/>
  <c r="GF203" i="4"/>
  <c r="GF202" i="4" s="1"/>
  <c r="GF201" i="4" s="1"/>
  <c r="GF200" i="4" s="1"/>
  <c r="GF199" i="4" s="1"/>
  <c r="GF198" i="4" s="1"/>
  <c r="GF197" i="4" s="1"/>
  <c r="GF196" i="4" s="1"/>
  <c r="GF195" i="4" s="1"/>
  <c r="GF194" i="4" s="1"/>
  <c r="GF193" i="4" s="1"/>
  <c r="GF192" i="4" s="1"/>
  <c r="GF191" i="4" s="1"/>
  <c r="GF190" i="4" s="1"/>
  <c r="GF189" i="4" s="1"/>
  <c r="GF188" i="4" s="1"/>
  <c r="GF187" i="4" s="1"/>
  <c r="GF186" i="4" s="1"/>
  <c r="GF185" i="4" s="1"/>
  <c r="GF184" i="4" s="1"/>
  <c r="GF183" i="4" s="1"/>
  <c r="GF182" i="4" s="1"/>
  <c r="GF181" i="4" s="1"/>
  <c r="GF180" i="4" s="1"/>
  <c r="HD203" i="4"/>
  <c r="HD202" i="4" s="1"/>
  <c r="HD201" i="4" s="1"/>
  <c r="HD200" i="4" s="1"/>
  <c r="HD199" i="4" s="1"/>
  <c r="HD198" i="4" s="1"/>
  <c r="HD197" i="4" s="1"/>
  <c r="HD196" i="4" s="1"/>
  <c r="HD195" i="4" s="1"/>
  <c r="HD194" i="4" s="1"/>
  <c r="HD193" i="4" s="1"/>
  <c r="HD192" i="4" s="1"/>
  <c r="HD191" i="4" s="1"/>
  <c r="HD190" i="4" s="1"/>
  <c r="HD189" i="4" s="1"/>
  <c r="HD188" i="4" s="1"/>
  <c r="HD187" i="4" s="1"/>
  <c r="HD186" i="4" s="1"/>
  <c r="HD185" i="4" s="1"/>
  <c r="HD184" i="4" s="1"/>
  <c r="HD183" i="4" s="1"/>
  <c r="HD182" i="4" s="1"/>
  <c r="HD181" i="4" s="1"/>
  <c r="HD180" i="4" s="1"/>
  <c r="HD179" i="4" s="1"/>
  <c r="HD178" i="4" s="1"/>
  <c r="HD177" i="4" s="1"/>
  <c r="HD176" i="4" s="1"/>
  <c r="HD175" i="4" s="1"/>
  <c r="HD174" i="4" s="1"/>
  <c r="HD173" i="4" s="1"/>
  <c r="HD172" i="4" s="1"/>
  <c r="HD171" i="4" s="1"/>
  <c r="HD170" i="4" s="1"/>
  <c r="HD169" i="4" s="1"/>
  <c r="HD168" i="4" s="1"/>
  <c r="HD167" i="4" s="1"/>
  <c r="HD166" i="4" s="1"/>
  <c r="HD165" i="4" s="1"/>
  <c r="HD164" i="4" s="1"/>
  <c r="HD163" i="4" s="1"/>
  <c r="HD162" i="4" s="1"/>
  <c r="HD161" i="4" s="1"/>
  <c r="HD160" i="4" s="1"/>
  <c r="HD159" i="4" s="1"/>
  <c r="HD158" i="4" s="1"/>
  <c r="HD157" i="4" s="1"/>
  <c r="HD156" i="4" s="1"/>
  <c r="HD155" i="4" s="1"/>
  <c r="HD154" i="4" s="1"/>
  <c r="HD153" i="4" s="1"/>
  <c r="HD152" i="4" s="1"/>
  <c r="HD151" i="4" s="1"/>
  <c r="HD150" i="4" s="1"/>
  <c r="HD149" i="4" s="1"/>
  <c r="HD148" i="4" s="1"/>
  <c r="HD147" i="4" s="1"/>
  <c r="HD146" i="4" s="1"/>
  <c r="HD145" i="4" s="1"/>
  <c r="HD144" i="4" s="1"/>
  <c r="HD143" i="4" s="1"/>
  <c r="HD142" i="4" s="1"/>
  <c r="HD141" i="4" s="1"/>
  <c r="HD140" i="4" s="1"/>
  <c r="HD139" i="4" s="1"/>
  <c r="HD138" i="4" s="1"/>
  <c r="HD137" i="4" s="1"/>
  <c r="HD136" i="4" s="1"/>
  <c r="HD135" i="4" s="1"/>
  <c r="HD134" i="4" s="1"/>
  <c r="HD133" i="4" s="1"/>
  <c r="HD132" i="4" s="1"/>
  <c r="HD131" i="4" s="1"/>
  <c r="HD130" i="4" s="1"/>
  <c r="HD129" i="4" s="1"/>
  <c r="HD128" i="4" s="1"/>
  <c r="HD127" i="4" s="1"/>
  <c r="HD126" i="4" s="1"/>
  <c r="HD125" i="4" s="1"/>
  <c r="HD124" i="4" s="1"/>
  <c r="HD123" i="4" s="1"/>
  <c r="HD122" i="4" s="1"/>
  <c r="HD121" i="4" s="1"/>
  <c r="HD120" i="4" s="1"/>
  <c r="HD119" i="4" s="1"/>
  <c r="HD118" i="4" s="1"/>
  <c r="HD117" i="4" s="1"/>
  <c r="HD116" i="4" s="1"/>
  <c r="HD115" i="4" s="1"/>
  <c r="HD114" i="4" s="1"/>
  <c r="HD113" i="4" s="1"/>
  <c r="HD112" i="4" s="1"/>
  <c r="HD111" i="4" s="1"/>
  <c r="HD110" i="4" s="1"/>
  <c r="HD109" i="4" s="1"/>
  <c r="HD108" i="4" s="1"/>
  <c r="HD107" i="4" s="1"/>
  <c r="HE203" i="4"/>
  <c r="HE202" i="4" s="1"/>
  <c r="HE201" i="4" s="1"/>
  <c r="HE200" i="4" s="1"/>
  <c r="HE199" i="4" s="1"/>
  <c r="HE198" i="4" s="1"/>
  <c r="HE197" i="4" s="1"/>
  <c r="HE196" i="4" s="1"/>
  <c r="HE195" i="4" s="1"/>
  <c r="HE194" i="4" s="1"/>
  <c r="HE193" i="4" s="1"/>
  <c r="HE192" i="4" s="1"/>
  <c r="HE191" i="4" s="1"/>
  <c r="HE190" i="4" s="1"/>
  <c r="HE189" i="4" s="1"/>
  <c r="HE188" i="4" s="1"/>
  <c r="HE187" i="4" s="1"/>
  <c r="HE186" i="4" s="1"/>
  <c r="HE185" i="4" s="1"/>
  <c r="HE184" i="4" s="1"/>
  <c r="HE183" i="4" s="1"/>
  <c r="HE182" i="4" s="1"/>
  <c r="HE181" i="4" s="1"/>
  <c r="HE180" i="4" s="1"/>
  <c r="HE179" i="4" s="1"/>
  <c r="HE178" i="4" s="1"/>
  <c r="HE177" i="4" s="1"/>
  <c r="HE176" i="4" s="1"/>
  <c r="HE175" i="4" s="1"/>
  <c r="HE174" i="4" s="1"/>
  <c r="HE173" i="4" s="1"/>
  <c r="HE172" i="4" s="1"/>
  <c r="HE171" i="4" s="1"/>
  <c r="HE170" i="4" s="1"/>
  <c r="HE169" i="4" s="1"/>
  <c r="HE168" i="4" s="1"/>
  <c r="HE167" i="4" s="1"/>
  <c r="HE166" i="4" s="1"/>
  <c r="HE165" i="4" s="1"/>
  <c r="HE164" i="4" s="1"/>
  <c r="HE163" i="4" s="1"/>
  <c r="HE162" i="4" s="1"/>
  <c r="HE161" i="4" s="1"/>
  <c r="HE160" i="4" s="1"/>
  <c r="HE159" i="4" s="1"/>
  <c r="HE158" i="4" s="1"/>
  <c r="HE157" i="4" s="1"/>
  <c r="HE156" i="4" s="1"/>
  <c r="HE155" i="4" s="1"/>
  <c r="HE154" i="4" s="1"/>
  <c r="HE153" i="4" s="1"/>
  <c r="HE152" i="4" s="1"/>
  <c r="HE151" i="4" s="1"/>
  <c r="HE150" i="4" s="1"/>
  <c r="HE149" i="4" s="1"/>
  <c r="HE148" i="4" s="1"/>
  <c r="HE147" i="4" s="1"/>
  <c r="HE146" i="4" s="1"/>
  <c r="HE145" i="4" s="1"/>
  <c r="HE144" i="4" s="1"/>
  <c r="HE143" i="4" s="1"/>
  <c r="HE142" i="4" s="1"/>
  <c r="HE141" i="4" s="1"/>
  <c r="HE140" i="4" s="1"/>
  <c r="HE139" i="4" s="1"/>
  <c r="HE138" i="4" s="1"/>
  <c r="HE137" i="4" s="1"/>
  <c r="HE136" i="4" s="1"/>
  <c r="HE135" i="4" s="1"/>
  <c r="HE134" i="4" s="1"/>
  <c r="HE133" i="4" s="1"/>
  <c r="HE132" i="4" s="1"/>
  <c r="HE131" i="4" s="1"/>
  <c r="HE130" i="4" s="1"/>
  <c r="HE129" i="4" s="1"/>
  <c r="HE128" i="4" s="1"/>
  <c r="HE127" i="4" s="1"/>
  <c r="HE126" i="4" s="1"/>
  <c r="HE125" i="4" s="1"/>
  <c r="HE124" i="4" s="1"/>
  <c r="HE123" i="4" s="1"/>
  <c r="HE122" i="4" s="1"/>
  <c r="HE121" i="4" s="1"/>
  <c r="HE120" i="4" s="1"/>
  <c r="HE119" i="4" s="1"/>
  <c r="HE118" i="4" s="1"/>
  <c r="HE117" i="4" s="1"/>
  <c r="HE116" i="4" s="1"/>
  <c r="HE115" i="4" s="1"/>
  <c r="HE114" i="4" s="1"/>
  <c r="HE113" i="4" s="1"/>
  <c r="HE112" i="4" s="1"/>
  <c r="HE111" i="4" s="1"/>
  <c r="HE110" i="4" s="1"/>
  <c r="HE109" i="4" s="1"/>
  <c r="HE108" i="4" s="1"/>
  <c r="HE107" i="4" s="1"/>
  <c r="HE106" i="4" s="1"/>
  <c r="HE4" i="4" s="1"/>
  <c r="J38" i="2" s="1"/>
  <c r="EI203" i="4"/>
  <c r="EI202" i="4" s="1"/>
  <c r="EI201" i="4" s="1"/>
  <c r="EI200" i="4" s="1"/>
  <c r="EI199" i="4" s="1"/>
  <c r="EI198" i="4" s="1"/>
  <c r="EI197" i="4" s="1"/>
  <c r="EI196" i="4" s="1"/>
  <c r="EI195" i="4" s="1"/>
  <c r="EI194" i="4" s="1"/>
  <c r="EI193" i="4" s="1"/>
  <c r="EI192" i="4" s="1"/>
  <c r="EI191" i="4" s="1"/>
  <c r="EI190" i="4" s="1"/>
  <c r="EI189" i="4" s="1"/>
  <c r="EI188" i="4" s="1"/>
  <c r="EI187" i="4" s="1"/>
  <c r="EI186" i="4" s="1"/>
  <c r="EI185" i="4" s="1"/>
  <c r="EI184" i="4" s="1"/>
  <c r="EI183" i="4" s="1"/>
  <c r="EI182" i="4" s="1"/>
  <c r="EI181" i="4" s="1"/>
  <c r="EI180" i="4" s="1"/>
  <c r="EI179" i="4" s="1"/>
  <c r="EI178" i="4" s="1"/>
  <c r="EI177" i="4" s="1"/>
  <c r="EI176" i="4" s="1"/>
  <c r="EI175" i="4" s="1"/>
  <c r="EI174" i="4" s="1"/>
  <c r="EI173" i="4" s="1"/>
  <c r="EI172" i="4" s="1"/>
  <c r="EI171" i="4" s="1"/>
  <c r="EI170" i="4" s="1"/>
  <c r="EI169" i="4" s="1"/>
  <c r="EI168" i="4" s="1"/>
  <c r="EI167" i="4" s="1"/>
  <c r="EI166" i="4" s="1"/>
  <c r="EI165" i="4" s="1"/>
  <c r="EI164" i="4" s="1"/>
  <c r="EI163" i="4" s="1"/>
  <c r="EI162" i="4" s="1"/>
  <c r="EI161" i="4" s="1"/>
  <c r="EI160" i="4" s="1"/>
  <c r="EI159" i="4" s="1"/>
  <c r="EI158" i="4" s="1"/>
  <c r="EI157" i="4" s="1"/>
  <c r="EI156" i="4" s="1"/>
  <c r="EI155" i="4" s="1"/>
  <c r="EI154" i="4" s="1"/>
  <c r="EI153" i="4" s="1"/>
  <c r="EI152" i="4" s="1"/>
  <c r="EI151" i="4" s="1"/>
  <c r="EI150" i="4" s="1"/>
  <c r="EI149" i="4" s="1"/>
  <c r="EI148" i="4" s="1"/>
  <c r="EI147" i="4" s="1"/>
  <c r="EI146" i="4" s="1"/>
  <c r="EI145" i="4" s="1"/>
  <c r="EI144" i="4" s="1"/>
  <c r="EI143" i="4" s="1"/>
  <c r="EI142" i="4" s="1"/>
  <c r="EI141" i="4" s="1"/>
  <c r="EI140" i="4" s="1"/>
  <c r="EI139" i="4" s="1"/>
  <c r="EI138" i="4" s="1"/>
  <c r="EI137" i="4" s="1"/>
  <c r="EI136" i="4" s="1"/>
  <c r="EI135" i="4" s="1"/>
  <c r="EI134" i="4" s="1"/>
  <c r="EI133" i="4" s="1"/>
  <c r="EI132" i="4" s="1"/>
  <c r="EI131" i="4" s="1"/>
  <c r="EI130" i="4" s="1"/>
  <c r="EI129" i="4" s="1"/>
  <c r="EI128" i="4" s="1"/>
  <c r="EI127" i="4" s="1"/>
  <c r="EI126" i="4" s="1"/>
  <c r="EI125" i="4" s="1"/>
  <c r="EI124" i="4" s="1"/>
  <c r="EI123" i="4" s="1"/>
  <c r="EI122" i="4" s="1"/>
  <c r="EI121" i="4" s="1"/>
  <c r="EI120" i="4" s="1"/>
  <c r="EI119" i="4" s="1"/>
  <c r="EI118" i="4" s="1"/>
  <c r="EI117" i="4" s="1"/>
  <c r="EI116" i="4" s="1"/>
  <c r="EI115" i="4" s="1"/>
  <c r="EI114" i="4" s="1"/>
  <c r="EI113" i="4" s="1"/>
  <c r="EI112" i="4" s="1"/>
  <c r="EI111" i="4" s="1"/>
  <c r="EI110" i="4" s="1"/>
  <c r="EI109" i="4" s="1"/>
  <c r="EI108" i="4" s="1"/>
  <c r="EI107" i="4" s="1"/>
  <c r="EI106" i="4" s="1"/>
  <c r="EI4" i="4" s="1"/>
  <c r="EQ203" i="4"/>
  <c r="EQ202" i="4" s="1"/>
  <c r="EQ201" i="4" s="1"/>
  <c r="EQ200" i="4" s="1"/>
  <c r="EQ199" i="4" s="1"/>
  <c r="EQ198" i="4" s="1"/>
  <c r="EQ197" i="4" s="1"/>
  <c r="EQ196" i="4" s="1"/>
  <c r="EQ195" i="4" s="1"/>
  <c r="EQ194" i="4" s="1"/>
  <c r="EQ193" i="4" s="1"/>
  <c r="EQ192" i="4" s="1"/>
  <c r="EQ191" i="4" s="1"/>
  <c r="EQ190" i="4" s="1"/>
  <c r="EQ189" i="4" s="1"/>
  <c r="EQ188" i="4" s="1"/>
  <c r="EQ187" i="4" s="1"/>
  <c r="EQ186" i="4" s="1"/>
  <c r="EQ185" i="4" s="1"/>
  <c r="EQ184" i="4" s="1"/>
  <c r="EQ183" i="4" s="1"/>
  <c r="EQ182" i="4" s="1"/>
  <c r="EQ181" i="4" s="1"/>
  <c r="EQ180" i="4" s="1"/>
  <c r="EQ179" i="4" s="1"/>
  <c r="EQ178" i="4" s="1"/>
  <c r="EQ177" i="4" s="1"/>
  <c r="EQ176" i="4" s="1"/>
  <c r="EQ175" i="4" s="1"/>
  <c r="EQ174" i="4" s="1"/>
  <c r="EQ173" i="4" s="1"/>
  <c r="EQ172" i="4" s="1"/>
  <c r="EQ171" i="4" s="1"/>
  <c r="EQ170" i="4" s="1"/>
  <c r="EQ169" i="4" s="1"/>
  <c r="EQ168" i="4" s="1"/>
  <c r="EQ167" i="4" s="1"/>
  <c r="EQ166" i="4" s="1"/>
  <c r="EQ165" i="4" s="1"/>
  <c r="EQ164" i="4" s="1"/>
  <c r="EQ163" i="4" s="1"/>
  <c r="EQ162" i="4" s="1"/>
  <c r="EQ161" i="4" s="1"/>
  <c r="EQ160" i="4" s="1"/>
  <c r="EQ159" i="4" s="1"/>
  <c r="EQ158" i="4" s="1"/>
  <c r="EQ157" i="4" s="1"/>
  <c r="EQ156" i="4" s="1"/>
  <c r="EQ155" i="4" s="1"/>
  <c r="EQ154" i="4" s="1"/>
  <c r="EQ153" i="4" s="1"/>
  <c r="EQ152" i="4" s="1"/>
  <c r="EQ151" i="4" s="1"/>
  <c r="EQ150" i="4" s="1"/>
  <c r="EQ149" i="4" s="1"/>
  <c r="EQ148" i="4" s="1"/>
  <c r="EQ147" i="4" s="1"/>
  <c r="EQ146" i="4" s="1"/>
  <c r="EQ145" i="4" s="1"/>
  <c r="EQ144" i="4" s="1"/>
  <c r="EQ143" i="4" s="1"/>
  <c r="EQ142" i="4" s="1"/>
  <c r="EQ141" i="4" s="1"/>
  <c r="EQ140" i="4" s="1"/>
  <c r="EQ139" i="4" s="1"/>
  <c r="EQ138" i="4" s="1"/>
  <c r="EQ137" i="4" s="1"/>
  <c r="EQ136" i="4" s="1"/>
  <c r="EQ135" i="4" s="1"/>
  <c r="EQ134" i="4" s="1"/>
  <c r="EQ133" i="4" s="1"/>
  <c r="EQ132" i="4" s="1"/>
  <c r="EQ131" i="4" s="1"/>
  <c r="EQ130" i="4" s="1"/>
  <c r="EQ129" i="4" s="1"/>
  <c r="EQ128" i="4" s="1"/>
  <c r="EQ127" i="4" s="1"/>
  <c r="EQ126" i="4" s="1"/>
  <c r="EQ125" i="4" s="1"/>
  <c r="EQ124" i="4" s="1"/>
  <c r="EQ123" i="4" s="1"/>
  <c r="EQ122" i="4" s="1"/>
  <c r="EQ121" i="4" s="1"/>
  <c r="EQ120" i="4" s="1"/>
  <c r="EQ119" i="4" s="1"/>
  <c r="EQ118" i="4" s="1"/>
  <c r="EQ117" i="4" s="1"/>
  <c r="EQ116" i="4" s="1"/>
  <c r="EQ115" i="4" s="1"/>
  <c r="EQ114" i="4" s="1"/>
  <c r="EQ113" i="4" s="1"/>
  <c r="EQ112" i="4" s="1"/>
  <c r="EQ111" i="4" s="1"/>
  <c r="EQ110" i="4" s="1"/>
  <c r="EQ109" i="4" s="1"/>
  <c r="EQ108" i="4" s="1"/>
  <c r="EQ107" i="4" s="1"/>
  <c r="EQ106" i="4" s="1"/>
  <c r="EU203" i="4"/>
  <c r="EU202" i="4" s="1"/>
  <c r="EU201" i="4" s="1"/>
  <c r="EU200" i="4" s="1"/>
  <c r="EU199" i="4" s="1"/>
  <c r="EU198" i="4" s="1"/>
  <c r="EU197" i="4" s="1"/>
  <c r="EU196" i="4" s="1"/>
  <c r="EU195" i="4" s="1"/>
  <c r="EU194" i="4" s="1"/>
  <c r="EU193" i="4" s="1"/>
  <c r="EU192" i="4" s="1"/>
  <c r="EU191" i="4" s="1"/>
  <c r="EU190" i="4" s="1"/>
  <c r="EU189" i="4" s="1"/>
  <c r="EU188" i="4" s="1"/>
  <c r="EU187" i="4" s="1"/>
  <c r="EU186" i="4" s="1"/>
  <c r="EU185" i="4" s="1"/>
  <c r="EU184" i="4" s="1"/>
  <c r="EU183" i="4" s="1"/>
  <c r="EU182" i="4" s="1"/>
  <c r="EU181" i="4" s="1"/>
  <c r="EU180" i="4" s="1"/>
  <c r="EU179" i="4" s="1"/>
  <c r="EU178" i="4" s="1"/>
  <c r="EU177" i="4" s="1"/>
  <c r="EU176" i="4" s="1"/>
  <c r="EU175" i="4" s="1"/>
  <c r="EU174" i="4" s="1"/>
  <c r="EU173" i="4" s="1"/>
  <c r="EU172" i="4" s="1"/>
  <c r="EU171" i="4" s="1"/>
  <c r="EU170" i="4" s="1"/>
  <c r="EU169" i="4" s="1"/>
  <c r="EU168" i="4" s="1"/>
  <c r="EU167" i="4" s="1"/>
  <c r="EU166" i="4" s="1"/>
  <c r="EU165" i="4" s="1"/>
  <c r="EU164" i="4" s="1"/>
  <c r="EU163" i="4" s="1"/>
  <c r="EU162" i="4" s="1"/>
  <c r="EU161" i="4" s="1"/>
  <c r="EU160" i="4" s="1"/>
  <c r="EU159" i="4" s="1"/>
  <c r="EU158" i="4" s="1"/>
  <c r="EU157" i="4" s="1"/>
  <c r="EU156" i="4" s="1"/>
  <c r="EU155" i="4" s="1"/>
  <c r="EU154" i="4" s="1"/>
  <c r="EU153" i="4" s="1"/>
  <c r="EU152" i="4" s="1"/>
  <c r="EU151" i="4" s="1"/>
  <c r="EU150" i="4" s="1"/>
  <c r="EU149" i="4" s="1"/>
  <c r="EU148" i="4" s="1"/>
  <c r="EU147" i="4" s="1"/>
  <c r="EU146" i="4" s="1"/>
  <c r="EU145" i="4" s="1"/>
  <c r="EU144" i="4" s="1"/>
  <c r="EU143" i="4" s="1"/>
  <c r="EU142" i="4" s="1"/>
  <c r="EU141" i="4" s="1"/>
  <c r="EU140" i="4" s="1"/>
  <c r="EU139" i="4" s="1"/>
  <c r="EU138" i="4" s="1"/>
  <c r="EU137" i="4" s="1"/>
  <c r="EU136" i="4" s="1"/>
  <c r="EU135" i="4" s="1"/>
  <c r="EU134" i="4" s="1"/>
  <c r="EU133" i="4" s="1"/>
  <c r="EU132" i="4" s="1"/>
  <c r="EU131" i="4" s="1"/>
  <c r="EU130" i="4" s="1"/>
  <c r="EU129" i="4" s="1"/>
  <c r="EU128" i="4" s="1"/>
  <c r="EU127" i="4" s="1"/>
  <c r="EU126" i="4" s="1"/>
  <c r="EU125" i="4" s="1"/>
  <c r="EU124" i="4" s="1"/>
  <c r="EU123" i="4" s="1"/>
  <c r="EU122" i="4" s="1"/>
  <c r="EU121" i="4" s="1"/>
  <c r="EU120" i="4" s="1"/>
  <c r="EU119" i="4" s="1"/>
  <c r="EU118" i="4" s="1"/>
  <c r="EU117" i="4" s="1"/>
  <c r="EU116" i="4" s="1"/>
  <c r="EU115" i="4" s="1"/>
  <c r="EU114" i="4" s="1"/>
  <c r="EU113" i="4" s="1"/>
  <c r="EU112" i="4" s="1"/>
  <c r="EU111" i="4" s="1"/>
  <c r="EU110" i="4" s="1"/>
  <c r="EU109" i="4" s="1"/>
  <c r="EU108" i="4" s="1"/>
  <c r="EU107" i="4" s="1"/>
  <c r="EU106" i="4" s="1"/>
  <c r="EU4" i="4" s="1"/>
  <c r="FC203" i="4"/>
  <c r="FC202" i="4" s="1"/>
  <c r="FC201" i="4" s="1"/>
  <c r="FC200" i="4" s="1"/>
  <c r="FC199" i="4" s="1"/>
  <c r="FC198" i="4" s="1"/>
  <c r="FC197" i="4" s="1"/>
  <c r="FC196" i="4" s="1"/>
  <c r="FC195" i="4" s="1"/>
  <c r="FC194" i="4" s="1"/>
  <c r="FC193" i="4" s="1"/>
  <c r="FC192" i="4" s="1"/>
  <c r="FC191" i="4" s="1"/>
  <c r="FC190" i="4" s="1"/>
  <c r="FC189" i="4" s="1"/>
  <c r="FC188" i="4" s="1"/>
  <c r="FC187" i="4" s="1"/>
  <c r="FC186" i="4" s="1"/>
  <c r="FC185" i="4" s="1"/>
  <c r="FC184" i="4" s="1"/>
  <c r="FC183" i="4" s="1"/>
  <c r="FC182" i="4" s="1"/>
  <c r="FC181" i="4" s="1"/>
  <c r="FC180" i="4" s="1"/>
  <c r="FC179" i="4" s="1"/>
  <c r="FC178" i="4" s="1"/>
  <c r="FC177" i="4" s="1"/>
  <c r="FC176" i="4" s="1"/>
  <c r="FC175" i="4" s="1"/>
  <c r="FC174" i="4" s="1"/>
  <c r="FC173" i="4" s="1"/>
  <c r="FC172" i="4" s="1"/>
  <c r="FC171" i="4" s="1"/>
  <c r="FC170" i="4" s="1"/>
  <c r="FC169" i="4" s="1"/>
  <c r="FC168" i="4" s="1"/>
  <c r="FC167" i="4" s="1"/>
  <c r="FC166" i="4" s="1"/>
  <c r="FC165" i="4" s="1"/>
  <c r="FC164" i="4" s="1"/>
  <c r="FC163" i="4" s="1"/>
  <c r="FC162" i="4" s="1"/>
  <c r="FC161" i="4" s="1"/>
  <c r="FC160" i="4" s="1"/>
  <c r="FC159" i="4" s="1"/>
  <c r="FC158" i="4" s="1"/>
  <c r="FC157" i="4" s="1"/>
  <c r="FC156" i="4" s="1"/>
  <c r="FC155" i="4" s="1"/>
  <c r="FC154" i="4" s="1"/>
  <c r="FC153" i="4" s="1"/>
  <c r="FC152" i="4" s="1"/>
  <c r="FC151" i="4" s="1"/>
  <c r="FC150" i="4" s="1"/>
  <c r="FC149" i="4" s="1"/>
  <c r="FC148" i="4" s="1"/>
  <c r="FC147" i="4" s="1"/>
  <c r="FC146" i="4" s="1"/>
  <c r="FC145" i="4" s="1"/>
  <c r="FC144" i="4" s="1"/>
  <c r="FC143" i="4" s="1"/>
  <c r="FC142" i="4" s="1"/>
  <c r="FC141" i="4" s="1"/>
  <c r="FC140" i="4" s="1"/>
  <c r="FC139" i="4" s="1"/>
  <c r="FC138" i="4" s="1"/>
  <c r="FC137" i="4" s="1"/>
  <c r="FC136" i="4" s="1"/>
  <c r="FC135" i="4" s="1"/>
  <c r="FC134" i="4" s="1"/>
  <c r="FC133" i="4" s="1"/>
  <c r="FC132" i="4" s="1"/>
  <c r="FC131" i="4" s="1"/>
  <c r="FC130" i="4" s="1"/>
  <c r="FC129" i="4" s="1"/>
  <c r="FC128" i="4" s="1"/>
  <c r="FC127" i="4" s="1"/>
  <c r="FC126" i="4" s="1"/>
  <c r="FC125" i="4" s="1"/>
  <c r="FC124" i="4" s="1"/>
  <c r="FC123" i="4" s="1"/>
  <c r="FC122" i="4" s="1"/>
  <c r="FC121" i="4" s="1"/>
  <c r="FC120" i="4" s="1"/>
  <c r="FC119" i="4" s="1"/>
  <c r="FC118" i="4" s="1"/>
  <c r="FC117" i="4" s="1"/>
  <c r="FC116" i="4" s="1"/>
  <c r="FC115" i="4" s="1"/>
  <c r="FC114" i="4" s="1"/>
  <c r="FC113" i="4" s="1"/>
  <c r="FC112" i="4" s="1"/>
  <c r="FC111" i="4" s="1"/>
  <c r="FC110" i="4" s="1"/>
  <c r="FC109" i="4" s="1"/>
  <c r="FC108" i="4" s="1"/>
  <c r="FC107" i="4" s="1"/>
  <c r="FC106" i="4" s="1"/>
  <c r="FG203" i="4"/>
  <c r="FG202" i="4" s="1"/>
  <c r="FG201" i="4" s="1"/>
  <c r="FG200" i="4" s="1"/>
  <c r="FG199" i="4" s="1"/>
  <c r="FG198" i="4" s="1"/>
  <c r="FG197" i="4" s="1"/>
  <c r="FG196" i="4" s="1"/>
  <c r="FG195" i="4" s="1"/>
  <c r="FG194" i="4" s="1"/>
  <c r="FG193" i="4" s="1"/>
  <c r="FG192" i="4" s="1"/>
  <c r="FG191" i="4" s="1"/>
  <c r="FG190" i="4" s="1"/>
  <c r="FG189" i="4" s="1"/>
  <c r="FG188" i="4" s="1"/>
  <c r="FG187" i="4" s="1"/>
  <c r="FG186" i="4" s="1"/>
  <c r="FG185" i="4" s="1"/>
  <c r="FG184" i="4" s="1"/>
  <c r="FG183" i="4" s="1"/>
  <c r="FG182" i="4" s="1"/>
  <c r="FG181" i="4" s="1"/>
  <c r="FG180" i="4" s="1"/>
  <c r="FG179" i="4" s="1"/>
  <c r="FG178" i="4" s="1"/>
  <c r="FG177" i="4" s="1"/>
  <c r="FG176" i="4" s="1"/>
  <c r="FG175" i="4" s="1"/>
  <c r="FG174" i="4" s="1"/>
  <c r="FG173" i="4" s="1"/>
  <c r="FG172" i="4" s="1"/>
  <c r="FG171" i="4" s="1"/>
  <c r="FG170" i="4" s="1"/>
  <c r="FG169" i="4" s="1"/>
  <c r="FG168" i="4" s="1"/>
  <c r="FG167" i="4" s="1"/>
  <c r="FG166" i="4" s="1"/>
  <c r="FG165" i="4" s="1"/>
  <c r="FG164" i="4" s="1"/>
  <c r="FG163" i="4" s="1"/>
  <c r="FG162" i="4" s="1"/>
  <c r="FG161" i="4" s="1"/>
  <c r="FG160" i="4" s="1"/>
  <c r="FG159" i="4" s="1"/>
  <c r="FG158" i="4" s="1"/>
  <c r="FG157" i="4" s="1"/>
  <c r="FG156" i="4" s="1"/>
  <c r="FG155" i="4" s="1"/>
  <c r="FG154" i="4" s="1"/>
  <c r="FG153" i="4" s="1"/>
  <c r="FG152" i="4" s="1"/>
  <c r="FG151" i="4" s="1"/>
  <c r="FG150" i="4" s="1"/>
  <c r="FG149" i="4" s="1"/>
  <c r="FG148" i="4" s="1"/>
  <c r="FG147" i="4" s="1"/>
  <c r="FG146" i="4" s="1"/>
  <c r="FG145" i="4" s="1"/>
  <c r="FG144" i="4" s="1"/>
  <c r="FG143" i="4" s="1"/>
  <c r="FG142" i="4" s="1"/>
  <c r="FG141" i="4" s="1"/>
  <c r="FG140" i="4" s="1"/>
  <c r="FG139" i="4" s="1"/>
  <c r="FG138" i="4" s="1"/>
  <c r="FG137" i="4" s="1"/>
  <c r="FG136" i="4" s="1"/>
  <c r="FG135" i="4" s="1"/>
  <c r="FG134" i="4" s="1"/>
  <c r="FG133" i="4" s="1"/>
  <c r="FG132" i="4" s="1"/>
  <c r="FG131" i="4" s="1"/>
  <c r="FG130" i="4" s="1"/>
  <c r="FG129" i="4" s="1"/>
  <c r="FG128" i="4" s="1"/>
  <c r="FG127" i="4" s="1"/>
  <c r="FG126" i="4" s="1"/>
  <c r="FG125" i="4" s="1"/>
  <c r="FG124" i="4" s="1"/>
  <c r="FG123" i="4" s="1"/>
  <c r="FG122" i="4" s="1"/>
  <c r="FG121" i="4" s="1"/>
  <c r="FG120" i="4" s="1"/>
  <c r="FG119" i="4" s="1"/>
  <c r="FG118" i="4" s="1"/>
  <c r="FG117" i="4" s="1"/>
  <c r="FG116" i="4" s="1"/>
  <c r="FG115" i="4" s="1"/>
  <c r="FG114" i="4" s="1"/>
  <c r="FG113" i="4" s="1"/>
  <c r="FG112" i="4" s="1"/>
  <c r="FG111" i="4" s="1"/>
  <c r="FG110" i="4" s="1"/>
  <c r="FG109" i="4" s="1"/>
  <c r="FG108" i="4" s="1"/>
  <c r="FG107" i="4" s="1"/>
  <c r="FG106" i="4" s="1"/>
  <c r="FG4" i="4" s="1"/>
  <c r="FO203" i="4"/>
  <c r="FO202" i="4" s="1"/>
  <c r="FO201" i="4" s="1"/>
  <c r="FO200" i="4" s="1"/>
  <c r="FO199" i="4" s="1"/>
  <c r="FO198" i="4" s="1"/>
  <c r="FO197" i="4" s="1"/>
  <c r="FO196" i="4" s="1"/>
  <c r="FO195" i="4" s="1"/>
  <c r="FO194" i="4" s="1"/>
  <c r="FO193" i="4" s="1"/>
  <c r="FO192" i="4" s="1"/>
  <c r="FO191" i="4" s="1"/>
  <c r="FO190" i="4" s="1"/>
  <c r="FO189" i="4" s="1"/>
  <c r="FO188" i="4" s="1"/>
  <c r="FO187" i="4" s="1"/>
  <c r="FO186" i="4" s="1"/>
  <c r="FO185" i="4" s="1"/>
  <c r="FO184" i="4" s="1"/>
  <c r="FO183" i="4" s="1"/>
  <c r="FO182" i="4" s="1"/>
  <c r="FO181" i="4" s="1"/>
  <c r="FO180" i="4" s="1"/>
  <c r="FO179" i="4" s="1"/>
  <c r="FO178" i="4" s="1"/>
  <c r="FO177" i="4" s="1"/>
  <c r="FO176" i="4" s="1"/>
  <c r="FO175" i="4" s="1"/>
  <c r="FO174" i="4" s="1"/>
  <c r="FO173" i="4" s="1"/>
  <c r="FO172" i="4" s="1"/>
  <c r="FO171" i="4" s="1"/>
  <c r="FO170" i="4" s="1"/>
  <c r="FO169" i="4" s="1"/>
  <c r="FO168" i="4" s="1"/>
  <c r="FO167" i="4" s="1"/>
  <c r="FO166" i="4" s="1"/>
  <c r="FO165" i="4" s="1"/>
  <c r="FO164" i="4" s="1"/>
  <c r="FO163" i="4" s="1"/>
  <c r="FO162" i="4" s="1"/>
  <c r="FO161" i="4" s="1"/>
  <c r="FO160" i="4" s="1"/>
  <c r="FO159" i="4" s="1"/>
  <c r="FO158" i="4" s="1"/>
  <c r="FO157" i="4" s="1"/>
  <c r="FO156" i="4" s="1"/>
  <c r="FO155" i="4" s="1"/>
  <c r="FO154" i="4" s="1"/>
  <c r="FO153" i="4" s="1"/>
  <c r="FO152" i="4" s="1"/>
  <c r="FO151" i="4" s="1"/>
  <c r="FO150" i="4" s="1"/>
  <c r="FO149" i="4" s="1"/>
  <c r="FO148" i="4" s="1"/>
  <c r="FO147" i="4" s="1"/>
  <c r="FO146" i="4" s="1"/>
  <c r="FO145" i="4" s="1"/>
  <c r="FO144" i="4" s="1"/>
  <c r="FO143" i="4" s="1"/>
  <c r="FO142" i="4" s="1"/>
  <c r="FO141" i="4" s="1"/>
  <c r="FO140" i="4" s="1"/>
  <c r="FO139" i="4" s="1"/>
  <c r="FO138" i="4" s="1"/>
  <c r="FO137" i="4" s="1"/>
  <c r="FO136" i="4" s="1"/>
  <c r="FO135" i="4" s="1"/>
  <c r="FO134" i="4" s="1"/>
  <c r="FO133" i="4" s="1"/>
  <c r="FO132" i="4" s="1"/>
  <c r="FO131" i="4" s="1"/>
  <c r="FO130" i="4" s="1"/>
  <c r="FO129" i="4" s="1"/>
  <c r="FO128" i="4" s="1"/>
  <c r="FO127" i="4" s="1"/>
  <c r="FO126" i="4" s="1"/>
  <c r="FO125" i="4" s="1"/>
  <c r="FO124" i="4" s="1"/>
  <c r="FO123" i="4" s="1"/>
  <c r="FO122" i="4" s="1"/>
  <c r="FO121" i="4" s="1"/>
  <c r="FO120" i="4" s="1"/>
  <c r="FO119" i="4" s="1"/>
  <c r="FO118" i="4" s="1"/>
  <c r="FO117" i="4" s="1"/>
  <c r="FO116" i="4" s="1"/>
  <c r="FO115" i="4" s="1"/>
  <c r="FO114" i="4" s="1"/>
  <c r="FO113" i="4" s="1"/>
  <c r="FO112" i="4" s="1"/>
  <c r="FO111" i="4" s="1"/>
  <c r="FO110" i="4" s="1"/>
  <c r="FO109" i="4" s="1"/>
  <c r="FO108" i="4" s="1"/>
  <c r="FO107" i="4" s="1"/>
  <c r="FO106" i="4" s="1"/>
  <c r="FS203" i="4"/>
  <c r="FS202" i="4" s="1"/>
  <c r="FS201" i="4" s="1"/>
  <c r="FS200" i="4" s="1"/>
  <c r="FS199" i="4" s="1"/>
  <c r="FS198" i="4" s="1"/>
  <c r="FS197" i="4" s="1"/>
  <c r="FS196" i="4" s="1"/>
  <c r="FS195" i="4" s="1"/>
  <c r="FS194" i="4" s="1"/>
  <c r="FS193" i="4" s="1"/>
  <c r="FS192" i="4" s="1"/>
  <c r="FS191" i="4" s="1"/>
  <c r="FS190" i="4" s="1"/>
  <c r="FS189" i="4" s="1"/>
  <c r="FS188" i="4" s="1"/>
  <c r="FS187" i="4" s="1"/>
  <c r="FS186" i="4" s="1"/>
  <c r="FS185" i="4" s="1"/>
  <c r="FS184" i="4" s="1"/>
  <c r="FS183" i="4" s="1"/>
  <c r="FS182" i="4" s="1"/>
  <c r="FS181" i="4" s="1"/>
  <c r="FS180" i="4" s="1"/>
  <c r="FS179" i="4" s="1"/>
  <c r="FS178" i="4" s="1"/>
  <c r="FS177" i="4" s="1"/>
  <c r="FS176" i="4" s="1"/>
  <c r="FS175" i="4" s="1"/>
  <c r="FS174" i="4" s="1"/>
  <c r="FS173" i="4" s="1"/>
  <c r="FS172" i="4" s="1"/>
  <c r="FS171" i="4" s="1"/>
  <c r="FS170" i="4" s="1"/>
  <c r="FS169" i="4" s="1"/>
  <c r="FS168" i="4" s="1"/>
  <c r="FS167" i="4" s="1"/>
  <c r="FS166" i="4" s="1"/>
  <c r="FS165" i="4" s="1"/>
  <c r="FS164" i="4" s="1"/>
  <c r="FS163" i="4" s="1"/>
  <c r="FS162" i="4" s="1"/>
  <c r="FS161" i="4" s="1"/>
  <c r="FS160" i="4" s="1"/>
  <c r="FS159" i="4" s="1"/>
  <c r="FS158" i="4" s="1"/>
  <c r="FS157" i="4" s="1"/>
  <c r="FS156" i="4" s="1"/>
  <c r="FS155" i="4" s="1"/>
  <c r="FS154" i="4" s="1"/>
  <c r="FS153" i="4" s="1"/>
  <c r="FS152" i="4" s="1"/>
  <c r="FS151" i="4" s="1"/>
  <c r="FS150" i="4" s="1"/>
  <c r="FS149" i="4" s="1"/>
  <c r="FS148" i="4" s="1"/>
  <c r="FS147" i="4" s="1"/>
  <c r="FS146" i="4" s="1"/>
  <c r="FS145" i="4" s="1"/>
  <c r="FS144" i="4" s="1"/>
  <c r="FS143" i="4" s="1"/>
  <c r="FS142" i="4" s="1"/>
  <c r="FS141" i="4" s="1"/>
  <c r="FS140" i="4" s="1"/>
  <c r="FS139" i="4" s="1"/>
  <c r="FS138" i="4" s="1"/>
  <c r="FS137" i="4" s="1"/>
  <c r="FS136" i="4" s="1"/>
  <c r="FS135" i="4" s="1"/>
  <c r="FS134" i="4" s="1"/>
  <c r="FS133" i="4" s="1"/>
  <c r="FS132" i="4" s="1"/>
  <c r="FS131" i="4" s="1"/>
  <c r="FS130" i="4" s="1"/>
  <c r="FS129" i="4" s="1"/>
  <c r="FS128" i="4" s="1"/>
  <c r="FS127" i="4" s="1"/>
  <c r="FS126" i="4" s="1"/>
  <c r="FS125" i="4" s="1"/>
  <c r="FS124" i="4" s="1"/>
  <c r="FS123" i="4" s="1"/>
  <c r="FS122" i="4" s="1"/>
  <c r="FS121" i="4" s="1"/>
  <c r="FS120" i="4" s="1"/>
  <c r="FS119" i="4" s="1"/>
  <c r="FS118" i="4" s="1"/>
  <c r="FS117" i="4" s="1"/>
  <c r="FS116" i="4" s="1"/>
  <c r="FS115" i="4" s="1"/>
  <c r="FS114" i="4" s="1"/>
  <c r="FS113" i="4" s="1"/>
  <c r="FS112" i="4" s="1"/>
  <c r="FS111" i="4" s="1"/>
  <c r="FS110" i="4" s="1"/>
  <c r="FS109" i="4" s="1"/>
  <c r="FS108" i="4" s="1"/>
  <c r="FS107" i="4" s="1"/>
  <c r="FS106" i="4" s="1"/>
  <c r="FS4" i="4" s="1"/>
  <c r="GA203" i="4"/>
  <c r="GA202" i="4" s="1"/>
  <c r="GA201" i="4" s="1"/>
  <c r="GA200" i="4" s="1"/>
  <c r="GA199" i="4" s="1"/>
  <c r="GA198" i="4" s="1"/>
  <c r="GA197" i="4" s="1"/>
  <c r="GA196" i="4" s="1"/>
  <c r="GA195" i="4" s="1"/>
  <c r="GA194" i="4" s="1"/>
  <c r="GA193" i="4" s="1"/>
  <c r="GA192" i="4" s="1"/>
  <c r="GA191" i="4" s="1"/>
  <c r="GA190" i="4" s="1"/>
  <c r="GA189" i="4" s="1"/>
  <c r="GA188" i="4" s="1"/>
  <c r="GA187" i="4" s="1"/>
  <c r="GA186" i="4" s="1"/>
  <c r="GA185" i="4" s="1"/>
  <c r="GA184" i="4" s="1"/>
  <c r="GA183" i="4" s="1"/>
  <c r="GA182" i="4" s="1"/>
  <c r="GA181" i="4" s="1"/>
  <c r="GA180" i="4" s="1"/>
  <c r="GE203" i="4"/>
  <c r="GE202" i="4" s="1"/>
  <c r="GE201" i="4" s="1"/>
  <c r="GE200" i="4" s="1"/>
  <c r="GE199" i="4" s="1"/>
  <c r="GE198" i="4" s="1"/>
  <c r="GE197" i="4" s="1"/>
  <c r="GE196" i="4" s="1"/>
  <c r="GE195" i="4" s="1"/>
  <c r="GE194" i="4" s="1"/>
  <c r="GE193" i="4" s="1"/>
  <c r="GE192" i="4" s="1"/>
  <c r="GE191" i="4" s="1"/>
  <c r="GE190" i="4" s="1"/>
  <c r="GE189" i="4" s="1"/>
  <c r="GE188" i="4" s="1"/>
  <c r="GE187" i="4" s="1"/>
  <c r="GE186" i="4" s="1"/>
  <c r="GE185" i="4" s="1"/>
  <c r="GE184" i="4" s="1"/>
  <c r="GE183" i="4" s="1"/>
  <c r="GE182" i="4" s="1"/>
  <c r="GE181" i="4" s="1"/>
  <c r="GE180" i="4" s="1"/>
  <c r="GE179" i="4" s="1"/>
  <c r="GE178" i="4" s="1"/>
  <c r="GE177" i="4" s="1"/>
  <c r="GE176" i="4" s="1"/>
  <c r="GE175" i="4" s="1"/>
  <c r="GE174" i="4" s="1"/>
  <c r="GE173" i="4" s="1"/>
  <c r="GE172" i="4" s="1"/>
  <c r="GE171" i="4" s="1"/>
  <c r="GE170" i="4" s="1"/>
  <c r="GE169" i="4" s="1"/>
  <c r="GE168" i="4" s="1"/>
  <c r="GE167" i="4" s="1"/>
  <c r="GE166" i="4" s="1"/>
  <c r="GE165" i="4" s="1"/>
  <c r="GE164" i="4" s="1"/>
  <c r="GE163" i="4" s="1"/>
  <c r="GE162" i="4" s="1"/>
  <c r="GE161" i="4" s="1"/>
  <c r="GE160" i="4" s="1"/>
  <c r="GE159" i="4" s="1"/>
  <c r="GE158" i="4" s="1"/>
  <c r="GE157" i="4" s="1"/>
  <c r="GE156" i="4" s="1"/>
  <c r="GE155" i="4" s="1"/>
  <c r="GE154" i="4" s="1"/>
  <c r="GE153" i="4" s="1"/>
  <c r="GE152" i="4" s="1"/>
  <c r="GE151" i="4" s="1"/>
  <c r="GE150" i="4" s="1"/>
  <c r="GE149" i="4" s="1"/>
  <c r="GE148" i="4" s="1"/>
  <c r="GE147" i="4" s="1"/>
  <c r="GE146" i="4" s="1"/>
  <c r="GE145" i="4" s="1"/>
  <c r="GE144" i="4" s="1"/>
  <c r="GE143" i="4" s="1"/>
  <c r="GE142" i="4" s="1"/>
  <c r="GE141" i="4" s="1"/>
  <c r="GE140" i="4" s="1"/>
  <c r="GE139" i="4" s="1"/>
  <c r="GE138" i="4" s="1"/>
  <c r="GE137" i="4" s="1"/>
  <c r="GE136" i="4" s="1"/>
  <c r="GE135" i="4" s="1"/>
  <c r="GE134" i="4" s="1"/>
  <c r="GE133" i="4" s="1"/>
  <c r="GE132" i="4" s="1"/>
  <c r="GE131" i="4" s="1"/>
  <c r="GE130" i="4" s="1"/>
  <c r="GE129" i="4" s="1"/>
  <c r="GE128" i="4" s="1"/>
  <c r="GE127" i="4" s="1"/>
  <c r="GE126" i="4" s="1"/>
  <c r="GE125" i="4" s="1"/>
  <c r="GE124" i="4" s="1"/>
  <c r="GE123" i="4" s="1"/>
  <c r="GE122" i="4" s="1"/>
  <c r="GE121" i="4" s="1"/>
  <c r="GE120" i="4" s="1"/>
  <c r="GE119" i="4" s="1"/>
  <c r="GE118" i="4" s="1"/>
  <c r="GE117" i="4" s="1"/>
  <c r="GE116" i="4" s="1"/>
  <c r="GE115" i="4" s="1"/>
  <c r="GE114" i="4" s="1"/>
  <c r="GE113" i="4" s="1"/>
  <c r="GE112" i="4" s="1"/>
  <c r="GE111" i="4" s="1"/>
  <c r="GE110" i="4" s="1"/>
  <c r="GE109" i="4" s="1"/>
  <c r="GE108" i="4" s="1"/>
  <c r="GE107" i="4" s="1"/>
  <c r="GE106" i="4" s="1"/>
  <c r="GE4" i="4" s="1"/>
  <c r="GM203" i="4"/>
  <c r="GM202" i="4" s="1"/>
  <c r="GM201" i="4" s="1"/>
  <c r="GM200" i="4" s="1"/>
  <c r="GM199" i="4" s="1"/>
  <c r="GM198" i="4" s="1"/>
  <c r="GM197" i="4" s="1"/>
  <c r="GM196" i="4" s="1"/>
  <c r="GM195" i="4" s="1"/>
  <c r="GM194" i="4" s="1"/>
  <c r="GM193" i="4" s="1"/>
  <c r="GM192" i="4" s="1"/>
  <c r="GM191" i="4" s="1"/>
  <c r="GM190" i="4" s="1"/>
  <c r="GM189" i="4" s="1"/>
  <c r="GM188" i="4" s="1"/>
  <c r="GM187" i="4" s="1"/>
  <c r="GM186" i="4" s="1"/>
  <c r="GM185" i="4" s="1"/>
  <c r="GM184" i="4" s="1"/>
  <c r="GM183" i="4" s="1"/>
  <c r="GM182" i="4" s="1"/>
  <c r="GM181" i="4" s="1"/>
  <c r="GM180" i="4" s="1"/>
  <c r="GM179" i="4" s="1"/>
  <c r="GM178" i="4" s="1"/>
  <c r="GM177" i="4" s="1"/>
  <c r="GM176" i="4" s="1"/>
  <c r="GM175" i="4" s="1"/>
  <c r="GM174" i="4" s="1"/>
  <c r="GM173" i="4" s="1"/>
  <c r="GM172" i="4" s="1"/>
  <c r="GM171" i="4" s="1"/>
  <c r="GM170" i="4" s="1"/>
  <c r="GM169" i="4" s="1"/>
  <c r="GM168" i="4" s="1"/>
  <c r="GM167" i="4" s="1"/>
  <c r="GM166" i="4" s="1"/>
  <c r="GM165" i="4" s="1"/>
  <c r="GM164" i="4" s="1"/>
  <c r="GM163" i="4" s="1"/>
  <c r="GM162" i="4" s="1"/>
  <c r="GM161" i="4" s="1"/>
  <c r="GM160" i="4" s="1"/>
  <c r="GM159" i="4" s="1"/>
  <c r="GM158" i="4" s="1"/>
  <c r="GM157" i="4" s="1"/>
  <c r="GM156" i="4" s="1"/>
  <c r="GM155" i="4" s="1"/>
  <c r="GM154" i="4" s="1"/>
  <c r="GM153" i="4" s="1"/>
  <c r="GM152" i="4" s="1"/>
  <c r="GM151" i="4" s="1"/>
  <c r="GM150" i="4" s="1"/>
  <c r="GM149" i="4" s="1"/>
  <c r="GM148" i="4" s="1"/>
  <c r="GM147" i="4" s="1"/>
  <c r="GM146" i="4" s="1"/>
  <c r="GM145" i="4" s="1"/>
  <c r="GM144" i="4" s="1"/>
  <c r="GM143" i="4" s="1"/>
  <c r="GM142" i="4" s="1"/>
  <c r="GM141" i="4" s="1"/>
  <c r="GM140" i="4" s="1"/>
  <c r="GM139" i="4" s="1"/>
  <c r="GM138" i="4" s="1"/>
  <c r="GM137" i="4" s="1"/>
  <c r="GM136" i="4" s="1"/>
  <c r="GM135" i="4" s="1"/>
  <c r="GM134" i="4" s="1"/>
  <c r="GM133" i="4" s="1"/>
  <c r="GM132" i="4" s="1"/>
  <c r="GM131" i="4" s="1"/>
  <c r="GM130" i="4" s="1"/>
  <c r="GM129" i="4" s="1"/>
  <c r="GM128" i="4" s="1"/>
  <c r="GM127" i="4" s="1"/>
  <c r="GM126" i="4" s="1"/>
  <c r="GM125" i="4" s="1"/>
  <c r="GM124" i="4" s="1"/>
  <c r="GM123" i="4" s="1"/>
  <c r="GM122" i="4" s="1"/>
  <c r="GM121" i="4" s="1"/>
  <c r="GM120" i="4" s="1"/>
  <c r="GM119" i="4" s="1"/>
  <c r="GM118" i="4" s="1"/>
  <c r="GM117" i="4" s="1"/>
  <c r="GM116" i="4" s="1"/>
  <c r="GM115" i="4" s="1"/>
  <c r="GM114" i="4" s="1"/>
  <c r="GM113" i="4" s="1"/>
  <c r="GM112" i="4" s="1"/>
  <c r="GM111" i="4" s="1"/>
  <c r="GM110" i="4" s="1"/>
  <c r="GM109" i="4" s="1"/>
  <c r="GM108" i="4" s="1"/>
  <c r="GM107" i="4" s="1"/>
  <c r="GM106" i="4" s="1"/>
  <c r="GQ203" i="4"/>
  <c r="GQ202" i="4" s="1"/>
  <c r="GQ201" i="4" s="1"/>
  <c r="GQ200" i="4" s="1"/>
  <c r="GQ199" i="4" s="1"/>
  <c r="GQ198" i="4" s="1"/>
  <c r="GQ197" i="4" s="1"/>
  <c r="GQ196" i="4" s="1"/>
  <c r="GQ195" i="4" s="1"/>
  <c r="GQ194" i="4" s="1"/>
  <c r="GQ193" i="4" s="1"/>
  <c r="GQ192" i="4" s="1"/>
  <c r="GQ191" i="4" s="1"/>
  <c r="GQ190" i="4" s="1"/>
  <c r="GQ189" i="4" s="1"/>
  <c r="GQ188" i="4" s="1"/>
  <c r="GQ187" i="4" s="1"/>
  <c r="GQ186" i="4" s="1"/>
  <c r="GQ185" i="4" s="1"/>
  <c r="GQ184" i="4" s="1"/>
  <c r="GQ183" i="4" s="1"/>
  <c r="GQ182" i="4" s="1"/>
  <c r="GQ181" i="4" s="1"/>
  <c r="GQ180" i="4" s="1"/>
  <c r="GQ179" i="4" s="1"/>
  <c r="GQ178" i="4" s="1"/>
  <c r="GQ177" i="4" s="1"/>
  <c r="GQ176" i="4" s="1"/>
  <c r="GQ175" i="4" s="1"/>
  <c r="GQ174" i="4" s="1"/>
  <c r="GQ173" i="4" s="1"/>
  <c r="GQ172" i="4" s="1"/>
  <c r="GQ171" i="4" s="1"/>
  <c r="GQ170" i="4" s="1"/>
  <c r="GQ169" i="4" s="1"/>
  <c r="GQ168" i="4" s="1"/>
  <c r="GQ167" i="4" s="1"/>
  <c r="GQ166" i="4" s="1"/>
  <c r="GQ165" i="4" s="1"/>
  <c r="GQ164" i="4" s="1"/>
  <c r="GQ163" i="4" s="1"/>
  <c r="GQ162" i="4" s="1"/>
  <c r="GQ161" i="4" s="1"/>
  <c r="GQ160" i="4" s="1"/>
  <c r="GQ159" i="4" s="1"/>
  <c r="GQ158" i="4" s="1"/>
  <c r="GQ157" i="4" s="1"/>
  <c r="GQ156" i="4" s="1"/>
  <c r="GQ155" i="4" s="1"/>
  <c r="GQ154" i="4" s="1"/>
  <c r="GQ153" i="4" s="1"/>
  <c r="GQ152" i="4" s="1"/>
  <c r="GQ151" i="4" s="1"/>
  <c r="GQ150" i="4" s="1"/>
  <c r="GQ149" i="4" s="1"/>
  <c r="GQ148" i="4" s="1"/>
  <c r="GQ147" i="4" s="1"/>
  <c r="GQ146" i="4" s="1"/>
  <c r="GQ145" i="4" s="1"/>
  <c r="GQ144" i="4" s="1"/>
  <c r="GQ143" i="4" s="1"/>
  <c r="GQ142" i="4" s="1"/>
  <c r="GQ141" i="4" s="1"/>
  <c r="GQ140" i="4" s="1"/>
  <c r="GQ139" i="4" s="1"/>
  <c r="GQ138" i="4" s="1"/>
  <c r="GQ137" i="4" s="1"/>
  <c r="GQ136" i="4" s="1"/>
  <c r="GQ135" i="4" s="1"/>
  <c r="GQ134" i="4" s="1"/>
  <c r="GQ133" i="4" s="1"/>
  <c r="GQ132" i="4" s="1"/>
  <c r="GQ131" i="4" s="1"/>
  <c r="GQ130" i="4" s="1"/>
  <c r="GQ129" i="4" s="1"/>
  <c r="GQ128" i="4" s="1"/>
  <c r="GQ127" i="4" s="1"/>
  <c r="GQ126" i="4" s="1"/>
  <c r="GQ125" i="4" s="1"/>
  <c r="GQ124" i="4" s="1"/>
  <c r="GQ123" i="4" s="1"/>
  <c r="GQ122" i="4" s="1"/>
  <c r="GQ121" i="4" s="1"/>
  <c r="GQ120" i="4" s="1"/>
  <c r="GQ119" i="4" s="1"/>
  <c r="GQ118" i="4" s="1"/>
  <c r="GQ117" i="4" s="1"/>
  <c r="GQ116" i="4" s="1"/>
  <c r="GQ115" i="4" s="1"/>
  <c r="GQ114" i="4" s="1"/>
  <c r="GQ113" i="4" s="1"/>
  <c r="GQ112" i="4" s="1"/>
  <c r="GQ111" i="4" s="1"/>
  <c r="GQ110" i="4" s="1"/>
  <c r="GQ109" i="4" s="1"/>
  <c r="GQ108" i="4" s="1"/>
  <c r="GQ107" i="4" s="1"/>
  <c r="GQ106" i="4" s="1"/>
  <c r="GQ4" i="4" s="1"/>
  <c r="GR203" i="4"/>
  <c r="GR202" i="4" s="1"/>
  <c r="GR201" i="4" s="1"/>
  <c r="GR200" i="4" s="1"/>
  <c r="GR199" i="4" s="1"/>
  <c r="GR198" i="4" s="1"/>
  <c r="GR197" i="4" s="1"/>
  <c r="GR196" i="4" s="1"/>
  <c r="GR195" i="4" s="1"/>
  <c r="GR194" i="4" s="1"/>
  <c r="GR193" i="4" s="1"/>
  <c r="GR192" i="4" s="1"/>
  <c r="GR191" i="4" s="1"/>
  <c r="GR190" i="4" s="1"/>
  <c r="GR189" i="4" s="1"/>
  <c r="GR188" i="4" s="1"/>
  <c r="GR187" i="4" s="1"/>
  <c r="GR186" i="4" s="1"/>
  <c r="GR185" i="4" s="1"/>
  <c r="GR184" i="4" s="1"/>
  <c r="GR183" i="4" s="1"/>
  <c r="GR182" i="4" s="1"/>
  <c r="GR181" i="4" s="1"/>
  <c r="GR180" i="4" s="1"/>
  <c r="GR179" i="4" s="1"/>
  <c r="GR178" i="4" s="1"/>
  <c r="GR177" i="4" s="1"/>
  <c r="GR176" i="4" s="1"/>
  <c r="GR175" i="4" s="1"/>
  <c r="GR174" i="4" s="1"/>
  <c r="GR173" i="4" s="1"/>
  <c r="GR172" i="4" s="1"/>
  <c r="GR171" i="4" s="1"/>
  <c r="GR170" i="4" s="1"/>
  <c r="GR169" i="4" s="1"/>
  <c r="GR168" i="4" s="1"/>
  <c r="GR167" i="4" s="1"/>
  <c r="GR166" i="4" s="1"/>
  <c r="GR165" i="4" s="1"/>
  <c r="GR164" i="4" s="1"/>
  <c r="GR163" i="4" s="1"/>
  <c r="GR162" i="4" s="1"/>
  <c r="GR161" i="4" s="1"/>
  <c r="GR160" i="4" s="1"/>
  <c r="GR159" i="4" s="1"/>
  <c r="GR158" i="4" s="1"/>
  <c r="GR157" i="4" s="1"/>
  <c r="GR156" i="4" s="1"/>
  <c r="GR155" i="4" s="1"/>
  <c r="GR154" i="4" s="1"/>
  <c r="GR153" i="4" s="1"/>
  <c r="GR152" i="4" s="1"/>
  <c r="GR151" i="4" s="1"/>
  <c r="GR150" i="4" s="1"/>
  <c r="GR149" i="4" s="1"/>
  <c r="GR148" i="4" s="1"/>
  <c r="GR147" i="4" s="1"/>
  <c r="GR146" i="4" s="1"/>
  <c r="GR145" i="4" s="1"/>
  <c r="GR144" i="4" s="1"/>
  <c r="GR143" i="4" s="1"/>
  <c r="GR142" i="4" s="1"/>
  <c r="GR141" i="4" s="1"/>
  <c r="GR140" i="4" s="1"/>
  <c r="GR139" i="4" s="1"/>
  <c r="GR138" i="4" s="1"/>
  <c r="GR137" i="4" s="1"/>
  <c r="GR136" i="4" s="1"/>
  <c r="GR135" i="4" s="1"/>
  <c r="GR134" i="4" s="1"/>
  <c r="GR133" i="4" s="1"/>
  <c r="GR132" i="4" s="1"/>
  <c r="GR131" i="4" s="1"/>
  <c r="GR130" i="4" s="1"/>
  <c r="GR129" i="4" s="1"/>
  <c r="GR128" i="4" s="1"/>
  <c r="GR127" i="4" s="1"/>
  <c r="GR126" i="4" s="1"/>
  <c r="GR125" i="4" s="1"/>
  <c r="GR124" i="4" s="1"/>
  <c r="GR123" i="4" s="1"/>
  <c r="GR122" i="4" s="1"/>
  <c r="GR121" i="4" s="1"/>
  <c r="GR120" i="4" s="1"/>
  <c r="GR119" i="4" s="1"/>
  <c r="GR118" i="4" s="1"/>
  <c r="GR117" i="4" s="1"/>
  <c r="GR116" i="4" s="1"/>
  <c r="GR115" i="4" s="1"/>
  <c r="GR114" i="4" s="1"/>
  <c r="GR113" i="4" s="1"/>
  <c r="GR112" i="4" s="1"/>
  <c r="GR111" i="4" s="1"/>
  <c r="GR110" i="4" s="1"/>
  <c r="GR109" i="4" s="1"/>
  <c r="GR108" i="4" s="1"/>
  <c r="GR107" i="4" s="1"/>
  <c r="EV203" i="4"/>
  <c r="EV202" i="4" s="1"/>
  <c r="EV201" i="4" s="1"/>
  <c r="EV200" i="4" s="1"/>
  <c r="EV199" i="4" s="1"/>
  <c r="EV198" i="4" s="1"/>
  <c r="EV197" i="4" s="1"/>
  <c r="EV196" i="4" s="1"/>
  <c r="EV195" i="4" s="1"/>
  <c r="EV194" i="4" s="1"/>
  <c r="EV193" i="4" s="1"/>
  <c r="EV192" i="4" s="1"/>
  <c r="EV191" i="4" s="1"/>
  <c r="EV190" i="4" s="1"/>
  <c r="EV189" i="4" s="1"/>
  <c r="EV188" i="4" s="1"/>
  <c r="EV187" i="4" s="1"/>
  <c r="EV186" i="4" s="1"/>
  <c r="EV185" i="4" s="1"/>
  <c r="EV184" i="4" s="1"/>
  <c r="EV183" i="4" s="1"/>
  <c r="EV182" i="4" s="1"/>
  <c r="EV181" i="4" s="1"/>
  <c r="EV180" i="4" s="1"/>
  <c r="EV179" i="4" s="1"/>
  <c r="EV178" i="4" s="1"/>
  <c r="EV177" i="4" s="1"/>
  <c r="EV176" i="4" s="1"/>
  <c r="EV175" i="4" s="1"/>
  <c r="EV174" i="4" s="1"/>
  <c r="EV173" i="4" s="1"/>
  <c r="EV172" i="4" s="1"/>
  <c r="EV171" i="4" s="1"/>
  <c r="EV170" i="4" s="1"/>
  <c r="EV169" i="4" s="1"/>
  <c r="EV168" i="4" s="1"/>
  <c r="EV167" i="4" s="1"/>
  <c r="EV166" i="4" s="1"/>
  <c r="EV165" i="4" s="1"/>
  <c r="EV164" i="4" s="1"/>
  <c r="EV163" i="4" s="1"/>
  <c r="EV162" i="4" s="1"/>
  <c r="EV161" i="4" s="1"/>
  <c r="EV160" i="4" s="1"/>
  <c r="EV159" i="4" s="1"/>
  <c r="EV158" i="4" s="1"/>
  <c r="EV157" i="4" s="1"/>
  <c r="EV156" i="4" s="1"/>
  <c r="EV155" i="4" s="1"/>
  <c r="EV154" i="4" s="1"/>
  <c r="EV153" i="4" s="1"/>
  <c r="EV152" i="4" s="1"/>
  <c r="EV151" i="4" s="1"/>
  <c r="EV150" i="4" s="1"/>
  <c r="EV149" i="4" s="1"/>
  <c r="EV148" i="4" s="1"/>
  <c r="EV147" i="4" s="1"/>
  <c r="EV146" i="4" s="1"/>
  <c r="EV145" i="4" s="1"/>
  <c r="EV144" i="4" s="1"/>
  <c r="EV143" i="4" s="1"/>
  <c r="EV142" i="4" s="1"/>
  <c r="EV141" i="4" s="1"/>
  <c r="EV140" i="4" s="1"/>
  <c r="EV139" i="4" s="1"/>
  <c r="EV138" i="4" s="1"/>
  <c r="EV137" i="4" s="1"/>
  <c r="EV136" i="4" s="1"/>
  <c r="EV135" i="4" s="1"/>
  <c r="EV134" i="4" s="1"/>
  <c r="EV133" i="4" s="1"/>
  <c r="EV132" i="4" s="1"/>
  <c r="EV131" i="4" s="1"/>
  <c r="EV130" i="4" s="1"/>
  <c r="EV129" i="4" s="1"/>
  <c r="EV128" i="4" s="1"/>
  <c r="EV127" i="4" s="1"/>
  <c r="EV126" i="4" s="1"/>
  <c r="EV125" i="4" s="1"/>
  <c r="EV124" i="4" s="1"/>
  <c r="EV123" i="4" s="1"/>
  <c r="EV122" i="4" s="1"/>
  <c r="EV121" i="4" s="1"/>
  <c r="EV120" i="4" s="1"/>
  <c r="EV119" i="4" s="1"/>
  <c r="EV118" i="4" s="1"/>
  <c r="EV117" i="4" s="1"/>
  <c r="EV116" i="4" s="1"/>
  <c r="EV115" i="4" s="1"/>
  <c r="EV114" i="4" s="1"/>
  <c r="EV113" i="4" s="1"/>
  <c r="EV112" i="4" s="1"/>
  <c r="EV111" i="4" s="1"/>
  <c r="EV110" i="4" s="1"/>
  <c r="EV109" i="4" s="1"/>
  <c r="EV108" i="4" s="1"/>
  <c r="EV107" i="4" s="1"/>
  <c r="CG203" i="4"/>
  <c r="CG202" i="4" s="1"/>
  <c r="CG201" i="4" s="1"/>
  <c r="CG200" i="4" s="1"/>
  <c r="CG199" i="4" s="1"/>
  <c r="CG198" i="4" s="1"/>
  <c r="CG197" i="4" s="1"/>
  <c r="CG196" i="4" s="1"/>
  <c r="CG195" i="4" s="1"/>
  <c r="CG194" i="4" s="1"/>
  <c r="CG193" i="4" s="1"/>
  <c r="CG192" i="4" s="1"/>
  <c r="CG191" i="4" s="1"/>
  <c r="CG190" i="4" s="1"/>
  <c r="CG189" i="4" s="1"/>
  <c r="CG188" i="4" s="1"/>
  <c r="CG187" i="4" s="1"/>
  <c r="CG186" i="4" s="1"/>
  <c r="CG185" i="4" s="1"/>
  <c r="CG184" i="4" s="1"/>
  <c r="CG183" i="4" s="1"/>
  <c r="CG182" i="4" s="1"/>
  <c r="CG181" i="4" s="1"/>
  <c r="CG180" i="4" s="1"/>
  <c r="CG179" i="4" s="1"/>
  <c r="CG178" i="4" s="1"/>
  <c r="CG177" i="4" s="1"/>
  <c r="CG176" i="4" s="1"/>
  <c r="CG175" i="4" s="1"/>
  <c r="CG174" i="4" s="1"/>
  <c r="CG173" i="4" s="1"/>
  <c r="CG172" i="4" s="1"/>
  <c r="CG171" i="4" s="1"/>
  <c r="CG170" i="4" s="1"/>
  <c r="CG169" i="4" s="1"/>
  <c r="CG168" i="4" s="1"/>
  <c r="CG167" i="4" s="1"/>
  <c r="CG166" i="4" s="1"/>
  <c r="CG165" i="4" s="1"/>
  <c r="CG164" i="4" s="1"/>
  <c r="CG163" i="4" s="1"/>
  <c r="CG162" i="4" s="1"/>
  <c r="CG161" i="4" s="1"/>
  <c r="CG160" i="4" s="1"/>
  <c r="CG159" i="4" s="1"/>
  <c r="CG158" i="4" s="1"/>
  <c r="CG157" i="4" s="1"/>
  <c r="CG156" i="4" s="1"/>
  <c r="CG155" i="4" s="1"/>
  <c r="CG154" i="4" s="1"/>
  <c r="CG153" i="4" s="1"/>
  <c r="CG152" i="4" s="1"/>
  <c r="CG151" i="4" s="1"/>
  <c r="CG150" i="4" s="1"/>
  <c r="CG149" i="4" s="1"/>
  <c r="CG148" i="4" s="1"/>
  <c r="CG147" i="4" s="1"/>
  <c r="CG146" i="4" s="1"/>
  <c r="CG145" i="4" s="1"/>
  <c r="CG144" i="4" s="1"/>
  <c r="CG143" i="4" s="1"/>
  <c r="CG142" i="4" s="1"/>
  <c r="CG141" i="4" s="1"/>
  <c r="CG140" i="4" s="1"/>
  <c r="CG139" i="4" s="1"/>
  <c r="CG138" i="4" s="1"/>
  <c r="CG137" i="4" s="1"/>
  <c r="CG136" i="4" s="1"/>
  <c r="CG135" i="4" s="1"/>
  <c r="CG134" i="4" s="1"/>
  <c r="CG133" i="4" s="1"/>
  <c r="CG132" i="4" s="1"/>
  <c r="CG131" i="4" s="1"/>
  <c r="CG130" i="4" s="1"/>
  <c r="CG129" i="4" s="1"/>
  <c r="CG128" i="4" s="1"/>
  <c r="CG127" i="4" s="1"/>
  <c r="CG126" i="4" s="1"/>
  <c r="CG125" i="4" s="1"/>
  <c r="CG124" i="4" s="1"/>
  <c r="CG123" i="4" s="1"/>
  <c r="CG122" i="4" s="1"/>
  <c r="CG121" i="4" s="1"/>
  <c r="CG120" i="4" s="1"/>
  <c r="CG119" i="4" s="1"/>
  <c r="CG118" i="4" s="1"/>
  <c r="CG117" i="4" s="1"/>
  <c r="CG116" i="4" s="1"/>
  <c r="CG115" i="4" s="1"/>
  <c r="CG114" i="4" s="1"/>
  <c r="CG113" i="4" s="1"/>
  <c r="CG112" i="4" s="1"/>
  <c r="CG111" i="4" s="1"/>
  <c r="CG110" i="4" s="1"/>
  <c r="CG109" i="4" s="1"/>
  <c r="CG108" i="4" s="1"/>
  <c r="CG107" i="4" s="1"/>
  <c r="CG106" i="4" s="1"/>
  <c r="CG4" i="4" s="1"/>
  <c r="DE203" i="4"/>
  <c r="DE202" i="4" s="1"/>
  <c r="DE201" i="4" s="1"/>
  <c r="DE200" i="4" s="1"/>
  <c r="DE199" i="4" s="1"/>
  <c r="DE198" i="4" s="1"/>
  <c r="DE197" i="4" s="1"/>
  <c r="DE196" i="4" s="1"/>
  <c r="DE195" i="4" s="1"/>
  <c r="DE194" i="4" s="1"/>
  <c r="DE193" i="4" s="1"/>
  <c r="DE192" i="4" s="1"/>
  <c r="DE191" i="4" s="1"/>
  <c r="DE190" i="4" s="1"/>
  <c r="DE189" i="4" s="1"/>
  <c r="DE188" i="4" s="1"/>
  <c r="DE187" i="4" s="1"/>
  <c r="DE186" i="4" s="1"/>
  <c r="DE185" i="4" s="1"/>
  <c r="DE184" i="4" s="1"/>
  <c r="DE183" i="4" s="1"/>
  <c r="DE182" i="4" s="1"/>
  <c r="DE181" i="4" s="1"/>
  <c r="DE180" i="4" s="1"/>
  <c r="DQ203" i="4"/>
  <c r="DQ202" i="4" s="1"/>
  <c r="DQ201" i="4" s="1"/>
  <c r="DQ200" i="4" s="1"/>
  <c r="DQ199" i="4" s="1"/>
  <c r="DQ198" i="4" s="1"/>
  <c r="DQ197" i="4" s="1"/>
  <c r="DQ196" i="4" s="1"/>
  <c r="DQ195" i="4" s="1"/>
  <c r="DQ194" i="4" s="1"/>
  <c r="DQ193" i="4" s="1"/>
  <c r="DQ192" i="4" s="1"/>
  <c r="DQ191" i="4" s="1"/>
  <c r="DQ190" i="4" s="1"/>
  <c r="DQ189" i="4" s="1"/>
  <c r="DQ188" i="4" s="1"/>
  <c r="DQ187" i="4" s="1"/>
  <c r="DQ186" i="4" s="1"/>
  <c r="DQ185" i="4" s="1"/>
  <c r="DQ184" i="4" s="1"/>
  <c r="DQ183" i="4" s="1"/>
  <c r="DQ182" i="4" s="1"/>
  <c r="DQ181" i="4" s="1"/>
  <c r="DQ180" i="4" s="1"/>
  <c r="EK203" i="4"/>
  <c r="EK202" i="4" s="1"/>
  <c r="EK201" i="4" s="1"/>
  <c r="EK200" i="4" s="1"/>
  <c r="EK199" i="4" s="1"/>
  <c r="EK198" i="4" s="1"/>
  <c r="EK197" i="4" s="1"/>
  <c r="EK196" i="4" s="1"/>
  <c r="EK195" i="4" s="1"/>
  <c r="EK194" i="4" s="1"/>
  <c r="EK193" i="4" s="1"/>
  <c r="EK192" i="4" s="1"/>
  <c r="EK191" i="4" s="1"/>
  <c r="EK190" i="4" s="1"/>
  <c r="EK189" i="4" s="1"/>
  <c r="EK188" i="4" s="1"/>
  <c r="EK187" i="4" s="1"/>
  <c r="EK186" i="4" s="1"/>
  <c r="EK185" i="4" s="1"/>
  <c r="EK184" i="4" s="1"/>
  <c r="EK183" i="4" s="1"/>
  <c r="EK182" i="4" s="1"/>
  <c r="EK181" i="4" s="1"/>
  <c r="EK180" i="4" s="1"/>
  <c r="EK179" i="4" s="1"/>
  <c r="EK178" i="4" s="1"/>
  <c r="EK177" i="4" s="1"/>
  <c r="EK176" i="4" s="1"/>
  <c r="EK175" i="4" s="1"/>
  <c r="EK174" i="4" s="1"/>
  <c r="EK173" i="4" s="1"/>
  <c r="EK172" i="4" s="1"/>
  <c r="EK171" i="4" s="1"/>
  <c r="EK170" i="4" s="1"/>
  <c r="EK169" i="4" s="1"/>
  <c r="EK168" i="4" s="1"/>
  <c r="EK167" i="4" s="1"/>
  <c r="EK166" i="4" s="1"/>
  <c r="EK165" i="4" s="1"/>
  <c r="EK164" i="4" s="1"/>
  <c r="EK163" i="4" s="1"/>
  <c r="EK162" i="4" s="1"/>
  <c r="EK161" i="4" s="1"/>
  <c r="EK160" i="4" s="1"/>
  <c r="EK159" i="4" s="1"/>
  <c r="EK158" i="4" s="1"/>
  <c r="EK157" i="4" s="1"/>
  <c r="EK156" i="4" s="1"/>
  <c r="EK155" i="4" s="1"/>
  <c r="EK154" i="4" s="1"/>
  <c r="EK153" i="4" s="1"/>
  <c r="EK152" i="4" s="1"/>
  <c r="EK151" i="4" s="1"/>
  <c r="EK150" i="4" s="1"/>
  <c r="EK149" i="4" s="1"/>
  <c r="EK148" i="4" s="1"/>
  <c r="EK147" i="4" s="1"/>
  <c r="EK146" i="4" s="1"/>
  <c r="EK145" i="4" s="1"/>
  <c r="EK144" i="4" s="1"/>
  <c r="EK143" i="4" s="1"/>
  <c r="EK142" i="4" s="1"/>
  <c r="EK141" i="4" s="1"/>
  <c r="EK140" i="4" s="1"/>
  <c r="EK139" i="4" s="1"/>
  <c r="EK138" i="4" s="1"/>
  <c r="EK137" i="4" s="1"/>
  <c r="EK136" i="4" s="1"/>
  <c r="EK135" i="4" s="1"/>
  <c r="EK134" i="4" s="1"/>
  <c r="EK133" i="4" s="1"/>
  <c r="EK132" i="4" s="1"/>
  <c r="EK131" i="4" s="1"/>
  <c r="EK130" i="4" s="1"/>
  <c r="EK129" i="4" s="1"/>
  <c r="EK128" i="4" s="1"/>
  <c r="EK127" i="4" s="1"/>
  <c r="EK126" i="4" s="1"/>
  <c r="EK125" i="4" s="1"/>
  <c r="EK124" i="4" s="1"/>
  <c r="EK123" i="4" s="1"/>
  <c r="EK122" i="4" s="1"/>
  <c r="EK121" i="4" s="1"/>
  <c r="EK120" i="4" s="1"/>
  <c r="EK119" i="4" s="1"/>
  <c r="EK118" i="4" s="1"/>
  <c r="EK117" i="4" s="1"/>
  <c r="EK116" i="4" s="1"/>
  <c r="EK115" i="4" s="1"/>
  <c r="EK114" i="4" s="1"/>
  <c r="EK113" i="4" s="1"/>
  <c r="EK112" i="4" s="1"/>
  <c r="EK111" i="4" s="1"/>
  <c r="EK110" i="4" s="1"/>
  <c r="EK109" i="4" s="1"/>
  <c r="EK108" i="4" s="1"/>
  <c r="EK107" i="4" s="1"/>
  <c r="EK106" i="4" s="1"/>
  <c r="EO203" i="4"/>
  <c r="EO202" i="4" s="1"/>
  <c r="EO201" i="4" s="1"/>
  <c r="EO200" i="4" s="1"/>
  <c r="EO199" i="4" s="1"/>
  <c r="EO198" i="4" s="1"/>
  <c r="EO197" i="4" s="1"/>
  <c r="EO196" i="4" s="1"/>
  <c r="EO195" i="4" s="1"/>
  <c r="EO194" i="4" s="1"/>
  <c r="EO193" i="4" s="1"/>
  <c r="EO192" i="4" s="1"/>
  <c r="EO191" i="4" s="1"/>
  <c r="EO190" i="4" s="1"/>
  <c r="EO189" i="4" s="1"/>
  <c r="EO188" i="4" s="1"/>
  <c r="EO187" i="4" s="1"/>
  <c r="EO186" i="4" s="1"/>
  <c r="EO185" i="4" s="1"/>
  <c r="EO184" i="4" s="1"/>
  <c r="EO183" i="4" s="1"/>
  <c r="EO182" i="4" s="1"/>
  <c r="EO181" i="4" s="1"/>
  <c r="EO180" i="4" s="1"/>
  <c r="EO179" i="4" s="1"/>
  <c r="EO178" i="4" s="1"/>
  <c r="EO177" i="4" s="1"/>
  <c r="EO176" i="4" s="1"/>
  <c r="EO175" i="4" s="1"/>
  <c r="EO174" i="4" s="1"/>
  <c r="EO173" i="4" s="1"/>
  <c r="EO172" i="4" s="1"/>
  <c r="EO171" i="4" s="1"/>
  <c r="EO170" i="4" s="1"/>
  <c r="EO169" i="4" s="1"/>
  <c r="EO168" i="4" s="1"/>
  <c r="EO167" i="4" s="1"/>
  <c r="EO166" i="4" s="1"/>
  <c r="EO165" i="4" s="1"/>
  <c r="EO164" i="4" s="1"/>
  <c r="EO163" i="4" s="1"/>
  <c r="EO162" i="4" s="1"/>
  <c r="EO161" i="4" s="1"/>
  <c r="EO160" i="4" s="1"/>
  <c r="EO159" i="4" s="1"/>
  <c r="EO158" i="4" s="1"/>
  <c r="EO157" i="4" s="1"/>
  <c r="EO156" i="4" s="1"/>
  <c r="EO155" i="4" s="1"/>
  <c r="EO154" i="4" s="1"/>
  <c r="EO153" i="4" s="1"/>
  <c r="EO152" i="4" s="1"/>
  <c r="EO151" i="4" s="1"/>
  <c r="EO150" i="4" s="1"/>
  <c r="EO149" i="4" s="1"/>
  <c r="EO148" i="4" s="1"/>
  <c r="EO147" i="4" s="1"/>
  <c r="EO146" i="4" s="1"/>
  <c r="EO145" i="4" s="1"/>
  <c r="EO144" i="4" s="1"/>
  <c r="EO143" i="4" s="1"/>
  <c r="EO142" i="4" s="1"/>
  <c r="EO141" i="4" s="1"/>
  <c r="EO140" i="4" s="1"/>
  <c r="EO139" i="4" s="1"/>
  <c r="EO138" i="4" s="1"/>
  <c r="EO137" i="4" s="1"/>
  <c r="EO136" i="4" s="1"/>
  <c r="EO135" i="4" s="1"/>
  <c r="EO134" i="4" s="1"/>
  <c r="EO133" i="4" s="1"/>
  <c r="EO132" i="4" s="1"/>
  <c r="EO131" i="4" s="1"/>
  <c r="EO130" i="4" s="1"/>
  <c r="EO129" i="4" s="1"/>
  <c r="EO128" i="4" s="1"/>
  <c r="EO127" i="4" s="1"/>
  <c r="EO126" i="4" s="1"/>
  <c r="EO125" i="4" s="1"/>
  <c r="EO124" i="4" s="1"/>
  <c r="EO123" i="4" s="1"/>
  <c r="EO122" i="4" s="1"/>
  <c r="EO121" i="4" s="1"/>
  <c r="EO120" i="4" s="1"/>
  <c r="EO119" i="4" s="1"/>
  <c r="EO118" i="4" s="1"/>
  <c r="EO117" i="4" s="1"/>
  <c r="EO116" i="4" s="1"/>
  <c r="EO115" i="4" s="1"/>
  <c r="EO114" i="4" s="1"/>
  <c r="EO113" i="4" s="1"/>
  <c r="EO112" i="4" s="1"/>
  <c r="EO111" i="4" s="1"/>
  <c r="EO110" i="4" s="1"/>
  <c r="EO109" i="4" s="1"/>
  <c r="EO108" i="4" s="1"/>
  <c r="EO107" i="4" s="1"/>
  <c r="EO106" i="4" s="1"/>
  <c r="EO4" i="4" s="1"/>
  <c r="EW203" i="4"/>
  <c r="EW202" i="4" s="1"/>
  <c r="EW201" i="4" s="1"/>
  <c r="EW200" i="4" s="1"/>
  <c r="EW199" i="4" s="1"/>
  <c r="EW198" i="4" s="1"/>
  <c r="EW197" i="4" s="1"/>
  <c r="EW196" i="4" s="1"/>
  <c r="EW195" i="4" s="1"/>
  <c r="EW194" i="4" s="1"/>
  <c r="EW193" i="4" s="1"/>
  <c r="EW192" i="4" s="1"/>
  <c r="EW191" i="4" s="1"/>
  <c r="EW190" i="4" s="1"/>
  <c r="EW189" i="4" s="1"/>
  <c r="EW188" i="4" s="1"/>
  <c r="EW187" i="4" s="1"/>
  <c r="EW186" i="4" s="1"/>
  <c r="EW185" i="4" s="1"/>
  <c r="EW184" i="4" s="1"/>
  <c r="EW183" i="4" s="1"/>
  <c r="EW182" i="4" s="1"/>
  <c r="EW181" i="4" s="1"/>
  <c r="EW180" i="4" s="1"/>
  <c r="EW179" i="4" s="1"/>
  <c r="EW178" i="4" s="1"/>
  <c r="EW177" i="4" s="1"/>
  <c r="EW176" i="4" s="1"/>
  <c r="EW175" i="4" s="1"/>
  <c r="EW174" i="4" s="1"/>
  <c r="EW173" i="4" s="1"/>
  <c r="EW172" i="4" s="1"/>
  <c r="EW171" i="4" s="1"/>
  <c r="EW170" i="4" s="1"/>
  <c r="EW169" i="4" s="1"/>
  <c r="EW168" i="4" s="1"/>
  <c r="EW167" i="4" s="1"/>
  <c r="EW166" i="4" s="1"/>
  <c r="EW165" i="4" s="1"/>
  <c r="EW164" i="4" s="1"/>
  <c r="EW163" i="4" s="1"/>
  <c r="EW162" i="4" s="1"/>
  <c r="EW161" i="4" s="1"/>
  <c r="EW160" i="4" s="1"/>
  <c r="EW159" i="4" s="1"/>
  <c r="EW158" i="4" s="1"/>
  <c r="EW157" i="4" s="1"/>
  <c r="EW156" i="4" s="1"/>
  <c r="EW155" i="4" s="1"/>
  <c r="EW154" i="4" s="1"/>
  <c r="EW153" i="4" s="1"/>
  <c r="EW152" i="4" s="1"/>
  <c r="EW151" i="4" s="1"/>
  <c r="EW150" i="4" s="1"/>
  <c r="EW149" i="4" s="1"/>
  <c r="EW148" i="4" s="1"/>
  <c r="EW147" i="4" s="1"/>
  <c r="EW146" i="4" s="1"/>
  <c r="EW145" i="4" s="1"/>
  <c r="EW144" i="4" s="1"/>
  <c r="EW143" i="4" s="1"/>
  <c r="EW142" i="4" s="1"/>
  <c r="EW141" i="4" s="1"/>
  <c r="EW140" i="4" s="1"/>
  <c r="EW139" i="4" s="1"/>
  <c r="EW138" i="4" s="1"/>
  <c r="EW137" i="4" s="1"/>
  <c r="EW136" i="4" s="1"/>
  <c r="EW135" i="4" s="1"/>
  <c r="EW134" i="4" s="1"/>
  <c r="EW133" i="4" s="1"/>
  <c r="EW132" i="4" s="1"/>
  <c r="EW131" i="4" s="1"/>
  <c r="EW130" i="4" s="1"/>
  <c r="EW129" i="4" s="1"/>
  <c r="EW128" i="4" s="1"/>
  <c r="EW127" i="4" s="1"/>
  <c r="EW126" i="4" s="1"/>
  <c r="EW125" i="4" s="1"/>
  <c r="EW124" i="4" s="1"/>
  <c r="EW123" i="4" s="1"/>
  <c r="EW122" i="4" s="1"/>
  <c r="EW121" i="4" s="1"/>
  <c r="EW120" i="4" s="1"/>
  <c r="EW119" i="4" s="1"/>
  <c r="EW118" i="4" s="1"/>
  <c r="EW117" i="4" s="1"/>
  <c r="EW116" i="4" s="1"/>
  <c r="EW115" i="4" s="1"/>
  <c r="EW114" i="4" s="1"/>
  <c r="EW113" i="4" s="1"/>
  <c r="EW112" i="4" s="1"/>
  <c r="EW111" i="4" s="1"/>
  <c r="EW110" i="4" s="1"/>
  <c r="EW109" i="4" s="1"/>
  <c r="EW108" i="4" s="1"/>
  <c r="EW107" i="4" s="1"/>
  <c r="EW106" i="4" s="1"/>
  <c r="FA203" i="4"/>
  <c r="FA202" i="4" s="1"/>
  <c r="FA201" i="4" s="1"/>
  <c r="FA200" i="4" s="1"/>
  <c r="FA199" i="4" s="1"/>
  <c r="FA198" i="4" s="1"/>
  <c r="FA197" i="4" s="1"/>
  <c r="FA196" i="4" s="1"/>
  <c r="FA195" i="4" s="1"/>
  <c r="FA194" i="4" s="1"/>
  <c r="FA193" i="4" s="1"/>
  <c r="FA192" i="4" s="1"/>
  <c r="FA191" i="4" s="1"/>
  <c r="FA190" i="4" s="1"/>
  <c r="FA189" i="4" s="1"/>
  <c r="FA188" i="4" s="1"/>
  <c r="FA187" i="4" s="1"/>
  <c r="FA186" i="4" s="1"/>
  <c r="FA185" i="4" s="1"/>
  <c r="FA184" i="4" s="1"/>
  <c r="FA183" i="4" s="1"/>
  <c r="FA182" i="4" s="1"/>
  <c r="FA181" i="4" s="1"/>
  <c r="FA180" i="4" s="1"/>
  <c r="FA179" i="4" s="1"/>
  <c r="FA178" i="4" s="1"/>
  <c r="FA177" i="4" s="1"/>
  <c r="FA176" i="4" s="1"/>
  <c r="FA175" i="4" s="1"/>
  <c r="FA174" i="4" s="1"/>
  <c r="FA173" i="4" s="1"/>
  <c r="FA172" i="4" s="1"/>
  <c r="FA171" i="4" s="1"/>
  <c r="FA170" i="4" s="1"/>
  <c r="FA169" i="4" s="1"/>
  <c r="FA168" i="4" s="1"/>
  <c r="FA167" i="4" s="1"/>
  <c r="FA166" i="4" s="1"/>
  <c r="FA165" i="4" s="1"/>
  <c r="FA164" i="4" s="1"/>
  <c r="FA163" i="4" s="1"/>
  <c r="FA162" i="4" s="1"/>
  <c r="FA161" i="4" s="1"/>
  <c r="FA160" i="4" s="1"/>
  <c r="FA159" i="4" s="1"/>
  <c r="FA158" i="4" s="1"/>
  <c r="FA157" i="4" s="1"/>
  <c r="FA156" i="4" s="1"/>
  <c r="FA155" i="4" s="1"/>
  <c r="FA154" i="4" s="1"/>
  <c r="FA153" i="4" s="1"/>
  <c r="FA152" i="4" s="1"/>
  <c r="FA151" i="4" s="1"/>
  <c r="FA150" i="4" s="1"/>
  <c r="FA149" i="4" s="1"/>
  <c r="FA148" i="4" s="1"/>
  <c r="FA147" i="4" s="1"/>
  <c r="FA146" i="4" s="1"/>
  <c r="FA145" i="4" s="1"/>
  <c r="FA144" i="4" s="1"/>
  <c r="FA143" i="4" s="1"/>
  <c r="FA142" i="4" s="1"/>
  <c r="FA141" i="4" s="1"/>
  <c r="FA140" i="4" s="1"/>
  <c r="FA139" i="4" s="1"/>
  <c r="FA138" i="4" s="1"/>
  <c r="FA137" i="4" s="1"/>
  <c r="FA136" i="4" s="1"/>
  <c r="FA135" i="4" s="1"/>
  <c r="FA134" i="4" s="1"/>
  <c r="FA133" i="4" s="1"/>
  <c r="FA132" i="4" s="1"/>
  <c r="FA131" i="4" s="1"/>
  <c r="FA130" i="4" s="1"/>
  <c r="FA129" i="4" s="1"/>
  <c r="FA128" i="4" s="1"/>
  <c r="FA127" i="4" s="1"/>
  <c r="FA126" i="4" s="1"/>
  <c r="FA125" i="4" s="1"/>
  <c r="FA124" i="4" s="1"/>
  <c r="FA123" i="4" s="1"/>
  <c r="FA122" i="4" s="1"/>
  <c r="FA121" i="4" s="1"/>
  <c r="FA120" i="4" s="1"/>
  <c r="FA119" i="4" s="1"/>
  <c r="FA118" i="4" s="1"/>
  <c r="FA117" i="4" s="1"/>
  <c r="FA116" i="4" s="1"/>
  <c r="FA115" i="4" s="1"/>
  <c r="FA114" i="4" s="1"/>
  <c r="FA113" i="4" s="1"/>
  <c r="FA112" i="4" s="1"/>
  <c r="FA111" i="4" s="1"/>
  <c r="FA110" i="4" s="1"/>
  <c r="FA109" i="4" s="1"/>
  <c r="FA108" i="4" s="1"/>
  <c r="FA107" i="4" s="1"/>
  <c r="FA106" i="4" s="1"/>
  <c r="FA4" i="4" s="1"/>
  <c r="FI203" i="4"/>
  <c r="FI202" i="4" s="1"/>
  <c r="FI201" i="4" s="1"/>
  <c r="FI200" i="4" s="1"/>
  <c r="FI199" i="4" s="1"/>
  <c r="FI198" i="4" s="1"/>
  <c r="FI197" i="4" s="1"/>
  <c r="FI196" i="4" s="1"/>
  <c r="FI195" i="4" s="1"/>
  <c r="FI194" i="4" s="1"/>
  <c r="FI193" i="4" s="1"/>
  <c r="FI192" i="4" s="1"/>
  <c r="FI191" i="4" s="1"/>
  <c r="FI190" i="4" s="1"/>
  <c r="FI189" i="4" s="1"/>
  <c r="FI188" i="4" s="1"/>
  <c r="FI187" i="4" s="1"/>
  <c r="FI186" i="4" s="1"/>
  <c r="FI185" i="4" s="1"/>
  <c r="FI184" i="4" s="1"/>
  <c r="FI183" i="4" s="1"/>
  <c r="FI182" i="4" s="1"/>
  <c r="FI181" i="4" s="1"/>
  <c r="FI180" i="4" s="1"/>
  <c r="FM203" i="4"/>
  <c r="FM202" i="4" s="1"/>
  <c r="FM201" i="4" s="1"/>
  <c r="FM200" i="4" s="1"/>
  <c r="FM199" i="4" s="1"/>
  <c r="FM198" i="4" s="1"/>
  <c r="FM197" i="4" s="1"/>
  <c r="FM196" i="4" s="1"/>
  <c r="FM195" i="4" s="1"/>
  <c r="FM194" i="4" s="1"/>
  <c r="FM193" i="4" s="1"/>
  <c r="FM192" i="4" s="1"/>
  <c r="FM191" i="4" s="1"/>
  <c r="FM190" i="4" s="1"/>
  <c r="FM189" i="4" s="1"/>
  <c r="FM188" i="4" s="1"/>
  <c r="FM187" i="4" s="1"/>
  <c r="FM186" i="4" s="1"/>
  <c r="FM185" i="4" s="1"/>
  <c r="FM184" i="4" s="1"/>
  <c r="FM183" i="4" s="1"/>
  <c r="FM182" i="4" s="1"/>
  <c r="FM181" i="4" s="1"/>
  <c r="FM180" i="4" s="1"/>
  <c r="FM179" i="4" s="1"/>
  <c r="FM178" i="4" s="1"/>
  <c r="FM177" i="4" s="1"/>
  <c r="FM176" i="4" s="1"/>
  <c r="FM175" i="4" s="1"/>
  <c r="FM174" i="4" s="1"/>
  <c r="FM173" i="4" s="1"/>
  <c r="FM172" i="4" s="1"/>
  <c r="FM171" i="4" s="1"/>
  <c r="FM170" i="4" s="1"/>
  <c r="FM169" i="4" s="1"/>
  <c r="FM168" i="4" s="1"/>
  <c r="FM167" i="4" s="1"/>
  <c r="FM166" i="4" s="1"/>
  <c r="FM165" i="4" s="1"/>
  <c r="FM164" i="4" s="1"/>
  <c r="FM163" i="4" s="1"/>
  <c r="FM162" i="4" s="1"/>
  <c r="FM161" i="4" s="1"/>
  <c r="FM160" i="4" s="1"/>
  <c r="FM159" i="4" s="1"/>
  <c r="FM158" i="4" s="1"/>
  <c r="FM157" i="4" s="1"/>
  <c r="FM156" i="4" s="1"/>
  <c r="FM155" i="4" s="1"/>
  <c r="FM154" i="4" s="1"/>
  <c r="FM153" i="4" s="1"/>
  <c r="FM152" i="4" s="1"/>
  <c r="FM151" i="4" s="1"/>
  <c r="FM150" i="4" s="1"/>
  <c r="FM149" i="4" s="1"/>
  <c r="FM148" i="4" s="1"/>
  <c r="FM147" i="4" s="1"/>
  <c r="FM146" i="4" s="1"/>
  <c r="FM145" i="4" s="1"/>
  <c r="FM144" i="4" s="1"/>
  <c r="FM143" i="4" s="1"/>
  <c r="FM142" i="4" s="1"/>
  <c r="FM141" i="4" s="1"/>
  <c r="FM140" i="4" s="1"/>
  <c r="FM139" i="4" s="1"/>
  <c r="FM138" i="4" s="1"/>
  <c r="FM137" i="4" s="1"/>
  <c r="FM136" i="4" s="1"/>
  <c r="FM135" i="4" s="1"/>
  <c r="FM134" i="4" s="1"/>
  <c r="FM133" i="4" s="1"/>
  <c r="FM132" i="4" s="1"/>
  <c r="FM131" i="4" s="1"/>
  <c r="FM130" i="4" s="1"/>
  <c r="FM129" i="4" s="1"/>
  <c r="FM128" i="4" s="1"/>
  <c r="FM127" i="4" s="1"/>
  <c r="FM126" i="4" s="1"/>
  <c r="FM125" i="4" s="1"/>
  <c r="FM124" i="4" s="1"/>
  <c r="FM123" i="4" s="1"/>
  <c r="FM122" i="4" s="1"/>
  <c r="FM121" i="4" s="1"/>
  <c r="FM120" i="4" s="1"/>
  <c r="FM119" i="4" s="1"/>
  <c r="FM118" i="4" s="1"/>
  <c r="FM117" i="4" s="1"/>
  <c r="FM116" i="4" s="1"/>
  <c r="FM115" i="4" s="1"/>
  <c r="FM114" i="4" s="1"/>
  <c r="FM113" i="4" s="1"/>
  <c r="FM112" i="4" s="1"/>
  <c r="FM111" i="4" s="1"/>
  <c r="FM110" i="4" s="1"/>
  <c r="FM109" i="4" s="1"/>
  <c r="FM108" i="4" s="1"/>
  <c r="FM107" i="4" s="1"/>
  <c r="FM106" i="4" s="1"/>
  <c r="FM4" i="4" s="1"/>
  <c r="FU203" i="4"/>
  <c r="FU202" i="4" s="1"/>
  <c r="FU201" i="4" s="1"/>
  <c r="FU200" i="4" s="1"/>
  <c r="FU199" i="4" s="1"/>
  <c r="FU198" i="4" s="1"/>
  <c r="FU197" i="4" s="1"/>
  <c r="FU196" i="4" s="1"/>
  <c r="FU195" i="4" s="1"/>
  <c r="FU194" i="4" s="1"/>
  <c r="FU193" i="4" s="1"/>
  <c r="FU192" i="4" s="1"/>
  <c r="FU191" i="4" s="1"/>
  <c r="FU190" i="4" s="1"/>
  <c r="FU189" i="4" s="1"/>
  <c r="FU188" i="4" s="1"/>
  <c r="FU187" i="4" s="1"/>
  <c r="FU186" i="4" s="1"/>
  <c r="FU185" i="4" s="1"/>
  <c r="FU184" i="4" s="1"/>
  <c r="FU183" i="4" s="1"/>
  <c r="FU182" i="4" s="1"/>
  <c r="FU181" i="4" s="1"/>
  <c r="FU180" i="4" s="1"/>
  <c r="FU179" i="4" s="1"/>
  <c r="FU178" i="4" s="1"/>
  <c r="FU177" i="4" s="1"/>
  <c r="FU176" i="4" s="1"/>
  <c r="FU175" i="4" s="1"/>
  <c r="FU174" i="4" s="1"/>
  <c r="FU173" i="4" s="1"/>
  <c r="FU172" i="4" s="1"/>
  <c r="FU171" i="4" s="1"/>
  <c r="FU170" i="4" s="1"/>
  <c r="FU169" i="4" s="1"/>
  <c r="FU168" i="4" s="1"/>
  <c r="FU167" i="4" s="1"/>
  <c r="FU166" i="4" s="1"/>
  <c r="FU165" i="4" s="1"/>
  <c r="FU164" i="4" s="1"/>
  <c r="FU163" i="4" s="1"/>
  <c r="FU162" i="4" s="1"/>
  <c r="FU161" i="4" s="1"/>
  <c r="FU160" i="4" s="1"/>
  <c r="FU159" i="4" s="1"/>
  <c r="FU158" i="4" s="1"/>
  <c r="FU157" i="4" s="1"/>
  <c r="FU156" i="4" s="1"/>
  <c r="FU155" i="4" s="1"/>
  <c r="FU154" i="4" s="1"/>
  <c r="FU153" i="4" s="1"/>
  <c r="FU152" i="4" s="1"/>
  <c r="FU151" i="4" s="1"/>
  <c r="FU150" i="4" s="1"/>
  <c r="FU149" i="4" s="1"/>
  <c r="FU148" i="4" s="1"/>
  <c r="FU147" i="4" s="1"/>
  <c r="FU146" i="4" s="1"/>
  <c r="FU145" i="4" s="1"/>
  <c r="FU144" i="4" s="1"/>
  <c r="FU143" i="4" s="1"/>
  <c r="FU142" i="4" s="1"/>
  <c r="FU141" i="4" s="1"/>
  <c r="FU140" i="4" s="1"/>
  <c r="FU139" i="4" s="1"/>
  <c r="FU138" i="4" s="1"/>
  <c r="FU137" i="4" s="1"/>
  <c r="FU136" i="4" s="1"/>
  <c r="FU135" i="4" s="1"/>
  <c r="FU134" i="4" s="1"/>
  <c r="FU133" i="4" s="1"/>
  <c r="FU132" i="4" s="1"/>
  <c r="FU131" i="4" s="1"/>
  <c r="FU130" i="4" s="1"/>
  <c r="FU129" i="4" s="1"/>
  <c r="FU128" i="4" s="1"/>
  <c r="FU127" i="4" s="1"/>
  <c r="FU126" i="4" s="1"/>
  <c r="FU125" i="4" s="1"/>
  <c r="FU124" i="4" s="1"/>
  <c r="FU123" i="4" s="1"/>
  <c r="FU122" i="4" s="1"/>
  <c r="FU121" i="4" s="1"/>
  <c r="FU120" i="4" s="1"/>
  <c r="FU119" i="4" s="1"/>
  <c r="FU118" i="4" s="1"/>
  <c r="FU117" i="4" s="1"/>
  <c r="FU116" i="4" s="1"/>
  <c r="FU115" i="4" s="1"/>
  <c r="FU114" i="4" s="1"/>
  <c r="FU113" i="4" s="1"/>
  <c r="FU112" i="4" s="1"/>
  <c r="FU111" i="4" s="1"/>
  <c r="FU110" i="4" s="1"/>
  <c r="FU109" i="4" s="1"/>
  <c r="FU108" i="4" s="1"/>
  <c r="FU107" i="4" s="1"/>
  <c r="FU106" i="4" s="1"/>
  <c r="FY203" i="4"/>
  <c r="FY202" i="4" s="1"/>
  <c r="FY201" i="4" s="1"/>
  <c r="FY200" i="4" s="1"/>
  <c r="FY199" i="4" s="1"/>
  <c r="FY198" i="4" s="1"/>
  <c r="FY197" i="4" s="1"/>
  <c r="FY196" i="4" s="1"/>
  <c r="FY195" i="4" s="1"/>
  <c r="FY194" i="4" s="1"/>
  <c r="FY193" i="4" s="1"/>
  <c r="FY192" i="4" s="1"/>
  <c r="FY191" i="4" s="1"/>
  <c r="FY190" i="4" s="1"/>
  <c r="FY189" i="4" s="1"/>
  <c r="FY188" i="4" s="1"/>
  <c r="FY187" i="4" s="1"/>
  <c r="FY186" i="4" s="1"/>
  <c r="FY185" i="4" s="1"/>
  <c r="FY184" i="4" s="1"/>
  <c r="FY183" i="4" s="1"/>
  <c r="FY182" i="4" s="1"/>
  <c r="FY181" i="4" s="1"/>
  <c r="FY180" i="4" s="1"/>
  <c r="FY179" i="4" s="1"/>
  <c r="FY178" i="4" s="1"/>
  <c r="FY177" i="4" s="1"/>
  <c r="FY176" i="4" s="1"/>
  <c r="FY175" i="4" s="1"/>
  <c r="FY174" i="4" s="1"/>
  <c r="FY173" i="4" s="1"/>
  <c r="FY172" i="4" s="1"/>
  <c r="FY171" i="4" s="1"/>
  <c r="FY170" i="4" s="1"/>
  <c r="FY169" i="4" s="1"/>
  <c r="FY168" i="4" s="1"/>
  <c r="FY167" i="4" s="1"/>
  <c r="FY166" i="4" s="1"/>
  <c r="FY165" i="4" s="1"/>
  <c r="FY164" i="4" s="1"/>
  <c r="FY163" i="4" s="1"/>
  <c r="FY162" i="4" s="1"/>
  <c r="FY161" i="4" s="1"/>
  <c r="FY160" i="4" s="1"/>
  <c r="FY159" i="4" s="1"/>
  <c r="FY158" i="4" s="1"/>
  <c r="FY157" i="4" s="1"/>
  <c r="FY156" i="4" s="1"/>
  <c r="FY155" i="4" s="1"/>
  <c r="FY154" i="4" s="1"/>
  <c r="FY153" i="4" s="1"/>
  <c r="FY152" i="4" s="1"/>
  <c r="FY151" i="4" s="1"/>
  <c r="FY150" i="4" s="1"/>
  <c r="FY149" i="4" s="1"/>
  <c r="FY148" i="4" s="1"/>
  <c r="FY147" i="4" s="1"/>
  <c r="FY146" i="4" s="1"/>
  <c r="FY145" i="4" s="1"/>
  <c r="FY144" i="4" s="1"/>
  <c r="FY143" i="4" s="1"/>
  <c r="FY142" i="4" s="1"/>
  <c r="FY141" i="4" s="1"/>
  <c r="FY140" i="4" s="1"/>
  <c r="FY139" i="4" s="1"/>
  <c r="FY138" i="4" s="1"/>
  <c r="FY137" i="4" s="1"/>
  <c r="FY136" i="4" s="1"/>
  <c r="FY135" i="4" s="1"/>
  <c r="FY134" i="4" s="1"/>
  <c r="FY133" i="4" s="1"/>
  <c r="FY132" i="4" s="1"/>
  <c r="FY131" i="4" s="1"/>
  <c r="FY130" i="4" s="1"/>
  <c r="FY129" i="4" s="1"/>
  <c r="FY128" i="4" s="1"/>
  <c r="FY127" i="4" s="1"/>
  <c r="FY126" i="4" s="1"/>
  <c r="FY125" i="4" s="1"/>
  <c r="FY124" i="4" s="1"/>
  <c r="FY123" i="4" s="1"/>
  <c r="FY122" i="4" s="1"/>
  <c r="FY121" i="4" s="1"/>
  <c r="FY120" i="4" s="1"/>
  <c r="FY119" i="4" s="1"/>
  <c r="FY118" i="4" s="1"/>
  <c r="FY117" i="4" s="1"/>
  <c r="FY116" i="4" s="1"/>
  <c r="FY115" i="4" s="1"/>
  <c r="FY114" i="4" s="1"/>
  <c r="FY113" i="4" s="1"/>
  <c r="FY112" i="4" s="1"/>
  <c r="FY111" i="4" s="1"/>
  <c r="FY110" i="4" s="1"/>
  <c r="FY109" i="4" s="1"/>
  <c r="FY108" i="4" s="1"/>
  <c r="FY107" i="4" s="1"/>
  <c r="FY106" i="4" s="1"/>
  <c r="FY4" i="4" s="1"/>
  <c r="GG203" i="4"/>
  <c r="GG202" i="4" s="1"/>
  <c r="GG201" i="4" s="1"/>
  <c r="GG200" i="4" s="1"/>
  <c r="GG199" i="4" s="1"/>
  <c r="GG198" i="4" s="1"/>
  <c r="GG197" i="4" s="1"/>
  <c r="GG196" i="4" s="1"/>
  <c r="GG195" i="4" s="1"/>
  <c r="GG194" i="4" s="1"/>
  <c r="GG193" i="4" s="1"/>
  <c r="GG192" i="4" s="1"/>
  <c r="GG191" i="4" s="1"/>
  <c r="GG190" i="4" s="1"/>
  <c r="GG189" i="4" s="1"/>
  <c r="GG188" i="4" s="1"/>
  <c r="GG187" i="4" s="1"/>
  <c r="GG186" i="4" s="1"/>
  <c r="GG185" i="4" s="1"/>
  <c r="GG184" i="4" s="1"/>
  <c r="GG183" i="4" s="1"/>
  <c r="GG182" i="4" s="1"/>
  <c r="GG181" i="4" s="1"/>
  <c r="GG180" i="4" s="1"/>
  <c r="GK203" i="4"/>
  <c r="GK202" i="4" s="1"/>
  <c r="GK201" i="4" s="1"/>
  <c r="GK200" i="4" s="1"/>
  <c r="GK199" i="4" s="1"/>
  <c r="GK198" i="4" s="1"/>
  <c r="GK197" i="4" s="1"/>
  <c r="GK196" i="4" s="1"/>
  <c r="GK195" i="4" s="1"/>
  <c r="GK194" i="4" s="1"/>
  <c r="GK193" i="4" s="1"/>
  <c r="GK192" i="4" s="1"/>
  <c r="GK191" i="4" s="1"/>
  <c r="GK190" i="4" s="1"/>
  <c r="GK189" i="4" s="1"/>
  <c r="GK188" i="4" s="1"/>
  <c r="GK187" i="4" s="1"/>
  <c r="GK186" i="4" s="1"/>
  <c r="GK185" i="4" s="1"/>
  <c r="GK184" i="4" s="1"/>
  <c r="GK183" i="4" s="1"/>
  <c r="GK182" i="4" s="1"/>
  <c r="GK181" i="4" s="1"/>
  <c r="GK180" i="4" s="1"/>
  <c r="GK179" i="4" s="1"/>
  <c r="GK178" i="4" s="1"/>
  <c r="GK177" i="4" s="1"/>
  <c r="GK176" i="4" s="1"/>
  <c r="GK175" i="4" s="1"/>
  <c r="GK174" i="4" s="1"/>
  <c r="GK173" i="4" s="1"/>
  <c r="GK172" i="4" s="1"/>
  <c r="GK171" i="4" s="1"/>
  <c r="GK170" i="4" s="1"/>
  <c r="GK169" i="4" s="1"/>
  <c r="GK168" i="4" s="1"/>
  <c r="GK167" i="4" s="1"/>
  <c r="GK166" i="4" s="1"/>
  <c r="GK165" i="4" s="1"/>
  <c r="GK164" i="4" s="1"/>
  <c r="GK163" i="4" s="1"/>
  <c r="GK162" i="4" s="1"/>
  <c r="GK161" i="4" s="1"/>
  <c r="GK160" i="4" s="1"/>
  <c r="GK159" i="4" s="1"/>
  <c r="GK158" i="4" s="1"/>
  <c r="GK157" i="4" s="1"/>
  <c r="GK156" i="4" s="1"/>
  <c r="GK155" i="4" s="1"/>
  <c r="GK154" i="4" s="1"/>
  <c r="GK153" i="4" s="1"/>
  <c r="GK152" i="4" s="1"/>
  <c r="GK151" i="4" s="1"/>
  <c r="GK150" i="4" s="1"/>
  <c r="GK149" i="4" s="1"/>
  <c r="GK148" i="4" s="1"/>
  <c r="GK147" i="4" s="1"/>
  <c r="GK146" i="4" s="1"/>
  <c r="GK145" i="4" s="1"/>
  <c r="GK144" i="4" s="1"/>
  <c r="GK143" i="4" s="1"/>
  <c r="GK142" i="4" s="1"/>
  <c r="GK141" i="4" s="1"/>
  <c r="GK140" i="4" s="1"/>
  <c r="GK139" i="4" s="1"/>
  <c r="GK138" i="4" s="1"/>
  <c r="GK137" i="4" s="1"/>
  <c r="GK136" i="4" s="1"/>
  <c r="GK135" i="4" s="1"/>
  <c r="GK134" i="4" s="1"/>
  <c r="GK133" i="4" s="1"/>
  <c r="GK132" i="4" s="1"/>
  <c r="GK131" i="4" s="1"/>
  <c r="GK130" i="4" s="1"/>
  <c r="GK129" i="4" s="1"/>
  <c r="GK128" i="4" s="1"/>
  <c r="GK127" i="4" s="1"/>
  <c r="GK126" i="4" s="1"/>
  <c r="GK125" i="4" s="1"/>
  <c r="GK124" i="4" s="1"/>
  <c r="GK123" i="4" s="1"/>
  <c r="GK122" i="4" s="1"/>
  <c r="GK121" i="4" s="1"/>
  <c r="GK120" i="4" s="1"/>
  <c r="GK119" i="4" s="1"/>
  <c r="GK118" i="4" s="1"/>
  <c r="GK117" i="4" s="1"/>
  <c r="GK116" i="4" s="1"/>
  <c r="GK115" i="4" s="1"/>
  <c r="GK114" i="4" s="1"/>
  <c r="GK113" i="4" s="1"/>
  <c r="GK112" i="4" s="1"/>
  <c r="GK111" i="4" s="1"/>
  <c r="GK110" i="4" s="1"/>
  <c r="GK109" i="4" s="1"/>
  <c r="GK108" i="4" s="1"/>
  <c r="GK107" i="4" s="1"/>
  <c r="GK106" i="4" s="1"/>
  <c r="GK4" i="4" s="1"/>
  <c r="GS203" i="4"/>
  <c r="GS202" i="4" s="1"/>
  <c r="GS201" i="4" s="1"/>
  <c r="GS200" i="4" s="1"/>
  <c r="GS199" i="4" s="1"/>
  <c r="GS198" i="4" s="1"/>
  <c r="GS197" i="4" s="1"/>
  <c r="GS196" i="4" s="1"/>
  <c r="GS195" i="4" s="1"/>
  <c r="GS194" i="4" s="1"/>
  <c r="GS193" i="4" s="1"/>
  <c r="GS192" i="4" s="1"/>
  <c r="GS191" i="4" s="1"/>
  <c r="GS190" i="4" s="1"/>
  <c r="GS189" i="4" s="1"/>
  <c r="GS188" i="4" s="1"/>
  <c r="GS187" i="4" s="1"/>
  <c r="GS186" i="4" s="1"/>
  <c r="GS185" i="4" s="1"/>
  <c r="GS184" i="4" s="1"/>
  <c r="GS183" i="4" s="1"/>
  <c r="GS182" i="4" s="1"/>
  <c r="GS181" i="4" s="1"/>
  <c r="GS180" i="4" s="1"/>
  <c r="GS179" i="4" s="1"/>
  <c r="GS178" i="4" s="1"/>
  <c r="GS177" i="4" s="1"/>
  <c r="GS176" i="4" s="1"/>
  <c r="GS175" i="4" s="1"/>
  <c r="GS174" i="4" s="1"/>
  <c r="GS173" i="4" s="1"/>
  <c r="GS172" i="4" s="1"/>
  <c r="GS171" i="4" s="1"/>
  <c r="GS170" i="4" s="1"/>
  <c r="GS169" i="4" s="1"/>
  <c r="GS168" i="4" s="1"/>
  <c r="GS167" i="4" s="1"/>
  <c r="GS166" i="4" s="1"/>
  <c r="GS165" i="4" s="1"/>
  <c r="GS164" i="4" s="1"/>
  <c r="GS163" i="4" s="1"/>
  <c r="GS162" i="4" s="1"/>
  <c r="GS161" i="4" s="1"/>
  <c r="GS160" i="4" s="1"/>
  <c r="GS159" i="4" s="1"/>
  <c r="GS158" i="4" s="1"/>
  <c r="GS157" i="4" s="1"/>
  <c r="GS156" i="4" s="1"/>
  <c r="GS155" i="4" s="1"/>
  <c r="GS154" i="4" s="1"/>
  <c r="GS153" i="4" s="1"/>
  <c r="GS152" i="4" s="1"/>
  <c r="GS151" i="4" s="1"/>
  <c r="GS150" i="4" s="1"/>
  <c r="GS149" i="4" s="1"/>
  <c r="GS148" i="4" s="1"/>
  <c r="GS147" i="4" s="1"/>
  <c r="GS146" i="4" s="1"/>
  <c r="GS145" i="4" s="1"/>
  <c r="GS144" i="4" s="1"/>
  <c r="GS143" i="4" s="1"/>
  <c r="GS142" i="4" s="1"/>
  <c r="GS141" i="4" s="1"/>
  <c r="GS140" i="4" s="1"/>
  <c r="GS139" i="4" s="1"/>
  <c r="GS138" i="4" s="1"/>
  <c r="GS137" i="4" s="1"/>
  <c r="GS136" i="4" s="1"/>
  <c r="GS135" i="4" s="1"/>
  <c r="GS134" i="4" s="1"/>
  <c r="GS133" i="4" s="1"/>
  <c r="GS132" i="4" s="1"/>
  <c r="GS131" i="4" s="1"/>
  <c r="GS130" i="4" s="1"/>
  <c r="GS129" i="4" s="1"/>
  <c r="GS128" i="4" s="1"/>
  <c r="GS127" i="4" s="1"/>
  <c r="GS126" i="4" s="1"/>
  <c r="GS125" i="4" s="1"/>
  <c r="GS124" i="4" s="1"/>
  <c r="GS123" i="4" s="1"/>
  <c r="GS122" i="4" s="1"/>
  <c r="GS121" i="4" s="1"/>
  <c r="GS120" i="4" s="1"/>
  <c r="GS119" i="4" s="1"/>
  <c r="GS118" i="4" s="1"/>
  <c r="GS117" i="4" s="1"/>
  <c r="GS116" i="4" s="1"/>
  <c r="GS115" i="4" s="1"/>
  <c r="GS114" i="4" s="1"/>
  <c r="GS113" i="4" s="1"/>
  <c r="GS112" i="4" s="1"/>
  <c r="GS111" i="4" s="1"/>
  <c r="GS110" i="4" s="1"/>
  <c r="GS109" i="4" s="1"/>
  <c r="GS108" i="4" s="1"/>
  <c r="GS107" i="4" s="1"/>
  <c r="GS106" i="4" s="1"/>
  <c r="G160" i="4"/>
  <c r="G159" i="4" s="1"/>
  <c r="G158" i="4" s="1"/>
  <c r="G157" i="4" s="1"/>
  <c r="G156" i="4" s="1"/>
  <c r="G155" i="4" s="1"/>
  <c r="G154" i="4" s="1"/>
  <c r="G153" i="4" s="1"/>
  <c r="G152" i="4" s="1"/>
  <c r="G151" i="4" s="1"/>
  <c r="G150" i="4" s="1"/>
  <c r="G149" i="4" s="1"/>
  <c r="G148" i="4" s="1"/>
  <c r="G147" i="4" s="1"/>
  <c r="G146" i="4" s="1"/>
  <c r="G145" i="4" s="1"/>
  <c r="G144" i="4" s="1"/>
  <c r="G143" i="4" s="1"/>
  <c r="G142" i="4" s="1"/>
  <c r="G141" i="4" s="1"/>
  <c r="G140" i="4" s="1"/>
  <c r="G139" i="4" s="1"/>
  <c r="G138" i="4" s="1"/>
  <c r="G137" i="4" s="1"/>
  <c r="G136" i="4" s="1"/>
  <c r="G135" i="4" s="1"/>
  <c r="G134" i="4" s="1"/>
  <c r="G133" i="4" s="1"/>
  <c r="G132" i="4" s="1"/>
  <c r="G131" i="4" s="1"/>
  <c r="G130" i="4" s="1"/>
  <c r="G129" i="4" s="1"/>
  <c r="G128" i="4" s="1"/>
  <c r="G127" i="4" s="1"/>
  <c r="G126" i="4" s="1"/>
  <c r="G125" i="4" s="1"/>
  <c r="G124" i="4" s="1"/>
  <c r="G123" i="4" s="1"/>
  <c r="G122" i="4" s="1"/>
  <c r="G121" i="4" s="1"/>
  <c r="G120" i="4" s="1"/>
  <c r="G119" i="4" s="1"/>
  <c r="G118" i="4" s="1"/>
  <c r="G117" i="4" s="1"/>
  <c r="G116" i="4" s="1"/>
  <c r="G115" i="4" s="1"/>
  <c r="G114" i="4" s="1"/>
  <c r="G113" i="4" s="1"/>
  <c r="G112" i="4" s="1"/>
  <c r="G111" i="4" s="1"/>
  <c r="G110" i="4" s="1"/>
  <c r="G109" i="4" s="1"/>
  <c r="G108" i="4" s="1"/>
  <c r="G107" i="4" s="1"/>
  <c r="AM151" i="4"/>
  <c r="AM150" i="4" s="1"/>
  <c r="AM149" i="4" s="1"/>
  <c r="AM148" i="4" s="1"/>
  <c r="AM147" i="4" s="1"/>
  <c r="AM146" i="4" s="1"/>
  <c r="AM145" i="4" s="1"/>
  <c r="AM144" i="4" s="1"/>
  <c r="AM143" i="4" s="1"/>
  <c r="AM142" i="4" s="1"/>
  <c r="AM141" i="4" s="1"/>
  <c r="AM140" i="4" s="1"/>
  <c r="AM139" i="4" s="1"/>
  <c r="AM138" i="4" s="1"/>
  <c r="AM137" i="4" s="1"/>
  <c r="AM136" i="4" s="1"/>
  <c r="AM135" i="4" s="1"/>
  <c r="AM134" i="4" s="1"/>
  <c r="AM133" i="4" s="1"/>
  <c r="AM132" i="4" s="1"/>
  <c r="AM131" i="4" s="1"/>
  <c r="AM130" i="4" s="1"/>
  <c r="AM129" i="4" s="1"/>
  <c r="AM128" i="4" s="1"/>
  <c r="AM127" i="4" s="1"/>
  <c r="AM126" i="4" s="1"/>
  <c r="AM125" i="4" s="1"/>
  <c r="AM124" i="4" s="1"/>
  <c r="AM123" i="4" s="1"/>
  <c r="AM122" i="4" s="1"/>
  <c r="AM121" i="4" s="1"/>
  <c r="AM120" i="4" s="1"/>
  <c r="AM119" i="4" s="1"/>
  <c r="AM118" i="4" s="1"/>
  <c r="AM117" i="4" s="1"/>
  <c r="AM116" i="4" s="1"/>
  <c r="AM115" i="4" s="1"/>
  <c r="AM114" i="4" s="1"/>
  <c r="AM113" i="4" s="1"/>
  <c r="AM112" i="4" s="1"/>
  <c r="AM111" i="4" s="1"/>
  <c r="AM110" i="4" s="1"/>
  <c r="AM109" i="4" s="1"/>
  <c r="AM108" i="4" s="1"/>
  <c r="AM107" i="4" s="1"/>
  <c r="AM106" i="4" s="1"/>
  <c r="AI151" i="4"/>
  <c r="AI150" i="4" s="1"/>
  <c r="AI149" i="4" s="1"/>
  <c r="AI148" i="4" s="1"/>
  <c r="AI147" i="4" s="1"/>
  <c r="AI146" i="4" s="1"/>
  <c r="AI145" i="4" s="1"/>
  <c r="AI144" i="4" s="1"/>
  <c r="AI143" i="4" s="1"/>
  <c r="AI142" i="4" s="1"/>
  <c r="AI141" i="4" s="1"/>
  <c r="AI140" i="4" s="1"/>
  <c r="AI139" i="4" s="1"/>
  <c r="AI138" i="4" s="1"/>
  <c r="AI137" i="4" s="1"/>
  <c r="AI136" i="4" s="1"/>
  <c r="AI135" i="4" s="1"/>
  <c r="AI134" i="4" s="1"/>
  <c r="AI133" i="4" s="1"/>
  <c r="AI132" i="4" s="1"/>
  <c r="AI131" i="4" s="1"/>
  <c r="AI130" i="4" s="1"/>
  <c r="AI129" i="4" s="1"/>
  <c r="AI128" i="4" s="1"/>
  <c r="AI127" i="4" s="1"/>
  <c r="AI126" i="4" s="1"/>
  <c r="AI125" i="4" s="1"/>
  <c r="AI124" i="4" s="1"/>
  <c r="AI123" i="4" s="1"/>
  <c r="AI122" i="4" s="1"/>
  <c r="AI121" i="4" s="1"/>
  <c r="AI120" i="4" s="1"/>
  <c r="AI119" i="4" s="1"/>
  <c r="AI118" i="4" s="1"/>
  <c r="AI117" i="4" s="1"/>
  <c r="AI116" i="4" s="1"/>
  <c r="AI115" i="4" s="1"/>
  <c r="AI114" i="4" s="1"/>
  <c r="AI113" i="4" s="1"/>
  <c r="AI112" i="4" s="1"/>
  <c r="AI111" i="4" s="1"/>
  <c r="AI110" i="4" s="1"/>
  <c r="AI109" i="4" s="1"/>
  <c r="AI108" i="4" s="1"/>
  <c r="AI107" i="4" s="1"/>
  <c r="AI106" i="4" s="1"/>
  <c r="AI4" i="4" s="1"/>
  <c r="AL151" i="4"/>
  <c r="AL150" i="4" s="1"/>
  <c r="AL149" i="4" s="1"/>
  <c r="AL148" i="4" s="1"/>
  <c r="AL147" i="4" s="1"/>
  <c r="AL146" i="4" s="1"/>
  <c r="AL145" i="4" s="1"/>
  <c r="AL144" i="4" s="1"/>
  <c r="AL143" i="4" s="1"/>
  <c r="AL142" i="4" s="1"/>
  <c r="AL141" i="4" s="1"/>
  <c r="AL140" i="4" s="1"/>
  <c r="AL139" i="4" s="1"/>
  <c r="AL138" i="4" s="1"/>
  <c r="AL137" i="4" s="1"/>
  <c r="AL136" i="4" s="1"/>
  <c r="AL135" i="4" s="1"/>
  <c r="AL134" i="4" s="1"/>
  <c r="AL133" i="4" s="1"/>
  <c r="AL132" i="4" s="1"/>
  <c r="AL131" i="4" s="1"/>
  <c r="AL130" i="4" s="1"/>
  <c r="AL129" i="4" s="1"/>
  <c r="AL128" i="4" s="1"/>
  <c r="AL127" i="4" s="1"/>
  <c r="AL126" i="4" s="1"/>
  <c r="AL125" i="4" s="1"/>
  <c r="AL124" i="4" s="1"/>
  <c r="AL123" i="4" s="1"/>
  <c r="AL122" i="4" s="1"/>
  <c r="AL121" i="4" s="1"/>
  <c r="AL120" i="4" s="1"/>
  <c r="AL119" i="4" s="1"/>
  <c r="AL118" i="4" s="1"/>
  <c r="AL117" i="4" s="1"/>
  <c r="AL116" i="4" s="1"/>
  <c r="AL115" i="4" s="1"/>
  <c r="AL114" i="4" s="1"/>
  <c r="AL113" i="4" s="1"/>
  <c r="AL112" i="4" s="1"/>
  <c r="AL111" i="4" s="1"/>
  <c r="AL110" i="4" s="1"/>
  <c r="AL109" i="4" s="1"/>
  <c r="AL108" i="4" s="1"/>
  <c r="AL107" i="4" s="1"/>
  <c r="AL106" i="4" s="1"/>
  <c r="S195" i="4"/>
  <c r="S194" i="4" s="1"/>
  <c r="S193" i="4" s="1"/>
  <c r="S192" i="4" s="1"/>
  <c r="S191" i="4" s="1"/>
  <c r="S190" i="4" s="1"/>
  <c r="S189" i="4" s="1"/>
  <c r="S188" i="4" s="1"/>
  <c r="S187" i="4" s="1"/>
  <c r="S186" i="4" s="1"/>
  <c r="S185" i="4" s="1"/>
  <c r="S184" i="4" s="1"/>
  <c r="S183" i="4" s="1"/>
  <c r="S182" i="4" s="1"/>
  <c r="S181" i="4" s="1"/>
  <c r="S180" i="4" s="1"/>
  <c r="S179" i="4" s="1"/>
  <c r="S178" i="4" s="1"/>
  <c r="S177" i="4" s="1"/>
  <c r="S176" i="4" s="1"/>
  <c r="S175" i="4" s="1"/>
  <c r="S174" i="4" s="1"/>
  <c r="S173" i="4" s="1"/>
  <c r="S172" i="4" s="1"/>
  <c r="S171" i="4" s="1"/>
  <c r="S170" i="4" s="1"/>
  <c r="S169" i="4" s="1"/>
  <c r="S168" i="4" s="1"/>
  <c r="S167" i="4" s="1"/>
  <c r="S166" i="4" s="1"/>
  <c r="S165" i="4" s="1"/>
  <c r="S164" i="4" s="1"/>
  <c r="S163" i="4" s="1"/>
  <c r="S162" i="4" s="1"/>
  <c r="S161" i="4" s="1"/>
  <c r="S160" i="4" s="1"/>
  <c r="S159" i="4" s="1"/>
  <c r="S158" i="4" s="1"/>
  <c r="S157" i="4" s="1"/>
  <c r="S156" i="4" s="1"/>
  <c r="S155" i="4" s="1"/>
  <c r="S154" i="4" s="1"/>
  <c r="S153" i="4" s="1"/>
  <c r="S152" i="4" s="1"/>
  <c r="S151" i="4" s="1"/>
  <c r="S150" i="4" s="1"/>
  <c r="S149" i="4" s="1"/>
  <c r="S148" i="4" s="1"/>
  <c r="S147" i="4" s="1"/>
  <c r="S146" i="4" s="1"/>
  <c r="S145" i="4" s="1"/>
  <c r="S144" i="4" s="1"/>
  <c r="S143" i="4" s="1"/>
  <c r="S142" i="4" s="1"/>
  <c r="S141" i="4" s="1"/>
  <c r="S140" i="4" s="1"/>
  <c r="S139" i="4" s="1"/>
  <c r="S138" i="4" s="1"/>
  <c r="S137" i="4" s="1"/>
  <c r="S136" i="4" s="1"/>
  <c r="S135" i="4" s="1"/>
  <c r="S134" i="4" s="1"/>
  <c r="S133" i="4" s="1"/>
  <c r="S132" i="4" s="1"/>
  <c r="S131" i="4" s="1"/>
  <c r="S130" i="4" s="1"/>
  <c r="S129" i="4" s="1"/>
  <c r="S128" i="4" s="1"/>
  <c r="S127" i="4" s="1"/>
  <c r="S126" i="4" s="1"/>
  <c r="S125" i="4" s="1"/>
  <c r="S124" i="4" s="1"/>
  <c r="S123" i="4" s="1"/>
  <c r="S122" i="4" s="1"/>
  <c r="S121" i="4" s="1"/>
  <c r="S120" i="4" s="1"/>
  <c r="S119" i="4" s="1"/>
  <c r="S118" i="4" s="1"/>
  <c r="S117" i="4" s="1"/>
  <c r="S116" i="4" s="1"/>
  <c r="S115" i="4" s="1"/>
  <c r="S114" i="4" s="1"/>
  <c r="S113" i="4" s="1"/>
  <c r="S112" i="4" s="1"/>
  <c r="S111" i="4" s="1"/>
  <c r="S110" i="4" s="1"/>
  <c r="S109" i="4" s="1"/>
  <c r="S108" i="4" s="1"/>
  <c r="S107" i="4" s="1"/>
  <c r="S106" i="4" s="1"/>
  <c r="S4" i="4" s="1"/>
  <c r="BF194" i="4"/>
  <c r="BF193" i="4" s="1"/>
  <c r="BF192" i="4" s="1"/>
  <c r="BF191" i="4" s="1"/>
  <c r="BF190" i="4" s="1"/>
  <c r="BF189" i="4" s="1"/>
  <c r="BF188" i="4" s="1"/>
  <c r="BF187" i="4" s="1"/>
  <c r="BF186" i="4" s="1"/>
  <c r="BF185" i="4" s="1"/>
  <c r="BF184" i="4" s="1"/>
  <c r="BF183" i="4" s="1"/>
  <c r="BF182" i="4" s="1"/>
  <c r="BF181" i="4" s="1"/>
  <c r="BF180" i="4" s="1"/>
  <c r="BF179" i="4" s="1"/>
  <c r="BF178" i="4" s="1"/>
  <c r="BF177" i="4" s="1"/>
  <c r="BF176" i="4" s="1"/>
  <c r="BF175" i="4" s="1"/>
  <c r="BF174" i="4" s="1"/>
  <c r="BF173" i="4" s="1"/>
  <c r="BF172" i="4" s="1"/>
  <c r="BF171" i="4" s="1"/>
  <c r="BF170" i="4" s="1"/>
  <c r="BF169" i="4" s="1"/>
  <c r="BF168" i="4" s="1"/>
  <c r="BF167" i="4" s="1"/>
  <c r="BF166" i="4" s="1"/>
  <c r="BF165" i="4" s="1"/>
  <c r="BF164" i="4" s="1"/>
  <c r="BF163" i="4" s="1"/>
  <c r="BF162" i="4" s="1"/>
  <c r="BF161" i="4" s="1"/>
  <c r="BF160" i="4" s="1"/>
  <c r="BF159" i="4" s="1"/>
  <c r="BF158" i="4" s="1"/>
  <c r="BF157" i="4" s="1"/>
  <c r="BF156" i="4" s="1"/>
  <c r="BF155" i="4" s="1"/>
  <c r="BF154" i="4" s="1"/>
  <c r="BF153" i="4" s="1"/>
  <c r="BF152" i="4" s="1"/>
  <c r="BF151" i="4" s="1"/>
  <c r="BF150" i="4" s="1"/>
  <c r="BF149" i="4" s="1"/>
  <c r="BF148" i="4" s="1"/>
  <c r="BF147" i="4" s="1"/>
  <c r="BF146" i="4" s="1"/>
  <c r="BF145" i="4" s="1"/>
  <c r="BF144" i="4" s="1"/>
  <c r="BF143" i="4" s="1"/>
  <c r="BF142" i="4" s="1"/>
  <c r="BF141" i="4" s="1"/>
  <c r="BF140" i="4" s="1"/>
  <c r="BF139" i="4" s="1"/>
  <c r="BF138" i="4" s="1"/>
  <c r="BF137" i="4" s="1"/>
  <c r="BF136" i="4" s="1"/>
  <c r="BF135" i="4" s="1"/>
  <c r="BF134" i="4" s="1"/>
  <c r="BF133" i="4" s="1"/>
  <c r="BF132" i="4" s="1"/>
  <c r="BF131" i="4" s="1"/>
  <c r="BF130" i="4" s="1"/>
  <c r="BF129" i="4" s="1"/>
  <c r="BF128" i="4" s="1"/>
  <c r="BF127" i="4" s="1"/>
  <c r="BF126" i="4" s="1"/>
  <c r="BF125" i="4" s="1"/>
  <c r="BF124" i="4" s="1"/>
  <c r="BF123" i="4" s="1"/>
  <c r="BF122" i="4" s="1"/>
  <c r="BF121" i="4" s="1"/>
  <c r="BF120" i="4" s="1"/>
  <c r="BF119" i="4" s="1"/>
  <c r="BF118" i="4" s="1"/>
  <c r="BF117" i="4" s="1"/>
  <c r="BF116" i="4" s="1"/>
  <c r="BF115" i="4" s="1"/>
  <c r="BF114" i="4" s="1"/>
  <c r="BF113" i="4" s="1"/>
  <c r="BF112" i="4" s="1"/>
  <c r="BF111" i="4" s="1"/>
  <c r="BF110" i="4" s="1"/>
  <c r="BF109" i="4" s="1"/>
  <c r="BF108" i="4" s="1"/>
  <c r="BF107" i="4" s="1"/>
  <c r="BF106" i="4" s="1"/>
  <c r="BF4" i="4" s="1"/>
  <c r="P194" i="4"/>
  <c r="P193" i="4" s="1"/>
  <c r="P192" i="4" s="1"/>
  <c r="P191" i="4" s="1"/>
  <c r="P190" i="4" s="1"/>
  <c r="P189" i="4" s="1"/>
  <c r="P188" i="4" s="1"/>
  <c r="P187" i="4" s="1"/>
  <c r="P186" i="4" s="1"/>
  <c r="P185" i="4" s="1"/>
  <c r="P184" i="4" s="1"/>
  <c r="P183" i="4" s="1"/>
  <c r="P182" i="4" s="1"/>
  <c r="P181" i="4" s="1"/>
  <c r="P180" i="4" s="1"/>
  <c r="P179" i="4" s="1"/>
  <c r="P178" i="4" s="1"/>
  <c r="P177" i="4" s="1"/>
  <c r="P176" i="4" s="1"/>
  <c r="P175" i="4" s="1"/>
  <c r="P174" i="4" s="1"/>
  <c r="P173" i="4" s="1"/>
  <c r="P172" i="4" s="1"/>
  <c r="P171" i="4" s="1"/>
  <c r="P170" i="4" s="1"/>
  <c r="P169" i="4" s="1"/>
  <c r="P168" i="4" s="1"/>
  <c r="P167" i="4" s="1"/>
  <c r="P166" i="4" s="1"/>
  <c r="P165" i="4" s="1"/>
  <c r="P164" i="4" s="1"/>
  <c r="P163" i="4" s="1"/>
  <c r="P162" i="4" s="1"/>
  <c r="P161" i="4" s="1"/>
  <c r="P160" i="4" s="1"/>
  <c r="P159" i="4" s="1"/>
  <c r="P158" i="4" s="1"/>
  <c r="P157" i="4" s="1"/>
  <c r="P156" i="4" s="1"/>
  <c r="P155" i="4" s="1"/>
  <c r="P154" i="4" s="1"/>
  <c r="P153" i="4" s="1"/>
  <c r="P152" i="4" s="1"/>
  <c r="P151" i="4" s="1"/>
  <c r="P150" i="4" s="1"/>
  <c r="P149" i="4" s="1"/>
  <c r="P148" i="4" s="1"/>
  <c r="P147" i="4" s="1"/>
  <c r="P146" i="4" s="1"/>
  <c r="P145" i="4" s="1"/>
  <c r="P144" i="4" s="1"/>
  <c r="P143" i="4" s="1"/>
  <c r="P142" i="4" s="1"/>
  <c r="P141" i="4" s="1"/>
  <c r="P140" i="4" s="1"/>
  <c r="P139" i="4" s="1"/>
  <c r="P138" i="4" s="1"/>
  <c r="P137" i="4" s="1"/>
  <c r="P136" i="4" s="1"/>
  <c r="P135" i="4" s="1"/>
  <c r="P134" i="4" s="1"/>
  <c r="P133" i="4" s="1"/>
  <c r="P132" i="4" s="1"/>
  <c r="P131" i="4" s="1"/>
  <c r="P130" i="4" s="1"/>
  <c r="P129" i="4" s="1"/>
  <c r="P128" i="4" s="1"/>
  <c r="P127" i="4" s="1"/>
  <c r="P126" i="4" s="1"/>
  <c r="P125" i="4" s="1"/>
  <c r="P124" i="4" s="1"/>
  <c r="P123" i="4" s="1"/>
  <c r="P122" i="4" s="1"/>
  <c r="P121" i="4" s="1"/>
  <c r="P120" i="4" s="1"/>
  <c r="P119" i="4" s="1"/>
  <c r="P118" i="4" s="1"/>
  <c r="P117" i="4" s="1"/>
  <c r="P116" i="4" s="1"/>
  <c r="P115" i="4" s="1"/>
  <c r="P114" i="4" s="1"/>
  <c r="P113" i="4" s="1"/>
  <c r="P112" i="4" s="1"/>
  <c r="P111" i="4" s="1"/>
  <c r="P110" i="4" s="1"/>
  <c r="P109" i="4" s="1"/>
  <c r="P108" i="4" s="1"/>
  <c r="P107" i="4" s="1"/>
  <c r="P106" i="4" s="1"/>
  <c r="P4" i="4" s="1"/>
  <c r="DN194" i="4"/>
  <c r="DN193" i="4" s="1"/>
  <c r="DN192" i="4" s="1"/>
  <c r="DN191" i="4" s="1"/>
  <c r="DN190" i="4" s="1"/>
  <c r="DN189" i="4" s="1"/>
  <c r="DN188" i="4" s="1"/>
  <c r="DN187" i="4" s="1"/>
  <c r="DN186" i="4" s="1"/>
  <c r="DN185" i="4" s="1"/>
  <c r="DN184" i="4" s="1"/>
  <c r="DN183" i="4" s="1"/>
  <c r="DN182" i="4" s="1"/>
  <c r="DN181" i="4" s="1"/>
  <c r="DN180" i="4" s="1"/>
  <c r="DN179" i="4" s="1"/>
  <c r="DN178" i="4" s="1"/>
  <c r="DN177" i="4" s="1"/>
  <c r="DN176" i="4" s="1"/>
  <c r="DN175" i="4" s="1"/>
  <c r="DN174" i="4" s="1"/>
  <c r="DN173" i="4" s="1"/>
  <c r="DN172" i="4" s="1"/>
  <c r="DN171" i="4" s="1"/>
  <c r="DN170" i="4" s="1"/>
  <c r="DN169" i="4" s="1"/>
  <c r="DN168" i="4" s="1"/>
  <c r="DN167" i="4" s="1"/>
  <c r="DN166" i="4" s="1"/>
  <c r="DN165" i="4" s="1"/>
  <c r="DN164" i="4" s="1"/>
  <c r="DN163" i="4" s="1"/>
  <c r="DN162" i="4" s="1"/>
  <c r="DN161" i="4" s="1"/>
  <c r="DN160" i="4" s="1"/>
  <c r="DN159" i="4" s="1"/>
  <c r="DN158" i="4" s="1"/>
  <c r="DN157" i="4" s="1"/>
  <c r="DN156" i="4" s="1"/>
  <c r="DN155" i="4" s="1"/>
  <c r="DN154" i="4" s="1"/>
  <c r="DN153" i="4" s="1"/>
  <c r="DN152" i="4" s="1"/>
  <c r="DN151" i="4" s="1"/>
  <c r="DN150" i="4" s="1"/>
  <c r="DN149" i="4" s="1"/>
  <c r="DN148" i="4" s="1"/>
  <c r="DN147" i="4" s="1"/>
  <c r="DN146" i="4" s="1"/>
  <c r="DN145" i="4" s="1"/>
  <c r="DN144" i="4" s="1"/>
  <c r="DN143" i="4" s="1"/>
  <c r="DN142" i="4" s="1"/>
  <c r="DN141" i="4" s="1"/>
  <c r="DN140" i="4" s="1"/>
  <c r="DN139" i="4" s="1"/>
  <c r="DN138" i="4" s="1"/>
  <c r="DN137" i="4" s="1"/>
  <c r="DN136" i="4" s="1"/>
  <c r="DN135" i="4" s="1"/>
  <c r="DN134" i="4" s="1"/>
  <c r="DN133" i="4" s="1"/>
  <c r="DN132" i="4" s="1"/>
  <c r="DN131" i="4" s="1"/>
  <c r="DN130" i="4" s="1"/>
  <c r="DN129" i="4" s="1"/>
  <c r="DN128" i="4" s="1"/>
  <c r="DN127" i="4" s="1"/>
  <c r="DN126" i="4" s="1"/>
  <c r="DN125" i="4" s="1"/>
  <c r="DN124" i="4" s="1"/>
  <c r="DN123" i="4" s="1"/>
  <c r="DN122" i="4" s="1"/>
  <c r="DN121" i="4" s="1"/>
  <c r="DN120" i="4" s="1"/>
  <c r="DN119" i="4" s="1"/>
  <c r="DN118" i="4" s="1"/>
  <c r="DN117" i="4" s="1"/>
  <c r="DN116" i="4" s="1"/>
  <c r="DN115" i="4" s="1"/>
  <c r="DN114" i="4" s="1"/>
  <c r="DN113" i="4" s="1"/>
  <c r="DN112" i="4" s="1"/>
  <c r="DN111" i="4" s="1"/>
  <c r="DN110" i="4" s="1"/>
  <c r="DN109" i="4" s="1"/>
  <c r="DN108" i="4" s="1"/>
  <c r="DN107" i="4" s="1"/>
  <c r="DN106" i="4" s="1"/>
  <c r="DN4" i="4" s="1"/>
  <c r="GI190" i="4"/>
  <c r="GI189" i="4" s="1"/>
  <c r="GI188" i="4" s="1"/>
  <c r="GI187" i="4" s="1"/>
  <c r="GI186" i="4" s="1"/>
  <c r="GI185" i="4" s="1"/>
  <c r="GI184" i="4" s="1"/>
  <c r="GI183" i="4" s="1"/>
  <c r="GI182" i="4" s="1"/>
  <c r="GI181" i="4" s="1"/>
  <c r="GI180" i="4" s="1"/>
  <c r="GI179" i="4" s="1"/>
  <c r="GI178" i="4" s="1"/>
  <c r="GI177" i="4" s="1"/>
  <c r="GI176" i="4" s="1"/>
  <c r="GI175" i="4" s="1"/>
  <c r="GI174" i="4" s="1"/>
  <c r="GI173" i="4" s="1"/>
  <c r="GI172" i="4" s="1"/>
  <c r="GI171" i="4" s="1"/>
  <c r="GI170" i="4" s="1"/>
  <c r="GI169" i="4" s="1"/>
  <c r="GI168" i="4" s="1"/>
  <c r="GI167" i="4" s="1"/>
  <c r="GI166" i="4" s="1"/>
  <c r="GI165" i="4" s="1"/>
  <c r="GI164" i="4" s="1"/>
  <c r="GI163" i="4" s="1"/>
  <c r="GI162" i="4" s="1"/>
  <c r="GI161" i="4" s="1"/>
  <c r="GI160" i="4" s="1"/>
  <c r="GI159" i="4" s="1"/>
  <c r="GI158" i="4" s="1"/>
  <c r="GI157" i="4" s="1"/>
  <c r="GI156" i="4" s="1"/>
  <c r="GI155" i="4" s="1"/>
  <c r="GI154" i="4" s="1"/>
  <c r="GI153" i="4" s="1"/>
  <c r="GI152" i="4" s="1"/>
  <c r="GI151" i="4" s="1"/>
  <c r="GI150" i="4" s="1"/>
  <c r="GI149" i="4" s="1"/>
  <c r="GI148" i="4" s="1"/>
  <c r="GI147" i="4" s="1"/>
  <c r="GI146" i="4" s="1"/>
  <c r="GI145" i="4" s="1"/>
  <c r="GI144" i="4" s="1"/>
  <c r="GI143" i="4" s="1"/>
  <c r="GI142" i="4" s="1"/>
  <c r="GI141" i="4" s="1"/>
  <c r="GI140" i="4" s="1"/>
  <c r="GI139" i="4" s="1"/>
  <c r="GI138" i="4" s="1"/>
  <c r="GI137" i="4" s="1"/>
  <c r="GI136" i="4" s="1"/>
  <c r="GI135" i="4" s="1"/>
  <c r="GI134" i="4" s="1"/>
  <c r="GI133" i="4" s="1"/>
  <c r="GI132" i="4" s="1"/>
  <c r="GI131" i="4" s="1"/>
  <c r="GI130" i="4" s="1"/>
  <c r="GI129" i="4" s="1"/>
  <c r="GI128" i="4" s="1"/>
  <c r="GI127" i="4" s="1"/>
  <c r="GI126" i="4" s="1"/>
  <c r="GI125" i="4" s="1"/>
  <c r="GI124" i="4" s="1"/>
  <c r="GI123" i="4" s="1"/>
  <c r="GI122" i="4" s="1"/>
  <c r="GI121" i="4" s="1"/>
  <c r="GI120" i="4" s="1"/>
  <c r="GI119" i="4" s="1"/>
  <c r="GI118" i="4" s="1"/>
  <c r="GI117" i="4" s="1"/>
  <c r="GI116" i="4" s="1"/>
  <c r="GI115" i="4" s="1"/>
  <c r="GI114" i="4" s="1"/>
  <c r="GI113" i="4" s="1"/>
  <c r="GI112" i="4" s="1"/>
  <c r="GI111" i="4" s="1"/>
  <c r="GI110" i="4" s="1"/>
  <c r="GI109" i="4" s="1"/>
  <c r="GI108" i="4" s="1"/>
  <c r="GI107" i="4" s="1"/>
  <c r="GJ190" i="4"/>
  <c r="GJ189" i="4" s="1"/>
  <c r="GJ188" i="4" s="1"/>
  <c r="GJ187" i="4" s="1"/>
  <c r="GJ186" i="4" s="1"/>
  <c r="GJ185" i="4" s="1"/>
  <c r="GJ184" i="4" s="1"/>
  <c r="GJ183" i="4" s="1"/>
  <c r="GJ182" i="4" s="1"/>
  <c r="GJ181" i="4" s="1"/>
  <c r="GJ180" i="4" s="1"/>
  <c r="GJ179" i="4" s="1"/>
  <c r="GJ178" i="4" s="1"/>
  <c r="GJ177" i="4" s="1"/>
  <c r="GJ176" i="4" s="1"/>
  <c r="GJ175" i="4" s="1"/>
  <c r="GJ174" i="4" s="1"/>
  <c r="GJ173" i="4" s="1"/>
  <c r="GJ172" i="4" s="1"/>
  <c r="GJ171" i="4" s="1"/>
  <c r="GJ170" i="4" s="1"/>
  <c r="GJ169" i="4" s="1"/>
  <c r="GJ168" i="4" s="1"/>
  <c r="GJ167" i="4" s="1"/>
  <c r="GJ166" i="4" s="1"/>
  <c r="GJ165" i="4" s="1"/>
  <c r="GJ164" i="4" s="1"/>
  <c r="GJ163" i="4" s="1"/>
  <c r="GJ162" i="4" s="1"/>
  <c r="GJ161" i="4" s="1"/>
  <c r="GJ160" i="4" s="1"/>
  <c r="GJ159" i="4" s="1"/>
  <c r="GJ158" i="4" s="1"/>
  <c r="GJ157" i="4" s="1"/>
  <c r="GJ156" i="4" s="1"/>
  <c r="GJ155" i="4" s="1"/>
  <c r="GJ154" i="4" s="1"/>
  <c r="GJ153" i="4" s="1"/>
  <c r="GJ152" i="4" s="1"/>
  <c r="GJ151" i="4" s="1"/>
  <c r="GJ150" i="4" s="1"/>
  <c r="GJ149" i="4" s="1"/>
  <c r="GJ148" i="4" s="1"/>
  <c r="GJ147" i="4" s="1"/>
  <c r="GJ146" i="4" s="1"/>
  <c r="GJ145" i="4" s="1"/>
  <c r="GJ144" i="4" s="1"/>
  <c r="GJ143" i="4" s="1"/>
  <c r="GJ142" i="4" s="1"/>
  <c r="GJ141" i="4" s="1"/>
  <c r="GJ140" i="4" s="1"/>
  <c r="GJ139" i="4" s="1"/>
  <c r="GJ138" i="4" s="1"/>
  <c r="GJ137" i="4" s="1"/>
  <c r="GJ136" i="4" s="1"/>
  <c r="GJ135" i="4" s="1"/>
  <c r="GJ134" i="4" s="1"/>
  <c r="GJ133" i="4" s="1"/>
  <c r="GJ132" i="4" s="1"/>
  <c r="GJ131" i="4" s="1"/>
  <c r="GJ130" i="4" s="1"/>
  <c r="GJ129" i="4" s="1"/>
  <c r="GJ128" i="4" s="1"/>
  <c r="GJ127" i="4" s="1"/>
  <c r="GJ126" i="4" s="1"/>
  <c r="GJ125" i="4" s="1"/>
  <c r="GJ124" i="4" s="1"/>
  <c r="GJ123" i="4" s="1"/>
  <c r="GJ122" i="4" s="1"/>
  <c r="GJ121" i="4" s="1"/>
  <c r="GJ120" i="4" s="1"/>
  <c r="GJ119" i="4" s="1"/>
  <c r="GJ118" i="4" s="1"/>
  <c r="GJ117" i="4" s="1"/>
  <c r="GJ116" i="4" s="1"/>
  <c r="GJ115" i="4" s="1"/>
  <c r="GJ114" i="4" s="1"/>
  <c r="GJ113" i="4" s="1"/>
  <c r="GJ112" i="4" s="1"/>
  <c r="GJ111" i="4" s="1"/>
  <c r="GJ110" i="4" s="1"/>
  <c r="GJ109" i="4" s="1"/>
  <c r="GJ108" i="4" s="1"/>
  <c r="GJ107" i="4" s="1"/>
  <c r="EH190" i="4"/>
  <c r="EH189" i="4" s="1"/>
  <c r="EH188" i="4" s="1"/>
  <c r="EH187" i="4" s="1"/>
  <c r="EH186" i="4" s="1"/>
  <c r="EH185" i="4" s="1"/>
  <c r="EH184" i="4" s="1"/>
  <c r="EH183" i="4" s="1"/>
  <c r="EH182" i="4" s="1"/>
  <c r="EH181" i="4" s="1"/>
  <c r="EH180" i="4" s="1"/>
  <c r="EH179" i="4" s="1"/>
  <c r="EH178" i="4" s="1"/>
  <c r="EH177" i="4" s="1"/>
  <c r="EH176" i="4" s="1"/>
  <c r="EH175" i="4" s="1"/>
  <c r="EH174" i="4" s="1"/>
  <c r="EH173" i="4" s="1"/>
  <c r="EH172" i="4" s="1"/>
  <c r="EH171" i="4" s="1"/>
  <c r="EH170" i="4" s="1"/>
  <c r="EH169" i="4" s="1"/>
  <c r="EH168" i="4" s="1"/>
  <c r="EH167" i="4" s="1"/>
  <c r="EH166" i="4" s="1"/>
  <c r="EH165" i="4" s="1"/>
  <c r="EH164" i="4" s="1"/>
  <c r="EH163" i="4" s="1"/>
  <c r="EH162" i="4" s="1"/>
  <c r="EH161" i="4" s="1"/>
  <c r="EH160" i="4" s="1"/>
  <c r="EH159" i="4" s="1"/>
  <c r="EH158" i="4" s="1"/>
  <c r="EH157" i="4" s="1"/>
  <c r="EH156" i="4" s="1"/>
  <c r="EH155" i="4" s="1"/>
  <c r="EH154" i="4" s="1"/>
  <c r="EH153" i="4" s="1"/>
  <c r="EH152" i="4" s="1"/>
  <c r="EH151" i="4" s="1"/>
  <c r="EH150" i="4" s="1"/>
  <c r="EH149" i="4" s="1"/>
  <c r="EH148" i="4" s="1"/>
  <c r="EH147" i="4" s="1"/>
  <c r="EH146" i="4" s="1"/>
  <c r="EH145" i="4" s="1"/>
  <c r="EH144" i="4" s="1"/>
  <c r="EH143" i="4" s="1"/>
  <c r="EH142" i="4" s="1"/>
  <c r="EH141" i="4" s="1"/>
  <c r="EH140" i="4" s="1"/>
  <c r="EH139" i="4" s="1"/>
  <c r="EH138" i="4" s="1"/>
  <c r="EH137" i="4" s="1"/>
  <c r="EH136" i="4" s="1"/>
  <c r="EH135" i="4" s="1"/>
  <c r="EH134" i="4" s="1"/>
  <c r="EH133" i="4" s="1"/>
  <c r="EH132" i="4" s="1"/>
  <c r="EH131" i="4" s="1"/>
  <c r="EH130" i="4" s="1"/>
  <c r="EH129" i="4" s="1"/>
  <c r="EH128" i="4" s="1"/>
  <c r="EH127" i="4" s="1"/>
  <c r="EH126" i="4" s="1"/>
  <c r="EH125" i="4" s="1"/>
  <c r="EH124" i="4" s="1"/>
  <c r="EH123" i="4" s="1"/>
  <c r="EH122" i="4" s="1"/>
  <c r="EH121" i="4" s="1"/>
  <c r="EH120" i="4" s="1"/>
  <c r="EH119" i="4" s="1"/>
  <c r="EH118" i="4" s="1"/>
  <c r="EH117" i="4" s="1"/>
  <c r="EH116" i="4" s="1"/>
  <c r="EH115" i="4" s="1"/>
  <c r="EH114" i="4" s="1"/>
  <c r="EH113" i="4" s="1"/>
  <c r="EH112" i="4" s="1"/>
  <c r="EH111" i="4" s="1"/>
  <c r="EH110" i="4" s="1"/>
  <c r="EH109" i="4" s="1"/>
  <c r="EH108" i="4" s="1"/>
  <c r="EH107" i="4" s="1"/>
  <c r="FQ190" i="4"/>
  <c r="FQ189" i="4" s="1"/>
  <c r="FQ188" i="4" s="1"/>
  <c r="FQ187" i="4" s="1"/>
  <c r="FQ186" i="4" s="1"/>
  <c r="FQ185" i="4" s="1"/>
  <c r="FQ184" i="4" s="1"/>
  <c r="FQ183" i="4" s="1"/>
  <c r="FQ182" i="4" s="1"/>
  <c r="FQ181" i="4" s="1"/>
  <c r="FQ180" i="4" s="1"/>
  <c r="FQ179" i="4" s="1"/>
  <c r="FQ178" i="4" s="1"/>
  <c r="FQ177" i="4" s="1"/>
  <c r="FQ176" i="4" s="1"/>
  <c r="FQ175" i="4" s="1"/>
  <c r="FQ174" i="4" s="1"/>
  <c r="FQ173" i="4" s="1"/>
  <c r="FQ172" i="4" s="1"/>
  <c r="FQ171" i="4" s="1"/>
  <c r="FQ170" i="4" s="1"/>
  <c r="FQ169" i="4" s="1"/>
  <c r="FQ168" i="4" s="1"/>
  <c r="FQ167" i="4" s="1"/>
  <c r="FQ166" i="4" s="1"/>
  <c r="FQ165" i="4" s="1"/>
  <c r="FQ164" i="4" s="1"/>
  <c r="FQ163" i="4" s="1"/>
  <c r="FQ162" i="4" s="1"/>
  <c r="FQ161" i="4" s="1"/>
  <c r="FQ160" i="4" s="1"/>
  <c r="FQ159" i="4" s="1"/>
  <c r="FQ158" i="4" s="1"/>
  <c r="FQ157" i="4" s="1"/>
  <c r="FQ156" i="4" s="1"/>
  <c r="FQ155" i="4" s="1"/>
  <c r="FQ154" i="4" s="1"/>
  <c r="FQ153" i="4" s="1"/>
  <c r="FQ152" i="4" s="1"/>
  <c r="FQ151" i="4" s="1"/>
  <c r="FQ150" i="4" s="1"/>
  <c r="FQ149" i="4" s="1"/>
  <c r="FQ148" i="4" s="1"/>
  <c r="FQ147" i="4" s="1"/>
  <c r="FQ146" i="4" s="1"/>
  <c r="FQ145" i="4" s="1"/>
  <c r="FQ144" i="4" s="1"/>
  <c r="FQ143" i="4" s="1"/>
  <c r="FQ142" i="4" s="1"/>
  <c r="FQ141" i="4" s="1"/>
  <c r="FQ140" i="4" s="1"/>
  <c r="FQ139" i="4" s="1"/>
  <c r="FQ138" i="4" s="1"/>
  <c r="FQ137" i="4" s="1"/>
  <c r="FQ136" i="4" s="1"/>
  <c r="FQ135" i="4" s="1"/>
  <c r="FQ134" i="4" s="1"/>
  <c r="FQ133" i="4" s="1"/>
  <c r="FQ132" i="4" s="1"/>
  <c r="FQ131" i="4" s="1"/>
  <c r="FQ130" i="4" s="1"/>
  <c r="FQ129" i="4" s="1"/>
  <c r="FQ128" i="4" s="1"/>
  <c r="FQ127" i="4" s="1"/>
  <c r="FQ126" i="4" s="1"/>
  <c r="FQ125" i="4" s="1"/>
  <c r="FQ124" i="4" s="1"/>
  <c r="FQ123" i="4" s="1"/>
  <c r="FQ122" i="4" s="1"/>
  <c r="FQ121" i="4" s="1"/>
  <c r="FQ120" i="4" s="1"/>
  <c r="FQ119" i="4" s="1"/>
  <c r="FQ118" i="4" s="1"/>
  <c r="FQ117" i="4" s="1"/>
  <c r="FQ116" i="4" s="1"/>
  <c r="FQ115" i="4" s="1"/>
  <c r="FQ114" i="4" s="1"/>
  <c r="FQ113" i="4" s="1"/>
  <c r="FQ112" i="4" s="1"/>
  <c r="FQ111" i="4" s="1"/>
  <c r="FQ110" i="4" s="1"/>
  <c r="FQ109" i="4" s="1"/>
  <c r="FQ108" i="4" s="1"/>
  <c r="FQ107" i="4" s="1"/>
  <c r="EZ190" i="4"/>
  <c r="EZ189" i="4" s="1"/>
  <c r="EZ188" i="4" s="1"/>
  <c r="EZ187" i="4" s="1"/>
  <c r="EZ186" i="4" s="1"/>
  <c r="EZ185" i="4" s="1"/>
  <c r="EZ184" i="4" s="1"/>
  <c r="EZ183" i="4" s="1"/>
  <c r="EZ182" i="4" s="1"/>
  <c r="EZ181" i="4" s="1"/>
  <c r="EZ180" i="4" s="1"/>
  <c r="EZ179" i="4" s="1"/>
  <c r="EZ178" i="4" s="1"/>
  <c r="EZ177" i="4" s="1"/>
  <c r="EZ176" i="4" s="1"/>
  <c r="EZ175" i="4" s="1"/>
  <c r="EZ174" i="4" s="1"/>
  <c r="EZ173" i="4" s="1"/>
  <c r="EZ172" i="4" s="1"/>
  <c r="EZ171" i="4" s="1"/>
  <c r="EZ170" i="4" s="1"/>
  <c r="EZ169" i="4" s="1"/>
  <c r="EZ168" i="4" s="1"/>
  <c r="EZ167" i="4" s="1"/>
  <c r="EZ166" i="4" s="1"/>
  <c r="EZ165" i="4" s="1"/>
  <c r="EZ164" i="4" s="1"/>
  <c r="EZ163" i="4" s="1"/>
  <c r="EZ162" i="4" s="1"/>
  <c r="EZ161" i="4" s="1"/>
  <c r="EZ160" i="4" s="1"/>
  <c r="EZ159" i="4" s="1"/>
  <c r="EZ158" i="4" s="1"/>
  <c r="EZ157" i="4" s="1"/>
  <c r="EZ156" i="4" s="1"/>
  <c r="EZ155" i="4" s="1"/>
  <c r="EZ154" i="4" s="1"/>
  <c r="EZ153" i="4" s="1"/>
  <c r="EZ152" i="4" s="1"/>
  <c r="EZ151" i="4" s="1"/>
  <c r="EZ150" i="4" s="1"/>
  <c r="EZ149" i="4" s="1"/>
  <c r="EZ148" i="4" s="1"/>
  <c r="EZ147" i="4" s="1"/>
  <c r="EZ146" i="4" s="1"/>
  <c r="EZ145" i="4" s="1"/>
  <c r="EZ144" i="4" s="1"/>
  <c r="EZ143" i="4" s="1"/>
  <c r="EZ142" i="4" s="1"/>
  <c r="EZ141" i="4" s="1"/>
  <c r="EZ140" i="4" s="1"/>
  <c r="EZ139" i="4" s="1"/>
  <c r="EZ138" i="4" s="1"/>
  <c r="EZ137" i="4" s="1"/>
  <c r="EZ136" i="4" s="1"/>
  <c r="EZ135" i="4" s="1"/>
  <c r="EZ134" i="4" s="1"/>
  <c r="EZ133" i="4" s="1"/>
  <c r="EZ132" i="4" s="1"/>
  <c r="EZ131" i="4" s="1"/>
  <c r="EZ130" i="4" s="1"/>
  <c r="EZ129" i="4" s="1"/>
  <c r="EZ128" i="4" s="1"/>
  <c r="EZ127" i="4" s="1"/>
  <c r="EZ126" i="4" s="1"/>
  <c r="EZ125" i="4" s="1"/>
  <c r="EZ124" i="4" s="1"/>
  <c r="EZ123" i="4" s="1"/>
  <c r="EZ122" i="4" s="1"/>
  <c r="EZ121" i="4" s="1"/>
  <c r="EZ120" i="4" s="1"/>
  <c r="EZ119" i="4" s="1"/>
  <c r="EZ118" i="4" s="1"/>
  <c r="EZ117" i="4" s="1"/>
  <c r="EZ116" i="4" s="1"/>
  <c r="EZ115" i="4" s="1"/>
  <c r="EZ114" i="4" s="1"/>
  <c r="EZ113" i="4" s="1"/>
  <c r="EZ112" i="4" s="1"/>
  <c r="EZ111" i="4" s="1"/>
  <c r="EZ110" i="4" s="1"/>
  <c r="EZ109" i="4" s="1"/>
  <c r="EZ108" i="4" s="1"/>
  <c r="EZ107" i="4" s="1"/>
  <c r="HC190" i="4"/>
  <c r="HC189" i="4" s="1"/>
  <c r="HC188" i="4" s="1"/>
  <c r="HC187" i="4" s="1"/>
  <c r="HC186" i="4" s="1"/>
  <c r="HC185" i="4" s="1"/>
  <c r="HC184" i="4" s="1"/>
  <c r="HC183" i="4" s="1"/>
  <c r="HC182" i="4" s="1"/>
  <c r="HC181" i="4" s="1"/>
  <c r="HC180" i="4" s="1"/>
  <c r="HC179" i="4" s="1"/>
  <c r="HC178" i="4" s="1"/>
  <c r="HC177" i="4" s="1"/>
  <c r="HC176" i="4" s="1"/>
  <c r="HC175" i="4" s="1"/>
  <c r="HC174" i="4" s="1"/>
  <c r="HC173" i="4" s="1"/>
  <c r="HC172" i="4" s="1"/>
  <c r="HC171" i="4" s="1"/>
  <c r="HC170" i="4" s="1"/>
  <c r="HC169" i="4" s="1"/>
  <c r="HC168" i="4" s="1"/>
  <c r="HC167" i="4" s="1"/>
  <c r="HC166" i="4" s="1"/>
  <c r="HC165" i="4" s="1"/>
  <c r="HC164" i="4" s="1"/>
  <c r="HC163" i="4" s="1"/>
  <c r="HC162" i="4" s="1"/>
  <c r="HC161" i="4" s="1"/>
  <c r="HC160" i="4" s="1"/>
  <c r="HC159" i="4" s="1"/>
  <c r="HC158" i="4" s="1"/>
  <c r="HC157" i="4" s="1"/>
  <c r="HC156" i="4" s="1"/>
  <c r="HC155" i="4" s="1"/>
  <c r="HC154" i="4" s="1"/>
  <c r="HC153" i="4" s="1"/>
  <c r="HC152" i="4" s="1"/>
  <c r="HC151" i="4" s="1"/>
  <c r="HC150" i="4" s="1"/>
  <c r="HC149" i="4" s="1"/>
  <c r="HC148" i="4" s="1"/>
  <c r="HC147" i="4" s="1"/>
  <c r="HC146" i="4" s="1"/>
  <c r="HC145" i="4" s="1"/>
  <c r="HC144" i="4" s="1"/>
  <c r="HC143" i="4" s="1"/>
  <c r="HC142" i="4" s="1"/>
  <c r="HC141" i="4" s="1"/>
  <c r="HC140" i="4" s="1"/>
  <c r="HC139" i="4" s="1"/>
  <c r="HC138" i="4" s="1"/>
  <c r="HC137" i="4" s="1"/>
  <c r="HC136" i="4" s="1"/>
  <c r="HC135" i="4" s="1"/>
  <c r="HC134" i="4" s="1"/>
  <c r="HC133" i="4" s="1"/>
  <c r="HC132" i="4" s="1"/>
  <c r="HC131" i="4" s="1"/>
  <c r="HC130" i="4" s="1"/>
  <c r="HC129" i="4" s="1"/>
  <c r="HC128" i="4" s="1"/>
  <c r="HC127" i="4" s="1"/>
  <c r="HC126" i="4" s="1"/>
  <c r="HC125" i="4" s="1"/>
  <c r="HC124" i="4" s="1"/>
  <c r="HC123" i="4" s="1"/>
  <c r="HC122" i="4" s="1"/>
  <c r="HC121" i="4" s="1"/>
  <c r="HC120" i="4" s="1"/>
  <c r="HC119" i="4" s="1"/>
  <c r="HC118" i="4" s="1"/>
  <c r="HC117" i="4" s="1"/>
  <c r="HC116" i="4" s="1"/>
  <c r="HC115" i="4" s="1"/>
  <c r="HC114" i="4" s="1"/>
  <c r="HC113" i="4" s="1"/>
  <c r="HC112" i="4" s="1"/>
  <c r="HC111" i="4" s="1"/>
  <c r="HC110" i="4" s="1"/>
  <c r="HC109" i="4" s="1"/>
  <c r="HC108" i="4" s="1"/>
  <c r="HC107" i="4" s="1"/>
  <c r="HC106" i="4" s="1"/>
  <c r="HC4" i="4" s="1"/>
  <c r="H38" i="2" s="1"/>
  <c r="FW190" i="4"/>
  <c r="FW189" i="4" s="1"/>
  <c r="FW188" i="4" s="1"/>
  <c r="FW187" i="4" s="1"/>
  <c r="FW186" i="4" s="1"/>
  <c r="FW185" i="4" s="1"/>
  <c r="FW184" i="4" s="1"/>
  <c r="FW183" i="4" s="1"/>
  <c r="FW182" i="4" s="1"/>
  <c r="FW181" i="4" s="1"/>
  <c r="FW180" i="4" s="1"/>
  <c r="FW179" i="4" s="1"/>
  <c r="FW178" i="4" s="1"/>
  <c r="FW177" i="4" s="1"/>
  <c r="FW176" i="4" s="1"/>
  <c r="FW175" i="4" s="1"/>
  <c r="FW174" i="4" s="1"/>
  <c r="FW173" i="4" s="1"/>
  <c r="FW172" i="4" s="1"/>
  <c r="FW171" i="4" s="1"/>
  <c r="FW170" i="4" s="1"/>
  <c r="FW169" i="4" s="1"/>
  <c r="FW168" i="4" s="1"/>
  <c r="FW167" i="4" s="1"/>
  <c r="FW166" i="4" s="1"/>
  <c r="FW165" i="4" s="1"/>
  <c r="FW164" i="4" s="1"/>
  <c r="FW163" i="4" s="1"/>
  <c r="FW162" i="4" s="1"/>
  <c r="FW161" i="4" s="1"/>
  <c r="FW160" i="4" s="1"/>
  <c r="FW159" i="4" s="1"/>
  <c r="FW158" i="4" s="1"/>
  <c r="FW157" i="4" s="1"/>
  <c r="FW156" i="4" s="1"/>
  <c r="FW155" i="4" s="1"/>
  <c r="FW154" i="4" s="1"/>
  <c r="FW153" i="4" s="1"/>
  <c r="FW152" i="4" s="1"/>
  <c r="FW151" i="4" s="1"/>
  <c r="FW150" i="4" s="1"/>
  <c r="FW149" i="4" s="1"/>
  <c r="FW148" i="4" s="1"/>
  <c r="FW147" i="4" s="1"/>
  <c r="FW146" i="4" s="1"/>
  <c r="FW145" i="4" s="1"/>
  <c r="FW144" i="4" s="1"/>
  <c r="FW143" i="4" s="1"/>
  <c r="FW142" i="4" s="1"/>
  <c r="FW141" i="4" s="1"/>
  <c r="FW140" i="4" s="1"/>
  <c r="FW139" i="4" s="1"/>
  <c r="FW138" i="4" s="1"/>
  <c r="FW137" i="4" s="1"/>
  <c r="FW136" i="4" s="1"/>
  <c r="FW135" i="4" s="1"/>
  <c r="FW134" i="4" s="1"/>
  <c r="FW133" i="4" s="1"/>
  <c r="FW132" i="4" s="1"/>
  <c r="FW131" i="4" s="1"/>
  <c r="FW130" i="4" s="1"/>
  <c r="FW129" i="4" s="1"/>
  <c r="FW128" i="4" s="1"/>
  <c r="FW127" i="4" s="1"/>
  <c r="FW126" i="4" s="1"/>
  <c r="FW125" i="4" s="1"/>
  <c r="FW124" i="4" s="1"/>
  <c r="FW123" i="4" s="1"/>
  <c r="FW122" i="4" s="1"/>
  <c r="FW121" i="4" s="1"/>
  <c r="FW120" i="4" s="1"/>
  <c r="FW119" i="4" s="1"/>
  <c r="FW118" i="4" s="1"/>
  <c r="FW117" i="4" s="1"/>
  <c r="FW116" i="4" s="1"/>
  <c r="FW115" i="4" s="1"/>
  <c r="FW114" i="4" s="1"/>
  <c r="FW113" i="4" s="1"/>
  <c r="FW112" i="4" s="1"/>
  <c r="FW111" i="4" s="1"/>
  <c r="FW110" i="4" s="1"/>
  <c r="FW109" i="4" s="1"/>
  <c r="FW108" i="4" s="1"/>
  <c r="FW107" i="4" s="1"/>
  <c r="FX190" i="4"/>
  <c r="FX189" i="4" s="1"/>
  <c r="FX188" i="4" s="1"/>
  <c r="FX187" i="4" s="1"/>
  <c r="FX186" i="4" s="1"/>
  <c r="FX185" i="4" s="1"/>
  <c r="FX184" i="4" s="1"/>
  <c r="FX183" i="4" s="1"/>
  <c r="FX182" i="4" s="1"/>
  <c r="FX181" i="4" s="1"/>
  <c r="FX180" i="4" s="1"/>
  <c r="FX179" i="4" s="1"/>
  <c r="FX178" i="4" s="1"/>
  <c r="FX177" i="4" s="1"/>
  <c r="FX176" i="4" s="1"/>
  <c r="FX175" i="4" s="1"/>
  <c r="FX174" i="4" s="1"/>
  <c r="FX173" i="4" s="1"/>
  <c r="FX172" i="4" s="1"/>
  <c r="FX171" i="4" s="1"/>
  <c r="FX170" i="4" s="1"/>
  <c r="FX169" i="4" s="1"/>
  <c r="FX168" i="4" s="1"/>
  <c r="FX167" i="4" s="1"/>
  <c r="FX166" i="4" s="1"/>
  <c r="FX165" i="4" s="1"/>
  <c r="FX164" i="4" s="1"/>
  <c r="FX163" i="4" s="1"/>
  <c r="FX162" i="4" s="1"/>
  <c r="FX161" i="4" s="1"/>
  <c r="FX160" i="4" s="1"/>
  <c r="FX159" i="4" s="1"/>
  <c r="FX158" i="4" s="1"/>
  <c r="FX157" i="4" s="1"/>
  <c r="FX156" i="4" s="1"/>
  <c r="FX155" i="4" s="1"/>
  <c r="FX154" i="4" s="1"/>
  <c r="FX153" i="4" s="1"/>
  <c r="FX152" i="4" s="1"/>
  <c r="FX151" i="4" s="1"/>
  <c r="FX150" i="4" s="1"/>
  <c r="FX149" i="4" s="1"/>
  <c r="FX148" i="4" s="1"/>
  <c r="FX147" i="4" s="1"/>
  <c r="FX146" i="4" s="1"/>
  <c r="FX145" i="4" s="1"/>
  <c r="FX144" i="4" s="1"/>
  <c r="FX143" i="4" s="1"/>
  <c r="FX142" i="4" s="1"/>
  <c r="FX141" i="4" s="1"/>
  <c r="FX140" i="4" s="1"/>
  <c r="FX139" i="4" s="1"/>
  <c r="FX138" i="4" s="1"/>
  <c r="FX137" i="4" s="1"/>
  <c r="FX136" i="4" s="1"/>
  <c r="FX135" i="4" s="1"/>
  <c r="FX134" i="4" s="1"/>
  <c r="FX133" i="4" s="1"/>
  <c r="FX132" i="4" s="1"/>
  <c r="FX131" i="4" s="1"/>
  <c r="FX130" i="4" s="1"/>
  <c r="FX129" i="4" s="1"/>
  <c r="FX128" i="4" s="1"/>
  <c r="FX127" i="4" s="1"/>
  <c r="FX126" i="4" s="1"/>
  <c r="FX125" i="4" s="1"/>
  <c r="FX124" i="4" s="1"/>
  <c r="FX123" i="4" s="1"/>
  <c r="FX122" i="4" s="1"/>
  <c r="FX121" i="4" s="1"/>
  <c r="FX120" i="4" s="1"/>
  <c r="FX119" i="4" s="1"/>
  <c r="FX118" i="4" s="1"/>
  <c r="FX117" i="4" s="1"/>
  <c r="FX116" i="4" s="1"/>
  <c r="FX115" i="4" s="1"/>
  <c r="FX114" i="4" s="1"/>
  <c r="FX113" i="4" s="1"/>
  <c r="FX112" i="4" s="1"/>
  <c r="FX111" i="4" s="1"/>
  <c r="FX110" i="4" s="1"/>
  <c r="FX109" i="4" s="1"/>
  <c r="FX108" i="4" s="1"/>
  <c r="FX107" i="4" s="1"/>
  <c r="GP190" i="4"/>
  <c r="GP189" i="4" s="1"/>
  <c r="GP188" i="4" s="1"/>
  <c r="GP187" i="4" s="1"/>
  <c r="GP186" i="4" s="1"/>
  <c r="GP185" i="4" s="1"/>
  <c r="GP184" i="4" s="1"/>
  <c r="GP183" i="4" s="1"/>
  <c r="GP182" i="4" s="1"/>
  <c r="GP181" i="4" s="1"/>
  <c r="GP180" i="4" s="1"/>
  <c r="GP179" i="4" s="1"/>
  <c r="GP178" i="4" s="1"/>
  <c r="GP177" i="4" s="1"/>
  <c r="GP176" i="4" s="1"/>
  <c r="GP175" i="4" s="1"/>
  <c r="GP174" i="4" s="1"/>
  <c r="GP173" i="4" s="1"/>
  <c r="GP172" i="4" s="1"/>
  <c r="GP171" i="4" s="1"/>
  <c r="GP170" i="4" s="1"/>
  <c r="GP169" i="4" s="1"/>
  <c r="GP168" i="4" s="1"/>
  <c r="GP167" i="4" s="1"/>
  <c r="GP166" i="4" s="1"/>
  <c r="GP165" i="4" s="1"/>
  <c r="GP164" i="4" s="1"/>
  <c r="GP163" i="4" s="1"/>
  <c r="GP162" i="4" s="1"/>
  <c r="GP161" i="4" s="1"/>
  <c r="GP160" i="4" s="1"/>
  <c r="GP159" i="4" s="1"/>
  <c r="GP158" i="4" s="1"/>
  <c r="GP157" i="4" s="1"/>
  <c r="GP156" i="4" s="1"/>
  <c r="GP155" i="4" s="1"/>
  <c r="GP154" i="4" s="1"/>
  <c r="GP153" i="4" s="1"/>
  <c r="GP152" i="4" s="1"/>
  <c r="GP151" i="4" s="1"/>
  <c r="GP150" i="4" s="1"/>
  <c r="GP149" i="4" s="1"/>
  <c r="GP148" i="4" s="1"/>
  <c r="GP147" i="4" s="1"/>
  <c r="GP146" i="4" s="1"/>
  <c r="GP145" i="4" s="1"/>
  <c r="GP144" i="4" s="1"/>
  <c r="GP143" i="4" s="1"/>
  <c r="GP142" i="4" s="1"/>
  <c r="GP141" i="4" s="1"/>
  <c r="GP140" i="4" s="1"/>
  <c r="GP139" i="4" s="1"/>
  <c r="GP138" i="4" s="1"/>
  <c r="GP137" i="4" s="1"/>
  <c r="GP136" i="4" s="1"/>
  <c r="GP135" i="4" s="1"/>
  <c r="GP134" i="4" s="1"/>
  <c r="GP133" i="4" s="1"/>
  <c r="GP132" i="4" s="1"/>
  <c r="GP131" i="4" s="1"/>
  <c r="GP130" i="4" s="1"/>
  <c r="GP129" i="4" s="1"/>
  <c r="GP128" i="4" s="1"/>
  <c r="GP127" i="4" s="1"/>
  <c r="GP126" i="4" s="1"/>
  <c r="GP125" i="4" s="1"/>
  <c r="GP124" i="4" s="1"/>
  <c r="GP123" i="4" s="1"/>
  <c r="GP122" i="4" s="1"/>
  <c r="GP121" i="4" s="1"/>
  <c r="GP120" i="4" s="1"/>
  <c r="GP119" i="4" s="1"/>
  <c r="GP118" i="4" s="1"/>
  <c r="GP117" i="4" s="1"/>
  <c r="GP116" i="4" s="1"/>
  <c r="GP115" i="4" s="1"/>
  <c r="GP114" i="4" s="1"/>
  <c r="GP113" i="4" s="1"/>
  <c r="GP112" i="4" s="1"/>
  <c r="GP111" i="4" s="1"/>
  <c r="GP110" i="4" s="1"/>
  <c r="GP109" i="4" s="1"/>
  <c r="GP108" i="4" s="1"/>
  <c r="GP107" i="4" s="1"/>
  <c r="FR190" i="4"/>
  <c r="FR189" i="4" s="1"/>
  <c r="FR188" i="4" s="1"/>
  <c r="FR187" i="4" s="1"/>
  <c r="FR186" i="4" s="1"/>
  <c r="FR185" i="4" s="1"/>
  <c r="FR184" i="4" s="1"/>
  <c r="FR183" i="4" s="1"/>
  <c r="FR182" i="4" s="1"/>
  <c r="FR181" i="4" s="1"/>
  <c r="FR180" i="4" s="1"/>
  <c r="FR179" i="4" s="1"/>
  <c r="FR178" i="4" s="1"/>
  <c r="FR177" i="4" s="1"/>
  <c r="FR176" i="4" s="1"/>
  <c r="FR175" i="4" s="1"/>
  <c r="FR174" i="4" s="1"/>
  <c r="FR173" i="4" s="1"/>
  <c r="FR172" i="4" s="1"/>
  <c r="FR171" i="4" s="1"/>
  <c r="FR170" i="4" s="1"/>
  <c r="FR169" i="4" s="1"/>
  <c r="FR168" i="4" s="1"/>
  <c r="FR167" i="4" s="1"/>
  <c r="FR166" i="4" s="1"/>
  <c r="FR165" i="4" s="1"/>
  <c r="FR164" i="4" s="1"/>
  <c r="FR163" i="4" s="1"/>
  <c r="FR162" i="4" s="1"/>
  <c r="FR161" i="4" s="1"/>
  <c r="FR160" i="4" s="1"/>
  <c r="FR159" i="4" s="1"/>
  <c r="FR158" i="4" s="1"/>
  <c r="FR157" i="4" s="1"/>
  <c r="FR156" i="4" s="1"/>
  <c r="FR155" i="4" s="1"/>
  <c r="FR154" i="4" s="1"/>
  <c r="FR153" i="4" s="1"/>
  <c r="FR152" i="4" s="1"/>
  <c r="FR151" i="4" s="1"/>
  <c r="FR150" i="4" s="1"/>
  <c r="FR149" i="4" s="1"/>
  <c r="FR148" i="4" s="1"/>
  <c r="FR147" i="4" s="1"/>
  <c r="FR146" i="4" s="1"/>
  <c r="FR145" i="4" s="1"/>
  <c r="FR144" i="4" s="1"/>
  <c r="FR143" i="4" s="1"/>
  <c r="FR142" i="4" s="1"/>
  <c r="FR141" i="4" s="1"/>
  <c r="FR140" i="4" s="1"/>
  <c r="FR139" i="4" s="1"/>
  <c r="FR138" i="4" s="1"/>
  <c r="FR137" i="4" s="1"/>
  <c r="FR136" i="4" s="1"/>
  <c r="FR135" i="4" s="1"/>
  <c r="FR134" i="4" s="1"/>
  <c r="FR133" i="4" s="1"/>
  <c r="FR132" i="4" s="1"/>
  <c r="FR131" i="4" s="1"/>
  <c r="FR130" i="4" s="1"/>
  <c r="FR129" i="4" s="1"/>
  <c r="FR128" i="4" s="1"/>
  <c r="FR127" i="4" s="1"/>
  <c r="FR126" i="4" s="1"/>
  <c r="FR125" i="4" s="1"/>
  <c r="FR124" i="4" s="1"/>
  <c r="FR123" i="4" s="1"/>
  <c r="FR122" i="4" s="1"/>
  <c r="FR121" i="4" s="1"/>
  <c r="FR120" i="4" s="1"/>
  <c r="FR119" i="4" s="1"/>
  <c r="FR118" i="4" s="1"/>
  <c r="FR117" i="4" s="1"/>
  <c r="FR116" i="4" s="1"/>
  <c r="FR115" i="4" s="1"/>
  <c r="FR114" i="4" s="1"/>
  <c r="FR113" i="4" s="1"/>
  <c r="FR112" i="4" s="1"/>
  <c r="FR111" i="4" s="1"/>
  <c r="FR110" i="4" s="1"/>
  <c r="FR109" i="4" s="1"/>
  <c r="FR108" i="4" s="1"/>
  <c r="FR107" i="4" s="1"/>
  <c r="J190" i="4"/>
  <c r="J189" i="4" s="1"/>
  <c r="J188" i="4" s="1"/>
  <c r="J187" i="4" s="1"/>
  <c r="J186" i="4" s="1"/>
  <c r="J185" i="4" s="1"/>
  <c r="J184" i="4" s="1"/>
  <c r="J183" i="4" s="1"/>
  <c r="J182" i="4" s="1"/>
  <c r="J181" i="4" s="1"/>
  <c r="J180" i="4" s="1"/>
  <c r="J179" i="4" s="1"/>
  <c r="J178" i="4" s="1"/>
  <c r="J177" i="4" s="1"/>
  <c r="J176" i="4" s="1"/>
  <c r="J175" i="4" s="1"/>
  <c r="J174" i="4" s="1"/>
  <c r="J173" i="4" s="1"/>
  <c r="J172" i="4" s="1"/>
  <c r="J171" i="4" s="1"/>
  <c r="J170" i="4" s="1"/>
  <c r="J169" i="4" s="1"/>
  <c r="J168" i="4" s="1"/>
  <c r="J167" i="4" s="1"/>
  <c r="J166" i="4" s="1"/>
  <c r="J165" i="4" s="1"/>
  <c r="J164" i="4" s="1"/>
  <c r="J163" i="4" s="1"/>
  <c r="J162" i="4" s="1"/>
  <c r="J161" i="4" s="1"/>
  <c r="J160" i="4" s="1"/>
  <c r="J159" i="4" s="1"/>
  <c r="J158" i="4" s="1"/>
  <c r="J157" i="4" s="1"/>
  <c r="J156" i="4" s="1"/>
  <c r="J155" i="4" s="1"/>
  <c r="J154" i="4" s="1"/>
  <c r="J153" i="4" s="1"/>
  <c r="J152" i="4" s="1"/>
  <c r="J151" i="4" s="1"/>
  <c r="J150" i="4" s="1"/>
  <c r="J149" i="4" s="1"/>
  <c r="J148" i="4" s="1"/>
  <c r="J147" i="4" s="1"/>
  <c r="J146" i="4" s="1"/>
  <c r="J145" i="4" s="1"/>
  <c r="J144" i="4" s="1"/>
  <c r="J143" i="4" s="1"/>
  <c r="J142" i="4" s="1"/>
  <c r="J141" i="4" s="1"/>
  <c r="J140" i="4" s="1"/>
  <c r="J139" i="4" s="1"/>
  <c r="J138" i="4" s="1"/>
  <c r="J137" i="4" s="1"/>
  <c r="J136" i="4" s="1"/>
  <c r="J135" i="4" s="1"/>
  <c r="J134" i="4" s="1"/>
  <c r="J133" i="4" s="1"/>
  <c r="J132" i="4" s="1"/>
  <c r="J131" i="4" s="1"/>
  <c r="J130" i="4" s="1"/>
  <c r="J129" i="4" s="1"/>
  <c r="J128" i="4" s="1"/>
  <c r="J127" i="4" s="1"/>
  <c r="J126" i="4" s="1"/>
  <c r="J125" i="4" s="1"/>
  <c r="J124" i="4" s="1"/>
  <c r="J123" i="4" s="1"/>
  <c r="J122" i="4" s="1"/>
  <c r="J121" i="4" s="1"/>
  <c r="J120" i="4" s="1"/>
  <c r="J119" i="4" s="1"/>
  <c r="J118" i="4" s="1"/>
  <c r="J117" i="4" s="1"/>
  <c r="J116" i="4" s="1"/>
  <c r="J115" i="4" s="1"/>
  <c r="J114" i="4" s="1"/>
  <c r="J113" i="4" s="1"/>
  <c r="J112" i="4" s="1"/>
  <c r="J111" i="4" s="1"/>
  <c r="J110" i="4" s="1"/>
  <c r="J109" i="4" s="1"/>
  <c r="J108" i="4" s="1"/>
  <c r="J107" i="4" s="1"/>
  <c r="J106" i="4" s="1"/>
  <c r="J4" i="4" s="1"/>
  <c r="FK190" i="4"/>
  <c r="FK189" i="4" s="1"/>
  <c r="FK188" i="4" s="1"/>
  <c r="FK187" i="4" s="1"/>
  <c r="FK186" i="4" s="1"/>
  <c r="FK185" i="4" s="1"/>
  <c r="FK184" i="4" s="1"/>
  <c r="FK183" i="4" s="1"/>
  <c r="FK182" i="4" s="1"/>
  <c r="FK181" i="4" s="1"/>
  <c r="FK180" i="4" s="1"/>
  <c r="FK179" i="4" s="1"/>
  <c r="FK178" i="4" s="1"/>
  <c r="FK177" i="4" s="1"/>
  <c r="FK176" i="4" s="1"/>
  <c r="FK175" i="4" s="1"/>
  <c r="FK174" i="4" s="1"/>
  <c r="FK173" i="4" s="1"/>
  <c r="FK172" i="4" s="1"/>
  <c r="FK171" i="4" s="1"/>
  <c r="FK170" i="4" s="1"/>
  <c r="FK169" i="4" s="1"/>
  <c r="FK168" i="4" s="1"/>
  <c r="FK167" i="4" s="1"/>
  <c r="FK166" i="4" s="1"/>
  <c r="FK165" i="4" s="1"/>
  <c r="FK164" i="4" s="1"/>
  <c r="FK163" i="4" s="1"/>
  <c r="FK162" i="4" s="1"/>
  <c r="FK161" i="4" s="1"/>
  <c r="FK160" i="4" s="1"/>
  <c r="FK159" i="4" s="1"/>
  <c r="FK158" i="4" s="1"/>
  <c r="FK157" i="4" s="1"/>
  <c r="FK156" i="4" s="1"/>
  <c r="FK155" i="4" s="1"/>
  <c r="FK154" i="4" s="1"/>
  <c r="FK153" i="4" s="1"/>
  <c r="FK152" i="4" s="1"/>
  <c r="FK151" i="4" s="1"/>
  <c r="FK150" i="4" s="1"/>
  <c r="FK149" i="4" s="1"/>
  <c r="FK148" i="4" s="1"/>
  <c r="FK147" i="4" s="1"/>
  <c r="FK146" i="4" s="1"/>
  <c r="FK145" i="4" s="1"/>
  <c r="FK144" i="4" s="1"/>
  <c r="FK143" i="4" s="1"/>
  <c r="FK142" i="4" s="1"/>
  <c r="FK141" i="4" s="1"/>
  <c r="FK140" i="4" s="1"/>
  <c r="FK139" i="4" s="1"/>
  <c r="FK138" i="4" s="1"/>
  <c r="FK137" i="4" s="1"/>
  <c r="FK136" i="4" s="1"/>
  <c r="FK135" i="4" s="1"/>
  <c r="FK134" i="4" s="1"/>
  <c r="FK133" i="4" s="1"/>
  <c r="FK132" i="4" s="1"/>
  <c r="FK131" i="4" s="1"/>
  <c r="FK130" i="4" s="1"/>
  <c r="FK129" i="4" s="1"/>
  <c r="FK128" i="4" s="1"/>
  <c r="FK127" i="4" s="1"/>
  <c r="FK126" i="4" s="1"/>
  <c r="FK125" i="4" s="1"/>
  <c r="FK124" i="4" s="1"/>
  <c r="FK123" i="4" s="1"/>
  <c r="FK122" i="4" s="1"/>
  <c r="FK121" i="4" s="1"/>
  <c r="FK120" i="4" s="1"/>
  <c r="FK119" i="4" s="1"/>
  <c r="FK118" i="4" s="1"/>
  <c r="FK117" i="4" s="1"/>
  <c r="FK116" i="4" s="1"/>
  <c r="FK115" i="4" s="1"/>
  <c r="FK114" i="4" s="1"/>
  <c r="FK113" i="4" s="1"/>
  <c r="FK112" i="4" s="1"/>
  <c r="FK111" i="4" s="1"/>
  <c r="FK110" i="4" s="1"/>
  <c r="FK109" i="4" s="1"/>
  <c r="FK108" i="4" s="1"/>
  <c r="FK107" i="4" s="1"/>
  <c r="FL190" i="4"/>
  <c r="FL189" i="4" s="1"/>
  <c r="FL188" i="4" s="1"/>
  <c r="FL187" i="4" s="1"/>
  <c r="FL186" i="4" s="1"/>
  <c r="FL185" i="4" s="1"/>
  <c r="FL184" i="4" s="1"/>
  <c r="FL183" i="4" s="1"/>
  <c r="FL182" i="4" s="1"/>
  <c r="FL181" i="4" s="1"/>
  <c r="FL180" i="4" s="1"/>
  <c r="FL179" i="4" s="1"/>
  <c r="FL178" i="4" s="1"/>
  <c r="FL177" i="4" s="1"/>
  <c r="FL176" i="4" s="1"/>
  <c r="FL175" i="4" s="1"/>
  <c r="FL174" i="4" s="1"/>
  <c r="FL173" i="4" s="1"/>
  <c r="FL172" i="4" s="1"/>
  <c r="FL171" i="4" s="1"/>
  <c r="FL170" i="4" s="1"/>
  <c r="FL169" i="4" s="1"/>
  <c r="FL168" i="4" s="1"/>
  <c r="FL167" i="4" s="1"/>
  <c r="FL166" i="4" s="1"/>
  <c r="FL165" i="4" s="1"/>
  <c r="FL164" i="4" s="1"/>
  <c r="FL163" i="4" s="1"/>
  <c r="FL162" i="4" s="1"/>
  <c r="FL161" i="4" s="1"/>
  <c r="FL160" i="4" s="1"/>
  <c r="FL159" i="4" s="1"/>
  <c r="FL158" i="4" s="1"/>
  <c r="FL157" i="4" s="1"/>
  <c r="FL156" i="4" s="1"/>
  <c r="FL155" i="4" s="1"/>
  <c r="FL154" i="4" s="1"/>
  <c r="FL153" i="4" s="1"/>
  <c r="FL152" i="4" s="1"/>
  <c r="FL151" i="4" s="1"/>
  <c r="FL150" i="4" s="1"/>
  <c r="FL149" i="4" s="1"/>
  <c r="FL148" i="4" s="1"/>
  <c r="FL147" i="4" s="1"/>
  <c r="FL146" i="4" s="1"/>
  <c r="FL145" i="4" s="1"/>
  <c r="FL144" i="4" s="1"/>
  <c r="FL143" i="4" s="1"/>
  <c r="FL142" i="4" s="1"/>
  <c r="FL141" i="4" s="1"/>
  <c r="FL140" i="4" s="1"/>
  <c r="FL139" i="4" s="1"/>
  <c r="FL138" i="4" s="1"/>
  <c r="FL137" i="4" s="1"/>
  <c r="FL136" i="4" s="1"/>
  <c r="FL135" i="4" s="1"/>
  <c r="FL134" i="4" s="1"/>
  <c r="FL133" i="4" s="1"/>
  <c r="FL132" i="4" s="1"/>
  <c r="FL131" i="4" s="1"/>
  <c r="FL130" i="4" s="1"/>
  <c r="FL129" i="4" s="1"/>
  <c r="FL128" i="4" s="1"/>
  <c r="FL127" i="4" s="1"/>
  <c r="FL126" i="4" s="1"/>
  <c r="FL125" i="4" s="1"/>
  <c r="FL124" i="4" s="1"/>
  <c r="FL123" i="4" s="1"/>
  <c r="FL122" i="4" s="1"/>
  <c r="FL121" i="4" s="1"/>
  <c r="FL120" i="4" s="1"/>
  <c r="FL119" i="4" s="1"/>
  <c r="FL118" i="4" s="1"/>
  <c r="FL117" i="4" s="1"/>
  <c r="FL116" i="4" s="1"/>
  <c r="FL115" i="4" s="1"/>
  <c r="FL114" i="4" s="1"/>
  <c r="FL113" i="4" s="1"/>
  <c r="FL112" i="4" s="1"/>
  <c r="FL111" i="4" s="1"/>
  <c r="FL110" i="4" s="1"/>
  <c r="FL109" i="4" s="1"/>
  <c r="FL108" i="4" s="1"/>
  <c r="FL107" i="4" s="1"/>
  <c r="GO190" i="4"/>
  <c r="GO189" i="4" s="1"/>
  <c r="GO188" i="4" s="1"/>
  <c r="GO187" i="4" s="1"/>
  <c r="GO186" i="4" s="1"/>
  <c r="GO185" i="4" s="1"/>
  <c r="GO184" i="4" s="1"/>
  <c r="GO183" i="4" s="1"/>
  <c r="GO182" i="4" s="1"/>
  <c r="GO181" i="4" s="1"/>
  <c r="GO180" i="4" s="1"/>
  <c r="GO179" i="4" s="1"/>
  <c r="GO178" i="4" s="1"/>
  <c r="GO177" i="4" s="1"/>
  <c r="GO176" i="4" s="1"/>
  <c r="GO175" i="4" s="1"/>
  <c r="GO174" i="4" s="1"/>
  <c r="GO173" i="4" s="1"/>
  <c r="GO172" i="4" s="1"/>
  <c r="GO171" i="4" s="1"/>
  <c r="GO170" i="4" s="1"/>
  <c r="GO169" i="4" s="1"/>
  <c r="GO168" i="4" s="1"/>
  <c r="GO167" i="4" s="1"/>
  <c r="GO166" i="4" s="1"/>
  <c r="GO165" i="4" s="1"/>
  <c r="GO164" i="4" s="1"/>
  <c r="GO163" i="4" s="1"/>
  <c r="GO162" i="4" s="1"/>
  <c r="GO161" i="4" s="1"/>
  <c r="GO160" i="4" s="1"/>
  <c r="GO159" i="4" s="1"/>
  <c r="GO158" i="4" s="1"/>
  <c r="GO157" i="4" s="1"/>
  <c r="GO156" i="4" s="1"/>
  <c r="GO155" i="4" s="1"/>
  <c r="GO154" i="4" s="1"/>
  <c r="GO153" i="4" s="1"/>
  <c r="GO152" i="4" s="1"/>
  <c r="GO151" i="4" s="1"/>
  <c r="GO150" i="4" s="1"/>
  <c r="GO149" i="4" s="1"/>
  <c r="GO148" i="4" s="1"/>
  <c r="GO147" i="4" s="1"/>
  <c r="GO146" i="4" s="1"/>
  <c r="GO145" i="4" s="1"/>
  <c r="GO144" i="4" s="1"/>
  <c r="GO143" i="4" s="1"/>
  <c r="GO142" i="4" s="1"/>
  <c r="GO141" i="4" s="1"/>
  <c r="GO140" i="4" s="1"/>
  <c r="GO139" i="4" s="1"/>
  <c r="GO138" i="4" s="1"/>
  <c r="GO137" i="4" s="1"/>
  <c r="GO136" i="4" s="1"/>
  <c r="GO135" i="4" s="1"/>
  <c r="GO134" i="4" s="1"/>
  <c r="GO133" i="4" s="1"/>
  <c r="GO132" i="4" s="1"/>
  <c r="GO131" i="4" s="1"/>
  <c r="GO130" i="4" s="1"/>
  <c r="GO129" i="4" s="1"/>
  <c r="GO128" i="4" s="1"/>
  <c r="GO127" i="4" s="1"/>
  <c r="GO126" i="4" s="1"/>
  <c r="GO125" i="4" s="1"/>
  <c r="GO124" i="4" s="1"/>
  <c r="GO123" i="4" s="1"/>
  <c r="GO122" i="4" s="1"/>
  <c r="GO121" i="4" s="1"/>
  <c r="GO120" i="4" s="1"/>
  <c r="GO119" i="4" s="1"/>
  <c r="GO118" i="4" s="1"/>
  <c r="GO117" i="4" s="1"/>
  <c r="GO116" i="4" s="1"/>
  <c r="GO115" i="4" s="1"/>
  <c r="GO114" i="4" s="1"/>
  <c r="GO113" i="4" s="1"/>
  <c r="GO112" i="4" s="1"/>
  <c r="GO111" i="4" s="1"/>
  <c r="GO110" i="4" s="1"/>
  <c r="GO109" i="4" s="1"/>
  <c r="GO108" i="4" s="1"/>
  <c r="GO107" i="4" s="1"/>
  <c r="EG190" i="4"/>
  <c r="EG189" i="4" s="1"/>
  <c r="EG188" i="4" s="1"/>
  <c r="EG187" i="4" s="1"/>
  <c r="EG186" i="4" s="1"/>
  <c r="EG185" i="4" s="1"/>
  <c r="EG184" i="4" s="1"/>
  <c r="EG183" i="4" s="1"/>
  <c r="EG182" i="4" s="1"/>
  <c r="EG181" i="4" s="1"/>
  <c r="EG180" i="4" s="1"/>
  <c r="EG179" i="4" s="1"/>
  <c r="EG178" i="4" s="1"/>
  <c r="EG177" i="4" s="1"/>
  <c r="EG176" i="4" s="1"/>
  <c r="EG175" i="4" s="1"/>
  <c r="EG174" i="4" s="1"/>
  <c r="EG173" i="4" s="1"/>
  <c r="EG172" i="4" s="1"/>
  <c r="EG171" i="4" s="1"/>
  <c r="EG170" i="4" s="1"/>
  <c r="EG169" i="4" s="1"/>
  <c r="EG168" i="4" s="1"/>
  <c r="EG167" i="4" s="1"/>
  <c r="EG166" i="4" s="1"/>
  <c r="EG165" i="4" s="1"/>
  <c r="EG164" i="4" s="1"/>
  <c r="EG163" i="4" s="1"/>
  <c r="EG162" i="4" s="1"/>
  <c r="EG161" i="4" s="1"/>
  <c r="EG160" i="4" s="1"/>
  <c r="EG159" i="4" s="1"/>
  <c r="EG158" i="4" s="1"/>
  <c r="EG157" i="4" s="1"/>
  <c r="EG156" i="4" s="1"/>
  <c r="EG155" i="4" s="1"/>
  <c r="EG154" i="4" s="1"/>
  <c r="EG153" i="4" s="1"/>
  <c r="EG152" i="4" s="1"/>
  <c r="EG151" i="4" s="1"/>
  <c r="EG150" i="4" s="1"/>
  <c r="EG149" i="4" s="1"/>
  <c r="EG148" i="4" s="1"/>
  <c r="EG147" i="4" s="1"/>
  <c r="EG146" i="4" s="1"/>
  <c r="EG145" i="4" s="1"/>
  <c r="EG144" i="4" s="1"/>
  <c r="EG143" i="4" s="1"/>
  <c r="EG142" i="4" s="1"/>
  <c r="EG141" i="4" s="1"/>
  <c r="EG140" i="4" s="1"/>
  <c r="EG139" i="4" s="1"/>
  <c r="EG138" i="4" s="1"/>
  <c r="EG137" i="4" s="1"/>
  <c r="EG136" i="4" s="1"/>
  <c r="EG135" i="4" s="1"/>
  <c r="EG134" i="4" s="1"/>
  <c r="EG133" i="4" s="1"/>
  <c r="EG132" i="4" s="1"/>
  <c r="EG131" i="4" s="1"/>
  <c r="EG130" i="4" s="1"/>
  <c r="EG129" i="4" s="1"/>
  <c r="EG128" i="4" s="1"/>
  <c r="EG127" i="4" s="1"/>
  <c r="EG126" i="4" s="1"/>
  <c r="EG125" i="4" s="1"/>
  <c r="EG124" i="4" s="1"/>
  <c r="EG123" i="4" s="1"/>
  <c r="EG122" i="4" s="1"/>
  <c r="EG121" i="4" s="1"/>
  <c r="EG120" i="4" s="1"/>
  <c r="EG119" i="4" s="1"/>
  <c r="EG118" i="4" s="1"/>
  <c r="EG117" i="4" s="1"/>
  <c r="EG116" i="4" s="1"/>
  <c r="EG115" i="4" s="1"/>
  <c r="EG114" i="4" s="1"/>
  <c r="EG113" i="4" s="1"/>
  <c r="EG112" i="4" s="1"/>
  <c r="EG111" i="4" s="1"/>
  <c r="EG110" i="4" s="1"/>
  <c r="EG109" i="4" s="1"/>
  <c r="EG108" i="4" s="1"/>
  <c r="EG107" i="4" s="1"/>
  <c r="EY190" i="4"/>
  <c r="EY189" i="4" s="1"/>
  <c r="EY188" i="4" s="1"/>
  <c r="EY187" i="4" s="1"/>
  <c r="EY186" i="4" s="1"/>
  <c r="EY185" i="4" s="1"/>
  <c r="EY184" i="4" s="1"/>
  <c r="EY183" i="4" s="1"/>
  <c r="EY182" i="4" s="1"/>
  <c r="EY181" i="4" s="1"/>
  <c r="EY180" i="4" s="1"/>
  <c r="EY179" i="4" s="1"/>
  <c r="EY178" i="4" s="1"/>
  <c r="EY177" i="4" s="1"/>
  <c r="EY176" i="4" s="1"/>
  <c r="EY175" i="4" s="1"/>
  <c r="EY174" i="4" s="1"/>
  <c r="EY173" i="4" s="1"/>
  <c r="EY172" i="4" s="1"/>
  <c r="EY171" i="4" s="1"/>
  <c r="EY170" i="4" s="1"/>
  <c r="EY169" i="4" s="1"/>
  <c r="EY168" i="4" s="1"/>
  <c r="EY167" i="4" s="1"/>
  <c r="EY166" i="4" s="1"/>
  <c r="EY165" i="4" s="1"/>
  <c r="EY164" i="4" s="1"/>
  <c r="EY163" i="4" s="1"/>
  <c r="EY162" i="4" s="1"/>
  <c r="EY161" i="4" s="1"/>
  <c r="EY160" i="4" s="1"/>
  <c r="EY159" i="4" s="1"/>
  <c r="EY158" i="4" s="1"/>
  <c r="EY157" i="4" s="1"/>
  <c r="EY156" i="4" s="1"/>
  <c r="EY155" i="4" s="1"/>
  <c r="EY154" i="4" s="1"/>
  <c r="EY153" i="4" s="1"/>
  <c r="EY152" i="4" s="1"/>
  <c r="EY151" i="4" s="1"/>
  <c r="EY150" i="4" s="1"/>
  <c r="EY149" i="4" s="1"/>
  <c r="EY148" i="4" s="1"/>
  <c r="EY147" i="4" s="1"/>
  <c r="EY146" i="4" s="1"/>
  <c r="EY145" i="4" s="1"/>
  <c r="EY144" i="4" s="1"/>
  <c r="EY143" i="4" s="1"/>
  <c r="EY142" i="4" s="1"/>
  <c r="EY141" i="4" s="1"/>
  <c r="EY140" i="4" s="1"/>
  <c r="EY139" i="4" s="1"/>
  <c r="EY138" i="4" s="1"/>
  <c r="EY137" i="4" s="1"/>
  <c r="EY136" i="4" s="1"/>
  <c r="EY135" i="4" s="1"/>
  <c r="EY134" i="4" s="1"/>
  <c r="EY133" i="4" s="1"/>
  <c r="EY132" i="4" s="1"/>
  <c r="EY131" i="4" s="1"/>
  <c r="EY130" i="4" s="1"/>
  <c r="EY129" i="4" s="1"/>
  <c r="EY128" i="4" s="1"/>
  <c r="EY127" i="4" s="1"/>
  <c r="EY126" i="4" s="1"/>
  <c r="EY125" i="4" s="1"/>
  <c r="EY124" i="4" s="1"/>
  <c r="EY123" i="4" s="1"/>
  <c r="EY122" i="4" s="1"/>
  <c r="EY121" i="4" s="1"/>
  <c r="EY120" i="4" s="1"/>
  <c r="EY119" i="4" s="1"/>
  <c r="EY118" i="4" s="1"/>
  <c r="EY117" i="4" s="1"/>
  <c r="EY116" i="4" s="1"/>
  <c r="EY115" i="4" s="1"/>
  <c r="EY114" i="4" s="1"/>
  <c r="EY113" i="4" s="1"/>
  <c r="EY112" i="4" s="1"/>
  <c r="EY111" i="4" s="1"/>
  <c r="EY110" i="4" s="1"/>
  <c r="EY109" i="4" s="1"/>
  <c r="EY108" i="4" s="1"/>
  <c r="EY107" i="4" s="1"/>
  <c r="CS184" i="4"/>
  <c r="CS183" i="4" s="1"/>
  <c r="CS182" i="4" s="1"/>
  <c r="CS181" i="4" s="1"/>
  <c r="CS180" i="4" s="1"/>
  <c r="FE178" i="4"/>
  <c r="FE177" i="4" s="1"/>
  <c r="FE176" i="4" s="1"/>
  <c r="FE175" i="4" s="1"/>
  <c r="FE174" i="4" s="1"/>
  <c r="FE173" i="4" s="1"/>
  <c r="FE172" i="4" s="1"/>
  <c r="FE171" i="4" s="1"/>
  <c r="FE170" i="4" s="1"/>
  <c r="FE169" i="4" s="1"/>
  <c r="FE168" i="4" s="1"/>
  <c r="FE167" i="4" s="1"/>
  <c r="FE166" i="4" s="1"/>
  <c r="FE165" i="4" s="1"/>
  <c r="FE164" i="4" s="1"/>
  <c r="FE163" i="4" s="1"/>
  <c r="FE162" i="4" s="1"/>
  <c r="FE161" i="4" s="1"/>
  <c r="FE160" i="4" s="1"/>
  <c r="FE159" i="4" s="1"/>
  <c r="FE158" i="4" s="1"/>
  <c r="FE157" i="4" s="1"/>
  <c r="FE156" i="4" s="1"/>
  <c r="FE155" i="4" s="1"/>
  <c r="FE154" i="4" s="1"/>
  <c r="FE153" i="4" s="1"/>
  <c r="FE152" i="4" s="1"/>
  <c r="FE151" i="4" s="1"/>
  <c r="FE150" i="4" s="1"/>
  <c r="FE149" i="4" s="1"/>
  <c r="FE148" i="4" s="1"/>
  <c r="FE147" i="4" s="1"/>
  <c r="FE146" i="4" s="1"/>
  <c r="FE145" i="4" s="1"/>
  <c r="FE144" i="4" s="1"/>
  <c r="FE143" i="4" s="1"/>
  <c r="FE142" i="4" s="1"/>
  <c r="FE141" i="4" s="1"/>
  <c r="FE140" i="4" s="1"/>
  <c r="FE139" i="4" s="1"/>
  <c r="FE138" i="4" s="1"/>
  <c r="FE137" i="4" s="1"/>
  <c r="FE136" i="4" s="1"/>
  <c r="FE135" i="4" s="1"/>
  <c r="FE134" i="4" s="1"/>
  <c r="FE133" i="4" s="1"/>
  <c r="FE132" i="4" s="1"/>
  <c r="FE131" i="4" s="1"/>
  <c r="FE130" i="4" s="1"/>
  <c r="FE129" i="4" s="1"/>
  <c r="FE128" i="4" s="1"/>
  <c r="FE127" i="4" s="1"/>
  <c r="FE126" i="4" s="1"/>
  <c r="FE125" i="4" s="1"/>
  <c r="FE124" i="4" s="1"/>
  <c r="FE123" i="4" s="1"/>
  <c r="FE122" i="4" s="1"/>
  <c r="FE121" i="4" s="1"/>
  <c r="FE120" i="4" s="1"/>
  <c r="FE119" i="4" s="1"/>
  <c r="FE118" i="4" s="1"/>
  <c r="FE117" i="4" s="1"/>
  <c r="FE116" i="4" s="1"/>
  <c r="FE115" i="4" s="1"/>
  <c r="FE114" i="4" s="1"/>
  <c r="FE113" i="4" s="1"/>
  <c r="FE112" i="4" s="1"/>
  <c r="FE111" i="4" s="1"/>
  <c r="FE110" i="4" s="1"/>
  <c r="FE109" i="4" s="1"/>
  <c r="FE108" i="4" s="1"/>
  <c r="FE107" i="4" s="1"/>
  <c r="FF178" i="4"/>
  <c r="FF177" i="4" s="1"/>
  <c r="FF176" i="4" s="1"/>
  <c r="FF175" i="4" s="1"/>
  <c r="FF174" i="4" s="1"/>
  <c r="FF173" i="4" s="1"/>
  <c r="FF172" i="4" s="1"/>
  <c r="FF171" i="4" s="1"/>
  <c r="FF170" i="4" s="1"/>
  <c r="FF169" i="4" s="1"/>
  <c r="FF168" i="4" s="1"/>
  <c r="FF167" i="4" s="1"/>
  <c r="FF166" i="4" s="1"/>
  <c r="FF165" i="4" s="1"/>
  <c r="FF164" i="4" s="1"/>
  <c r="FF163" i="4" s="1"/>
  <c r="FF162" i="4" s="1"/>
  <c r="FF161" i="4" s="1"/>
  <c r="FF160" i="4" s="1"/>
  <c r="FF159" i="4" s="1"/>
  <c r="FF158" i="4" s="1"/>
  <c r="FF157" i="4" s="1"/>
  <c r="FF156" i="4" s="1"/>
  <c r="FF155" i="4" s="1"/>
  <c r="FF154" i="4" s="1"/>
  <c r="FF153" i="4" s="1"/>
  <c r="FF152" i="4" s="1"/>
  <c r="FF151" i="4" s="1"/>
  <c r="FF150" i="4" s="1"/>
  <c r="FF149" i="4" s="1"/>
  <c r="FF148" i="4" s="1"/>
  <c r="FF147" i="4" s="1"/>
  <c r="FF146" i="4" s="1"/>
  <c r="FF145" i="4" s="1"/>
  <c r="FF144" i="4" s="1"/>
  <c r="FF143" i="4" s="1"/>
  <c r="FF142" i="4" s="1"/>
  <c r="FF141" i="4" s="1"/>
  <c r="FF140" i="4" s="1"/>
  <c r="FF139" i="4" s="1"/>
  <c r="FF138" i="4" s="1"/>
  <c r="FF137" i="4" s="1"/>
  <c r="FF136" i="4" s="1"/>
  <c r="FF135" i="4" s="1"/>
  <c r="FF134" i="4" s="1"/>
  <c r="FF133" i="4" s="1"/>
  <c r="FF132" i="4" s="1"/>
  <c r="FF131" i="4" s="1"/>
  <c r="FF130" i="4" s="1"/>
  <c r="FF129" i="4" s="1"/>
  <c r="FF128" i="4" s="1"/>
  <c r="FF127" i="4" s="1"/>
  <c r="FF126" i="4" s="1"/>
  <c r="FF125" i="4" s="1"/>
  <c r="FF124" i="4" s="1"/>
  <c r="FF123" i="4" s="1"/>
  <c r="FF122" i="4" s="1"/>
  <c r="FF121" i="4" s="1"/>
  <c r="FF120" i="4" s="1"/>
  <c r="FF119" i="4" s="1"/>
  <c r="FF118" i="4" s="1"/>
  <c r="FF117" i="4" s="1"/>
  <c r="FF116" i="4" s="1"/>
  <c r="FF115" i="4" s="1"/>
  <c r="FF114" i="4" s="1"/>
  <c r="FF113" i="4" s="1"/>
  <c r="FF112" i="4" s="1"/>
  <c r="FF111" i="4" s="1"/>
  <c r="FF110" i="4" s="1"/>
  <c r="FF109" i="4" s="1"/>
  <c r="FF108" i="4" s="1"/>
  <c r="FF107" i="4" s="1"/>
  <c r="AX170" i="4"/>
  <c r="AX169" i="4" s="1"/>
  <c r="AX168" i="4" s="1"/>
  <c r="AX167" i="4" s="1"/>
  <c r="AX166" i="4" s="1"/>
  <c r="AX165" i="4" s="1"/>
  <c r="AX164" i="4" s="1"/>
  <c r="AX163" i="4" s="1"/>
  <c r="AX162" i="4" s="1"/>
  <c r="AX161" i="4" s="1"/>
  <c r="AX160" i="4" s="1"/>
  <c r="AX159" i="4" s="1"/>
  <c r="AX158" i="4" s="1"/>
  <c r="AX157" i="4" s="1"/>
  <c r="AX156" i="4" s="1"/>
  <c r="AX155" i="4" s="1"/>
  <c r="AX154" i="4" s="1"/>
  <c r="AX153" i="4" s="1"/>
  <c r="AX152" i="4" s="1"/>
  <c r="AX151" i="4" s="1"/>
  <c r="AX150" i="4" s="1"/>
  <c r="AX149" i="4" s="1"/>
  <c r="AX148" i="4" s="1"/>
  <c r="AX147" i="4" s="1"/>
  <c r="AX146" i="4" s="1"/>
  <c r="AX145" i="4" s="1"/>
  <c r="AX144" i="4" s="1"/>
  <c r="AX143" i="4" s="1"/>
  <c r="AX142" i="4" s="1"/>
  <c r="AX141" i="4" s="1"/>
  <c r="AX140" i="4" s="1"/>
  <c r="AX139" i="4" s="1"/>
  <c r="AX138" i="4" s="1"/>
  <c r="AX137" i="4" s="1"/>
  <c r="AX136" i="4" s="1"/>
  <c r="AX135" i="4" s="1"/>
  <c r="AX134" i="4" s="1"/>
  <c r="AX133" i="4" s="1"/>
  <c r="AX132" i="4" s="1"/>
  <c r="AX131" i="4" s="1"/>
  <c r="AX130" i="4" s="1"/>
  <c r="AX129" i="4" s="1"/>
  <c r="AX128" i="4" s="1"/>
  <c r="AX127" i="4" s="1"/>
  <c r="AX126" i="4" s="1"/>
  <c r="AX125" i="4" s="1"/>
  <c r="AX124" i="4" s="1"/>
  <c r="AX123" i="4" s="1"/>
  <c r="AX122" i="4" s="1"/>
  <c r="AX121" i="4" s="1"/>
  <c r="AX120" i="4" s="1"/>
  <c r="AX119" i="4" s="1"/>
  <c r="AX118" i="4" s="1"/>
  <c r="AX117" i="4" s="1"/>
  <c r="AX116" i="4" s="1"/>
  <c r="AX115" i="4" s="1"/>
  <c r="AX114" i="4" s="1"/>
  <c r="AX113" i="4" s="1"/>
  <c r="AX112" i="4" s="1"/>
  <c r="AX111" i="4" s="1"/>
  <c r="AX110" i="4" s="1"/>
  <c r="AX109" i="4" s="1"/>
  <c r="AX108" i="4" s="1"/>
  <c r="AX107" i="4" s="1"/>
  <c r="BJ170" i="4"/>
  <c r="BJ169" i="4" s="1"/>
  <c r="BJ168" i="4" s="1"/>
  <c r="BJ167" i="4" s="1"/>
  <c r="BJ166" i="4" s="1"/>
  <c r="BJ165" i="4" s="1"/>
  <c r="BJ164" i="4" s="1"/>
  <c r="BJ163" i="4" s="1"/>
  <c r="BJ162" i="4" s="1"/>
  <c r="BJ161" i="4" s="1"/>
  <c r="BJ160" i="4" s="1"/>
  <c r="BJ159" i="4" s="1"/>
  <c r="BJ158" i="4" s="1"/>
  <c r="BJ157" i="4" s="1"/>
  <c r="BJ156" i="4" s="1"/>
  <c r="BJ155" i="4" s="1"/>
  <c r="BJ154" i="4" s="1"/>
  <c r="BJ153" i="4" s="1"/>
  <c r="BJ152" i="4" s="1"/>
  <c r="BJ151" i="4" s="1"/>
  <c r="BJ150" i="4" s="1"/>
  <c r="BJ149" i="4" s="1"/>
  <c r="BJ148" i="4" s="1"/>
  <c r="BJ147" i="4" s="1"/>
  <c r="BJ146" i="4" s="1"/>
  <c r="BJ145" i="4" s="1"/>
  <c r="BJ144" i="4" s="1"/>
  <c r="BJ143" i="4" s="1"/>
  <c r="BJ142" i="4" s="1"/>
  <c r="BJ141" i="4" s="1"/>
  <c r="BJ140" i="4" s="1"/>
  <c r="BJ139" i="4" s="1"/>
  <c r="BJ138" i="4" s="1"/>
  <c r="BJ137" i="4" s="1"/>
  <c r="BJ136" i="4" s="1"/>
  <c r="BJ135" i="4" s="1"/>
  <c r="BJ134" i="4" s="1"/>
  <c r="BJ133" i="4" s="1"/>
  <c r="BJ132" i="4" s="1"/>
  <c r="BJ131" i="4" s="1"/>
  <c r="BJ130" i="4" s="1"/>
  <c r="BJ129" i="4" s="1"/>
  <c r="BJ128" i="4" s="1"/>
  <c r="BJ127" i="4" s="1"/>
  <c r="BJ126" i="4" s="1"/>
  <c r="BJ125" i="4" s="1"/>
  <c r="BJ124" i="4" s="1"/>
  <c r="BJ123" i="4" s="1"/>
  <c r="BJ122" i="4" s="1"/>
  <c r="BJ121" i="4" s="1"/>
  <c r="BJ120" i="4" s="1"/>
  <c r="BJ119" i="4" s="1"/>
  <c r="BJ118" i="4" s="1"/>
  <c r="BJ117" i="4" s="1"/>
  <c r="BJ116" i="4" s="1"/>
  <c r="BJ115" i="4" s="1"/>
  <c r="BJ114" i="4" s="1"/>
  <c r="BJ113" i="4" s="1"/>
  <c r="BJ112" i="4" s="1"/>
  <c r="BJ111" i="4" s="1"/>
  <c r="BJ110" i="4" s="1"/>
  <c r="BJ109" i="4" s="1"/>
  <c r="BJ108" i="4" s="1"/>
  <c r="BJ107" i="4" s="1"/>
  <c r="AW170" i="4"/>
  <c r="AW169" i="4" s="1"/>
  <c r="AW168" i="4" s="1"/>
  <c r="AW167" i="4" s="1"/>
  <c r="AW166" i="4" s="1"/>
  <c r="AW165" i="4" s="1"/>
  <c r="AW164" i="4" s="1"/>
  <c r="AW163" i="4" s="1"/>
  <c r="AW162" i="4" s="1"/>
  <c r="AW161" i="4" s="1"/>
  <c r="AW160" i="4" s="1"/>
  <c r="AW159" i="4" s="1"/>
  <c r="AW158" i="4" s="1"/>
  <c r="AW157" i="4" s="1"/>
  <c r="AW156" i="4" s="1"/>
  <c r="AW155" i="4" s="1"/>
  <c r="AW154" i="4" s="1"/>
  <c r="AW153" i="4" s="1"/>
  <c r="AW152" i="4" s="1"/>
  <c r="AW151" i="4" s="1"/>
  <c r="AW150" i="4" s="1"/>
  <c r="AW149" i="4" s="1"/>
  <c r="AW148" i="4" s="1"/>
  <c r="AW147" i="4" s="1"/>
  <c r="AW146" i="4" s="1"/>
  <c r="AW145" i="4" s="1"/>
  <c r="AW144" i="4" s="1"/>
  <c r="AW143" i="4" s="1"/>
  <c r="AW142" i="4" s="1"/>
  <c r="AW141" i="4" s="1"/>
  <c r="AW140" i="4" s="1"/>
  <c r="AW139" i="4" s="1"/>
  <c r="AW138" i="4" s="1"/>
  <c r="AW137" i="4" s="1"/>
  <c r="AW136" i="4" s="1"/>
  <c r="AW135" i="4" s="1"/>
  <c r="AW134" i="4" s="1"/>
  <c r="AW133" i="4" s="1"/>
  <c r="AW132" i="4" s="1"/>
  <c r="AW131" i="4" s="1"/>
  <c r="AW130" i="4" s="1"/>
  <c r="AW129" i="4" s="1"/>
  <c r="AW128" i="4" s="1"/>
  <c r="AW127" i="4" s="1"/>
  <c r="AW126" i="4" s="1"/>
  <c r="AW125" i="4" s="1"/>
  <c r="AW124" i="4" s="1"/>
  <c r="AW123" i="4" s="1"/>
  <c r="AW122" i="4" s="1"/>
  <c r="AW121" i="4" s="1"/>
  <c r="AW120" i="4" s="1"/>
  <c r="AW119" i="4" s="1"/>
  <c r="AW118" i="4" s="1"/>
  <c r="AW117" i="4" s="1"/>
  <c r="AW116" i="4" s="1"/>
  <c r="AW115" i="4" s="1"/>
  <c r="AW114" i="4" s="1"/>
  <c r="AW113" i="4" s="1"/>
  <c r="AW112" i="4" s="1"/>
  <c r="AW111" i="4" s="1"/>
  <c r="AW110" i="4" s="1"/>
  <c r="AW109" i="4" s="1"/>
  <c r="AW108" i="4" s="1"/>
  <c r="AW107" i="4" s="1"/>
  <c r="AW106" i="4" s="1"/>
  <c r="AW4" i="4" s="1"/>
  <c r="AY170" i="4"/>
  <c r="AY169" i="4" s="1"/>
  <c r="AY168" i="4" s="1"/>
  <c r="AY167" i="4" s="1"/>
  <c r="AY166" i="4" s="1"/>
  <c r="AY165" i="4" s="1"/>
  <c r="AY164" i="4" s="1"/>
  <c r="AY163" i="4" s="1"/>
  <c r="AY162" i="4" s="1"/>
  <c r="AY161" i="4" s="1"/>
  <c r="AY160" i="4" s="1"/>
  <c r="AY159" i="4" s="1"/>
  <c r="AY158" i="4" s="1"/>
  <c r="AY157" i="4" s="1"/>
  <c r="AY156" i="4" s="1"/>
  <c r="AY155" i="4" s="1"/>
  <c r="AY154" i="4" s="1"/>
  <c r="AY153" i="4" s="1"/>
  <c r="AY152" i="4" s="1"/>
  <c r="AY151" i="4" s="1"/>
  <c r="AY150" i="4" s="1"/>
  <c r="AY149" i="4" s="1"/>
  <c r="AY148" i="4" s="1"/>
  <c r="AY147" i="4" s="1"/>
  <c r="AY146" i="4" s="1"/>
  <c r="AY145" i="4" s="1"/>
  <c r="AY144" i="4" s="1"/>
  <c r="AY143" i="4" s="1"/>
  <c r="AY142" i="4" s="1"/>
  <c r="AY141" i="4" s="1"/>
  <c r="AY140" i="4" s="1"/>
  <c r="AY139" i="4" s="1"/>
  <c r="AY138" i="4" s="1"/>
  <c r="AY137" i="4" s="1"/>
  <c r="AY136" i="4" s="1"/>
  <c r="AY135" i="4" s="1"/>
  <c r="AY134" i="4" s="1"/>
  <c r="AY133" i="4" s="1"/>
  <c r="AY132" i="4" s="1"/>
  <c r="AY131" i="4" s="1"/>
  <c r="AY130" i="4" s="1"/>
  <c r="AY129" i="4" s="1"/>
  <c r="AY128" i="4" s="1"/>
  <c r="AY127" i="4" s="1"/>
  <c r="AY126" i="4" s="1"/>
  <c r="AY125" i="4" s="1"/>
  <c r="AY124" i="4" s="1"/>
  <c r="AY123" i="4" s="1"/>
  <c r="AY122" i="4" s="1"/>
  <c r="AY121" i="4" s="1"/>
  <c r="AY120" i="4" s="1"/>
  <c r="AY119" i="4" s="1"/>
  <c r="AY118" i="4" s="1"/>
  <c r="AY117" i="4" s="1"/>
  <c r="AY116" i="4" s="1"/>
  <c r="AY115" i="4" s="1"/>
  <c r="AY114" i="4" s="1"/>
  <c r="AY113" i="4" s="1"/>
  <c r="AY112" i="4" s="1"/>
  <c r="AY111" i="4" s="1"/>
  <c r="AY110" i="4" s="1"/>
  <c r="AY109" i="4" s="1"/>
  <c r="AY108" i="4" s="1"/>
  <c r="AY107" i="4" s="1"/>
  <c r="AY106" i="4" s="1"/>
  <c r="BI170" i="4"/>
  <c r="BI169" i="4" s="1"/>
  <c r="BI168" i="4" s="1"/>
  <c r="BI167" i="4" s="1"/>
  <c r="BI166" i="4" s="1"/>
  <c r="BI165" i="4" s="1"/>
  <c r="BI164" i="4" s="1"/>
  <c r="BI163" i="4" s="1"/>
  <c r="BI162" i="4" s="1"/>
  <c r="BI161" i="4" s="1"/>
  <c r="BI160" i="4" s="1"/>
  <c r="BI159" i="4" s="1"/>
  <c r="BI158" i="4" s="1"/>
  <c r="BI157" i="4" s="1"/>
  <c r="BI156" i="4" s="1"/>
  <c r="BI155" i="4" s="1"/>
  <c r="BI154" i="4" s="1"/>
  <c r="BI153" i="4" s="1"/>
  <c r="BI152" i="4" s="1"/>
  <c r="BI151" i="4" s="1"/>
  <c r="BI150" i="4" s="1"/>
  <c r="BI149" i="4" s="1"/>
  <c r="BI148" i="4" s="1"/>
  <c r="BI147" i="4" s="1"/>
  <c r="BI146" i="4" s="1"/>
  <c r="BI145" i="4" s="1"/>
  <c r="BI144" i="4" s="1"/>
  <c r="BI143" i="4" s="1"/>
  <c r="BI142" i="4" s="1"/>
  <c r="BI141" i="4" s="1"/>
  <c r="BI140" i="4" s="1"/>
  <c r="BI139" i="4" s="1"/>
  <c r="BI138" i="4" s="1"/>
  <c r="BI137" i="4" s="1"/>
  <c r="BI136" i="4" s="1"/>
  <c r="BI135" i="4" s="1"/>
  <c r="BI134" i="4" s="1"/>
  <c r="BI133" i="4" s="1"/>
  <c r="BI132" i="4" s="1"/>
  <c r="BI131" i="4" s="1"/>
  <c r="BI130" i="4" s="1"/>
  <c r="BI129" i="4" s="1"/>
  <c r="BI128" i="4" s="1"/>
  <c r="BI127" i="4" s="1"/>
  <c r="BI126" i="4" s="1"/>
  <c r="BI125" i="4" s="1"/>
  <c r="BI124" i="4" s="1"/>
  <c r="BI123" i="4" s="1"/>
  <c r="BI122" i="4" s="1"/>
  <c r="BI121" i="4" s="1"/>
  <c r="BI120" i="4" s="1"/>
  <c r="BI119" i="4" s="1"/>
  <c r="BI118" i="4" s="1"/>
  <c r="BI117" i="4" s="1"/>
  <c r="BI116" i="4" s="1"/>
  <c r="BI115" i="4" s="1"/>
  <c r="BI114" i="4" s="1"/>
  <c r="BI113" i="4" s="1"/>
  <c r="BI112" i="4" s="1"/>
  <c r="BI111" i="4" s="1"/>
  <c r="BI110" i="4" s="1"/>
  <c r="BI109" i="4" s="1"/>
  <c r="BI108" i="4" s="1"/>
  <c r="BI107" i="4" s="1"/>
  <c r="BI106" i="4" s="1"/>
  <c r="BI4" i="4" s="1"/>
  <c r="BK170" i="4"/>
  <c r="BK169" i="4" s="1"/>
  <c r="BK168" i="4" s="1"/>
  <c r="BK167" i="4" s="1"/>
  <c r="BK166" i="4" s="1"/>
  <c r="BK165" i="4" s="1"/>
  <c r="BK164" i="4" s="1"/>
  <c r="BK163" i="4" s="1"/>
  <c r="BK162" i="4" s="1"/>
  <c r="BK161" i="4" s="1"/>
  <c r="BK160" i="4" s="1"/>
  <c r="BK159" i="4" s="1"/>
  <c r="BK158" i="4" s="1"/>
  <c r="BK157" i="4" s="1"/>
  <c r="BK156" i="4" s="1"/>
  <c r="BK155" i="4" s="1"/>
  <c r="BK154" i="4" s="1"/>
  <c r="BK153" i="4" s="1"/>
  <c r="BK152" i="4" s="1"/>
  <c r="BK151" i="4" s="1"/>
  <c r="BK150" i="4" s="1"/>
  <c r="BK149" i="4" s="1"/>
  <c r="BK148" i="4" s="1"/>
  <c r="BK147" i="4" s="1"/>
  <c r="BK146" i="4" s="1"/>
  <c r="BK145" i="4" s="1"/>
  <c r="BK144" i="4" s="1"/>
  <c r="BK143" i="4" s="1"/>
  <c r="BK142" i="4" s="1"/>
  <c r="BK141" i="4" s="1"/>
  <c r="BK140" i="4" s="1"/>
  <c r="BK139" i="4" s="1"/>
  <c r="BK138" i="4" s="1"/>
  <c r="BK137" i="4" s="1"/>
  <c r="BK136" i="4" s="1"/>
  <c r="BK135" i="4" s="1"/>
  <c r="BK134" i="4" s="1"/>
  <c r="BK133" i="4" s="1"/>
  <c r="BK132" i="4" s="1"/>
  <c r="BK131" i="4" s="1"/>
  <c r="BK130" i="4" s="1"/>
  <c r="BK129" i="4" s="1"/>
  <c r="BK128" i="4" s="1"/>
  <c r="BK127" i="4" s="1"/>
  <c r="BK126" i="4" s="1"/>
  <c r="BK125" i="4" s="1"/>
  <c r="BK124" i="4" s="1"/>
  <c r="BK123" i="4" s="1"/>
  <c r="BK122" i="4" s="1"/>
  <c r="BK121" i="4" s="1"/>
  <c r="BK120" i="4" s="1"/>
  <c r="BK119" i="4" s="1"/>
  <c r="BK118" i="4" s="1"/>
  <c r="BK117" i="4" s="1"/>
  <c r="BK116" i="4" s="1"/>
  <c r="BK115" i="4" s="1"/>
  <c r="BK114" i="4" s="1"/>
  <c r="BK113" i="4" s="1"/>
  <c r="BK112" i="4" s="1"/>
  <c r="BK111" i="4" s="1"/>
  <c r="BK110" i="4" s="1"/>
  <c r="BK109" i="4" s="1"/>
  <c r="BK108" i="4" s="1"/>
  <c r="BK107" i="4" s="1"/>
  <c r="BK106" i="4" s="1"/>
  <c r="GZ160" i="4"/>
  <c r="GZ159" i="4" s="1"/>
  <c r="GZ158" i="4" s="1"/>
  <c r="GZ157" i="4" s="1"/>
  <c r="GZ156" i="4" s="1"/>
  <c r="GZ155" i="4" s="1"/>
  <c r="GZ154" i="4" s="1"/>
  <c r="GZ153" i="4" s="1"/>
  <c r="GZ152" i="4" s="1"/>
  <c r="GZ151" i="4" s="1"/>
  <c r="GZ150" i="4" s="1"/>
  <c r="GZ149" i="4" s="1"/>
  <c r="GZ148" i="4" s="1"/>
  <c r="GZ147" i="4" s="1"/>
  <c r="GZ146" i="4" s="1"/>
  <c r="GZ145" i="4" s="1"/>
  <c r="GZ144" i="4" s="1"/>
  <c r="GZ143" i="4" s="1"/>
  <c r="GZ142" i="4" s="1"/>
  <c r="GZ141" i="4" s="1"/>
  <c r="GZ140" i="4" s="1"/>
  <c r="GZ139" i="4" s="1"/>
  <c r="GZ138" i="4" s="1"/>
  <c r="GZ137" i="4" s="1"/>
  <c r="GZ136" i="4" s="1"/>
  <c r="GZ135" i="4" s="1"/>
  <c r="GZ134" i="4" s="1"/>
  <c r="GZ133" i="4" s="1"/>
  <c r="GZ132" i="4" s="1"/>
  <c r="GZ131" i="4" s="1"/>
  <c r="GZ130" i="4" s="1"/>
  <c r="GZ129" i="4" s="1"/>
  <c r="GZ128" i="4" s="1"/>
  <c r="GZ127" i="4" s="1"/>
  <c r="GZ126" i="4" s="1"/>
  <c r="GZ125" i="4" s="1"/>
  <c r="GZ124" i="4" s="1"/>
  <c r="GZ123" i="4" s="1"/>
  <c r="GZ122" i="4" s="1"/>
  <c r="GZ121" i="4" s="1"/>
  <c r="GZ120" i="4" s="1"/>
  <c r="GZ119" i="4" s="1"/>
  <c r="GZ118" i="4" s="1"/>
  <c r="GZ117" i="4" s="1"/>
  <c r="GZ116" i="4" s="1"/>
  <c r="GZ115" i="4" s="1"/>
  <c r="GZ114" i="4" s="1"/>
  <c r="GZ113" i="4" s="1"/>
  <c r="GZ112" i="4" s="1"/>
  <c r="GZ111" i="4" s="1"/>
  <c r="GZ110" i="4" s="1"/>
  <c r="GZ109" i="4" s="1"/>
  <c r="GZ108" i="4" s="1"/>
  <c r="GZ107" i="4" s="1"/>
  <c r="GZ106" i="4" s="1"/>
  <c r="GZ4" i="4" s="1"/>
  <c r="E38" i="2" s="1"/>
  <c r="DF154" i="4"/>
  <c r="DF153" i="4" s="1"/>
  <c r="DF152" i="4" s="1"/>
  <c r="DF151" i="4" s="1"/>
  <c r="DF150" i="4" s="1"/>
  <c r="DF149" i="4" s="1"/>
  <c r="DF148" i="4" s="1"/>
  <c r="DF147" i="4" s="1"/>
  <c r="DF146" i="4" s="1"/>
  <c r="DF145" i="4" s="1"/>
  <c r="DF144" i="4" s="1"/>
  <c r="DF143" i="4" s="1"/>
  <c r="DF142" i="4" s="1"/>
  <c r="DF141" i="4" s="1"/>
  <c r="DF140" i="4" s="1"/>
  <c r="DF139" i="4" s="1"/>
  <c r="DF138" i="4" s="1"/>
  <c r="DF137" i="4" s="1"/>
  <c r="DF136" i="4" s="1"/>
  <c r="DF135" i="4" s="1"/>
  <c r="DF134" i="4" s="1"/>
  <c r="DF133" i="4" s="1"/>
  <c r="DF132" i="4" s="1"/>
  <c r="DF131" i="4" s="1"/>
  <c r="DF130" i="4" s="1"/>
  <c r="DF129" i="4" s="1"/>
  <c r="DF128" i="4" s="1"/>
  <c r="DF127" i="4" s="1"/>
  <c r="DF126" i="4" s="1"/>
  <c r="DF125" i="4" s="1"/>
  <c r="DF124" i="4" s="1"/>
  <c r="DF123" i="4" s="1"/>
  <c r="DF122" i="4" s="1"/>
  <c r="DF121" i="4" s="1"/>
  <c r="DF120" i="4" s="1"/>
  <c r="DF119" i="4" s="1"/>
  <c r="DF118" i="4" s="1"/>
  <c r="DF117" i="4" s="1"/>
  <c r="DF116" i="4" s="1"/>
  <c r="DF115" i="4" s="1"/>
  <c r="DF114" i="4" s="1"/>
  <c r="DF113" i="4" s="1"/>
  <c r="DF112" i="4" s="1"/>
  <c r="DF111" i="4" s="1"/>
  <c r="DF110" i="4" s="1"/>
  <c r="DF109" i="4" s="1"/>
  <c r="DF108" i="4" s="1"/>
  <c r="DF107" i="4" s="1"/>
  <c r="DG154" i="4"/>
  <c r="DG153" i="4" s="1"/>
  <c r="DG152" i="4" s="1"/>
  <c r="DG151" i="4" s="1"/>
  <c r="DG150" i="4" s="1"/>
  <c r="DG149" i="4" s="1"/>
  <c r="DG148" i="4" s="1"/>
  <c r="DG147" i="4" s="1"/>
  <c r="DG146" i="4" s="1"/>
  <c r="DG145" i="4" s="1"/>
  <c r="DG144" i="4" s="1"/>
  <c r="DG143" i="4" s="1"/>
  <c r="DG142" i="4" s="1"/>
  <c r="DG141" i="4" s="1"/>
  <c r="DG140" i="4" s="1"/>
  <c r="DG139" i="4" s="1"/>
  <c r="DG138" i="4" s="1"/>
  <c r="DG137" i="4" s="1"/>
  <c r="DG136" i="4" s="1"/>
  <c r="DG135" i="4" s="1"/>
  <c r="DG134" i="4" s="1"/>
  <c r="DG133" i="4" s="1"/>
  <c r="DG132" i="4" s="1"/>
  <c r="DG131" i="4" s="1"/>
  <c r="DG130" i="4" s="1"/>
  <c r="DG129" i="4" s="1"/>
  <c r="DG128" i="4" s="1"/>
  <c r="DG127" i="4" s="1"/>
  <c r="DG126" i="4" s="1"/>
  <c r="DG125" i="4" s="1"/>
  <c r="DG124" i="4" s="1"/>
  <c r="DG123" i="4" s="1"/>
  <c r="DG122" i="4" s="1"/>
  <c r="DG121" i="4" s="1"/>
  <c r="DG120" i="4" s="1"/>
  <c r="DG119" i="4" s="1"/>
  <c r="DG118" i="4" s="1"/>
  <c r="DG117" i="4" s="1"/>
  <c r="DG116" i="4" s="1"/>
  <c r="DG115" i="4" s="1"/>
  <c r="DG114" i="4" s="1"/>
  <c r="DG113" i="4" s="1"/>
  <c r="DG112" i="4" s="1"/>
  <c r="DG111" i="4" s="1"/>
  <c r="DG110" i="4" s="1"/>
  <c r="DG109" i="4" s="1"/>
  <c r="DG108" i="4" s="1"/>
  <c r="DG107" i="4" s="1"/>
  <c r="DG106" i="4" s="1"/>
  <c r="BG134" i="4"/>
  <c r="BG133" i="4" s="1"/>
  <c r="BG132" i="4" s="1"/>
  <c r="BG131" i="4" s="1"/>
  <c r="BG130" i="4" s="1"/>
  <c r="BG129" i="4" s="1"/>
  <c r="BG128" i="4" s="1"/>
  <c r="BG127" i="4" s="1"/>
  <c r="BG126" i="4" s="1"/>
  <c r="BG125" i="4" s="1"/>
  <c r="BG124" i="4" s="1"/>
  <c r="BG123" i="4" s="1"/>
  <c r="BG122" i="4" s="1"/>
  <c r="BG121" i="4" s="1"/>
  <c r="BG120" i="4" s="1"/>
  <c r="BG119" i="4" s="1"/>
  <c r="BG118" i="4" s="1"/>
  <c r="BG117" i="4" s="1"/>
  <c r="BG116" i="4" s="1"/>
  <c r="BG115" i="4" s="1"/>
  <c r="BG114" i="4" s="1"/>
  <c r="BG113" i="4" s="1"/>
  <c r="BG112" i="4" s="1"/>
  <c r="BG111" i="4" s="1"/>
  <c r="BG110" i="4" s="1"/>
  <c r="BG109" i="4" s="1"/>
  <c r="BG108" i="4" s="1"/>
  <c r="BG107" i="4" s="1"/>
  <c r="AU134" i="4"/>
  <c r="AU133" i="4" s="1"/>
  <c r="AU132" i="4" s="1"/>
  <c r="AU131" i="4" s="1"/>
  <c r="AU130" i="4" s="1"/>
  <c r="AU129" i="4" s="1"/>
  <c r="AU128" i="4" s="1"/>
  <c r="AU127" i="4" s="1"/>
  <c r="AU126" i="4" s="1"/>
  <c r="AU125" i="4" s="1"/>
  <c r="AU124" i="4" s="1"/>
  <c r="AU123" i="4" s="1"/>
  <c r="AU122" i="4" s="1"/>
  <c r="AU121" i="4" s="1"/>
  <c r="AU120" i="4" s="1"/>
  <c r="AU119" i="4" s="1"/>
  <c r="AU118" i="4" s="1"/>
  <c r="AU117" i="4" s="1"/>
  <c r="AU116" i="4" s="1"/>
  <c r="AU115" i="4" s="1"/>
  <c r="AU114" i="4" s="1"/>
  <c r="AU113" i="4" s="1"/>
  <c r="AU112" i="4" s="1"/>
  <c r="AU111" i="4" s="1"/>
  <c r="AU110" i="4" s="1"/>
  <c r="AU109" i="4" s="1"/>
  <c r="AU108" i="4" s="1"/>
  <c r="AU107" i="4" s="1"/>
  <c r="AU106" i="4" s="1"/>
  <c r="AU4" i="4" s="1"/>
  <c r="CV130" i="4"/>
  <c r="CV129" i="4" s="1"/>
  <c r="CV128" i="4" s="1"/>
  <c r="CV127" i="4" s="1"/>
  <c r="CV126" i="4" s="1"/>
  <c r="CV125" i="4" s="1"/>
  <c r="CV124" i="4" s="1"/>
  <c r="CV123" i="4" s="1"/>
  <c r="CV122" i="4" s="1"/>
  <c r="CV121" i="4" s="1"/>
  <c r="CV120" i="4" s="1"/>
  <c r="CV119" i="4" s="1"/>
  <c r="CV118" i="4" s="1"/>
  <c r="CV117" i="4" s="1"/>
  <c r="CV116" i="4" s="1"/>
  <c r="CV115" i="4" s="1"/>
  <c r="CV114" i="4" s="1"/>
  <c r="CV113" i="4" s="1"/>
  <c r="CV112" i="4" s="1"/>
  <c r="CV111" i="4" s="1"/>
  <c r="CV110" i="4" s="1"/>
  <c r="CV109" i="4" s="1"/>
  <c r="CV108" i="4" s="1"/>
  <c r="CV107" i="4" s="1"/>
  <c r="CV106" i="4" s="1"/>
  <c r="CV4" i="4" s="1"/>
  <c r="AH130" i="4"/>
  <c r="AH129" i="4" s="1"/>
  <c r="AH128" i="4" s="1"/>
  <c r="AH127" i="4" s="1"/>
  <c r="AH126" i="4" s="1"/>
  <c r="AH125" i="4" s="1"/>
  <c r="AH124" i="4" s="1"/>
  <c r="AH123" i="4" s="1"/>
  <c r="AH122" i="4" s="1"/>
  <c r="AH121" i="4" s="1"/>
  <c r="AH120" i="4" s="1"/>
  <c r="AH119" i="4" s="1"/>
  <c r="AH118" i="4" s="1"/>
  <c r="AH117" i="4" s="1"/>
  <c r="AH116" i="4" s="1"/>
  <c r="AH115" i="4" s="1"/>
  <c r="AH114" i="4" s="1"/>
  <c r="AH113" i="4" s="1"/>
  <c r="AH112" i="4" s="1"/>
  <c r="AH111" i="4" s="1"/>
  <c r="AH110" i="4" s="1"/>
  <c r="AH109" i="4" s="1"/>
  <c r="AH108" i="4" s="1"/>
  <c r="AH107" i="4" s="1"/>
  <c r="AH106" i="4" s="1"/>
  <c r="AH4" i="4" s="1"/>
  <c r="V130" i="4"/>
  <c r="V129" i="4" s="1"/>
  <c r="V128" i="4" s="1"/>
  <c r="V127" i="4" s="1"/>
  <c r="V126" i="4" s="1"/>
  <c r="V125" i="4" s="1"/>
  <c r="V124" i="4" s="1"/>
  <c r="V123" i="4" s="1"/>
  <c r="V122" i="4" s="1"/>
  <c r="V121" i="4" s="1"/>
  <c r="V120" i="4" s="1"/>
  <c r="V119" i="4" s="1"/>
  <c r="V118" i="4" s="1"/>
  <c r="V117" i="4" s="1"/>
  <c r="V116" i="4" s="1"/>
  <c r="V115" i="4" s="1"/>
  <c r="V114" i="4" s="1"/>
  <c r="V113" i="4" s="1"/>
  <c r="V112" i="4" s="1"/>
  <c r="V111" i="4" s="1"/>
  <c r="V110" i="4" s="1"/>
  <c r="V109" i="4" s="1"/>
  <c r="V108" i="4" s="1"/>
  <c r="V107" i="4" s="1"/>
  <c r="V106" i="4" s="1"/>
  <c r="V4" i="4" s="1"/>
  <c r="CP130" i="4"/>
  <c r="CP129" i="4" s="1"/>
  <c r="CP128" i="4" s="1"/>
  <c r="CP127" i="4" s="1"/>
  <c r="CP126" i="4" s="1"/>
  <c r="CP125" i="4" s="1"/>
  <c r="CP124" i="4" s="1"/>
  <c r="CP123" i="4" s="1"/>
  <c r="CP122" i="4" s="1"/>
  <c r="CP121" i="4" s="1"/>
  <c r="CP120" i="4" s="1"/>
  <c r="CP119" i="4" s="1"/>
  <c r="CP118" i="4" s="1"/>
  <c r="CP117" i="4" s="1"/>
  <c r="CP116" i="4" s="1"/>
  <c r="CP115" i="4" s="1"/>
  <c r="CP114" i="4" s="1"/>
  <c r="CP113" i="4" s="1"/>
  <c r="CP112" i="4" s="1"/>
  <c r="CP111" i="4" s="1"/>
  <c r="CP110" i="4" s="1"/>
  <c r="CP109" i="4" s="1"/>
  <c r="CP108" i="4" s="1"/>
  <c r="CP107" i="4" s="1"/>
  <c r="CP106" i="4" s="1"/>
  <c r="CP4" i="4" s="1"/>
  <c r="AB130" i="4"/>
  <c r="AB129" i="4" s="1"/>
  <c r="AB128" i="4" s="1"/>
  <c r="AB127" i="4" s="1"/>
  <c r="AB126" i="4" s="1"/>
  <c r="AB125" i="4" s="1"/>
  <c r="AB124" i="4" s="1"/>
  <c r="AB123" i="4" s="1"/>
  <c r="AB122" i="4" s="1"/>
  <c r="AB121" i="4" s="1"/>
  <c r="AB120" i="4" s="1"/>
  <c r="AB119" i="4" s="1"/>
  <c r="AB118" i="4" s="1"/>
  <c r="AB117" i="4" s="1"/>
  <c r="AB116" i="4" s="1"/>
  <c r="AB115" i="4" s="1"/>
  <c r="AB114" i="4" s="1"/>
  <c r="AB113" i="4" s="1"/>
  <c r="AB112" i="4" s="1"/>
  <c r="AB111" i="4" s="1"/>
  <c r="AB110" i="4" s="1"/>
  <c r="AB109" i="4" s="1"/>
  <c r="AB108" i="4" s="1"/>
  <c r="AB107" i="4" s="1"/>
  <c r="AB106" i="4" s="1"/>
  <c r="AB4" i="4" s="1"/>
  <c r="CJ130" i="4"/>
  <c r="CJ129" i="4" s="1"/>
  <c r="CJ128" i="4" s="1"/>
  <c r="CJ127" i="4" s="1"/>
  <c r="CJ126" i="4" s="1"/>
  <c r="CJ125" i="4" s="1"/>
  <c r="CJ124" i="4" s="1"/>
  <c r="CJ123" i="4" s="1"/>
  <c r="CJ122" i="4" s="1"/>
  <c r="CJ121" i="4" s="1"/>
  <c r="CJ120" i="4" s="1"/>
  <c r="CJ119" i="4" s="1"/>
  <c r="CJ118" i="4" s="1"/>
  <c r="CJ117" i="4" s="1"/>
  <c r="CJ116" i="4" s="1"/>
  <c r="CJ115" i="4" s="1"/>
  <c r="CJ114" i="4" s="1"/>
  <c r="CJ113" i="4" s="1"/>
  <c r="CJ112" i="4" s="1"/>
  <c r="CJ111" i="4" s="1"/>
  <c r="CJ110" i="4" s="1"/>
  <c r="CJ109" i="4" s="1"/>
  <c r="CJ108" i="4" s="1"/>
  <c r="CJ107" i="4" s="1"/>
  <c r="CJ106" i="4" s="1"/>
  <c r="CJ4" i="4" s="1"/>
  <c r="D130" i="4"/>
  <c r="D129" i="4" s="1"/>
  <c r="D128" i="4" s="1"/>
  <c r="D127" i="4" s="1"/>
  <c r="D126" i="4" s="1"/>
  <c r="D125" i="4" s="1"/>
  <c r="D124" i="4" s="1"/>
  <c r="D123" i="4" s="1"/>
  <c r="D122" i="4" s="1"/>
  <c r="D121" i="4" s="1"/>
  <c r="D120" i="4" s="1"/>
  <c r="D119" i="4" s="1"/>
  <c r="D118" i="4" s="1"/>
  <c r="D117" i="4" s="1"/>
  <c r="D116" i="4" s="1"/>
  <c r="D115" i="4" s="1"/>
  <c r="D114" i="4" s="1"/>
  <c r="D113" i="4" s="1"/>
  <c r="D112" i="4" s="1"/>
  <c r="D111" i="4" s="1"/>
  <c r="D110" i="4" s="1"/>
  <c r="D109" i="4" s="1"/>
  <c r="D108" i="4" s="1"/>
  <c r="BN106" i="4"/>
  <c r="BN4" i="4" s="1"/>
  <c r="G14" i="2" s="1"/>
  <c r="BT3" i="4"/>
  <c r="AT191" i="4"/>
  <c r="AT190" i="4" s="1"/>
  <c r="AT189" i="4" s="1"/>
  <c r="AT188" i="4" s="1"/>
  <c r="AT187" i="4" s="1"/>
  <c r="AT186" i="4" s="1"/>
  <c r="AT185" i="4" s="1"/>
  <c r="AT184" i="4" s="1"/>
  <c r="AT183" i="4" s="1"/>
  <c r="AT182" i="4" s="1"/>
  <c r="AT181" i="4" s="1"/>
  <c r="AT180" i="4" s="1"/>
  <c r="AT179" i="4" s="1"/>
  <c r="AT178" i="4" s="1"/>
  <c r="AT177" i="4" s="1"/>
  <c r="AT176" i="4" s="1"/>
  <c r="AT175" i="4" s="1"/>
  <c r="AT174" i="4" s="1"/>
  <c r="AT173" i="4" s="1"/>
  <c r="AT172" i="4" s="1"/>
  <c r="AT171" i="4" s="1"/>
  <c r="AT170" i="4" s="1"/>
  <c r="AT169" i="4" s="1"/>
  <c r="AT168" i="4" s="1"/>
  <c r="AT167" i="4" s="1"/>
  <c r="AT166" i="4" s="1"/>
  <c r="AT165" i="4" s="1"/>
  <c r="AT164" i="4" s="1"/>
  <c r="AT163" i="4" s="1"/>
  <c r="AT162" i="4" s="1"/>
  <c r="AT161" i="4" s="1"/>
  <c r="AT160" i="4" s="1"/>
  <c r="AT159" i="4" s="1"/>
  <c r="AT158" i="4" s="1"/>
  <c r="AT157" i="4" s="1"/>
  <c r="AT156" i="4" s="1"/>
  <c r="AT155" i="4" s="1"/>
  <c r="AT154" i="4" s="1"/>
  <c r="AT153" i="4" s="1"/>
  <c r="AT152" i="4" s="1"/>
  <c r="AT151" i="4" s="1"/>
  <c r="AT150" i="4" s="1"/>
  <c r="AT149" i="4" s="1"/>
  <c r="AT148" i="4" s="1"/>
  <c r="AT147" i="4" s="1"/>
  <c r="AT146" i="4" s="1"/>
  <c r="AT145" i="4" s="1"/>
  <c r="AT144" i="4" s="1"/>
  <c r="AT143" i="4" s="1"/>
  <c r="AT142" i="4" s="1"/>
  <c r="AT141" i="4" s="1"/>
  <c r="AT140" i="4" s="1"/>
  <c r="AT139" i="4" s="1"/>
  <c r="AT138" i="4" s="1"/>
  <c r="AT137" i="4" s="1"/>
  <c r="AT136" i="4" s="1"/>
  <c r="AT135" i="4" s="1"/>
  <c r="AT134" i="4" s="1"/>
  <c r="AT133" i="4" s="1"/>
  <c r="AT132" i="4" s="1"/>
  <c r="AT131" i="4" s="1"/>
  <c r="AT130" i="4" s="1"/>
  <c r="AT129" i="4" s="1"/>
  <c r="AT128" i="4" s="1"/>
  <c r="AT127" i="4" s="1"/>
  <c r="AT126" i="4" s="1"/>
  <c r="AT125" i="4" s="1"/>
  <c r="AT124" i="4" s="1"/>
  <c r="AT123" i="4" s="1"/>
  <c r="AT122" i="4" s="1"/>
  <c r="AT121" i="4" s="1"/>
  <c r="AT120" i="4" s="1"/>
  <c r="AT119" i="4" s="1"/>
  <c r="AT118" i="4" s="1"/>
  <c r="AT117" i="4" s="1"/>
  <c r="AT116" i="4" s="1"/>
  <c r="AT115" i="4" s="1"/>
  <c r="AT114" i="4" s="1"/>
  <c r="AT113" i="4" s="1"/>
  <c r="AT112" i="4" s="1"/>
  <c r="AT111" i="4" s="1"/>
  <c r="AT110" i="4" s="1"/>
  <c r="AT109" i="4" s="1"/>
  <c r="AT108" i="4" s="1"/>
  <c r="AT107" i="4" s="1"/>
  <c r="AT106" i="4" s="1"/>
  <c r="AT4" i="4" s="1"/>
  <c r="DH191" i="4"/>
  <c r="DH190" i="4" s="1"/>
  <c r="DH189" i="4" s="1"/>
  <c r="DH188" i="4" s="1"/>
  <c r="DH187" i="4" s="1"/>
  <c r="DH186" i="4" s="1"/>
  <c r="DH185" i="4" s="1"/>
  <c r="DH184" i="4" s="1"/>
  <c r="DH183" i="4" s="1"/>
  <c r="DH182" i="4" s="1"/>
  <c r="DH181" i="4" s="1"/>
  <c r="DH180" i="4" s="1"/>
  <c r="DH179" i="4" s="1"/>
  <c r="DH178" i="4" s="1"/>
  <c r="DH177" i="4" s="1"/>
  <c r="DH176" i="4" s="1"/>
  <c r="DH175" i="4" s="1"/>
  <c r="DH174" i="4" s="1"/>
  <c r="DH173" i="4" s="1"/>
  <c r="DH172" i="4" s="1"/>
  <c r="DH171" i="4" s="1"/>
  <c r="DH170" i="4" s="1"/>
  <c r="DH169" i="4" s="1"/>
  <c r="DH168" i="4" s="1"/>
  <c r="DH167" i="4" s="1"/>
  <c r="DH166" i="4" s="1"/>
  <c r="DH165" i="4" s="1"/>
  <c r="DH164" i="4" s="1"/>
  <c r="DH163" i="4" s="1"/>
  <c r="DH162" i="4" s="1"/>
  <c r="DH161" i="4" s="1"/>
  <c r="DH160" i="4" s="1"/>
  <c r="DH159" i="4" s="1"/>
  <c r="DH158" i="4" s="1"/>
  <c r="DH157" i="4" s="1"/>
  <c r="DH156" i="4" s="1"/>
  <c r="DH155" i="4" s="1"/>
  <c r="DH154" i="4" s="1"/>
  <c r="DH153" i="4" s="1"/>
  <c r="DH152" i="4" s="1"/>
  <c r="DH151" i="4" s="1"/>
  <c r="DH150" i="4" s="1"/>
  <c r="DH149" i="4" s="1"/>
  <c r="DH148" i="4" s="1"/>
  <c r="DH147" i="4" s="1"/>
  <c r="DH146" i="4" s="1"/>
  <c r="DH145" i="4" s="1"/>
  <c r="DH144" i="4" s="1"/>
  <c r="DH143" i="4" s="1"/>
  <c r="DH142" i="4" s="1"/>
  <c r="DH141" i="4" s="1"/>
  <c r="DH140" i="4" s="1"/>
  <c r="DH139" i="4" s="1"/>
  <c r="DH138" i="4" s="1"/>
  <c r="DH137" i="4" s="1"/>
  <c r="DH136" i="4" s="1"/>
  <c r="DH135" i="4" s="1"/>
  <c r="DH134" i="4" s="1"/>
  <c r="DH133" i="4" s="1"/>
  <c r="DH132" i="4" s="1"/>
  <c r="DH131" i="4" s="1"/>
  <c r="DH130" i="4" s="1"/>
  <c r="DH129" i="4" s="1"/>
  <c r="DH128" i="4" s="1"/>
  <c r="DH127" i="4" s="1"/>
  <c r="DH126" i="4" s="1"/>
  <c r="DH125" i="4" s="1"/>
  <c r="DH124" i="4" s="1"/>
  <c r="DH123" i="4" s="1"/>
  <c r="DH122" i="4" s="1"/>
  <c r="DH121" i="4" s="1"/>
  <c r="DH120" i="4" s="1"/>
  <c r="DH119" i="4" s="1"/>
  <c r="DH118" i="4" s="1"/>
  <c r="DH117" i="4" s="1"/>
  <c r="DH116" i="4" s="1"/>
  <c r="DH115" i="4" s="1"/>
  <c r="DH114" i="4" s="1"/>
  <c r="DH113" i="4" s="1"/>
  <c r="DH112" i="4" s="1"/>
  <c r="DH111" i="4" s="1"/>
  <c r="DH110" i="4" s="1"/>
  <c r="DH109" i="4" s="1"/>
  <c r="DH108" i="4" s="1"/>
  <c r="DH107" i="4" s="1"/>
  <c r="DH106" i="4" s="1"/>
  <c r="DH4" i="4" s="1"/>
  <c r="FD155" i="4"/>
  <c r="FD154" i="4" s="1"/>
  <c r="FD153" i="4" s="1"/>
  <c r="FD152" i="4" s="1"/>
  <c r="FD151" i="4" s="1"/>
  <c r="FD150" i="4" s="1"/>
  <c r="FD149" i="4" s="1"/>
  <c r="FD148" i="4" s="1"/>
  <c r="FD147" i="4" s="1"/>
  <c r="FD146" i="4" s="1"/>
  <c r="FD145" i="4" s="1"/>
  <c r="FD144" i="4" s="1"/>
  <c r="FD143" i="4" s="1"/>
  <c r="FD142" i="4" s="1"/>
  <c r="FD141" i="4" s="1"/>
  <c r="FD140" i="4" s="1"/>
  <c r="FD139" i="4" s="1"/>
  <c r="FD138" i="4" s="1"/>
  <c r="FD137" i="4" s="1"/>
  <c r="FD136" i="4" s="1"/>
  <c r="FD135" i="4" s="1"/>
  <c r="FD134" i="4" s="1"/>
  <c r="FD133" i="4" s="1"/>
  <c r="FD132" i="4" s="1"/>
  <c r="FD131" i="4" s="1"/>
  <c r="FD130" i="4" s="1"/>
  <c r="FD129" i="4" s="1"/>
  <c r="FD128" i="4" s="1"/>
  <c r="FD127" i="4" s="1"/>
  <c r="FD126" i="4" s="1"/>
  <c r="FD125" i="4" s="1"/>
  <c r="FD124" i="4" s="1"/>
  <c r="FD123" i="4" s="1"/>
  <c r="FD122" i="4" s="1"/>
  <c r="FD121" i="4" s="1"/>
  <c r="FD120" i="4" s="1"/>
  <c r="FD119" i="4" s="1"/>
  <c r="FD118" i="4" s="1"/>
  <c r="FD117" i="4" s="1"/>
  <c r="FD116" i="4" s="1"/>
  <c r="FD115" i="4" s="1"/>
  <c r="FD114" i="4" s="1"/>
  <c r="FD113" i="4" s="1"/>
  <c r="FD112" i="4" s="1"/>
  <c r="FD111" i="4" s="1"/>
  <c r="FD110" i="4" s="1"/>
  <c r="FD109" i="4" s="1"/>
  <c r="FD108" i="4" s="1"/>
  <c r="FD107" i="4" s="1"/>
  <c r="FD106" i="4" s="1"/>
  <c r="FD4" i="4" s="1"/>
  <c r="FV155" i="4"/>
  <c r="FV154" i="4" s="1"/>
  <c r="FV153" i="4" s="1"/>
  <c r="FV152" i="4" s="1"/>
  <c r="FV151" i="4" s="1"/>
  <c r="FV150" i="4" s="1"/>
  <c r="FV149" i="4" s="1"/>
  <c r="FV148" i="4" s="1"/>
  <c r="FV147" i="4" s="1"/>
  <c r="FV146" i="4" s="1"/>
  <c r="FV145" i="4" s="1"/>
  <c r="FV144" i="4" s="1"/>
  <c r="FV143" i="4" s="1"/>
  <c r="FV142" i="4" s="1"/>
  <c r="FV141" i="4" s="1"/>
  <c r="FV140" i="4" s="1"/>
  <c r="FV139" i="4" s="1"/>
  <c r="FV138" i="4" s="1"/>
  <c r="FV137" i="4" s="1"/>
  <c r="FV136" i="4" s="1"/>
  <c r="FV135" i="4" s="1"/>
  <c r="FV134" i="4" s="1"/>
  <c r="FV133" i="4" s="1"/>
  <c r="FV132" i="4" s="1"/>
  <c r="FV131" i="4" s="1"/>
  <c r="FV130" i="4" s="1"/>
  <c r="FV129" i="4" s="1"/>
  <c r="FV128" i="4" s="1"/>
  <c r="FV127" i="4" s="1"/>
  <c r="FV126" i="4" s="1"/>
  <c r="FV125" i="4" s="1"/>
  <c r="FV124" i="4" s="1"/>
  <c r="FV123" i="4" s="1"/>
  <c r="FV122" i="4" s="1"/>
  <c r="FV121" i="4" s="1"/>
  <c r="FV120" i="4" s="1"/>
  <c r="FV119" i="4" s="1"/>
  <c r="FV118" i="4" s="1"/>
  <c r="FV117" i="4" s="1"/>
  <c r="FV116" i="4" s="1"/>
  <c r="FV115" i="4" s="1"/>
  <c r="FV114" i="4" s="1"/>
  <c r="FV113" i="4" s="1"/>
  <c r="FV112" i="4" s="1"/>
  <c r="FV111" i="4" s="1"/>
  <c r="FV110" i="4" s="1"/>
  <c r="FV109" i="4" s="1"/>
  <c r="FV108" i="4" s="1"/>
  <c r="FV107" i="4" s="1"/>
  <c r="FV106" i="4" s="1"/>
  <c r="FV4" i="4" s="1"/>
  <c r="EX155" i="4"/>
  <c r="EX154" i="4" s="1"/>
  <c r="EX153" i="4" s="1"/>
  <c r="EX152" i="4" s="1"/>
  <c r="EX151" i="4" s="1"/>
  <c r="EX150" i="4" s="1"/>
  <c r="EX149" i="4" s="1"/>
  <c r="EX148" i="4" s="1"/>
  <c r="EX147" i="4" s="1"/>
  <c r="EX146" i="4" s="1"/>
  <c r="EX145" i="4" s="1"/>
  <c r="EX144" i="4" s="1"/>
  <c r="EX143" i="4" s="1"/>
  <c r="EX142" i="4" s="1"/>
  <c r="EX141" i="4" s="1"/>
  <c r="EX140" i="4" s="1"/>
  <c r="EX139" i="4" s="1"/>
  <c r="EX138" i="4" s="1"/>
  <c r="EX137" i="4" s="1"/>
  <c r="EX136" i="4" s="1"/>
  <c r="EX135" i="4" s="1"/>
  <c r="EX134" i="4" s="1"/>
  <c r="EX133" i="4" s="1"/>
  <c r="EX132" i="4" s="1"/>
  <c r="EX131" i="4" s="1"/>
  <c r="EX130" i="4" s="1"/>
  <c r="EX129" i="4" s="1"/>
  <c r="EX128" i="4" s="1"/>
  <c r="EX127" i="4" s="1"/>
  <c r="EX126" i="4" s="1"/>
  <c r="EX125" i="4" s="1"/>
  <c r="EX124" i="4" s="1"/>
  <c r="EX123" i="4" s="1"/>
  <c r="EX122" i="4" s="1"/>
  <c r="EX121" i="4" s="1"/>
  <c r="EX120" i="4" s="1"/>
  <c r="EX119" i="4" s="1"/>
  <c r="EX118" i="4" s="1"/>
  <c r="EX117" i="4" s="1"/>
  <c r="EX116" i="4" s="1"/>
  <c r="EX115" i="4" s="1"/>
  <c r="EX114" i="4" s="1"/>
  <c r="EX113" i="4" s="1"/>
  <c r="EX112" i="4" s="1"/>
  <c r="EX111" i="4" s="1"/>
  <c r="EX110" i="4" s="1"/>
  <c r="EX109" i="4" s="1"/>
  <c r="EX108" i="4" s="1"/>
  <c r="EX107" i="4" s="1"/>
  <c r="EX106" i="4" s="1"/>
  <c r="EX4" i="4" s="1"/>
  <c r="GH155" i="4"/>
  <c r="GH154" i="4" s="1"/>
  <c r="GH153" i="4" s="1"/>
  <c r="GH152" i="4" s="1"/>
  <c r="GH151" i="4" s="1"/>
  <c r="GH150" i="4" s="1"/>
  <c r="GH149" i="4" s="1"/>
  <c r="GH148" i="4" s="1"/>
  <c r="GH147" i="4" s="1"/>
  <c r="GH146" i="4" s="1"/>
  <c r="GH145" i="4" s="1"/>
  <c r="GH144" i="4" s="1"/>
  <c r="GH143" i="4" s="1"/>
  <c r="GH142" i="4" s="1"/>
  <c r="GH141" i="4" s="1"/>
  <c r="GH140" i="4" s="1"/>
  <c r="GH139" i="4" s="1"/>
  <c r="GH138" i="4" s="1"/>
  <c r="GH137" i="4" s="1"/>
  <c r="GH136" i="4" s="1"/>
  <c r="GH135" i="4" s="1"/>
  <c r="GH134" i="4" s="1"/>
  <c r="GH133" i="4" s="1"/>
  <c r="GH132" i="4" s="1"/>
  <c r="GH131" i="4" s="1"/>
  <c r="GH130" i="4" s="1"/>
  <c r="GH129" i="4" s="1"/>
  <c r="GH128" i="4" s="1"/>
  <c r="GH127" i="4" s="1"/>
  <c r="GH126" i="4" s="1"/>
  <c r="GH125" i="4" s="1"/>
  <c r="GH124" i="4" s="1"/>
  <c r="GH123" i="4" s="1"/>
  <c r="GH122" i="4" s="1"/>
  <c r="GH121" i="4" s="1"/>
  <c r="GH120" i="4" s="1"/>
  <c r="GH119" i="4" s="1"/>
  <c r="GH118" i="4" s="1"/>
  <c r="GH117" i="4" s="1"/>
  <c r="GH116" i="4" s="1"/>
  <c r="GH115" i="4" s="1"/>
  <c r="GH114" i="4" s="1"/>
  <c r="GH113" i="4" s="1"/>
  <c r="GH112" i="4" s="1"/>
  <c r="GH111" i="4" s="1"/>
  <c r="GH110" i="4" s="1"/>
  <c r="GH109" i="4" s="1"/>
  <c r="GH108" i="4" s="1"/>
  <c r="GH107" i="4" s="1"/>
  <c r="GH106" i="4" s="1"/>
  <c r="GH4" i="4" s="1"/>
  <c r="FP155" i="4"/>
  <c r="FP154" i="4" s="1"/>
  <c r="FP153" i="4" s="1"/>
  <c r="FP152" i="4" s="1"/>
  <c r="FP151" i="4" s="1"/>
  <c r="FP150" i="4" s="1"/>
  <c r="FP149" i="4" s="1"/>
  <c r="FP148" i="4" s="1"/>
  <c r="FP147" i="4" s="1"/>
  <c r="FP146" i="4" s="1"/>
  <c r="FP145" i="4" s="1"/>
  <c r="FP144" i="4" s="1"/>
  <c r="FP143" i="4" s="1"/>
  <c r="FP142" i="4" s="1"/>
  <c r="FP141" i="4" s="1"/>
  <c r="FP140" i="4" s="1"/>
  <c r="FP139" i="4" s="1"/>
  <c r="FP138" i="4" s="1"/>
  <c r="FP137" i="4" s="1"/>
  <c r="FP136" i="4" s="1"/>
  <c r="FP135" i="4" s="1"/>
  <c r="FP134" i="4" s="1"/>
  <c r="FP133" i="4" s="1"/>
  <c r="FP132" i="4" s="1"/>
  <c r="FP131" i="4" s="1"/>
  <c r="FP130" i="4" s="1"/>
  <c r="FP129" i="4" s="1"/>
  <c r="FP128" i="4" s="1"/>
  <c r="FP127" i="4" s="1"/>
  <c r="FP126" i="4" s="1"/>
  <c r="FP125" i="4" s="1"/>
  <c r="FP124" i="4" s="1"/>
  <c r="FP123" i="4" s="1"/>
  <c r="FP122" i="4" s="1"/>
  <c r="FP121" i="4" s="1"/>
  <c r="FP120" i="4" s="1"/>
  <c r="FP119" i="4" s="1"/>
  <c r="FP118" i="4" s="1"/>
  <c r="FP117" i="4" s="1"/>
  <c r="FP116" i="4" s="1"/>
  <c r="FP115" i="4" s="1"/>
  <c r="FP114" i="4" s="1"/>
  <c r="FP113" i="4" s="1"/>
  <c r="FP112" i="4" s="1"/>
  <c r="FP111" i="4" s="1"/>
  <c r="FP110" i="4" s="1"/>
  <c r="FP109" i="4" s="1"/>
  <c r="FP108" i="4" s="1"/>
  <c r="FP107" i="4" s="1"/>
  <c r="FP106" i="4" s="1"/>
  <c r="FP4" i="4" s="1"/>
  <c r="FJ155" i="4"/>
  <c r="FJ154" i="4" s="1"/>
  <c r="FJ153" i="4" s="1"/>
  <c r="FJ152" i="4" s="1"/>
  <c r="FJ151" i="4" s="1"/>
  <c r="FJ150" i="4" s="1"/>
  <c r="FJ149" i="4" s="1"/>
  <c r="FJ148" i="4" s="1"/>
  <c r="FJ147" i="4" s="1"/>
  <c r="FJ146" i="4" s="1"/>
  <c r="FJ145" i="4" s="1"/>
  <c r="FJ144" i="4" s="1"/>
  <c r="FJ143" i="4" s="1"/>
  <c r="FJ142" i="4" s="1"/>
  <c r="FJ141" i="4" s="1"/>
  <c r="FJ140" i="4" s="1"/>
  <c r="FJ139" i="4" s="1"/>
  <c r="FJ138" i="4" s="1"/>
  <c r="FJ137" i="4" s="1"/>
  <c r="FJ136" i="4" s="1"/>
  <c r="FJ135" i="4" s="1"/>
  <c r="FJ134" i="4" s="1"/>
  <c r="FJ133" i="4" s="1"/>
  <c r="FJ132" i="4" s="1"/>
  <c r="FJ131" i="4" s="1"/>
  <c r="FJ130" i="4" s="1"/>
  <c r="FJ129" i="4" s="1"/>
  <c r="FJ128" i="4" s="1"/>
  <c r="FJ127" i="4" s="1"/>
  <c r="FJ126" i="4" s="1"/>
  <c r="FJ125" i="4" s="1"/>
  <c r="FJ124" i="4" s="1"/>
  <c r="FJ123" i="4" s="1"/>
  <c r="FJ122" i="4" s="1"/>
  <c r="FJ121" i="4" s="1"/>
  <c r="FJ120" i="4" s="1"/>
  <c r="FJ119" i="4" s="1"/>
  <c r="FJ118" i="4" s="1"/>
  <c r="FJ117" i="4" s="1"/>
  <c r="FJ116" i="4" s="1"/>
  <c r="FJ115" i="4" s="1"/>
  <c r="FJ114" i="4" s="1"/>
  <c r="FJ113" i="4" s="1"/>
  <c r="FJ112" i="4" s="1"/>
  <c r="FJ111" i="4" s="1"/>
  <c r="FJ110" i="4" s="1"/>
  <c r="FJ109" i="4" s="1"/>
  <c r="FJ108" i="4" s="1"/>
  <c r="FJ107" i="4" s="1"/>
  <c r="FJ106" i="4" s="1"/>
  <c r="FJ4" i="4" s="1"/>
  <c r="GB155" i="4"/>
  <c r="GB154" i="4" s="1"/>
  <c r="GB153" i="4" s="1"/>
  <c r="GB152" i="4" s="1"/>
  <c r="GB151" i="4" s="1"/>
  <c r="GB150" i="4" s="1"/>
  <c r="GB149" i="4" s="1"/>
  <c r="GB148" i="4" s="1"/>
  <c r="GB147" i="4" s="1"/>
  <c r="GB146" i="4" s="1"/>
  <c r="GB145" i="4" s="1"/>
  <c r="GB144" i="4" s="1"/>
  <c r="GB143" i="4" s="1"/>
  <c r="GB142" i="4" s="1"/>
  <c r="GB141" i="4" s="1"/>
  <c r="GB140" i="4" s="1"/>
  <c r="GB139" i="4" s="1"/>
  <c r="GB138" i="4" s="1"/>
  <c r="GB137" i="4" s="1"/>
  <c r="GB136" i="4" s="1"/>
  <c r="GB135" i="4" s="1"/>
  <c r="GB134" i="4" s="1"/>
  <c r="GB133" i="4" s="1"/>
  <c r="GB132" i="4" s="1"/>
  <c r="GB131" i="4" s="1"/>
  <c r="GB130" i="4" s="1"/>
  <c r="GB129" i="4" s="1"/>
  <c r="GB128" i="4" s="1"/>
  <c r="GB127" i="4" s="1"/>
  <c r="GB126" i="4" s="1"/>
  <c r="GB125" i="4" s="1"/>
  <c r="GB124" i="4" s="1"/>
  <c r="GB123" i="4" s="1"/>
  <c r="GB122" i="4" s="1"/>
  <c r="GB121" i="4" s="1"/>
  <c r="GB120" i="4" s="1"/>
  <c r="GB119" i="4" s="1"/>
  <c r="GB118" i="4" s="1"/>
  <c r="GB117" i="4" s="1"/>
  <c r="GB116" i="4" s="1"/>
  <c r="GB115" i="4" s="1"/>
  <c r="GB114" i="4" s="1"/>
  <c r="GB113" i="4" s="1"/>
  <c r="GB112" i="4" s="1"/>
  <c r="GB111" i="4" s="1"/>
  <c r="GB110" i="4" s="1"/>
  <c r="GB109" i="4" s="1"/>
  <c r="GB108" i="4" s="1"/>
  <c r="GB107" i="4" s="1"/>
  <c r="GB106" i="4" s="1"/>
  <c r="GB4" i="4" s="1"/>
  <c r="CQ155" i="4"/>
  <c r="CQ154" i="4" s="1"/>
  <c r="CQ153" i="4" s="1"/>
  <c r="CQ152" i="4" s="1"/>
  <c r="CQ151" i="4" s="1"/>
  <c r="CQ150" i="4" s="1"/>
  <c r="CQ149" i="4" s="1"/>
  <c r="CQ148" i="4" s="1"/>
  <c r="CQ147" i="4" s="1"/>
  <c r="CQ146" i="4" s="1"/>
  <c r="CQ145" i="4" s="1"/>
  <c r="CQ144" i="4" s="1"/>
  <c r="CQ143" i="4" s="1"/>
  <c r="CQ142" i="4" s="1"/>
  <c r="CQ141" i="4" s="1"/>
  <c r="CQ140" i="4" s="1"/>
  <c r="CQ139" i="4" s="1"/>
  <c r="CQ138" i="4" s="1"/>
  <c r="CQ137" i="4" s="1"/>
  <c r="CQ136" i="4" s="1"/>
  <c r="CQ135" i="4" s="1"/>
  <c r="CQ134" i="4" s="1"/>
  <c r="CQ133" i="4" s="1"/>
  <c r="CQ132" i="4" s="1"/>
  <c r="CQ131" i="4" s="1"/>
  <c r="CQ130" i="4" s="1"/>
  <c r="CQ129" i="4" s="1"/>
  <c r="CQ128" i="4" s="1"/>
  <c r="CQ127" i="4" s="1"/>
  <c r="CQ126" i="4" s="1"/>
  <c r="CQ125" i="4" s="1"/>
  <c r="CQ124" i="4" s="1"/>
  <c r="CQ123" i="4" s="1"/>
  <c r="CQ122" i="4" s="1"/>
  <c r="CQ121" i="4" s="1"/>
  <c r="CQ120" i="4" s="1"/>
  <c r="CQ119" i="4" s="1"/>
  <c r="CQ118" i="4" s="1"/>
  <c r="CQ117" i="4" s="1"/>
  <c r="CQ116" i="4" s="1"/>
  <c r="CQ115" i="4" s="1"/>
  <c r="CQ114" i="4" s="1"/>
  <c r="CQ113" i="4" s="1"/>
  <c r="CQ112" i="4" s="1"/>
  <c r="CQ111" i="4" s="1"/>
  <c r="CQ110" i="4" s="1"/>
  <c r="CQ109" i="4" s="1"/>
  <c r="CQ108" i="4" s="1"/>
  <c r="CQ107" i="4" s="1"/>
  <c r="GN155" i="4"/>
  <c r="GN154" i="4" s="1"/>
  <c r="GN153" i="4" s="1"/>
  <c r="GN152" i="4" s="1"/>
  <c r="GN151" i="4" s="1"/>
  <c r="GN150" i="4" s="1"/>
  <c r="GN149" i="4" s="1"/>
  <c r="GN148" i="4" s="1"/>
  <c r="GN147" i="4" s="1"/>
  <c r="GN146" i="4" s="1"/>
  <c r="GN145" i="4" s="1"/>
  <c r="GN144" i="4" s="1"/>
  <c r="GN143" i="4" s="1"/>
  <c r="GN142" i="4" s="1"/>
  <c r="GN141" i="4" s="1"/>
  <c r="GN140" i="4" s="1"/>
  <c r="GN139" i="4" s="1"/>
  <c r="GN138" i="4" s="1"/>
  <c r="GN137" i="4" s="1"/>
  <c r="GN136" i="4" s="1"/>
  <c r="GN135" i="4" s="1"/>
  <c r="GN134" i="4" s="1"/>
  <c r="GN133" i="4" s="1"/>
  <c r="GN132" i="4" s="1"/>
  <c r="GN131" i="4" s="1"/>
  <c r="GN130" i="4" s="1"/>
  <c r="GN129" i="4" s="1"/>
  <c r="GN128" i="4" s="1"/>
  <c r="GN127" i="4" s="1"/>
  <c r="GN126" i="4" s="1"/>
  <c r="GN125" i="4" s="1"/>
  <c r="GN124" i="4" s="1"/>
  <c r="GN123" i="4" s="1"/>
  <c r="GN122" i="4" s="1"/>
  <c r="GN121" i="4" s="1"/>
  <c r="GN120" i="4" s="1"/>
  <c r="GN119" i="4" s="1"/>
  <c r="GN118" i="4" s="1"/>
  <c r="GN117" i="4" s="1"/>
  <c r="GN116" i="4" s="1"/>
  <c r="GN115" i="4" s="1"/>
  <c r="GN114" i="4" s="1"/>
  <c r="GN113" i="4" s="1"/>
  <c r="GN112" i="4" s="1"/>
  <c r="GN111" i="4" s="1"/>
  <c r="GN110" i="4" s="1"/>
  <c r="GN109" i="4" s="1"/>
  <c r="GN108" i="4" s="1"/>
  <c r="GN107" i="4" s="1"/>
  <c r="GN106" i="4" s="1"/>
  <c r="GN4" i="4" s="1"/>
  <c r="ER155" i="4"/>
  <c r="ER154" i="4" s="1"/>
  <c r="ER153" i="4" s="1"/>
  <c r="ER152" i="4" s="1"/>
  <c r="ER151" i="4" s="1"/>
  <c r="ER150" i="4" s="1"/>
  <c r="ER149" i="4" s="1"/>
  <c r="ER148" i="4" s="1"/>
  <c r="ER147" i="4" s="1"/>
  <c r="ER146" i="4" s="1"/>
  <c r="ER145" i="4" s="1"/>
  <c r="ER144" i="4" s="1"/>
  <c r="ER143" i="4" s="1"/>
  <c r="ER142" i="4" s="1"/>
  <c r="ER141" i="4" s="1"/>
  <c r="ER140" i="4" s="1"/>
  <c r="ER139" i="4" s="1"/>
  <c r="ER138" i="4" s="1"/>
  <c r="ER137" i="4" s="1"/>
  <c r="ER136" i="4" s="1"/>
  <c r="ER135" i="4" s="1"/>
  <c r="ER134" i="4" s="1"/>
  <c r="ER133" i="4" s="1"/>
  <c r="ER132" i="4" s="1"/>
  <c r="ER131" i="4" s="1"/>
  <c r="ER130" i="4" s="1"/>
  <c r="ER129" i="4" s="1"/>
  <c r="ER128" i="4" s="1"/>
  <c r="ER127" i="4" s="1"/>
  <c r="ER126" i="4" s="1"/>
  <c r="ER125" i="4" s="1"/>
  <c r="ER124" i="4" s="1"/>
  <c r="ER123" i="4" s="1"/>
  <c r="ER122" i="4" s="1"/>
  <c r="ER121" i="4" s="1"/>
  <c r="ER120" i="4" s="1"/>
  <c r="ER119" i="4" s="1"/>
  <c r="ER118" i="4" s="1"/>
  <c r="ER117" i="4" s="1"/>
  <c r="ER116" i="4" s="1"/>
  <c r="ER115" i="4" s="1"/>
  <c r="ER114" i="4" s="1"/>
  <c r="ER113" i="4" s="1"/>
  <c r="ER112" i="4" s="1"/>
  <c r="ER111" i="4" s="1"/>
  <c r="ER110" i="4" s="1"/>
  <c r="ER109" i="4" s="1"/>
  <c r="ER108" i="4" s="1"/>
  <c r="ER107" i="4" s="1"/>
  <c r="ER106" i="4" s="1"/>
  <c r="ER4" i="4" s="1"/>
  <c r="EC201" i="4"/>
  <c r="EC200" i="4" s="1"/>
  <c r="EC199" i="4" s="1"/>
  <c r="EC198" i="4" s="1"/>
  <c r="EC197" i="4" s="1"/>
  <c r="EC196" i="4" s="1"/>
  <c r="EC195" i="4" s="1"/>
  <c r="EC194" i="4" s="1"/>
  <c r="EC193" i="4" s="1"/>
  <c r="EC192" i="4" s="1"/>
  <c r="EC191" i="4" s="1"/>
  <c r="EC190" i="4" s="1"/>
  <c r="EC189" i="4" s="1"/>
  <c r="EC188" i="4" s="1"/>
  <c r="EC187" i="4" s="1"/>
  <c r="EC186" i="4" s="1"/>
  <c r="EC185" i="4" s="1"/>
  <c r="EC184" i="4" s="1"/>
  <c r="EC183" i="4" s="1"/>
  <c r="EC182" i="4" s="1"/>
  <c r="EC181" i="4" s="1"/>
  <c r="EC180" i="4" s="1"/>
  <c r="DY201" i="4"/>
  <c r="DY200" i="4" s="1"/>
  <c r="DY199" i="4" s="1"/>
  <c r="DY198" i="4" s="1"/>
  <c r="DY197" i="4" s="1"/>
  <c r="DY196" i="4" s="1"/>
  <c r="DY195" i="4" s="1"/>
  <c r="DY194" i="4" s="1"/>
  <c r="DY193" i="4" s="1"/>
  <c r="DY192" i="4" s="1"/>
  <c r="DY191" i="4" s="1"/>
  <c r="DY190" i="4" s="1"/>
  <c r="DY189" i="4" s="1"/>
  <c r="DY188" i="4" s="1"/>
  <c r="DY187" i="4" s="1"/>
  <c r="DY186" i="4" s="1"/>
  <c r="DY185" i="4" s="1"/>
  <c r="DY184" i="4" s="1"/>
  <c r="DY183" i="4" s="1"/>
  <c r="DY182" i="4" s="1"/>
  <c r="DY181" i="4" s="1"/>
  <c r="DY180" i="4" s="1"/>
  <c r="DY179" i="4" s="1"/>
  <c r="DY178" i="4" s="1"/>
  <c r="DY177" i="4" s="1"/>
  <c r="DY176" i="4" s="1"/>
  <c r="DY175" i="4" s="1"/>
  <c r="DY174" i="4" s="1"/>
  <c r="DY173" i="4" s="1"/>
  <c r="DY172" i="4" s="1"/>
  <c r="DY171" i="4" s="1"/>
  <c r="DY170" i="4" s="1"/>
  <c r="DY169" i="4" s="1"/>
  <c r="DY168" i="4" s="1"/>
  <c r="DY167" i="4" s="1"/>
  <c r="DY166" i="4" s="1"/>
  <c r="DY165" i="4" s="1"/>
  <c r="DY164" i="4" s="1"/>
  <c r="DY163" i="4" s="1"/>
  <c r="DY162" i="4" s="1"/>
  <c r="DY161" i="4" s="1"/>
  <c r="DY160" i="4" s="1"/>
  <c r="DY159" i="4" s="1"/>
  <c r="DY158" i="4" s="1"/>
  <c r="DY157" i="4" s="1"/>
  <c r="DY156" i="4" s="1"/>
  <c r="DY155" i="4" s="1"/>
  <c r="DY154" i="4" s="1"/>
  <c r="DY153" i="4" s="1"/>
  <c r="DY152" i="4" s="1"/>
  <c r="DY151" i="4" s="1"/>
  <c r="DY150" i="4" s="1"/>
  <c r="DY149" i="4" s="1"/>
  <c r="DY148" i="4" s="1"/>
  <c r="DY147" i="4" s="1"/>
  <c r="DY146" i="4" s="1"/>
  <c r="DY145" i="4" s="1"/>
  <c r="DY144" i="4" s="1"/>
  <c r="DY143" i="4" s="1"/>
  <c r="DY142" i="4" s="1"/>
  <c r="DY141" i="4" s="1"/>
  <c r="DY140" i="4" s="1"/>
  <c r="DY139" i="4" s="1"/>
  <c r="DY138" i="4" s="1"/>
  <c r="DY137" i="4" s="1"/>
  <c r="DY136" i="4" s="1"/>
  <c r="DY135" i="4" s="1"/>
  <c r="DY134" i="4" s="1"/>
  <c r="DY133" i="4" s="1"/>
  <c r="DY132" i="4" s="1"/>
  <c r="DY131" i="4" s="1"/>
  <c r="DY130" i="4" s="1"/>
  <c r="DY129" i="4" s="1"/>
  <c r="DY128" i="4" s="1"/>
  <c r="DY127" i="4" s="1"/>
  <c r="DY126" i="4" s="1"/>
  <c r="DY125" i="4" s="1"/>
  <c r="DY124" i="4" s="1"/>
  <c r="DY123" i="4" s="1"/>
  <c r="DY122" i="4" s="1"/>
  <c r="DY121" i="4" s="1"/>
  <c r="DY120" i="4" s="1"/>
  <c r="DY119" i="4" s="1"/>
  <c r="DY118" i="4" s="1"/>
  <c r="DY117" i="4" s="1"/>
  <c r="DY116" i="4" s="1"/>
  <c r="DY115" i="4" s="1"/>
  <c r="DY114" i="4" s="1"/>
  <c r="DY113" i="4" s="1"/>
  <c r="DY112" i="4" s="1"/>
  <c r="DY111" i="4" s="1"/>
  <c r="DY110" i="4" s="1"/>
  <c r="DY109" i="4" s="1"/>
  <c r="DY108" i="4" s="1"/>
  <c r="DY107" i="4" s="1"/>
  <c r="DY106" i="4" s="1"/>
  <c r="EE201" i="4"/>
  <c r="EE200" i="4" s="1"/>
  <c r="EE199" i="4" s="1"/>
  <c r="EE198" i="4" s="1"/>
  <c r="EE197" i="4" s="1"/>
  <c r="EE196" i="4" s="1"/>
  <c r="EE195" i="4" s="1"/>
  <c r="EE194" i="4" s="1"/>
  <c r="EE193" i="4" s="1"/>
  <c r="EE192" i="4" s="1"/>
  <c r="EE191" i="4" s="1"/>
  <c r="EE190" i="4" s="1"/>
  <c r="EE189" i="4" s="1"/>
  <c r="EE188" i="4" s="1"/>
  <c r="EE187" i="4" s="1"/>
  <c r="EE186" i="4" s="1"/>
  <c r="EE185" i="4" s="1"/>
  <c r="EE184" i="4" s="1"/>
  <c r="EE183" i="4" s="1"/>
  <c r="EE182" i="4" s="1"/>
  <c r="EE181" i="4" s="1"/>
  <c r="EE180" i="4" s="1"/>
  <c r="EE179" i="4" s="1"/>
  <c r="EE178" i="4" s="1"/>
  <c r="EE177" i="4" s="1"/>
  <c r="EE176" i="4" s="1"/>
  <c r="EE175" i="4" s="1"/>
  <c r="EE174" i="4" s="1"/>
  <c r="EE173" i="4" s="1"/>
  <c r="EE172" i="4" s="1"/>
  <c r="EE171" i="4" s="1"/>
  <c r="EE170" i="4" s="1"/>
  <c r="EE169" i="4" s="1"/>
  <c r="EE168" i="4" s="1"/>
  <c r="EE167" i="4" s="1"/>
  <c r="EE166" i="4" s="1"/>
  <c r="EE165" i="4" s="1"/>
  <c r="EE164" i="4" s="1"/>
  <c r="EE163" i="4" s="1"/>
  <c r="EE162" i="4" s="1"/>
  <c r="EE161" i="4" s="1"/>
  <c r="EE160" i="4" s="1"/>
  <c r="EE159" i="4" s="1"/>
  <c r="EE158" i="4" s="1"/>
  <c r="EE157" i="4" s="1"/>
  <c r="EE156" i="4" s="1"/>
  <c r="EE155" i="4" s="1"/>
  <c r="EE154" i="4" s="1"/>
  <c r="EE153" i="4" s="1"/>
  <c r="EE152" i="4" s="1"/>
  <c r="EE151" i="4" s="1"/>
  <c r="EE150" i="4" s="1"/>
  <c r="EE149" i="4" s="1"/>
  <c r="EE148" i="4" s="1"/>
  <c r="EE147" i="4" s="1"/>
  <c r="EE146" i="4" s="1"/>
  <c r="EE145" i="4" s="1"/>
  <c r="EE144" i="4" s="1"/>
  <c r="EE143" i="4" s="1"/>
  <c r="EE142" i="4" s="1"/>
  <c r="EE141" i="4" s="1"/>
  <c r="EE140" i="4" s="1"/>
  <c r="EE139" i="4" s="1"/>
  <c r="EE138" i="4" s="1"/>
  <c r="EE137" i="4" s="1"/>
  <c r="EE136" i="4" s="1"/>
  <c r="EE135" i="4" s="1"/>
  <c r="EE134" i="4" s="1"/>
  <c r="EE133" i="4" s="1"/>
  <c r="EE132" i="4" s="1"/>
  <c r="EE131" i="4" s="1"/>
  <c r="EE130" i="4" s="1"/>
  <c r="EE129" i="4" s="1"/>
  <c r="EE128" i="4" s="1"/>
  <c r="EE127" i="4" s="1"/>
  <c r="EE126" i="4" s="1"/>
  <c r="EE125" i="4" s="1"/>
  <c r="EE124" i="4" s="1"/>
  <c r="EE123" i="4" s="1"/>
  <c r="EE122" i="4" s="1"/>
  <c r="EE121" i="4" s="1"/>
  <c r="EE120" i="4" s="1"/>
  <c r="EE119" i="4" s="1"/>
  <c r="EE118" i="4" s="1"/>
  <c r="EE117" i="4" s="1"/>
  <c r="EE116" i="4" s="1"/>
  <c r="EE115" i="4" s="1"/>
  <c r="EE114" i="4" s="1"/>
  <c r="EE113" i="4" s="1"/>
  <c r="EE112" i="4" s="1"/>
  <c r="EE111" i="4" s="1"/>
  <c r="EE110" i="4" s="1"/>
  <c r="EE109" i="4" s="1"/>
  <c r="EE108" i="4" s="1"/>
  <c r="EE107" i="4" s="1"/>
  <c r="EE106" i="4" s="1"/>
  <c r="DX201" i="4"/>
  <c r="DX200" i="4" s="1"/>
  <c r="DX199" i="4" s="1"/>
  <c r="DX198" i="4" s="1"/>
  <c r="DX197" i="4" s="1"/>
  <c r="DX196" i="4" s="1"/>
  <c r="DX195" i="4" s="1"/>
  <c r="DX194" i="4" s="1"/>
  <c r="DX193" i="4" s="1"/>
  <c r="DX192" i="4" s="1"/>
  <c r="DX191" i="4" s="1"/>
  <c r="DX190" i="4" s="1"/>
  <c r="DX189" i="4" s="1"/>
  <c r="DX188" i="4" s="1"/>
  <c r="DX187" i="4" s="1"/>
  <c r="DX186" i="4" s="1"/>
  <c r="DX185" i="4" s="1"/>
  <c r="DX184" i="4" s="1"/>
  <c r="DX183" i="4" s="1"/>
  <c r="DX182" i="4" s="1"/>
  <c r="DX181" i="4" s="1"/>
  <c r="DX180" i="4" s="1"/>
  <c r="DX179" i="4" s="1"/>
  <c r="DX178" i="4" s="1"/>
  <c r="DX177" i="4" s="1"/>
  <c r="DX176" i="4" s="1"/>
  <c r="DX175" i="4" s="1"/>
  <c r="DX174" i="4" s="1"/>
  <c r="DX173" i="4" s="1"/>
  <c r="DX172" i="4" s="1"/>
  <c r="DX171" i="4" s="1"/>
  <c r="DX170" i="4" s="1"/>
  <c r="DX169" i="4" s="1"/>
  <c r="DX168" i="4" s="1"/>
  <c r="DX167" i="4" s="1"/>
  <c r="DX166" i="4" s="1"/>
  <c r="DX165" i="4" s="1"/>
  <c r="DX164" i="4" s="1"/>
  <c r="DX163" i="4" s="1"/>
  <c r="DX162" i="4" s="1"/>
  <c r="DX161" i="4" s="1"/>
  <c r="DX160" i="4" s="1"/>
  <c r="DX159" i="4" s="1"/>
  <c r="DX158" i="4" s="1"/>
  <c r="DX157" i="4" s="1"/>
  <c r="DX156" i="4" s="1"/>
  <c r="DX155" i="4" s="1"/>
  <c r="DX154" i="4" s="1"/>
  <c r="DX153" i="4" s="1"/>
  <c r="DX152" i="4" s="1"/>
  <c r="DX151" i="4" s="1"/>
  <c r="DX150" i="4" s="1"/>
  <c r="DX149" i="4" s="1"/>
  <c r="DX148" i="4" s="1"/>
  <c r="DX147" i="4" s="1"/>
  <c r="DX146" i="4" s="1"/>
  <c r="DX145" i="4" s="1"/>
  <c r="DX144" i="4" s="1"/>
  <c r="DX143" i="4" s="1"/>
  <c r="DX142" i="4" s="1"/>
  <c r="DX141" i="4" s="1"/>
  <c r="DX140" i="4" s="1"/>
  <c r="DX139" i="4" s="1"/>
  <c r="DX138" i="4" s="1"/>
  <c r="DX137" i="4" s="1"/>
  <c r="DX136" i="4" s="1"/>
  <c r="DX135" i="4" s="1"/>
  <c r="DX134" i="4" s="1"/>
  <c r="DX133" i="4" s="1"/>
  <c r="DX132" i="4" s="1"/>
  <c r="DX131" i="4" s="1"/>
  <c r="DX130" i="4" s="1"/>
  <c r="DX129" i="4" s="1"/>
  <c r="DX128" i="4" s="1"/>
  <c r="DX127" i="4" s="1"/>
  <c r="DX126" i="4" s="1"/>
  <c r="DX125" i="4" s="1"/>
  <c r="DX124" i="4" s="1"/>
  <c r="DX123" i="4" s="1"/>
  <c r="DX122" i="4" s="1"/>
  <c r="DX121" i="4" s="1"/>
  <c r="DX120" i="4" s="1"/>
  <c r="DX119" i="4" s="1"/>
  <c r="DX118" i="4" s="1"/>
  <c r="DX117" i="4" s="1"/>
  <c r="DX116" i="4" s="1"/>
  <c r="DX115" i="4" s="1"/>
  <c r="DX114" i="4" s="1"/>
  <c r="DX113" i="4" s="1"/>
  <c r="DX112" i="4" s="1"/>
  <c r="DX111" i="4" s="1"/>
  <c r="DX110" i="4" s="1"/>
  <c r="DX109" i="4" s="1"/>
  <c r="DX108" i="4" s="1"/>
  <c r="DX107" i="4" s="1"/>
  <c r="DW201" i="4"/>
  <c r="DW200" i="4" s="1"/>
  <c r="DW199" i="4" s="1"/>
  <c r="DW198" i="4" s="1"/>
  <c r="DW197" i="4" s="1"/>
  <c r="DW196" i="4" s="1"/>
  <c r="DW195" i="4" s="1"/>
  <c r="DW194" i="4" s="1"/>
  <c r="DW193" i="4" s="1"/>
  <c r="DW192" i="4" s="1"/>
  <c r="DW191" i="4" s="1"/>
  <c r="DW190" i="4" s="1"/>
  <c r="DW189" i="4" s="1"/>
  <c r="DW188" i="4" s="1"/>
  <c r="DW187" i="4" s="1"/>
  <c r="DW186" i="4" s="1"/>
  <c r="DW185" i="4" s="1"/>
  <c r="DW184" i="4" s="1"/>
  <c r="DW183" i="4" s="1"/>
  <c r="DW182" i="4" s="1"/>
  <c r="DW181" i="4" s="1"/>
  <c r="DW180" i="4" s="1"/>
  <c r="DW179" i="4" s="1"/>
  <c r="DW178" i="4" s="1"/>
  <c r="DW177" i="4" s="1"/>
  <c r="DW176" i="4" s="1"/>
  <c r="DW175" i="4" s="1"/>
  <c r="DW174" i="4" s="1"/>
  <c r="DW173" i="4" s="1"/>
  <c r="DW172" i="4" s="1"/>
  <c r="DW171" i="4" s="1"/>
  <c r="DW170" i="4" s="1"/>
  <c r="DW169" i="4" s="1"/>
  <c r="DW168" i="4" s="1"/>
  <c r="DW167" i="4" s="1"/>
  <c r="DW166" i="4" s="1"/>
  <c r="DW165" i="4" s="1"/>
  <c r="DW164" i="4" s="1"/>
  <c r="DW163" i="4" s="1"/>
  <c r="DW162" i="4" s="1"/>
  <c r="DW161" i="4" s="1"/>
  <c r="DW160" i="4" s="1"/>
  <c r="DW159" i="4" s="1"/>
  <c r="DW158" i="4" s="1"/>
  <c r="DW157" i="4" s="1"/>
  <c r="DW156" i="4" s="1"/>
  <c r="DW155" i="4" s="1"/>
  <c r="DW154" i="4" s="1"/>
  <c r="DW153" i="4" s="1"/>
  <c r="DW152" i="4" s="1"/>
  <c r="DW151" i="4" s="1"/>
  <c r="DW150" i="4" s="1"/>
  <c r="DW149" i="4" s="1"/>
  <c r="DW148" i="4" s="1"/>
  <c r="DW147" i="4" s="1"/>
  <c r="DW146" i="4" s="1"/>
  <c r="DW145" i="4" s="1"/>
  <c r="DW144" i="4" s="1"/>
  <c r="DW143" i="4" s="1"/>
  <c r="DW142" i="4" s="1"/>
  <c r="DW141" i="4" s="1"/>
  <c r="DW140" i="4" s="1"/>
  <c r="DW139" i="4" s="1"/>
  <c r="DW138" i="4" s="1"/>
  <c r="DW137" i="4" s="1"/>
  <c r="DW136" i="4" s="1"/>
  <c r="DW135" i="4" s="1"/>
  <c r="DW134" i="4" s="1"/>
  <c r="DW133" i="4" s="1"/>
  <c r="DW132" i="4" s="1"/>
  <c r="DW131" i="4" s="1"/>
  <c r="DW130" i="4" s="1"/>
  <c r="DW129" i="4" s="1"/>
  <c r="DW128" i="4" s="1"/>
  <c r="DW127" i="4" s="1"/>
  <c r="DW126" i="4" s="1"/>
  <c r="DW125" i="4" s="1"/>
  <c r="DW124" i="4" s="1"/>
  <c r="DW123" i="4" s="1"/>
  <c r="DW122" i="4" s="1"/>
  <c r="DW121" i="4" s="1"/>
  <c r="DW120" i="4" s="1"/>
  <c r="DW119" i="4" s="1"/>
  <c r="DW118" i="4" s="1"/>
  <c r="DW117" i="4" s="1"/>
  <c r="DW116" i="4" s="1"/>
  <c r="DW115" i="4" s="1"/>
  <c r="DW114" i="4" s="1"/>
  <c r="DW113" i="4" s="1"/>
  <c r="DW112" i="4" s="1"/>
  <c r="DW111" i="4" s="1"/>
  <c r="DW110" i="4" s="1"/>
  <c r="DW109" i="4" s="1"/>
  <c r="DW108" i="4" s="1"/>
  <c r="DW107" i="4" s="1"/>
  <c r="DW106" i="4" s="1"/>
  <c r="DW4" i="4" s="1"/>
  <c r="ED201" i="4"/>
  <c r="ED200" i="4" s="1"/>
  <c r="ED199" i="4" s="1"/>
  <c r="ED198" i="4" s="1"/>
  <c r="ED197" i="4" s="1"/>
  <c r="ED196" i="4" s="1"/>
  <c r="ED195" i="4" s="1"/>
  <c r="ED194" i="4" s="1"/>
  <c r="ED193" i="4" s="1"/>
  <c r="ED192" i="4" s="1"/>
  <c r="ED191" i="4" s="1"/>
  <c r="ED190" i="4" s="1"/>
  <c r="ED189" i="4" s="1"/>
  <c r="ED188" i="4" s="1"/>
  <c r="ED187" i="4" s="1"/>
  <c r="ED186" i="4" s="1"/>
  <c r="ED185" i="4" s="1"/>
  <c r="ED184" i="4" s="1"/>
  <c r="ED183" i="4" s="1"/>
  <c r="ED182" i="4" s="1"/>
  <c r="ED181" i="4" s="1"/>
  <c r="ED180" i="4" s="1"/>
  <c r="ED179" i="4" s="1"/>
  <c r="ED178" i="4" s="1"/>
  <c r="ED177" i="4" s="1"/>
  <c r="ED176" i="4" s="1"/>
  <c r="ED175" i="4" s="1"/>
  <c r="ED174" i="4" s="1"/>
  <c r="ED173" i="4" s="1"/>
  <c r="ED172" i="4" s="1"/>
  <c r="ED171" i="4" s="1"/>
  <c r="ED170" i="4" s="1"/>
  <c r="ED169" i="4" s="1"/>
  <c r="ED168" i="4" s="1"/>
  <c r="ED167" i="4" s="1"/>
  <c r="ED166" i="4" s="1"/>
  <c r="ED165" i="4" s="1"/>
  <c r="ED164" i="4" s="1"/>
  <c r="ED163" i="4" s="1"/>
  <c r="ED162" i="4" s="1"/>
  <c r="ED161" i="4" s="1"/>
  <c r="ED160" i="4" s="1"/>
  <c r="ED159" i="4" s="1"/>
  <c r="ED158" i="4" s="1"/>
  <c r="ED157" i="4" s="1"/>
  <c r="ED156" i="4" s="1"/>
  <c r="ED155" i="4" s="1"/>
  <c r="ED154" i="4" s="1"/>
  <c r="ED153" i="4" s="1"/>
  <c r="ED152" i="4" s="1"/>
  <c r="ED151" i="4" s="1"/>
  <c r="ED150" i="4" s="1"/>
  <c r="ED149" i="4" s="1"/>
  <c r="ED148" i="4" s="1"/>
  <c r="ED147" i="4" s="1"/>
  <c r="ED146" i="4" s="1"/>
  <c r="ED145" i="4" s="1"/>
  <c r="ED144" i="4" s="1"/>
  <c r="ED143" i="4" s="1"/>
  <c r="ED142" i="4" s="1"/>
  <c r="ED141" i="4" s="1"/>
  <c r="ED140" i="4" s="1"/>
  <c r="ED139" i="4" s="1"/>
  <c r="ED138" i="4" s="1"/>
  <c r="ED137" i="4" s="1"/>
  <c r="ED136" i="4" s="1"/>
  <c r="ED135" i="4" s="1"/>
  <c r="ED134" i="4" s="1"/>
  <c r="ED133" i="4" s="1"/>
  <c r="ED132" i="4" s="1"/>
  <c r="ED131" i="4" s="1"/>
  <c r="ED130" i="4" s="1"/>
  <c r="ED129" i="4" s="1"/>
  <c r="ED128" i="4" s="1"/>
  <c r="ED127" i="4" s="1"/>
  <c r="ED126" i="4" s="1"/>
  <c r="ED125" i="4" s="1"/>
  <c r="ED124" i="4" s="1"/>
  <c r="ED123" i="4" s="1"/>
  <c r="ED122" i="4" s="1"/>
  <c r="ED121" i="4" s="1"/>
  <c r="ED120" i="4" s="1"/>
  <c r="ED119" i="4" s="1"/>
  <c r="ED118" i="4" s="1"/>
  <c r="ED117" i="4" s="1"/>
  <c r="ED116" i="4" s="1"/>
  <c r="ED115" i="4" s="1"/>
  <c r="ED114" i="4" s="1"/>
  <c r="ED113" i="4" s="1"/>
  <c r="ED112" i="4" s="1"/>
  <c r="ED111" i="4" s="1"/>
  <c r="ED110" i="4" s="1"/>
  <c r="ED109" i="4" s="1"/>
  <c r="ED108" i="4" s="1"/>
  <c r="ED107" i="4" s="1"/>
  <c r="Y196" i="4"/>
  <c r="Y195" i="4" s="1"/>
  <c r="Y194" i="4" s="1"/>
  <c r="Y193" i="4" s="1"/>
  <c r="Y192" i="4" s="1"/>
  <c r="Y191" i="4" s="1"/>
  <c r="Y190" i="4" s="1"/>
  <c r="Y189" i="4" s="1"/>
  <c r="Y188" i="4" s="1"/>
  <c r="Y187" i="4" s="1"/>
  <c r="Y186" i="4" s="1"/>
  <c r="Y185" i="4" s="1"/>
  <c r="Y184" i="4" s="1"/>
  <c r="Y183" i="4" s="1"/>
  <c r="Y182" i="4" s="1"/>
  <c r="Y181" i="4" s="1"/>
  <c r="Y180" i="4" s="1"/>
  <c r="Y179" i="4" s="1"/>
  <c r="Y178" i="4" s="1"/>
  <c r="Y177" i="4" s="1"/>
  <c r="Y176" i="4" s="1"/>
  <c r="Y175" i="4" s="1"/>
  <c r="Y174" i="4" s="1"/>
  <c r="Y173" i="4" s="1"/>
  <c r="Y172" i="4" s="1"/>
  <c r="Y171" i="4" s="1"/>
  <c r="Y170" i="4" s="1"/>
  <c r="Y169" i="4" s="1"/>
  <c r="Y168" i="4" s="1"/>
  <c r="Y167" i="4" s="1"/>
  <c r="Y166" i="4" s="1"/>
  <c r="Y165" i="4" s="1"/>
  <c r="Y164" i="4" s="1"/>
  <c r="Y163" i="4" s="1"/>
  <c r="Y162" i="4" s="1"/>
  <c r="Y161" i="4" s="1"/>
  <c r="Y160" i="4" s="1"/>
  <c r="Y159" i="4" s="1"/>
  <c r="Y158" i="4" s="1"/>
  <c r="Y157" i="4" s="1"/>
  <c r="Y156" i="4" s="1"/>
  <c r="Y155" i="4" s="1"/>
  <c r="Y154" i="4" s="1"/>
  <c r="Y153" i="4" s="1"/>
  <c r="Y152" i="4" s="1"/>
  <c r="Y151" i="4" s="1"/>
  <c r="Y150" i="4" s="1"/>
  <c r="Y149" i="4" s="1"/>
  <c r="Y148" i="4" s="1"/>
  <c r="Y147" i="4" s="1"/>
  <c r="Y146" i="4" s="1"/>
  <c r="Y145" i="4" s="1"/>
  <c r="Y144" i="4" s="1"/>
  <c r="Y143" i="4" s="1"/>
  <c r="Y142" i="4" s="1"/>
  <c r="Y141" i="4" s="1"/>
  <c r="Y140" i="4" s="1"/>
  <c r="Y139" i="4" s="1"/>
  <c r="Y138" i="4" s="1"/>
  <c r="Y137" i="4" s="1"/>
  <c r="Y136" i="4" s="1"/>
  <c r="Y135" i="4" s="1"/>
  <c r="Y134" i="4" s="1"/>
  <c r="Y133" i="4" s="1"/>
  <c r="Y132" i="4" s="1"/>
  <c r="Y131" i="4" s="1"/>
  <c r="Y130" i="4" s="1"/>
  <c r="Y129" i="4" s="1"/>
  <c r="Y128" i="4" s="1"/>
  <c r="Y127" i="4" s="1"/>
  <c r="Y126" i="4" s="1"/>
  <c r="Y125" i="4" s="1"/>
  <c r="Y124" i="4" s="1"/>
  <c r="Y123" i="4" s="1"/>
  <c r="Y122" i="4" s="1"/>
  <c r="Y121" i="4" s="1"/>
  <c r="Y120" i="4" s="1"/>
  <c r="Y119" i="4" s="1"/>
  <c r="Y118" i="4" s="1"/>
  <c r="Y117" i="4" s="1"/>
  <c r="Y116" i="4" s="1"/>
  <c r="Y115" i="4" s="1"/>
  <c r="Y114" i="4" s="1"/>
  <c r="Y113" i="4" s="1"/>
  <c r="Y112" i="4" s="1"/>
  <c r="Y111" i="4" s="1"/>
  <c r="Y110" i="4" s="1"/>
  <c r="Y109" i="4" s="1"/>
  <c r="Y108" i="4" s="1"/>
  <c r="Y107" i="4" s="1"/>
  <c r="Y106" i="4" s="1"/>
  <c r="Y4" i="4" s="1"/>
  <c r="AK193" i="4"/>
  <c r="AK192" i="4" s="1"/>
  <c r="AK191" i="4" s="1"/>
  <c r="AK190" i="4" s="1"/>
  <c r="AK189" i="4" s="1"/>
  <c r="AK188" i="4" s="1"/>
  <c r="AK187" i="4" s="1"/>
  <c r="AK186" i="4" s="1"/>
  <c r="AK185" i="4" s="1"/>
  <c r="AK184" i="4" s="1"/>
  <c r="AK183" i="4" s="1"/>
  <c r="AK182" i="4" s="1"/>
  <c r="AK181" i="4" s="1"/>
  <c r="AK180" i="4" s="1"/>
  <c r="AK179" i="4" s="1"/>
  <c r="AK178" i="4" s="1"/>
  <c r="AK177" i="4" s="1"/>
  <c r="AK176" i="4" s="1"/>
  <c r="AK175" i="4" s="1"/>
  <c r="AK174" i="4" s="1"/>
  <c r="AK173" i="4" s="1"/>
  <c r="AK172" i="4" s="1"/>
  <c r="AK171" i="4" s="1"/>
  <c r="AK170" i="4" s="1"/>
  <c r="AK169" i="4" s="1"/>
  <c r="AK168" i="4" s="1"/>
  <c r="AK167" i="4" s="1"/>
  <c r="AK166" i="4" s="1"/>
  <c r="AK165" i="4" s="1"/>
  <c r="AK164" i="4" s="1"/>
  <c r="AK163" i="4" s="1"/>
  <c r="AK162" i="4" s="1"/>
  <c r="AK161" i="4" s="1"/>
  <c r="AK160" i="4" s="1"/>
  <c r="AK159" i="4" s="1"/>
  <c r="AK158" i="4" s="1"/>
  <c r="AK157" i="4" s="1"/>
  <c r="AK156" i="4" s="1"/>
  <c r="AK155" i="4" s="1"/>
  <c r="AK154" i="4" s="1"/>
  <c r="AK153" i="4" s="1"/>
  <c r="AK152" i="4" s="1"/>
  <c r="AK151" i="4" s="1"/>
  <c r="AK150" i="4" s="1"/>
  <c r="AK149" i="4" s="1"/>
  <c r="AK148" i="4" s="1"/>
  <c r="AK147" i="4" s="1"/>
  <c r="AK146" i="4" s="1"/>
  <c r="AK145" i="4" s="1"/>
  <c r="AK144" i="4" s="1"/>
  <c r="AK143" i="4" s="1"/>
  <c r="AK142" i="4" s="1"/>
  <c r="AK141" i="4" s="1"/>
  <c r="AK140" i="4" s="1"/>
  <c r="AK139" i="4" s="1"/>
  <c r="AK138" i="4" s="1"/>
  <c r="AK137" i="4" s="1"/>
  <c r="AK136" i="4" s="1"/>
  <c r="AK135" i="4" s="1"/>
  <c r="AK134" i="4" s="1"/>
  <c r="AK133" i="4" s="1"/>
  <c r="AK132" i="4" s="1"/>
  <c r="AK131" i="4" s="1"/>
  <c r="AK130" i="4" s="1"/>
  <c r="AK129" i="4" s="1"/>
  <c r="AK128" i="4" s="1"/>
  <c r="AK127" i="4" s="1"/>
  <c r="AK126" i="4" s="1"/>
  <c r="AK125" i="4" s="1"/>
  <c r="AK124" i="4" s="1"/>
  <c r="AK123" i="4" s="1"/>
  <c r="AK122" i="4" s="1"/>
  <c r="AK121" i="4" s="1"/>
  <c r="AK120" i="4" s="1"/>
  <c r="AK119" i="4" s="1"/>
  <c r="AK118" i="4" s="1"/>
  <c r="AK117" i="4" s="1"/>
  <c r="AK116" i="4" s="1"/>
  <c r="AK115" i="4" s="1"/>
  <c r="AK114" i="4" s="1"/>
  <c r="AK113" i="4" s="1"/>
  <c r="AK112" i="4" s="1"/>
  <c r="AK111" i="4" s="1"/>
  <c r="AK110" i="4" s="1"/>
  <c r="AK109" i="4" s="1"/>
  <c r="AK108" i="4" s="1"/>
  <c r="AK107" i="4" s="1"/>
  <c r="AK106" i="4" s="1"/>
  <c r="AK4" i="4" s="1"/>
  <c r="DK193" i="4"/>
  <c r="DK192" i="4" s="1"/>
  <c r="DK191" i="4" s="1"/>
  <c r="DK190" i="4" s="1"/>
  <c r="DK189" i="4" s="1"/>
  <c r="DK188" i="4" s="1"/>
  <c r="DK187" i="4" s="1"/>
  <c r="DK186" i="4" s="1"/>
  <c r="DK185" i="4" s="1"/>
  <c r="DK184" i="4" s="1"/>
  <c r="DK183" i="4" s="1"/>
  <c r="DK182" i="4" s="1"/>
  <c r="DK181" i="4" s="1"/>
  <c r="DK180" i="4" s="1"/>
  <c r="M193" i="4"/>
  <c r="M192" i="4" s="1"/>
  <c r="M191" i="4" s="1"/>
  <c r="M190" i="4" s="1"/>
  <c r="M189" i="4" s="1"/>
  <c r="M188" i="4" s="1"/>
  <c r="M187" i="4" s="1"/>
  <c r="M186" i="4" s="1"/>
  <c r="M185" i="4" s="1"/>
  <c r="M184" i="4" s="1"/>
  <c r="M183" i="4" s="1"/>
  <c r="M182" i="4" s="1"/>
  <c r="M181" i="4" s="1"/>
  <c r="M180" i="4" s="1"/>
  <c r="M179" i="4" s="1"/>
  <c r="M178" i="4" s="1"/>
  <c r="M177" i="4" s="1"/>
  <c r="M176" i="4" s="1"/>
  <c r="M175" i="4" s="1"/>
  <c r="M174" i="4" s="1"/>
  <c r="M173" i="4" s="1"/>
  <c r="M172" i="4" s="1"/>
  <c r="M171" i="4" s="1"/>
  <c r="M170" i="4" s="1"/>
  <c r="M169" i="4" s="1"/>
  <c r="M168" i="4" s="1"/>
  <c r="M167" i="4" s="1"/>
  <c r="M166" i="4" s="1"/>
  <c r="M165" i="4" s="1"/>
  <c r="M164" i="4" s="1"/>
  <c r="M163" i="4" s="1"/>
  <c r="M162" i="4" s="1"/>
  <c r="M161" i="4" s="1"/>
  <c r="M160" i="4" s="1"/>
  <c r="M159" i="4" s="1"/>
  <c r="M158" i="4" s="1"/>
  <c r="M157" i="4" s="1"/>
  <c r="M156" i="4" s="1"/>
  <c r="M155" i="4" s="1"/>
  <c r="M154" i="4" s="1"/>
  <c r="M153" i="4" s="1"/>
  <c r="M152" i="4" s="1"/>
  <c r="M151" i="4" s="1"/>
  <c r="M150" i="4" s="1"/>
  <c r="M149" i="4" s="1"/>
  <c r="M148" i="4" s="1"/>
  <c r="M147" i="4" s="1"/>
  <c r="M146" i="4" s="1"/>
  <c r="M145" i="4" s="1"/>
  <c r="M144" i="4" s="1"/>
  <c r="M143" i="4" s="1"/>
  <c r="M142" i="4" s="1"/>
  <c r="M141" i="4" s="1"/>
  <c r="M140" i="4" s="1"/>
  <c r="M139" i="4" s="1"/>
  <c r="M138" i="4" s="1"/>
  <c r="M137" i="4" s="1"/>
  <c r="M136" i="4" s="1"/>
  <c r="M135" i="4" s="1"/>
  <c r="M134" i="4" s="1"/>
  <c r="M133" i="4" s="1"/>
  <c r="M132" i="4" s="1"/>
  <c r="M131" i="4" s="1"/>
  <c r="M130" i="4" s="1"/>
  <c r="M129" i="4" s="1"/>
  <c r="M128" i="4" s="1"/>
  <c r="M127" i="4" s="1"/>
  <c r="M126" i="4" s="1"/>
  <c r="M125" i="4" s="1"/>
  <c r="M124" i="4" s="1"/>
  <c r="M123" i="4" s="1"/>
  <c r="M122" i="4" s="1"/>
  <c r="M121" i="4" s="1"/>
  <c r="M120" i="4" s="1"/>
  <c r="M119" i="4" s="1"/>
  <c r="M118" i="4" s="1"/>
  <c r="M117" i="4" s="1"/>
  <c r="M116" i="4" s="1"/>
  <c r="M115" i="4" s="1"/>
  <c r="M114" i="4" s="1"/>
  <c r="M113" i="4" s="1"/>
  <c r="M112" i="4" s="1"/>
  <c r="M111" i="4" s="1"/>
  <c r="M110" i="4" s="1"/>
  <c r="M109" i="4" s="1"/>
  <c r="M108" i="4" s="1"/>
  <c r="M107" i="4" s="1"/>
  <c r="M106" i="4" s="1"/>
  <c r="M4" i="4" s="1"/>
  <c r="AE193" i="4"/>
  <c r="AE192" i="4" s="1"/>
  <c r="AE191" i="4" s="1"/>
  <c r="AE190" i="4" s="1"/>
  <c r="AE189" i="4" s="1"/>
  <c r="AE188" i="4" s="1"/>
  <c r="AE187" i="4" s="1"/>
  <c r="AE186" i="4" s="1"/>
  <c r="AE185" i="4" s="1"/>
  <c r="AE184" i="4" s="1"/>
  <c r="AE183" i="4" s="1"/>
  <c r="AE182" i="4" s="1"/>
  <c r="AE181" i="4" s="1"/>
  <c r="AE180" i="4" s="1"/>
  <c r="AE179" i="4" s="1"/>
  <c r="AE178" i="4" s="1"/>
  <c r="AE177" i="4" s="1"/>
  <c r="AE176" i="4" s="1"/>
  <c r="AE175" i="4" s="1"/>
  <c r="AE174" i="4" s="1"/>
  <c r="AE173" i="4" s="1"/>
  <c r="AE172" i="4" s="1"/>
  <c r="AE171" i="4" s="1"/>
  <c r="AE170" i="4" s="1"/>
  <c r="AE169" i="4" s="1"/>
  <c r="AE168" i="4" s="1"/>
  <c r="AE167" i="4" s="1"/>
  <c r="AE166" i="4" s="1"/>
  <c r="AE165" i="4" s="1"/>
  <c r="AE164" i="4" s="1"/>
  <c r="AE163" i="4" s="1"/>
  <c r="AE162" i="4" s="1"/>
  <c r="AE161" i="4" s="1"/>
  <c r="AE160" i="4" s="1"/>
  <c r="AE159" i="4" s="1"/>
  <c r="AE158" i="4" s="1"/>
  <c r="AE157" i="4" s="1"/>
  <c r="AE156" i="4" s="1"/>
  <c r="AE155" i="4" s="1"/>
  <c r="AE154" i="4" s="1"/>
  <c r="AE153" i="4" s="1"/>
  <c r="AE152" i="4" s="1"/>
  <c r="AE151" i="4" s="1"/>
  <c r="AE150" i="4" s="1"/>
  <c r="AE149" i="4" s="1"/>
  <c r="AE148" i="4" s="1"/>
  <c r="AE147" i="4" s="1"/>
  <c r="AE146" i="4" s="1"/>
  <c r="AE145" i="4" s="1"/>
  <c r="AE144" i="4" s="1"/>
  <c r="AE143" i="4" s="1"/>
  <c r="AE142" i="4" s="1"/>
  <c r="AE141" i="4" s="1"/>
  <c r="AE140" i="4" s="1"/>
  <c r="AE139" i="4" s="1"/>
  <c r="AE138" i="4" s="1"/>
  <c r="AE137" i="4" s="1"/>
  <c r="AE136" i="4" s="1"/>
  <c r="AE135" i="4" s="1"/>
  <c r="AE134" i="4" s="1"/>
  <c r="AE133" i="4" s="1"/>
  <c r="AE132" i="4" s="1"/>
  <c r="AE131" i="4" s="1"/>
  <c r="AE130" i="4" s="1"/>
  <c r="AE129" i="4" s="1"/>
  <c r="AE128" i="4" s="1"/>
  <c r="AE127" i="4" s="1"/>
  <c r="AE126" i="4" s="1"/>
  <c r="AE125" i="4" s="1"/>
  <c r="AE124" i="4" s="1"/>
  <c r="AE123" i="4" s="1"/>
  <c r="AE122" i="4" s="1"/>
  <c r="AE121" i="4" s="1"/>
  <c r="AE120" i="4" s="1"/>
  <c r="AE119" i="4" s="1"/>
  <c r="AE118" i="4" s="1"/>
  <c r="AE117" i="4" s="1"/>
  <c r="AE116" i="4" s="1"/>
  <c r="AE115" i="4" s="1"/>
  <c r="AE114" i="4" s="1"/>
  <c r="AE113" i="4" s="1"/>
  <c r="AE112" i="4" s="1"/>
  <c r="AE111" i="4" s="1"/>
  <c r="AE110" i="4" s="1"/>
  <c r="AE109" i="4" s="1"/>
  <c r="AE108" i="4" s="1"/>
  <c r="AE107" i="4" s="1"/>
  <c r="AE106" i="4" s="1"/>
  <c r="AE4" i="4" s="1"/>
  <c r="GC189" i="4"/>
  <c r="GC188" i="4" s="1"/>
  <c r="GC187" i="4" s="1"/>
  <c r="GC186" i="4" s="1"/>
  <c r="GC185" i="4" s="1"/>
  <c r="GC184" i="4" s="1"/>
  <c r="GC183" i="4" s="1"/>
  <c r="GC182" i="4" s="1"/>
  <c r="GC181" i="4" s="1"/>
  <c r="GC180" i="4" s="1"/>
  <c r="GC179" i="4" s="1"/>
  <c r="GC178" i="4" s="1"/>
  <c r="GC177" i="4" s="1"/>
  <c r="GC176" i="4" s="1"/>
  <c r="GC175" i="4" s="1"/>
  <c r="GC174" i="4" s="1"/>
  <c r="GC173" i="4" s="1"/>
  <c r="GC172" i="4" s="1"/>
  <c r="GC171" i="4" s="1"/>
  <c r="GC170" i="4" s="1"/>
  <c r="GC169" i="4" s="1"/>
  <c r="GC168" i="4" s="1"/>
  <c r="GC167" i="4" s="1"/>
  <c r="GC166" i="4" s="1"/>
  <c r="GC165" i="4" s="1"/>
  <c r="GC164" i="4" s="1"/>
  <c r="GC163" i="4" s="1"/>
  <c r="GC162" i="4" s="1"/>
  <c r="GC161" i="4" s="1"/>
  <c r="GC160" i="4" s="1"/>
  <c r="GC159" i="4" s="1"/>
  <c r="GC158" i="4" s="1"/>
  <c r="GC157" i="4" s="1"/>
  <c r="GC156" i="4" s="1"/>
  <c r="GC155" i="4" s="1"/>
  <c r="GC154" i="4" s="1"/>
  <c r="GC153" i="4" s="1"/>
  <c r="GC152" i="4" s="1"/>
  <c r="GC151" i="4" s="1"/>
  <c r="GC150" i="4" s="1"/>
  <c r="GC149" i="4" s="1"/>
  <c r="GC148" i="4" s="1"/>
  <c r="GC147" i="4" s="1"/>
  <c r="GC146" i="4" s="1"/>
  <c r="GC145" i="4" s="1"/>
  <c r="GC144" i="4" s="1"/>
  <c r="GC143" i="4" s="1"/>
  <c r="GC142" i="4" s="1"/>
  <c r="GC141" i="4" s="1"/>
  <c r="GC140" i="4" s="1"/>
  <c r="GC139" i="4" s="1"/>
  <c r="GC138" i="4" s="1"/>
  <c r="GC137" i="4" s="1"/>
  <c r="GC136" i="4" s="1"/>
  <c r="GC135" i="4" s="1"/>
  <c r="GC134" i="4" s="1"/>
  <c r="GC133" i="4" s="1"/>
  <c r="GC132" i="4" s="1"/>
  <c r="GC131" i="4" s="1"/>
  <c r="GC130" i="4" s="1"/>
  <c r="GC129" i="4" s="1"/>
  <c r="GC128" i="4" s="1"/>
  <c r="GC127" i="4" s="1"/>
  <c r="GC126" i="4" s="1"/>
  <c r="GC125" i="4" s="1"/>
  <c r="GC124" i="4" s="1"/>
  <c r="GC123" i="4" s="1"/>
  <c r="GC122" i="4" s="1"/>
  <c r="GC121" i="4" s="1"/>
  <c r="GC120" i="4" s="1"/>
  <c r="GC119" i="4" s="1"/>
  <c r="GC118" i="4" s="1"/>
  <c r="GC117" i="4" s="1"/>
  <c r="GC116" i="4" s="1"/>
  <c r="GC115" i="4" s="1"/>
  <c r="GC114" i="4" s="1"/>
  <c r="GC113" i="4" s="1"/>
  <c r="GC112" i="4" s="1"/>
  <c r="GC111" i="4" s="1"/>
  <c r="GC110" i="4" s="1"/>
  <c r="GC109" i="4" s="1"/>
  <c r="GC108" i="4" s="1"/>
  <c r="GC107" i="4" s="1"/>
  <c r="GD189" i="4"/>
  <c r="GD188" i="4" s="1"/>
  <c r="GD187" i="4" s="1"/>
  <c r="GD186" i="4" s="1"/>
  <c r="GD185" i="4" s="1"/>
  <c r="GD184" i="4" s="1"/>
  <c r="GD183" i="4" s="1"/>
  <c r="GD182" i="4" s="1"/>
  <c r="GD181" i="4" s="1"/>
  <c r="GD180" i="4" s="1"/>
  <c r="GD179" i="4" s="1"/>
  <c r="GD178" i="4" s="1"/>
  <c r="GD177" i="4" s="1"/>
  <c r="GD176" i="4" s="1"/>
  <c r="GD175" i="4" s="1"/>
  <c r="GD174" i="4" s="1"/>
  <c r="GD173" i="4" s="1"/>
  <c r="GD172" i="4" s="1"/>
  <c r="GD171" i="4" s="1"/>
  <c r="GD170" i="4" s="1"/>
  <c r="GD169" i="4" s="1"/>
  <c r="GD168" i="4" s="1"/>
  <c r="GD167" i="4" s="1"/>
  <c r="GD166" i="4" s="1"/>
  <c r="GD165" i="4" s="1"/>
  <c r="GD164" i="4" s="1"/>
  <c r="GD163" i="4" s="1"/>
  <c r="GD162" i="4" s="1"/>
  <c r="GD161" i="4" s="1"/>
  <c r="GD160" i="4" s="1"/>
  <c r="GD159" i="4" s="1"/>
  <c r="GD158" i="4" s="1"/>
  <c r="GD157" i="4" s="1"/>
  <c r="GD156" i="4" s="1"/>
  <c r="GD155" i="4" s="1"/>
  <c r="GD154" i="4" s="1"/>
  <c r="GD153" i="4" s="1"/>
  <c r="GD152" i="4" s="1"/>
  <c r="GD151" i="4" s="1"/>
  <c r="GD150" i="4" s="1"/>
  <c r="GD149" i="4" s="1"/>
  <c r="GD148" i="4" s="1"/>
  <c r="GD147" i="4" s="1"/>
  <c r="GD146" i="4" s="1"/>
  <c r="GD145" i="4" s="1"/>
  <c r="GD144" i="4" s="1"/>
  <c r="GD143" i="4" s="1"/>
  <c r="GD142" i="4" s="1"/>
  <c r="GD141" i="4" s="1"/>
  <c r="GD140" i="4" s="1"/>
  <c r="GD139" i="4" s="1"/>
  <c r="GD138" i="4" s="1"/>
  <c r="GD137" i="4" s="1"/>
  <c r="GD136" i="4" s="1"/>
  <c r="GD135" i="4" s="1"/>
  <c r="GD134" i="4" s="1"/>
  <c r="GD133" i="4" s="1"/>
  <c r="GD132" i="4" s="1"/>
  <c r="GD131" i="4" s="1"/>
  <c r="GD130" i="4" s="1"/>
  <c r="GD129" i="4" s="1"/>
  <c r="GD128" i="4" s="1"/>
  <c r="GD127" i="4" s="1"/>
  <c r="GD126" i="4" s="1"/>
  <c r="GD125" i="4" s="1"/>
  <c r="GD124" i="4" s="1"/>
  <c r="GD123" i="4" s="1"/>
  <c r="GD122" i="4" s="1"/>
  <c r="GD121" i="4" s="1"/>
  <c r="GD120" i="4" s="1"/>
  <c r="GD119" i="4" s="1"/>
  <c r="GD118" i="4" s="1"/>
  <c r="GD117" i="4" s="1"/>
  <c r="GD116" i="4" s="1"/>
  <c r="GD115" i="4" s="1"/>
  <c r="GD114" i="4" s="1"/>
  <c r="GD113" i="4" s="1"/>
  <c r="GD112" i="4" s="1"/>
  <c r="GD111" i="4" s="1"/>
  <c r="GD110" i="4" s="1"/>
  <c r="GD109" i="4" s="1"/>
  <c r="GD108" i="4" s="1"/>
  <c r="GD107" i="4" s="1"/>
  <c r="EM177" i="4"/>
  <c r="EM176" i="4" s="1"/>
  <c r="EM175" i="4" s="1"/>
  <c r="EM174" i="4" s="1"/>
  <c r="EM173" i="4" s="1"/>
  <c r="EM172" i="4" s="1"/>
  <c r="EM171" i="4" s="1"/>
  <c r="EM170" i="4" s="1"/>
  <c r="EM169" i="4" s="1"/>
  <c r="EM168" i="4" s="1"/>
  <c r="EM167" i="4" s="1"/>
  <c r="EM166" i="4" s="1"/>
  <c r="EM165" i="4" s="1"/>
  <c r="EM164" i="4" s="1"/>
  <c r="EM163" i="4" s="1"/>
  <c r="EM162" i="4" s="1"/>
  <c r="EM161" i="4" s="1"/>
  <c r="EM160" i="4" s="1"/>
  <c r="EM159" i="4" s="1"/>
  <c r="EM158" i="4" s="1"/>
  <c r="EM157" i="4" s="1"/>
  <c r="EM156" i="4" s="1"/>
  <c r="EM155" i="4" s="1"/>
  <c r="EM154" i="4" s="1"/>
  <c r="EM153" i="4" s="1"/>
  <c r="EM152" i="4" s="1"/>
  <c r="EM151" i="4" s="1"/>
  <c r="EM150" i="4" s="1"/>
  <c r="EM149" i="4" s="1"/>
  <c r="EM148" i="4" s="1"/>
  <c r="EM147" i="4" s="1"/>
  <c r="EM146" i="4" s="1"/>
  <c r="EM145" i="4" s="1"/>
  <c r="EM144" i="4" s="1"/>
  <c r="EM143" i="4" s="1"/>
  <c r="EM142" i="4" s="1"/>
  <c r="EM141" i="4" s="1"/>
  <c r="EM140" i="4" s="1"/>
  <c r="EM139" i="4" s="1"/>
  <c r="EM138" i="4" s="1"/>
  <c r="EM137" i="4" s="1"/>
  <c r="EM136" i="4" s="1"/>
  <c r="EM135" i="4" s="1"/>
  <c r="EM134" i="4" s="1"/>
  <c r="EM133" i="4" s="1"/>
  <c r="EM132" i="4" s="1"/>
  <c r="EM131" i="4" s="1"/>
  <c r="EM130" i="4" s="1"/>
  <c r="EM129" i="4" s="1"/>
  <c r="EM128" i="4" s="1"/>
  <c r="EM127" i="4" s="1"/>
  <c r="EM126" i="4" s="1"/>
  <c r="EM125" i="4" s="1"/>
  <c r="EM124" i="4" s="1"/>
  <c r="EM123" i="4" s="1"/>
  <c r="EM122" i="4" s="1"/>
  <c r="EM121" i="4" s="1"/>
  <c r="EM120" i="4" s="1"/>
  <c r="EM119" i="4" s="1"/>
  <c r="EM118" i="4" s="1"/>
  <c r="EM117" i="4" s="1"/>
  <c r="EM116" i="4" s="1"/>
  <c r="EM115" i="4" s="1"/>
  <c r="EM114" i="4" s="1"/>
  <c r="EM113" i="4" s="1"/>
  <c r="EM112" i="4" s="1"/>
  <c r="EM111" i="4" s="1"/>
  <c r="EM110" i="4" s="1"/>
  <c r="EM109" i="4" s="1"/>
  <c r="EM108" i="4" s="1"/>
  <c r="EM107" i="4" s="1"/>
  <c r="EN177" i="4"/>
  <c r="EN176" i="4" s="1"/>
  <c r="EN175" i="4" s="1"/>
  <c r="EN174" i="4" s="1"/>
  <c r="EN173" i="4" s="1"/>
  <c r="EN172" i="4" s="1"/>
  <c r="EN171" i="4" s="1"/>
  <c r="EN170" i="4" s="1"/>
  <c r="EN169" i="4" s="1"/>
  <c r="EN168" i="4" s="1"/>
  <c r="EN167" i="4" s="1"/>
  <c r="EN166" i="4" s="1"/>
  <c r="EN165" i="4" s="1"/>
  <c r="EN164" i="4" s="1"/>
  <c r="EN163" i="4" s="1"/>
  <c r="EN162" i="4" s="1"/>
  <c r="EN161" i="4" s="1"/>
  <c r="EN160" i="4" s="1"/>
  <c r="EN159" i="4" s="1"/>
  <c r="EN158" i="4" s="1"/>
  <c r="EN157" i="4" s="1"/>
  <c r="EN156" i="4" s="1"/>
  <c r="EN155" i="4" s="1"/>
  <c r="EN154" i="4" s="1"/>
  <c r="EN153" i="4" s="1"/>
  <c r="EN152" i="4" s="1"/>
  <c r="EN151" i="4" s="1"/>
  <c r="EN150" i="4" s="1"/>
  <c r="EN149" i="4" s="1"/>
  <c r="EN148" i="4" s="1"/>
  <c r="EN147" i="4" s="1"/>
  <c r="EN146" i="4" s="1"/>
  <c r="EN145" i="4" s="1"/>
  <c r="EN144" i="4" s="1"/>
  <c r="EN143" i="4" s="1"/>
  <c r="EN142" i="4" s="1"/>
  <c r="EN141" i="4" s="1"/>
  <c r="EN140" i="4" s="1"/>
  <c r="EN139" i="4" s="1"/>
  <c r="EN138" i="4" s="1"/>
  <c r="EN137" i="4" s="1"/>
  <c r="EN136" i="4" s="1"/>
  <c r="EN135" i="4" s="1"/>
  <c r="EN134" i="4" s="1"/>
  <c r="EN133" i="4" s="1"/>
  <c r="EN132" i="4" s="1"/>
  <c r="EN131" i="4" s="1"/>
  <c r="EN130" i="4" s="1"/>
  <c r="EN129" i="4" s="1"/>
  <c r="EN128" i="4" s="1"/>
  <c r="EN127" i="4" s="1"/>
  <c r="EN126" i="4" s="1"/>
  <c r="EN125" i="4" s="1"/>
  <c r="EN124" i="4" s="1"/>
  <c r="EN123" i="4" s="1"/>
  <c r="EN122" i="4" s="1"/>
  <c r="EN121" i="4" s="1"/>
  <c r="EN120" i="4" s="1"/>
  <c r="EN119" i="4" s="1"/>
  <c r="EN118" i="4" s="1"/>
  <c r="EN117" i="4" s="1"/>
  <c r="EN116" i="4" s="1"/>
  <c r="EN115" i="4" s="1"/>
  <c r="EN114" i="4" s="1"/>
  <c r="EN113" i="4" s="1"/>
  <c r="EN112" i="4" s="1"/>
  <c r="EN111" i="4" s="1"/>
  <c r="EN110" i="4" s="1"/>
  <c r="EN109" i="4" s="1"/>
  <c r="EN108" i="4" s="1"/>
  <c r="EN107" i="4" s="1"/>
  <c r="CO161" i="4"/>
  <c r="CO160" i="4" s="1"/>
  <c r="CO159" i="4" s="1"/>
  <c r="CO158" i="4" s="1"/>
  <c r="CO157" i="4" s="1"/>
  <c r="CO156" i="4" s="1"/>
  <c r="CO155" i="4" s="1"/>
  <c r="CO154" i="4" s="1"/>
  <c r="CO153" i="4" s="1"/>
  <c r="CO152" i="4" s="1"/>
  <c r="CO151" i="4" s="1"/>
  <c r="CO150" i="4" s="1"/>
  <c r="CO149" i="4" s="1"/>
  <c r="CO148" i="4" s="1"/>
  <c r="CO147" i="4" s="1"/>
  <c r="CO146" i="4" s="1"/>
  <c r="CO145" i="4" s="1"/>
  <c r="CO144" i="4" s="1"/>
  <c r="CO143" i="4" s="1"/>
  <c r="CO142" i="4" s="1"/>
  <c r="CO141" i="4" s="1"/>
  <c r="CO140" i="4" s="1"/>
  <c r="CO139" i="4" s="1"/>
  <c r="CO138" i="4" s="1"/>
  <c r="CO137" i="4" s="1"/>
  <c r="CO136" i="4" s="1"/>
  <c r="CO135" i="4" s="1"/>
  <c r="CO134" i="4" s="1"/>
  <c r="CO133" i="4" s="1"/>
  <c r="CO132" i="4" s="1"/>
  <c r="CO131" i="4" s="1"/>
  <c r="CO130" i="4" s="1"/>
  <c r="CO129" i="4" s="1"/>
  <c r="CO128" i="4" s="1"/>
  <c r="CO127" i="4" s="1"/>
  <c r="CO126" i="4" s="1"/>
  <c r="CO125" i="4" s="1"/>
  <c r="CO124" i="4" s="1"/>
  <c r="CO123" i="4" s="1"/>
  <c r="CO122" i="4" s="1"/>
  <c r="CO121" i="4" s="1"/>
  <c r="CO120" i="4" s="1"/>
  <c r="CO119" i="4" s="1"/>
  <c r="CO118" i="4" s="1"/>
  <c r="CO117" i="4" s="1"/>
  <c r="CO116" i="4" s="1"/>
  <c r="CO115" i="4" s="1"/>
  <c r="CO114" i="4" s="1"/>
  <c r="CO113" i="4" s="1"/>
  <c r="CO112" i="4" s="1"/>
  <c r="CO111" i="4" s="1"/>
  <c r="CO110" i="4" s="1"/>
  <c r="CO109" i="4" s="1"/>
  <c r="CO108" i="4" s="1"/>
  <c r="CO107" i="4" s="1"/>
  <c r="CO106" i="4" s="1"/>
  <c r="CT161" i="4"/>
  <c r="CT160" i="4" s="1"/>
  <c r="CT159" i="4" s="1"/>
  <c r="CT158" i="4" s="1"/>
  <c r="CT157" i="4" s="1"/>
  <c r="CT156" i="4" s="1"/>
  <c r="CT155" i="4" s="1"/>
  <c r="CT154" i="4" s="1"/>
  <c r="CT153" i="4" s="1"/>
  <c r="CT152" i="4" s="1"/>
  <c r="CT151" i="4" s="1"/>
  <c r="CT150" i="4" s="1"/>
  <c r="CT149" i="4" s="1"/>
  <c r="CT148" i="4" s="1"/>
  <c r="CT147" i="4" s="1"/>
  <c r="CT146" i="4" s="1"/>
  <c r="CT145" i="4" s="1"/>
  <c r="CT144" i="4" s="1"/>
  <c r="CT143" i="4" s="1"/>
  <c r="CT142" i="4" s="1"/>
  <c r="CT141" i="4" s="1"/>
  <c r="CT140" i="4" s="1"/>
  <c r="CT139" i="4" s="1"/>
  <c r="CT138" i="4" s="1"/>
  <c r="CT137" i="4" s="1"/>
  <c r="CT136" i="4" s="1"/>
  <c r="CT135" i="4" s="1"/>
  <c r="CT134" i="4" s="1"/>
  <c r="CT133" i="4" s="1"/>
  <c r="CT132" i="4" s="1"/>
  <c r="CT131" i="4" s="1"/>
  <c r="CT130" i="4" s="1"/>
  <c r="CT129" i="4" s="1"/>
  <c r="CT128" i="4" s="1"/>
  <c r="CT127" i="4" s="1"/>
  <c r="CT126" i="4" s="1"/>
  <c r="CT125" i="4" s="1"/>
  <c r="CT124" i="4" s="1"/>
  <c r="CT123" i="4" s="1"/>
  <c r="CT122" i="4" s="1"/>
  <c r="CT121" i="4" s="1"/>
  <c r="CT120" i="4" s="1"/>
  <c r="CT119" i="4" s="1"/>
  <c r="CT118" i="4" s="1"/>
  <c r="CT117" i="4" s="1"/>
  <c r="CT116" i="4" s="1"/>
  <c r="CT115" i="4" s="1"/>
  <c r="CT114" i="4" s="1"/>
  <c r="CT113" i="4" s="1"/>
  <c r="CT112" i="4" s="1"/>
  <c r="CT111" i="4" s="1"/>
  <c r="CT110" i="4" s="1"/>
  <c r="CT109" i="4" s="1"/>
  <c r="CT108" i="4" s="1"/>
  <c r="CT107" i="4" s="1"/>
  <c r="CN161" i="4"/>
  <c r="CN160" i="4" s="1"/>
  <c r="CN159" i="4" s="1"/>
  <c r="CN158" i="4" s="1"/>
  <c r="CN157" i="4" s="1"/>
  <c r="CN156" i="4" s="1"/>
  <c r="CN155" i="4" s="1"/>
  <c r="CN154" i="4" s="1"/>
  <c r="CN153" i="4" s="1"/>
  <c r="CN152" i="4" s="1"/>
  <c r="CN151" i="4" s="1"/>
  <c r="CN150" i="4" s="1"/>
  <c r="CN149" i="4" s="1"/>
  <c r="CN148" i="4" s="1"/>
  <c r="CN147" i="4" s="1"/>
  <c r="CN146" i="4" s="1"/>
  <c r="CN145" i="4" s="1"/>
  <c r="CN144" i="4" s="1"/>
  <c r="CN143" i="4" s="1"/>
  <c r="CN142" i="4" s="1"/>
  <c r="CN141" i="4" s="1"/>
  <c r="CN140" i="4" s="1"/>
  <c r="CN139" i="4" s="1"/>
  <c r="CN138" i="4" s="1"/>
  <c r="CN137" i="4" s="1"/>
  <c r="CN136" i="4" s="1"/>
  <c r="CN135" i="4" s="1"/>
  <c r="CN134" i="4" s="1"/>
  <c r="CN133" i="4" s="1"/>
  <c r="CN132" i="4" s="1"/>
  <c r="CN131" i="4" s="1"/>
  <c r="CN130" i="4" s="1"/>
  <c r="CN129" i="4" s="1"/>
  <c r="CN128" i="4" s="1"/>
  <c r="CN127" i="4" s="1"/>
  <c r="CN126" i="4" s="1"/>
  <c r="CN125" i="4" s="1"/>
  <c r="CN124" i="4" s="1"/>
  <c r="CN123" i="4" s="1"/>
  <c r="CN122" i="4" s="1"/>
  <c r="CN121" i="4" s="1"/>
  <c r="CN120" i="4" s="1"/>
  <c r="CN119" i="4" s="1"/>
  <c r="CN118" i="4" s="1"/>
  <c r="CN117" i="4" s="1"/>
  <c r="CN116" i="4" s="1"/>
  <c r="CN115" i="4" s="1"/>
  <c r="CN114" i="4" s="1"/>
  <c r="CN113" i="4" s="1"/>
  <c r="CN112" i="4" s="1"/>
  <c r="CN111" i="4" s="1"/>
  <c r="CN110" i="4" s="1"/>
  <c r="CN109" i="4" s="1"/>
  <c r="CN108" i="4" s="1"/>
  <c r="CN107" i="4" s="1"/>
  <c r="CU161" i="4"/>
  <c r="CU160" i="4" s="1"/>
  <c r="CU159" i="4" s="1"/>
  <c r="CU158" i="4" s="1"/>
  <c r="CU157" i="4" s="1"/>
  <c r="CU156" i="4" s="1"/>
  <c r="CU155" i="4" s="1"/>
  <c r="CU154" i="4" s="1"/>
  <c r="CU153" i="4" s="1"/>
  <c r="CU152" i="4" s="1"/>
  <c r="CU151" i="4" s="1"/>
  <c r="CU150" i="4" s="1"/>
  <c r="CU149" i="4" s="1"/>
  <c r="CU148" i="4" s="1"/>
  <c r="CU147" i="4" s="1"/>
  <c r="CU146" i="4" s="1"/>
  <c r="CU145" i="4" s="1"/>
  <c r="CU144" i="4" s="1"/>
  <c r="CU143" i="4" s="1"/>
  <c r="CU142" i="4" s="1"/>
  <c r="CU141" i="4" s="1"/>
  <c r="CU140" i="4" s="1"/>
  <c r="CU139" i="4" s="1"/>
  <c r="CU138" i="4" s="1"/>
  <c r="CU137" i="4" s="1"/>
  <c r="CU136" i="4" s="1"/>
  <c r="CU135" i="4" s="1"/>
  <c r="CU134" i="4" s="1"/>
  <c r="CU133" i="4" s="1"/>
  <c r="CU132" i="4" s="1"/>
  <c r="CU131" i="4" s="1"/>
  <c r="CU130" i="4" s="1"/>
  <c r="CU129" i="4" s="1"/>
  <c r="CU128" i="4" s="1"/>
  <c r="CU127" i="4" s="1"/>
  <c r="CU126" i="4" s="1"/>
  <c r="CU125" i="4" s="1"/>
  <c r="CU124" i="4" s="1"/>
  <c r="CU123" i="4" s="1"/>
  <c r="CU122" i="4" s="1"/>
  <c r="CU121" i="4" s="1"/>
  <c r="CU120" i="4" s="1"/>
  <c r="CU119" i="4" s="1"/>
  <c r="CU118" i="4" s="1"/>
  <c r="CU117" i="4" s="1"/>
  <c r="CU116" i="4" s="1"/>
  <c r="CU115" i="4" s="1"/>
  <c r="CU114" i="4" s="1"/>
  <c r="CU113" i="4" s="1"/>
  <c r="CU112" i="4" s="1"/>
  <c r="CU111" i="4" s="1"/>
  <c r="CU110" i="4" s="1"/>
  <c r="CU109" i="4" s="1"/>
  <c r="CU108" i="4" s="1"/>
  <c r="CU107" i="4" s="1"/>
  <c r="CU106" i="4" s="1"/>
  <c r="BY161" i="4"/>
  <c r="BY160" i="4" s="1"/>
  <c r="BY159" i="4" s="1"/>
  <c r="BY158" i="4" s="1"/>
  <c r="BY157" i="4" s="1"/>
  <c r="BY156" i="4" s="1"/>
  <c r="BY155" i="4" s="1"/>
  <c r="BY154" i="4" s="1"/>
  <c r="BY153" i="4" s="1"/>
  <c r="BY152" i="4" s="1"/>
  <c r="BY151" i="4" s="1"/>
  <c r="BY150" i="4" s="1"/>
  <c r="BY149" i="4" s="1"/>
  <c r="BY148" i="4" s="1"/>
  <c r="BY147" i="4" s="1"/>
  <c r="BY146" i="4" s="1"/>
  <c r="BY145" i="4" s="1"/>
  <c r="BY144" i="4" s="1"/>
  <c r="BY143" i="4" s="1"/>
  <c r="BY142" i="4" s="1"/>
  <c r="BY141" i="4" s="1"/>
  <c r="BY140" i="4" s="1"/>
  <c r="BY139" i="4" s="1"/>
  <c r="BY138" i="4" s="1"/>
  <c r="BY137" i="4" s="1"/>
  <c r="BY136" i="4" s="1"/>
  <c r="BY135" i="4" s="1"/>
  <c r="BY134" i="4" s="1"/>
  <c r="BY133" i="4" s="1"/>
  <c r="BY132" i="4" s="1"/>
  <c r="BY131" i="4" s="1"/>
  <c r="BY130" i="4" s="1"/>
  <c r="BY129" i="4" s="1"/>
  <c r="BY128" i="4" s="1"/>
  <c r="BY127" i="4" s="1"/>
  <c r="BY126" i="4" s="1"/>
  <c r="BY125" i="4" s="1"/>
  <c r="BY124" i="4" s="1"/>
  <c r="BY123" i="4" s="1"/>
  <c r="BY122" i="4" s="1"/>
  <c r="BY121" i="4" s="1"/>
  <c r="BY120" i="4" s="1"/>
  <c r="BY119" i="4" s="1"/>
  <c r="BY118" i="4" s="1"/>
  <c r="BY117" i="4" s="1"/>
  <c r="BY116" i="4" s="1"/>
  <c r="BY115" i="4" s="1"/>
  <c r="BY114" i="4" s="1"/>
  <c r="BY113" i="4" s="1"/>
  <c r="BY112" i="4" s="1"/>
  <c r="BY111" i="4" s="1"/>
  <c r="BY110" i="4" s="1"/>
  <c r="BY109" i="4" s="1"/>
  <c r="BY108" i="4" s="1"/>
  <c r="BY107" i="4" s="1"/>
  <c r="CH157" i="4"/>
  <c r="CH156" i="4" s="1"/>
  <c r="CH155" i="4" s="1"/>
  <c r="CH154" i="4" s="1"/>
  <c r="CH153" i="4" s="1"/>
  <c r="CH152" i="4" s="1"/>
  <c r="CH151" i="4" s="1"/>
  <c r="CH150" i="4" s="1"/>
  <c r="CH149" i="4" s="1"/>
  <c r="CH148" i="4" s="1"/>
  <c r="CH147" i="4" s="1"/>
  <c r="CH146" i="4" s="1"/>
  <c r="CH145" i="4" s="1"/>
  <c r="CH144" i="4" s="1"/>
  <c r="CH143" i="4" s="1"/>
  <c r="CH142" i="4" s="1"/>
  <c r="CH141" i="4" s="1"/>
  <c r="CH140" i="4" s="1"/>
  <c r="CH139" i="4" s="1"/>
  <c r="CH138" i="4" s="1"/>
  <c r="CH137" i="4" s="1"/>
  <c r="CH136" i="4" s="1"/>
  <c r="CH135" i="4" s="1"/>
  <c r="CH134" i="4" s="1"/>
  <c r="CH133" i="4" s="1"/>
  <c r="CH132" i="4" s="1"/>
  <c r="CH131" i="4" s="1"/>
  <c r="CH130" i="4" s="1"/>
  <c r="CH129" i="4" s="1"/>
  <c r="CH128" i="4" s="1"/>
  <c r="CH127" i="4" s="1"/>
  <c r="CH126" i="4" s="1"/>
  <c r="CH125" i="4" s="1"/>
  <c r="CH124" i="4" s="1"/>
  <c r="CH123" i="4" s="1"/>
  <c r="CH122" i="4" s="1"/>
  <c r="CH121" i="4" s="1"/>
  <c r="CH120" i="4" s="1"/>
  <c r="CH119" i="4" s="1"/>
  <c r="CH118" i="4" s="1"/>
  <c r="CH117" i="4" s="1"/>
  <c r="CH116" i="4" s="1"/>
  <c r="CH115" i="4" s="1"/>
  <c r="CH114" i="4" s="1"/>
  <c r="CH113" i="4" s="1"/>
  <c r="CH112" i="4" s="1"/>
  <c r="CH111" i="4" s="1"/>
  <c r="CH110" i="4" s="1"/>
  <c r="CH109" i="4" s="1"/>
  <c r="CH108" i="4" s="1"/>
  <c r="CH107" i="4" s="1"/>
  <c r="DA157" i="4"/>
  <c r="DA156" i="4" s="1"/>
  <c r="DA155" i="4" s="1"/>
  <c r="DA154" i="4" s="1"/>
  <c r="DA153" i="4" s="1"/>
  <c r="DA152" i="4" s="1"/>
  <c r="DA151" i="4" s="1"/>
  <c r="DA150" i="4" s="1"/>
  <c r="DA149" i="4" s="1"/>
  <c r="DA148" i="4" s="1"/>
  <c r="DA147" i="4" s="1"/>
  <c r="DA146" i="4" s="1"/>
  <c r="DA145" i="4" s="1"/>
  <c r="DA144" i="4" s="1"/>
  <c r="DA143" i="4" s="1"/>
  <c r="DA142" i="4" s="1"/>
  <c r="DA141" i="4" s="1"/>
  <c r="DA140" i="4" s="1"/>
  <c r="DA139" i="4" s="1"/>
  <c r="DA138" i="4" s="1"/>
  <c r="DA137" i="4" s="1"/>
  <c r="DA136" i="4" s="1"/>
  <c r="DA135" i="4" s="1"/>
  <c r="DA134" i="4" s="1"/>
  <c r="DA133" i="4" s="1"/>
  <c r="DA132" i="4" s="1"/>
  <c r="DA131" i="4" s="1"/>
  <c r="DA130" i="4" s="1"/>
  <c r="DA129" i="4" s="1"/>
  <c r="DA128" i="4" s="1"/>
  <c r="DA127" i="4" s="1"/>
  <c r="DA126" i="4" s="1"/>
  <c r="DA125" i="4" s="1"/>
  <c r="DA124" i="4" s="1"/>
  <c r="DA123" i="4" s="1"/>
  <c r="DA122" i="4" s="1"/>
  <c r="DA121" i="4" s="1"/>
  <c r="DA120" i="4" s="1"/>
  <c r="DA119" i="4" s="1"/>
  <c r="DA118" i="4" s="1"/>
  <c r="DA117" i="4" s="1"/>
  <c r="DA116" i="4" s="1"/>
  <c r="DA115" i="4" s="1"/>
  <c r="DA114" i="4" s="1"/>
  <c r="DA113" i="4" s="1"/>
  <c r="DA112" i="4" s="1"/>
  <c r="DA111" i="4" s="1"/>
  <c r="DA110" i="4" s="1"/>
  <c r="DA109" i="4" s="1"/>
  <c r="DA108" i="4" s="1"/>
  <c r="DA107" i="4" s="1"/>
  <c r="DA106" i="4" s="1"/>
  <c r="AF157" i="4"/>
  <c r="AF156" i="4" s="1"/>
  <c r="AF155" i="4" s="1"/>
  <c r="AF154" i="4" s="1"/>
  <c r="AF153" i="4" s="1"/>
  <c r="AF152" i="4" s="1"/>
  <c r="AF151" i="4" s="1"/>
  <c r="AF150" i="4" s="1"/>
  <c r="AF149" i="4" s="1"/>
  <c r="AF148" i="4" s="1"/>
  <c r="AF147" i="4" s="1"/>
  <c r="AF146" i="4" s="1"/>
  <c r="AF145" i="4" s="1"/>
  <c r="AF144" i="4" s="1"/>
  <c r="AF143" i="4" s="1"/>
  <c r="AF142" i="4" s="1"/>
  <c r="AF141" i="4" s="1"/>
  <c r="AF140" i="4" s="1"/>
  <c r="AF139" i="4" s="1"/>
  <c r="AF138" i="4" s="1"/>
  <c r="AF137" i="4" s="1"/>
  <c r="AF136" i="4" s="1"/>
  <c r="AF135" i="4" s="1"/>
  <c r="AF134" i="4" s="1"/>
  <c r="AF133" i="4" s="1"/>
  <c r="AF132" i="4" s="1"/>
  <c r="AF131" i="4" s="1"/>
  <c r="AF130" i="4" s="1"/>
  <c r="AF129" i="4" s="1"/>
  <c r="AF128" i="4" s="1"/>
  <c r="AF127" i="4" s="1"/>
  <c r="AF126" i="4" s="1"/>
  <c r="AF125" i="4" s="1"/>
  <c r="AF124" i="4" s="1"/>
  <c r="AF123" i="4" s="1"/>
  <c r="AF122" i="4" s="1"/>
  <c r="AF121" i="4" s="1"/>
  <c r="AF120" i="4" s="1"/>
  <c r="AF119" i="4" s="1"/>
  <c r="AF118" i="4" s="1"/>
  <c r="AF117" i="4" s="1"/>
  <c r="AF116" i="4" s="1"/>
  <c r="AF115" i="4" s="1"/>
  <c r="AF114" i="4" s="1"/>
  <c r="AF113" i="4" s="1"/>
  <c r="AF112" i="4" s="1"/>
  <c r="AF111" i="4" s="1"/>
  <c r="AF110" i="4" s="1"/>
  <c r="AF109" i="4" s="1"/>
  <c r="AF108" i="4" s="1"/>
  <c r="AF107" i="4" s="1"/>
  <c r="AF106" i="4" s="1"/>
  <c r="CI157" i="4"/>
  <c r="CI156" i="4" s="1"/>
  <c r="CI155" i="4" s="1"/>
  <c r="CI154" i="4" s="1"/>
  <c r="CI153" i="4" s="1"/>
  <c r="CI152" i="4" s="1"/>
  <c r="CI151" i="4" s="1"/>
  <c r="CI150" i="4" s="1"/>
  <c r="CI149" i="4" s="1"/>
  <c r="CI148" i="4" s="1"/>
  <c r="CI147" i="4" s="1"/>
  <c r="CI146" i="4" s="1"/>
  <c r="CI145" i="4" s="1"/>
  <c r="CI144" i="4" s="1"/>
  <c r="CI143" i="4" s="1"/>
  <c r="CI142" i="4" s="1"/>
  <c r="CI141" i="4" s="1"/>
  <c r="CI140" i="4" s="1"/>
  <c r="CI139" i="4" s="1"/>
  <c r="CI138" i="4" s="1"/>
  <c r="CI137" i="4" s="1"/>
  <c r="CI136" i="4" s="1"/>
  <c r="CI135" i="4" s="1"/>
  <c r="CI134" i="4" s="1"/>
  <c r="CI133" i="4" s="1"/>
  <c r="CI132" i="4" s="1"/>
  <c r="CI131" i="4" s="1"/>
  <c r="CI130" i="4" s="1"/>
  <c r="CI129" i="4" s="1"/>
  <c r="CI128" i="4" s="1"/>
  <c r="CI127" i="4" s="1"/>
  <c r="CI126" i="4" s="1"/>
  <c r="CI125" i="4" s="1"/>
  <c r="CI124" i="4" s="1"/>
  <c r="CI123" i="4" s="1"/>
  <c r="CI122" i="4" s="1"/>
  <c r="CI121" i="4" s="1"/>
  <c r="CI120" i="4" s="1"/>
  <c r="CI119" i="4" s="1"/>
  <c r="CI118" i="4" s="1"/>
  <c r="CI117" i="4" s="1"/>
  <c r="CI116" i="4" s="1"/>
  <c r="CI115" i="4" s="1"/>
  <c r="CI114" i="4" s="1"/>
  <c r="CI113" i="4" s="1"/>
  <c r="CI112" i="4" s="1"/>
  <c r="CI111" i="4" s="1"/>
  <c r="CI110" i="4" s="1"/>
  <c r="CI109" i="4" s="1"/>
  <c r="CI108" i="4" s="1"/>
  <c r="CI107" i="4" s="1"/>
  <c r="CI106" i="4" s="1"/>
  <c r="AD157" i="4"/>
  <c r="AD156" i="4" s="1"/>
  <c r="AD155" i="4" s="1"/>
  <c r="AD154" i="4" s="1"/>
  <c r="AD153" i="4" s="1"/>
  <c r="AD152" i="4" s="1"/>
  <c r="AD151" i="4" s="1"/>
  <c r="AD150" i="4" s="1"/>
  <c r="AD149" i="4" s="1"/>
  <c r="AD148" i="4" s="1"/>
  <c r="AD147" i="4" s="1"/>
  <c r="AD146" i="4" s="1"/>
  <c r="AD145" i="4" s="1"/>
  <c r="AD144" i="4" s="1"/>
  <c r="AD143" i="4" s="1"/>
  <c r="AD142" i="4" s="1"/>
  <c r="AD141" i="4" s="1"/>
  <c r="AD140" i="4" s="1"/>
  <c r="AD139" i="4" s="1"/>
  <c r="AD138" i="4" s="1"/>
  <c r="AD137" i="4" s="1"/>
  <c r="AD136" i="4" s="1"/>
  <c r="AD135" i="4" s="1"/>
  <c r="AD134" i="4" s="1"/>
  <c r="AD133" i="4" s="1"/>
  <c r="AD132" i="4" s="1"/>
  <c r="AD131" i="4" s="1"/>
  <c r="AD130" i="4" s="1"/>
  <c r="AD129" i="4" s="1"/>
  <c r="AD128" i="4" s="1"/>
  <c r="AD127" i="4" s="1"/>
  <c r="AD126" i="4" s="1"/>
  <c r="AD125" i="4" s="1"/>
  <c r="AD124" i="4" s="1"/>
  <c r="AD123" i="4" s="1"/>
  <c r="AD122" i="4" s="1"/>
  <c r="AD121" i="4" s="1"/>
  <c r="AD120" i="4" s="1"/>
  <c r="AD119" i="4" s="1"/>
  <c r="AD118" i="4" s="1"/>
  <c r="AD117" i="4" s="1"/>
  <c r="AD116" i="4" s="1"/>
  <c r="AD115" i="4" s="1"/>
  <c r="AD114" i="4" s="1"/>
  <c r="AD113" i="4" s="1"/>
  <c r="AD112" i="4" s="1"/>
  <c r="AD111" i="4" s="1"/>
  <c r="AD110" i="4" s="1"/>
  <c r="AD109" i="4" s="1"/>
  <c r="AD108" i="4" s="1"/>
  <c r="AD107" i="4" s="1"/>
  <c r="AD106" i="4" s="1"/>
  <c r="AD4" i="4" s="1"/>
  <c r="G8" i="2" s="1"/>
  <c r="AG157" i="4"/>
  <c r="AG156" i="4" s="1"/>
  <c r="AG155" i="4" s="1"/>
  <c r="AG154" i="4" s="1"/>
  <c r="AG153" i="4" s="1"/>
  <c r="AG152" i="4" s="1"/>
  <c r="AG151" i="4" s="1"/>
  <c r="AG150" i="4" s="1"/>
  <c r="AG149" i="4" s="1"/>
  <c r="AG148" i="4" s="1"/>
  <c r="AG147" i="4" s="1"/>
  <c r="AG146" i="4" s="1"/>
  <c r="AG145" i="4" s="1"/>
  <c r="AG144" i="4" s="1"/>
  <c r="AG143" i="4" s="1"/>
  <c r="AG142" i="4" s="1"/>
  <c r="AG141" i="4" s="1"/>
  <c r="AG140" i="4" s="1"/>
  <c r="AG139" i="4" s="1"/>
  <c r="AG138" i="4" s="1"/>
  <c r="AG137" i="4" s="1"/>
  <c r="AG136" i="4" s="1"/>
  <c r="AG135" i="4" s="1"/>
  <c r="AG134" i="4" s="1"/>
  <c r="AG133" i="4" s="1"/>
  <c r="AG132" i="4" s="1"/>
  <c r="AG131" i="4" s="1"/>
  <c r="AG130" i="4" s="1"/>
  <c r="AG129" i="4" s="1"/>
  <c r="AG128" i="4" s="1"/>
  <c r="AG127" i="4" s="1"/>
  <c r="AG126" i="4" s="1"/>
  <c r="AG125" i="4" s="1"/>
  <c r="AG124" i="4" s="1"/>
  <c r="AG123" i="4" s="1"/>
  <c r="AG122" i="4" s="1"/>
  <c r="AG121" i="4" s="1"/>
  <c r="AG120" i="4" s="1"/>
  <c r="AG119" i="4" s="1"/>
  <c r="AG118" i="4" s="1"/>
  <c r="AG117" i="4" s="1"/>
  <c r="AG116" i="4" s="1"/>
  <c r="AG115" i="4" s="1"/>
  <c r="AG114" i="4" s="1"/>
  <c r="AG113" i="4" s="1"/>
  <c r="AG112" i="4" s="1"/>
  <c r="AG111" i="4" s="1"/>
  <c r="AG110" i="4" s="1"/>
  <c r="AG109" i="4" s="1"/>
  <c r="AG108" i="4" s="1"/>
  <c r="AG107" i="4" s="1"/>
  <c r="AG106" i="4" s="1"/>
  <c r="CE157" i="4"/>
  <c r="CE156" i="4" s="1"/>
  <c r="CE155" i="4" s="1"/>
  <c r="CE154" i="4" s="1"/>
  <c r="CE153" i="4" s="1"/>
  <c r="CE152" i="4" s="1"/>
  <c r="CE151" i="4" s="1"/>
  <c r="CE150" i="4" s="1"/>
  <c r="CE149" i="4" s="1"/>
  <c r="CE148" i="4" s="1"/>
  <c r="CE147" i="4" s="1"/>
  <c r="CE146" i="4" s="1"/>
  <c r="CE145" i="4" s="1"/>
  <c r="CE144" i="4" s="1"/>
  <c r="CE143" i="4" s="1"/>
  <c r="CE142" i="4" s="1"/>
  <c r="CE141" i="4" s="1"/>
  <c r="CE140" i="4" s="1"/>
  <c r="CE139" i="4" s="1"/>
  <c r="CE138" i="4" s="1"/>
  <c r="CE137" i="4" s="1"/>
  <c r="CE136" i="4" s="1"/>
  <c r="CE135" i="4" s="1"/>
  <c r="CE134" i="4" s="1"/>
  <c r="CE133" i="4" s="1"/>
  <c r="CE132" i="4" s="1"/>
  <c r="CE131" i="4" s="1"/>
  <c r="CE130" i="4" s="1"/>
  <c r="CE129" i="4" s="1"/>
  <c r="CE128" i="4" s="1"/>
  <c r="CE127" i="4" s="1"/>
  <c r="CE126" i="4" s="1"/>
  <c r="CE125" i="4" s="1"/>
  <c r="CE124" i="4" s="1"/>
  <c r="CE123" i="4" s="1"/>
  <c r="CE122" i="4" s="1"/>
  <c r="CE121" i="4" s="1"/>
  <c r="CE120" i="4" s="1"/>
  <c r="CE119" i="4" s="1"/>
  <c r="CE118" i="4" s="1"/>
  <c r="CE117" i="4" s="1"/>
  <c r="CE116" i="4" s="1"/>
  <c r="CE115" i="4" s="1"/>
  <c r="CE114" i="4" s="1"/>
  <c r="CE113" i="4" s="1"/>
  <c r="CE112" i="4" s="1"/>
  <c r="CE111" i="4" s="1"/>
  <c r="CE110" i="4" s="1"/>
  <c r="CE109" i="4" s="1"/>
  <c r="CE108" i="4" s="1"/>
  <c r="CE107" i="4" s="1"/>
  <c r="AC157" i="4"/>
  <c r="AC156" i="4" s="1"/>
  <c r="AC155" i="4" s="1"/>
  <c r="AC154" i="4" s="1"/>
  <c r="AC153" i="4" s="1"/>
  <c r="AC152" i="4" s="1"/>
  <c r="AC151" i="4" s="1"/>
  <c r="AC150" i="4" s="1"/>
  <c r="AC149" i="4" s="1"/>
  <c r="AC148" i="4" s="1"/>
  <c r="AC147" i="4" s="1"/>
  <c r="AC146" i="4" s="1"/>
  <c r="AC145" i="4" s="1"/>
  <c r="AC144" i="4" s="1"/>
  <c r="AC143" i="4" s="1"/>
  <c r="AC142" i="4" s="1"/>
  <c r="AC141" i="4" s="1"/>
  <c r="AC140" i="4" s="1"/>
  <c r="AC139" i="4" s="1"/>
  <c r="AC138" i="4" s="1"/>
  <c r="AC137" i="4" s="1"/>
  <c r="AC136" i="4" s="1"/>
  <c r="AC135" i="4" s="1"/>
  <c r="AC134" i="4" s="1"/>
  <c r="AC133" i="4" s="1"/>
  <c r="AC132" i="4" s="1"/>
  <c r="AC131" i="4" s="1"/>
  <c r="AC130" i="4" s="1"/>
  <c r="AC129" i="4" s="1"/>
  <c r="AC128" i="4" s="1"/>
  <c r="AC127" i="4" s="1"/>
  <c r="AC126" i="4" s="1"/>
  <c r="AC125" i="4" s="1"/>
  <c r="AC124" i="4" s="1"/>
  <c r="AC123" i="4" s="1"/>
  <c r="AC122" i="4" s="1"/>
  <c r="AC121" i="4" s="1"/>
  <c r="AC120" i="4" s="1"/>
  <c r="AC119" i="4" s="1"/>
  <c r="AC118" i="4" s="1"/>
  <c r="AC117" i="4" s="1"/>
  <c r="AC116" i="4" s="1"/>
  <c r="AC115" i="4" s="1"/>
  <c r="AC114" i="4" s="1"/>
  <c r="AC113" i="4" s="1"/>
  <c r="AC112" i="4" s="1"/>
  <c r="AC111" i="4" s="1"/>
  <c r="AC110" i="4" s="1"/>
  <c r="AC109" i="4" s="1"/>
  <c r="AC108" i="4" s="1"/>
  <c r="AC107" i="4" s="1"/>
  <c r="AC106" i="4" s="1"/>
  <c r="AC4" i="4" s="1"/>
  <c r="CZ157" i="4"/>
  <c r="CZ156" i="4" s="1"/>
  <c r="CZ155" i="4" s="1"/>
  <c r="CZ154" i="4" s="1"/>
  <c r="CZ153" i="4" s="1"/>
  <c r="CZ152" i="4" s="1"/>
  <c r="CZ151" i="4" s="1"/>
  <c r="CZ150" i="4" s="1"/>
  <c r="CZ149" i="4" s="1"/>
  <c r="CZ148" i="4" s="1"/>
  <c r="CZ147" i="4" s="1"/>
  <c r="CZ146" i="4" s="1"/>
  <c r="CZ145" i="4" s="1"/>
  <c r="CZ144" i="4" s="1"/>
  <c r="CZ143" i="4" s="1"/>
  <c r="CZ142" i="4" s="1"/>
  <c r="CZ141" i="4" s="1"/>
  <c r="CZ140" i="4" s="1"/>
  <c r="CZ139" i="4" s="1"/>
  <c r="CZ138" i="4" s="1"/>
  <c r="CZ137" i="4" s="1"/>
  <c r="CZ136" i="4" s="1"/>
  <c r="CZ135" i="4" s="1"/>
  <c r="CZ134" i="4" s="1"/>
  <c r="CZ133" i="4" s="1"/>
  <c r="CZ132" i="4" s="1"/>
  <c r="CZ131" i="4" s="1"/>
  <c r="CZ130" i="4" s="1"/>
  <c r="CZ129" i="4" s="1"/>
  <c r="CZ128" i="4" s="1"/>
  <c r="CZ127" i="4" s="1"/>
  <c r="CZ126" i="4" s="1"/>
  <c r="CZ125" i="4" s="1"/>
  <c r="CZ124" i="4" s="1"/>
  <c r="CZ123" i="4" s="1"/>
  <c r="CZ122" i="4" s="1"/>
  <c r="CZ121" i="4" s="1"/>
  <c r="CZ120" i="4" s="1"/>
  <c r="CZ119" i="4" s="1"/>
  <c r="CZ118" i="4" s="1"/>
  <c r="CZ117" i="4" s="1"/>
  <c r="CZ116" i="4" s="1"/>
  <c r="CZ115" i="4" s="1"/>
  <c r="CZ114" i="4" s="1"/>
  <c r="CZ113" i="4" s="1"/>
  <c r="CZ112" i="4" s="1"/>
  <c r="CZ111" i="4" s="1"/>
  <c r="CZ110" i="4" s="1"/>
  <c r="CZ109" i="4" s="1"/>
  <c r="CZ108" i="4" s="1"/>
  <c r="CZ107" i="4" s="1"/>
  <c r="AZ157" i="4"/>
  <c r="AZ156" i="4" s="1"/>
  <c r="AZ155" i="4" s="1"/>
  <c r="AZ154" i="4" s="1"/>
  <c r="AZ153" i="4" s="1"/>
  <c r="AZ152" i="4" s="1"/>
  <c r="AZ151" i="4" s="1"/>
  <c r="AZ150" i="4" s="1"/>
  <c r="AZ149" i="4" s="1"/>
  <c r="AZ148" i="4" s="1"/>
  <c r="AZ147" i="4" s="1"/>
  <c r="AZ146" i="4" s="1"/>
  <c r="AZ145" i="4" s="1"/>
  <c r="AZ144" i="4" s="1"/>
  <c r="AZ143" i="4" s="1"/>
  <c r="AZ142" i="4" s="1"/>
  <c r="AZ141" i="4" s="1"/>
  <c r="AZ140" i="4" s="1"/>
  <c r="AZ139" i="4" s="1"/>
  <c r="AZ138" i="4" s="1"/>
  <c r="AZ137" i="4" s="1"/>
  <c r="AZ136" i="4" s="1"/>
  <c r="AZ135" i="4" s="1"/>
  <c r="AZ134" i="4" s="1"/>
  <c r="AZ133" i="4" s="1"/>
  <c r="AZ132" i="4" s="1"/>
  <c r="AZ131" i="4" s="1"/>
  <c r="AZ130" i="4" s="1"/>
  <c r="AZ129" i="4" s="1"/>
  <c r="AZ128" i="4" s="1"/>
  <c r="AZ127" i="4" s="1"/>
  <c r="AZ126" i="4" s="1"/>
  <c r="AZ125" i="4" s="1"/>
  <c r="AZ124" i="4" s="1"/>
  <c r="AZ123" i="4" s="1"/>
  <c r="AZ122" i="4" s="1"/>
  <c r="AZ121" i="4" s="1"/>
  <c r="AZ120" i="4" s="1"/>
  <c r="AZ119" i="4" s="1"/>
  <c r="AZ118" i="4" s="1"/>
  <c r="AZ117" i="4" s="1"/>
  <c r="AZ116" i="4" s="1"/>
  <c r="AZ115" i="4" s="1"/>
  <c r="AZ114" i="4" s="1"/>
  <c r="AZ113" i="4" s="1"/>
  <c r="AZ112" i="4" s="1"/>
  <c r="AZ111" i="4" s="1"/>
  <c r="AZ110" i="4" s="1"/>
  <c r="AZ109" i="4" s="1"/>
  <c r="AZ108" i="4" s="1"/>
  <c r="AZ107" i="4" s="1"/>
  <c r="AZ106" i="4" s="1"/>
  <c r="AZ4" i="4" s="1"/>
  <c r="AA149" i="4"/>
  <c r="AA148" i="4" s="1"/>
  <c r="AA147" i="4" s="1"/>
  <c r="AA146" i="4" s="1"/>
  <c r="AA145" i="4" s="1"/>
  <c r="AA144" i="4" s="1"/>
  <c r="AA143" i="4" s="1"/>
  <c r="AA142" i="4" s="1"/>
  <c r="AA141" i="4" s="1"/>
  <c r="AA140" i="4" s="1"/>
  <c r="AA139" i="4" s="1"/>
  <c r="AA138" i="4" s="1"/>
  <c r="AA137" i="4" s="1"/>
  <c r="AA136" i="4" s="1"/>
  <c r="AA135" i="4" s="1"/>
  <c r="AA134" i="4" s="1"/>
  <c r="AA133" i="4" s="1"/>
  <c r="AA132" i="4" s="1"/>
  <c r="AA131" i="4" s="1"/>
  <c r="AA130" i="4" s="1"/>
  <c r="AA129" i="4" s="1"/>
  <c r="AA128" i="4" s="1"/>
  <c r="AA127" i="4" s="1"/>
  <c r="AA126" i="4" s="1"/>
  <c r="AA125" i="4" s="1"/>
  <c r="AA124" i="4" s="1"/>
  <c r="AA123" i="4" s="1"/>
  <c r="AA122" i="4" s="1"/>
  <c r="AA121" i="4" s="1"/>
  <c r="AA120" i="4" s="1"/>
  <c r="AA119" i="4" s="1"/>
  <c r="AA118" i="4" s="1"/>
  <c r="AA117" i="4" s="1"/>
  <c r="AA116" i="4" s="1"/>
  <c r="AA115" i="4" s="1"/>
  <c r="AA114" i="4" s="1"/>
  <c r="AA113" i="4" s="1"/>
  <c r="AA112" i="4" s="1"/>
  <c r="AA111" i="4" s="1"/>
  <c r="AA110" i="4" s="1"/>
  <c r="AA109" i="4" s="1"/>
  <c r="AA108" i="4" s="1"/>
  <c r="AA107" i="4" s="1"/>
  <c r="AA106" i="4" s="1"/>
  <c r="W149" i="4"/>
  <c r="W148" i="4" s="1"/>
  <c r="W147" i="4" s="1"/>
  <c r="W146" i="4" s="1"/>
  <c r="W145" i="4" s="1"/>
  <c r="W144" i="4" s="1"/>
  <c r="W143" i="4" s="1"/>
  <c r="W142" i="4" s="1"/>
  <c r="W141" i="4" s="1"/>
  <c r="W140" i="4" s="1"/>
  <c r="W139" i="4" s="1"/>
  <c r="W138" i="4" s="1"/>
  <c r="W137" i="4" s="1"/>
  <c r="W136" i="4" s="1"/>
  <c r="W135" i="4" s="1"/>
  <c r="W134" i="4" s="1"/>
  <c r="W133" i="4" s="1"/>
  <c r="W132" i="4" s="1"/>
  <c r="W131" i="4" s="1"/>
  <c r="W130" i="4" s="1"/>
  <c r="W129" i="4" s="1"/>
  <c r="W128" i="4" s="1"/>
  <c r="W127" i="4" s="1"/>
  <c r="W126" i="4" s="1"/>
  <c r="W125" i="4" s="1"/>
  <c r="W124" i="4" s="1"/>
  <c r="W123" i="4" s="1"/>
  <c r="W122" i="4" s="1"/>
  <c r="W121" i="4" s="1"/>
  <c r="W120" i="4" s="1"/>
  <c r="W119" i="4" s="1"/>
  <c r="W118" i="4" s="1"/>
  <c r="W117" i="4" s="1"/>
  <c r="W116" i="4" s="1"/>
  <c r="W115" i="4" s="1"/>
  <c r="W114" i="4" s="1"/>
  <c r="W113" i="4" s="1"/>
  <c r="W112" i="4" s="1"/>
  <c r="W111" i="4" s="1"/>
  <c r="W110" i="4" s="1"/>
  <c r="W109" i="4" s="1"/>
  <c r="W108" i="4" s="1"/>
  <c r="W107" i="4" s="1"/>
  <c r="W106" i="4" s="1"/>
  <c r="W4" i="4" s="1"/>
  <c r="CW149" i="4"/>
  <c r="CW148" i="4" s="1"/>
  <c r="CW147" i="4" s="1"/>
  <c r="CW146" i="4" s="1"/>
  <c r="CW145" i="4" s="1"/>
  <c r="CW144" i="4" s="1"/>
  <c r="CW143" i="4" s="1"/>
  <c r="CW142" i="4" s="1"/>
  <c r="CW141" i="4" s="1"/>
  <c r="CW140" i="4" s="1"/>
  <c r="CW139" i="4" s="1"/>
  <c r="CW138" i="4" s="1"/>
  <c r="CW137" i="4" s="1"/>
  <c r="CW136" i="4" s="1"/>
  <c r="CW135" i="4" s="1"/>
  <c r="CW134" i="4" s="1"/>
  <c r="CW133" i="4" s="1"/>
  <c r="CW132" i="4" s="1"/>
  <c r="CW131" i="4" s="1"/>
  <c r="CW130" i="4" s="1"/>
  <c r="CW129" i="4" s="1"/>
  <c r="CW128" i="4" s="1"/>
  <c r="CW127" i="4" s="1"/>
  <c r="CW126" i="4" s="1"/>
  <c r="CW125" i="4" s="1"/>
  <c r="CW124" i="4" s="1"/>
  <c r="CW123" i="4" s="1"/>
  <c r="CW122" i="4" s="1"/>
  <c r="CW121" i="4" s="1"/>
  <c r="CW120" i="4" s="1"/>
  <c r="CW119" i="4" s="1"/>
  <c r="CW118" i="4" s="1"/>
  <c r="CW117" i="4" s="1"/>
  <c r="CW116" i="4" s="1"/>
  <c r="CW115" i="4" s="1"/>
  <c r="CW114" i="4" s="1"/>
  <c r="CW113" i="4" s="1"/>
  <c r="CW112" i="4" s="1"/>
  <c r="CW111" i="4" s="1"/>
  <c r="CW110" i="4" s="1"/>
  <c r="CW109" i="4" s="1"/>
  <c r="CW108" i="4" s="1"/>
  <c r="CW107" i="4" s="1"/>
  <c r="Z149" i="4"/>
  <c r="Z148" i="4" s="1"/>
  <c r="Z147" i="4" s="1"/>
  <c r="Z146" i="4" s="1"/>
  <c r="Z145" i="4" s="1"/>
  <c r="Z144" i="4" s="1"/>
  <c r="Z143" i="4" s="1"/>
  <c r="Z142" i="4" s="1"/>
  <c r="Z141" i="4" s="1"/>
  <c r="Z140" i="4" s="1"/>
  <c r="Z139" i="4" s="1"/>
  <c r="Z138" i="4" s="1"/>
  <c r="Z137" i="4" s="1"/>
  <c r="Z136" i="4" s="1"/>
  <c r="Z135" i="4" s="1"/>
  <c r="Z134" i="4" s="1"/>
  <c r="Z133" i="4" s="1"/>
  <c r="Z132" i="4" s="1"/>
  <c r="Z131" i="4" s="1"/>
  <c r="Z130" i="4" s="1"/>
  <c r="Z129" i="4" s="1"/>
  <c r="Z128" i="4" s="1"/>
  <c r="Z127" i="4" s="1"/>
  <c r="Z126" i="4" s="1"/>
  <c r="Z125" i="4" s="1"/>
  <c r="Z124" i="4" s="1"/>
  <c r="Z123" i="4" s="1"/>
  <c r="Z122" i="4" s="1"/>
  <c r="Z121" i="4" s="1"/>
  <c r="Z120" i="4" s="1"/>
  <c r="Z119" i="4" s="1"/>
  <c r="Z118" i="4" s="1"/>
  <c r="Z117" i="4" s="1"/>
  <c r="Z116" i="4" s="1"/>
  <c r="Z115" i="4" s="1"/>
  <c r="Z114" i="4" s="1"/>
  <c r="Z113" i="4" s="1"/>
  <c r="Z112" i="4" s="1"/>
  <c r="Z111" i="4" s="1"/>
  <c r="Z110" i="4" s="1"/>
  <c r="Z109" i="4" s="1"/>
  <c r="Z108" i="4" s="1"/>
  <c r="Z107" i="4" s="1"/>
  <c r="Z106" i="4" s="1"/>
  <c r="Z4" i="4" s="1"/>
  <c r="I7" i="2" s="1"/>
  <c r="CD145" i="4"/>
  <c r="CD144" i="4" s="1"/>
  <c r="CD143" i="4" s="1"/>
  <c r="CD142" i="4" s="1"/>
  <c r="CD141" i="4" s="1"/>
  <c r="CD140" i="4" s="1"/>
  <c r="CD139" i="4" s="1"/>
  <c r="CD138" i="4" s="1"/>
  <c r="CD137" i="4" s="1"/>
  <c r="CD136" i="4" s="1"/>
  <c r="CD135" i="4" s="1"/>
  <c r="CD134" i="4" s="1"/>
  <c r="CD133" i="4" s="1"/>
  <c r="CD132" i="4" s="1"/>
  <c r="CD131" i="4" s="1"/>
  <c r="CD130" i="4" s="1"/>
  <c r="CD129" i="4" s="1"/>
  <c r="CD128" i="4" s="1"/>
  <c r="CD127" i="4" s="1"/>
  <c r="CD126" i="4" s="1"/>
  <c r="CD125" i="4" s="1"/>
  <c r="CD124" i="4" s="1"/>
  <c r="CD123" i="4" s="1"/>
  <c r="CD122" i="4" s="1"/>
  <c r="CD121" i="4" s="1"/>
  <c r="CD120" i="4" s="1"/>
  <c r="CD119" i="4" s="1"/>
  <c r="CD118" i="4" s="1"/>
  <c r="CD117" i="4" s="1"/>
  <c r="CD116" i="4" s="1"/>
  <c r="CD115" i="4" s="1"/>
  <c r="CD114" i="4" s="1"/>
  <c r="CD113" i="4" s="1"/>
  <c r="CD112" i="4" s="1"/>
  <c r="CD111" i="4" s="1"/>
  <c r="CD110" i="4" s="1"/>
  <c r="CD109" i="4" s="1"/>
  <c r="CD108" i="4" s="1"/>
  <c r="CD107" i="4" s="1"/>
  <c r="CD106" i="4" s="1"/>
  <c r="CD4" i="4" s="1"/>
  <c r="BX145" i="4"/>
  <c r="BX144" i="4" s="1"/>
  <c r="BX143" i="4" s="1"/>
  <c r="BX142" i="4" s="1"/>
  <c r="BX141" i="4" s="1"/>
  <c r="BX140" i="4" s="1"/>
  <c r="BX139" i="4" s="1"/>
  <c r="BX138" i="4" s="1"/>
  <c r="BX137" i="4" s="1"/>
  <c r="BX136" i="4" s="1"/>
  <c r="BX135" i="4" s="1"/>
  <c r="BX134" i="4" s="1"/>
  <c r="BX133" i="4" s="1"/>
  <c r="BX132" i="4" s="1"/>
  <c r="BX131" i="4" s="1"/>
  <c r="BX130" i="4" s="1"/>
  <c r="BX129" i="4" s="1"/>
  <c r="BX128" i="4" s="1"/>
  <c r="BX127" i="4" s="1"/>
  <c r="BX126" i="4" s="1"/>
  <c r="BX125" i="4" s="1"/>
  <c r="BX124" i="4" s="1"/>
  <c r="BX123" i="4" s="1"/>
  <c r="BX122" i="4" s="1"/>
  <c r="BX121" i="4" s="1"/>
  <c r="BX120" i="4" s="1"/>
  <c r="BX119" i="4" s="1"/>
  <c r="BX118" i="4" s="1"/>
  <c r="BX117" i="4" s="1"/>
  <c r="BX116" i="4" s="1"/>
  <c r="BX115" i="4" s="1"/>
  <c r="BX114" i="4" s="1"/>
  <c r="BX113" i="4" s="1"/>
  <c r="BX112" i="4" s="1"/>
  <c r="BX111" i="4" s="1"/>
  <c r="BX110" i="4" s="1"/>
  <c r="BX109" i="4" s="1"/>
  <c r="BX108" i="4" s="1"/>
  <c r="BX107" i="4" s="1"/>
  <c r="BX106" i="4" s="1"/>
  <c r="BX4" i="4" s="1"/>
  <c r="DQ179" i="4"/>
  <c r="DQ178" i="4" s="1"/>
  <c r="DQ177" i="4" s="1"/>
  <c r="DQ176" i="4" s="1"/>
  <c r="DQ175" i="4" s="1"/>
  <c r="DQ174" i="4" s="1"/>
  <c r="DQ173" i="4" s="1"/>
  <c r="DQ172" i="4" s="1"/>
  <c r="DQ171" i="4" s="1"/>
  <c r="DQ170" i="4" s="1"/>
  <c r="DQ169" i="4" s="1"/>
  <c r="DQ168" i="4" s="1"/>
  <c r="DQ167" i="4" s="1"/>
  <c r="DQ166" i="4" s="1"/>
  <c r="DQ165" i="4" s="1"/>
  <c r="DQ164" i="4" s="1"/>
  <c r="DQ163" i="4" s="1"/>
  <c r="DQ162" i="4" s="1"/>
  <c r="DQ161" i="4" s="1"/>
  <c r="DQ160" i="4" s="1"/>
  <c r="DQ159" i="4" s="1"/>
  <c r="DQ158" i="4" s="1"/>
  <c r="DQ157" i="4" s="1"/>
  <c r="DQ156" i="4" s="1"/>
  <c r="DQ155" i="4" s="1"/>
  <c r="DQ154" i="4" s="1"/>
  <c r="DQ153" i="4" s="1"/>
  <c r="DQ152" i="4" s="1"/>
  <c r="DQ151" i="4" s="1"/>
  <c r="DQ150" i="4" s="1"/>
  <c r="DQ149" i="4" s="1"/>
  <c r="DQ148" i="4" s="1"/>
  <c r="DQ147" i="4" s="1"/>
  <c r="DQ146" i="4" s="1"/>
  <c r="DQ145" i="4" s="1"/>
  <c r="DQ144" i="4" s="1"/>
  <c r="DQ143" i="4" s="1"/>
  <c r="DQ142" i="4" s="1"/>
  <c r="DQ141" i="4" s="1"/>
  <c r="DQ140" i="4" s="1"/>
  <c r="DQ139" i="4" s="1"/>
  <c r="DQ138" i="4" s="1"/>
  <c r="DQ137" i="4" s="1"/>
  <c r="DQ136" i="4" s="1"/>
  <c r="DQ135" i="4" s="1"/>
  <c r="DQ134" i="4" s="1"/>
  <c r="DQ133" i="4" s="1"/>
  <c r="DQ132" i="4" s="1"/>
  <c r="DQ131" i="4" s="1"/>
  <c r="DQ130" i="4" s="1"/>
  <c r="DQ129" i="4" s="1"/>
  <c r="DQ128" i="4" s="1"/>
  <c r="DQ127" i="4" s="1"/>
  <c r="DQ126" i="4" s="1"/>
  <c r="DQ125" i="4" s="1"/>
  <c r="DQ124" i="4" s="1"/>
  <c r="DQ123" i="4" s="1"/>
  <c r="DQ122" i="4" s="1"/>
  <c r="DQ121" i="4" s="1"/>
  <c r="DQ120" i="4" s="1"/>
  <c r="DQ119" i="4" s="1"/>
  <c r="DQ118" i="4" s="1"/>
  <c r="DQ117" i="4" s="1"/>
  <c r="DQ116" i="4" s="1"/>
  <c r="DQ115" i="4" s="1"/>
  <c r="DQ114" i="4" s="1"/>
  <c r="DQ113" i="4" s="1"/>
  <c r="DQ112" i="4" s="1"/>
  <c r="DQ111" i="4" s="1"/>
  <c r="DQ110" i="4" s="1"/>
  <c r="DQ109" i="4" s="1"/>
  <c r="DQ108" i="4" s="1"/>
  <c r="DQ107" i="4" s="1"/>
  <c r="DQ106" i="4" s="1"/>
  <c r="DQ4" i="4" s="1"/>
  <c r="H23" i="2" s="1"/>
  <c r="FH179" i="4"/>
  <c r="FH178" i="4" s="1"/>
  <c r="FH177" i="4" s="1"/>
  <c r="FH176" i="4" s="1"/>
  <c r="FH175" i="4" s="1"/>
  <c r="FH174" i="4" s="1"/>
  <c r="FH173" i="4" s="1"/>
  <c r="FH172" i="4" s="1"/>
  <c r="FH171" i="4" s="1"/>
  <c r="FH170" i="4" s="1"/>
  <c r="FH169" i="4" s="1"/>
  <c r="FH168" i="4" s="1"/>
  <c r="FH167" i="4" s="1"/>
  <c r="FH166" i="4" s="1"/>
  <c r="FH165" i="4" s="1"/>
  <c r="FH164" i="4" s="1"/>
  <c r="FH163" i="4" s="1"/>
  <c r="FH162" i="4" s="1"/>
  <c r="FH161" i="4" s="1"/>
  <c r="FH160" i="4" s="1"/>
  <c r="FH159" i="4" s="1"/>
  <c r="FH158" i="4" s="1"/>
  <c r="FH157" i="4" s="1"/>
  <c r="FH156" i="4" s="1"/>
  <c r="FH155" i="4" s="1"/>
  <c r="FH154" i="4" s="1"/>
  <c r="FH153" i="4" s="1"/>
  <c r="FH152" i="4" s="1"/>
  <c r="FH151" i="4" s="1"/>
  <c r="FH150" i="4" s="1"/>
  <c r="FH149" i="4" s="1"/>
  <c r="FH148" i="4" s="1"/>
  <c r="FH147" i="4" s="1"/>
  <c r="FH146" i="4" s="1"/>
  <c r="FH145" i="4" s="1"/>
  <c r="FH144" i="4" s="1"/>
  <c r="FH143" i="4" s="1"/>
  <c r="FH142" i="4" s="1"/>
  <c r="FH141" i="4" s="1"/>
  <c r="FH140" i="4" s="1"/>
  <c r="FH139" i="4" s="1"/>
  <c r="FH138" i="4" s="1"/>
  <c r="FH137" i="4" s="1"/>
  <c r="FH136" i="4" s="1"/>
  <c r="FH135" i="4" s="1"/>
  <c r="FH134" i="4" s="1"/>
  <c r="FH133" i="4" s="1"/>
  <c r="FH132" i="4" s="1"/>
  <c r="FH131" i="4" s="1"/>
  <c r="FH130" i="4" s="1"/>
  <c r="FH129" i="4" s="1"/>
  <c r="FH128" i="4" s="1"/>
  <c r="FH127" i="4" s="1"/>
  <c r="FH126" i="4" s="1"/>
  <c r="FH125" i="4" s="1"/>
  <c r="FH124" i="4" s="1"/>
  <c r="FH123" i="4" s="1"/>
  <c r="FH122" i="4" s="1"/>
  <c r="FH121" i="4" s="1"/>
  <c r="FH120" i="4" s="1"/>
  <c r="FH119" i="4" s="1"/>
  <c r="FH118" i="4" s="1"/>
  <c r="FH117" i="4" s="1"/>
  <c r="FH116" i="4" s="1"/>
  <c r="FH115" i="4" s="1"/>
  <c r="FH114" i="4" s="1"/>
  <c r="FH113" i="4" s="1"/>
  <c r="FH112" i="4" s="1"/>
  <c r="FH111" i="4" s="1"/>
  <c r="FH110" i="4" s="1"/>
  <c r="FH109" i="4" s="1"/>
  <c r="FH108" i="4" s="1"/>
  <c r="FH107" i="4" s="1"/>
  <c r="DK179" i="4"/>
  <c r="DK178" i="4" s="1"/>
  <c r="DK177" i="4" s="1"/>
  <c r="DK176" i="4" s="1"/>
  <c r="DK175" i="4" s="1"/>
  <c r="DK174" i="4" s="1"/>
  <c r="DK173" i="4" s="1"/>
  <c r="DK172" i="4" s="1"/>
  <c r="DK171" i="4" s="1"/>
  <c r="DK170" i="4" s="1"/>
  <c r="DK169" i="4" s="1"/>
  <c r="DK168" i="4" s="1"/>
  <c r="DK167" i="4" s="1"/>
  <c r="DK166" i="4" s="1"/>
  <c r="DK165" i="4" s="1"/>
  <c r="DK164" i="4" s="1"/>
  <c r="DK163" i="4" s="1"/>
  <c r="DK162" i="4" s="1"/>
  <c r="DK161" i="4" s="1"/>
  <c r="DK160" i="4" s="1"/>
  <c r="DK159" i="4" s="1"/>
  <c r="DK158" i="4" s="1"/>
  <c r="DK157" i="4" s="1"/>
  <c r="DK156" i="4" s="1"/>
  <c r="DK155" i="4" s="1"/>
  <c r="DK154" i="4" s="1"/>
  <c r="DK153" i="4" s="1"/>
  <c r="DK152" i="4" s="1"/>
  <c r="DK151" i="4" s="1"/>
  <c r="DK150" i="4" s="1"/>
  <c r="DK149" i="4" s="1"/>
  <c r="DK148" i="4" s="1"/>
  <c r="DK147" i="4" s="1"/>
  <c r="DK146" i="4" s="1"/>
  <c r="DK145" i="4" s="1"/>
  <c r="DK144" i="4" s="1"/>
  <c r="DK143" i="4" s="1"/>
  <c r="DK142" i="4" s="1"/>
  <c r="DK141" i="4" s="1"/>
  <c r="DK140" i="4" s="1"/>
  <c r="DK139" i="4" s="1"/>
  <c r="DK138" i="4" s="1"/>
  <c r="DK137" i="4" s="1"/>
  <c r="DK136" i="4" s="1"/>
  <c r="DK135" i="4" s="1"/>
  <c r="DK134" i="4" s="1"/>
  <c r="DK133" i="4" s="1"/>
  <c r="DK132" i="4" s="1"/>
  <c r="DK131" i="4" s="1"/>
  <c r="DK130" i="4" s="1"/>
  <c r="DK129" i="4" s="1"/>
  <c r="DK128" i="4" s="1"/>
  <c r="DK127" i="4" s="1"/>
  <c r="DK126" i="4" s="1"/>
  <c r="DK125" i="4" s="1"/>
  <c r="DK124" i="4" s="1"/>
  <c r="DK123" i="4" s="1"/>
  <c r="DK122" i="4" s="1"/>
  <c r="DK121" i="4" s="1"/>
  <c r="DK120" i="4" s="1"/>
  <c r="DK119" i="4" s="1"/>
  <c r="DK118" i="4" s="1"/>
  <c r="DK117" i="4" s="1"/>
  <c r="DK116" i="4" s="1"/>
  <c r="DK115" i="4" s="1"/>
  <c r="DK114" i="4" s="1"/>
  <c r="DK113" i="4" s="1"/>
  <c r="DK112" i="4" s="1"/>
  <c r="DK111" i="4" s="1"/>
  <c r="DK110" i="4" s="1"/>
  <c r="DK109" i="4" s="1"/>
  <c r="DK108" i="4" s="1"/>
  <c r="DK107" i="4" s="1"/>
  <c r="DK106" i="4" s="1"/>
  <c r="DK4" i="4" s="1"/>
  <c r="FZ179" i="4"/>
  <c r="FZ178" i="4" s="1"/>
  <c r="FZ177" i="4" s="1"/>
  <c r="FZ176" i="4" s="1"/>
  <c r="FZ175" i="4" s="1"/>
  <c r="FZ174" i="4" s="1"/>
  <c r="FZ173" i="4" s="1"/>
  <c r="FZ172" i="4" s="1"/>
  <c r="FZ171" i="4" s="1"/>
  <c r="FZ170" i="4" s="1"/>
  <c r="FZ169" i="4" s="1"/>
  <c r="FZ168" i="4" s="1"/>
  <c r="FZ167" i="4" s="1"/>
  <c r="FZ166" i="4" s="1"/>
  <c r="FZ165" i="4" s="1"/>
  <c r="FZ164" i="4" s="1"/>
  <c r="FZ163" i="4" s="1"/>
  <c r="FZ162" i="4" s="1"/>
  <c r="FZ161" i="4" s="1"/>
  <c r="FZ160" i="4" s="1"/>
  <c r="FZ159" i="4" s="1"/>
  <c r="FZ158" i="4" s="1"/>
  <c r="FZ157" i="4" s="1"/>
  <c r="FZ156" i="4" s="1"/>
  <c r="FZ155" i="4" s="1"/>
  <c r="FZ154" i="4" s="1"/>
  <c r="FZ153" i="4" s="1"/>
  <c r="FZ152" i="4" s="1"/>
  <c r="FZ151" i="4" s="1"/>
  <c r="FZ150" i="4" s="1"/>
  <c r="FZ149" i="4" s="1"/>
  <c r="FZ148" i="4" s="1"/>
  <c r="FZ147" i="4" s="1"/>
  <c r="FZ146" i="4" s="1"/>
  <c r="FZ145" i="4" s="1"/>
  <c r="FZ144" i="4" s="1"/>
  <c r="FZ143" i="4" s="1"/>
  <c r="FZ142" i="4" s="1"/>
  <c r="FZ141" i="4" s="1"/>
  <c r="FZ140" i="4" s="1"/>
  <c r="FZ139" i="4" s="1"/>
  <c r="FZ138" i="4" s="1"/>
  <c r="FZ137" i="4" s="1"/>
  <c r="FZ136" i="4" s="1"/>
  <c r="FZ135" i="4" s="1"/>
  <c r="FZ134" i="4" s="1"/>
  <c r="FZ133" i="4" s="1"/>
  <c r="FZ132" i="4" s="1"/>
  <c r="FZ131" i="4" s="1"/>
  <c r="FZ130" i="4" s="1"/>
  <c r="FZ129" i="4" s="1"/>
  <c r="FZ128" i="4" s="1"/>
  <c r="FZ127" i="4" s="1"/>
  <c r="FZ126" i="4" s="1"/>
  <c r="FZ125" i="4" s="1"/>
  <c r="FZ124" i="4" s="1"/>
  <c r="FZ123" i="4" s="1"/>
  <c r="FZ122" i="4" s="1"/>
  <c r="FZ121" i="4" s="1"/>
  <c r="FZ120" i="4" s="1"/>
  <c r="FZ119" i="4" s="1"/>
  <c r="FZ118" i="4" s="1"/>
  <c r="FZ117" i="4" s="1"/>
  <c r="FZ116" i="4" s="1"/>
  <c r="FZ115" i="4" s="1"/>
  <c r="FZ114" i="4" s="1"/>
  <c r="FZ113" i="4" s="1"/>
  <c r="FZ112" i="4" s="1"/>
  <c r="FZ111" i="4" s="1"/>
  <c r="FZ110" i="4" s="1"/>
  <c r="FZ109" i="4" s="1"/>
  <c r="FZ108" i="4" s="1"/>
  <c r="FZ107" i="4" s="1"/>
  <c r="ET179" i="4"/>
  <c r="ET178" i="4" s="1"/>
  <c r="ET177" i="4" s="1"/>
  <c r="ET176" i="4" s="1"/>
  <c r="ET175" i="4" s="1"/>
  <c r="ET174" i="4" s="1"/>
  <c r="ET173" i="4" s="1"/>
  <c r="ET172" i="4" s="1"/>
  <c r="ET171" i="4" s="1"/>
  <c r="ET170" i="4" s="1"/>
  <c r="ET169" i="4" s="1"/>
  <c r="ET168" i="4" s="1"/>
  <c r="ET167" i="4" s="1"/>
  <c r="ET166" i="4" s="1"/>
  <c r="ET165" i="4" s="1"/>
  <c r="ET164" i="4" s="1"/>
  <c r="ET163" i="4" s="1"/>
  <c r="ET162" i="4" s="1"/>
  <c r="ET161" i="4" s="1"/>
  <c r="ET160" i="4" s="1"/>
  <c r="ET159" i="4" s="1"/>
  <c r="ET158" i="4" s="1"/>
  <c r="ET157" i="4" s="1"/>
  <c r="ET156" i="4" s="1"/>
  <c r="ET155" i="4" s="1"/>
  <c r="ET154" i="4" s="1"/>
  <c r="ET153" i="4" s="1"/>
  <c r="ET152" i="4" s="1"/>
  <c r="ET151" i="4" s="1"/>
  <c r="ET150" i="4" s="1"/>
  <c r="ET149" i="4" s="1"/>
  <c r="ET148" i="4" s="1"/>
  <c r="ET147" i="4" s="1"/>
  <c r="ET146" i="4" s="1"/>
  <c r="ET145" i="4" s="1"/>
  <c r="ET144" i="4" s="1"/>
  <c r="ET143" i="4" s="1"/>
  <c r="ET142" i="4" s="1"/>
  <c r="ET141" i="4" s="1"/>
  <c r="ET140" i="4" s="1"/>
  <c r="ET139" i="4" s="1"/>
  <c r="ET138" i="4" s="1"/>
  <c r="ET137" i="4" s="1"/>
  <c r="ET136" i="4" s="1"/>
  <c r="ET135" i="4" s="1"/>
  <c r="ET134" i="4" s="1"/>
  <c r="ET133" i="4" s="1"/>
  <c r="ET132" i="4" s="1"/>
  <c r="ET131" i="4" s="1"/>
  <c r="ET130" i="4" s="1"/>
  <c r="ET129" i="4" s="1"/>
  <c r="ET128" i="4" s="1"/>
  <c r="ET127" i="4" s="1"/>
  <c r="ET126" i="4" s="1"/>
  <c r="ET125" i="4" s="1"/>
  <c r="ET124" i="4" s="1"/>
  <c r="ET123" i="4" s="1"/>
  <c r="ET122" i="4" s="1"/>
  <c r="ET121" i="4" s="1"/>
  <c r="ET120" i="4" s="1"/>
  <c r="ET119" i="4" s="1"/>
  <c r="ET118" i="4" s="1"/>
  <c r="ET117" i="4" s="1"/>
  <c r="ET116" i="4" s="1"/>
  <c r="ET115" i="4" s="1"/>
  <c r="ET114" i="4" s="1"/>
  <c r="ET113" i="4" s="1"/>
  <c r="ET112" i="4" s="1"/>
  <c r="ET111" i="4" s="1"/>
  <c r="ET110" i="4" s="1"/>
  <c r="ET109" i="4" s="1"/>
  <c r="ET108" i="4" s="1"/>
  <c r="ET107" i="4" s="1"/>
  <c r="DE179" i="4"/>
  <c r="DE178" i="4" s="1"/>
  <c r="DE177" i="4" s="1"/>
  <c r="DE176" i="4" s="1"/>
  <c r="DE175" i="4" s="1"/>
  <c r="DE174" i="4" s="1"/>
  <c r="DE173" i="4" s="1"/>
  <c r="DE172" i="4" s="1"/>
  <c r="DE171" i="4" s="1"/>
  <c r="DE170" i="4" s="1"/>
  <c r="DE169" i="4" s="1"/>
  <c r="DE168" i="4" s="1"/>
  <c r="DE167" i="4" s="1"/>
  <c r="DE166" i="4" s="1"/>
  <c r="DE165" i="4" s="1"/>
  <c r="DE164" i="4" s="1"/>
  <c r="DE163" i="4" s="1"/>
  <c r="DE162" i="4" s="1"/>
  <c r="DE161" i="4" s="1"/>
  <c r="DE160" i="4" s="1"/>
  <c r="DE159" i="4" s="1"/>
  <c r="DE158" i="4" s="1"/>
  <c r="DE157" i="4" s="1"/>
  <c r="DE156" i="4" s="1"/>
  <c r="DE155" i="4" s="1"/>
  <c r="DE154" i="4" s="1"/>
  <c r="DE153" i="4" s="1"/>
  <c r="DE152" i="4" s="1"/>
  <c r="DE151" i="4" s="1"/>
  <c r="DE150" i="4" s="1"/>
  <c r="DE149" i="4" s="1"/>
  <c r="DE148" i="4" s="1"/>
  <c r="DE147" i="4" s="1"/>
  <c r="DE146" i="4" s="1"/>
  <c r="DE145" i="4" s="1"/>
  <c r="DE144" i="4" s="1"/>
  <c r="DE143" i="4" s="1"/>
  <c r="DE142" i="4" s="1"/>
  <c r="DE141" i="4" s="1"/>
  <c r="DE140" i="4" s="1"/>
  <c r="DE139" i="4" s="1"/>
  <c r="DE138" i="4" s="1"/>
  <c r="DE137" i="4" s="1"/>
  <c r="DE136" i="4" s="1"/>
  <c r="DE135" i="4" s="1"/>
  <c r="DE134" i="4" s="1"/>
  <c r="DE133" i="4" s="1"/>
  <c r="DE132" i="4" s="1"/>
  <c r="DE131" i="4" s="1"/>
  <c r="DE130" i="4" s="1"/>
  <c r="DE129" i="4" s="1"/>
  <c r="DE128" i="4" s="1"/>
  <c r="DE127" i="4" s="1"/>
  <c r="DE126" i="4" s="1"/>
  <c r="DE125" i="4" s="1"/>
  <c r="DE124" i="4" s="1"/>
  <c r="DE123" i="4" s="1"/>
  <c r="DE122" i="4" s="1"/>
  <c r="DE121" i="4" s="1"/>
  <c r="DE120" i="4" s="1"/>
  <c r="DE119" i="4" s="1"/>
  <c r="DE118" i="4" s="1"/>
  <c r="DE117" i="4" s="1"/>
  <c r="DE116" i="4" s="1"/>
  <c r="DE115" i="4" s="1"/>
  <c r="DE114" i="4" s="1"/>
  <c r="DE113" i="4" s="1"/>
  <c r="DE112" i="4" s="1"/>
  <c r="DE111" i="4" s="1"/>
  <c r="DE110" i="4" s="1"/>
  <c r="DE109" i="4" s="1"/>
  <c r="DE108" i="4" s="1"/>
  <c r="DE107" i="4" s="1"/>
  <c r="DE106" i="4" s="1"/>
  <c r="DE4" i="4" s="1"/>
  <c r="GA179" i="4"/>
  <c r="GA178" i="4" s="1"/>
  <c r="GA177" i="4" s="1"/>
  <c r="GA176" i="4" s="1"/>
  <c r="GA175" i="4" s="1"/>
  <c r="GA174" i="4" s="1"/>
  <c r="GA173" i="4" s="1"/>
  <c r="GA172" i="4" s="1"/>
  <c r="GA171" i="4" s="1"/>
  <c r="GA170" i="4" s="1"/>
  <c r="GA169" i="4" s="1"/>
  <c r="GA168" i="4" s="1"/>
  <c r="GA167" i="4" s="1"/>
  <c r="GA166" i="4" s="1"/>
  <c r="GA165" i="4" s="1"/>
  <c r="GA164" i="4" s="1"/>
  <c r="GA163" i="4" s="1"/>
  <c r="GA162" i="4" s="1"/>
  <c r="GA161" i="4" s="1"/>
  <c r="GA160" i="4" s="1"/>
  <c r="GA159" i="4" s="1"/>
  <c r="GA158" i="4" s="1"/>
  <c r="GA157" i="4" s="1"/>
  <c r="GA156" i="4" s="1"/>
  <c r="GA155" i="4" s="1"/>
  <c r="GA154" i="4" s="1"/>
  <c r="GA153" i="4" s="1"/>
  <c r="GA152" i="4" s="1"/>
  <c r="GA151" i="4" s="1"/>
  <c r="GA150" i="4" s="1"/>
  <c r="GA149" i="4" s="1"/>
  <c r="GA148" i="4" s="1"/>
  <c r="GA147" i="4" s="1"/>
  <c r="GA146" i="4" s="1"/>
  <c r="GA145" i="4" s="1"/>
  <c r="GA144" i="4" s="1"/>
  <c r="GA143" i="4" s="1"/>
  <c r="GA142" i="4" s="1"/>
  <c r="GA141" i="4" s="1"/>
  <c r="GA140" i="4" s="1"/>
  <c r="GA139" i="4" s="1"/>
  <c r="GA138" i="4" s="1"/>
  <c r="GA137" i="4" s="1"/>
  <c r="GA136" i="4" s="1"/>
  <c r="GA135" i="4" s="1"/>
  <c r="GA134" i="4" s="1"/>
  <c r="GA133" i="4" s="1"/>
  <c r="GA132" i="4" s="1"/>
  <c r="GA131" i="4" s="1"/>
  <c r="GA130" i="4" s="1"/>
  <c r="GA129" i="4" s="1"/>
  <c r="GA128" i="4" s="1"/>
  <c r="GA127" i="4" s="1"/>
  <c r="GA126" i="4" s="1"/>
  <c r="GA125" i="4" s="1"/>
  <c r="GA124" i="4" s="1"/>
  <c r="GA123" i="4" s="1"/>
  <c r="GA122" i="4" s="1"/>
  <c r="GA121" i="4" s="1"/>
  <c r="GA120" i="4" s="1"/>
  <c r="GA119" i="4" s="1"/>
  <c r="GA118" i="4" s="1"/>
  <c r="GA117" i="4" s="1"/>
  <c r="GA116" i="4" s="1"/>
  <c r="GA115" i="4" s="1"/>
  <c r="GA114" i="4" s="1"/>
  <c r="GA113" i="4" s="1"/>
  <c r="GA112" i="4" s="1"/>
  <c r="GA111" i="4" s="1"/>
  <c r="GA110" i="4" s="1"/>
  <c r="GA109" i="4" s="1"/>
  <c r="GA108" i="4" s="1"/>
  <c r="GA107" i="4" s="1"/>
  <c r="GA106" i="4" s="1"/>
  <c r="GA4" i="4" s="1"/>
  <c r="J33" i="2" s="1"/>
  <c r="CS179" i="4"/>
  <c r="CS178" i="4" s="1"/>
  <c r="CS177" i="4" s="1"/>
  <c r="CS176" i="4" s="1"/>
  <c r="CS175" i="4" s="1"/>
  <c r="CS174" i="4" s="1"/>
  <c r="CS173" i="4" s="1"/>
  <c r="CS172" i="4" s="1"/>
  <c r="CS171" i="4" s="1"/>
  <c r="CS170" i="4" s="1"/>
  <c r="CS169" i="4" s="1"/>
  <c r="CS168" i="4" s="1"/>
  <c r="CS167" i="4" s="1"/>
  <c r="CS166" i="4" s="1"/>
  <c r="CS165" i="4" s="1"/>
  <c r="CS164" i="4" s="1"/>
  <c r="CS163" i="4" s="1"/>
  <c r="CS162" i="4" s="1"/>
  <c r="CS161" i="4" s="1"/>
  <c r="CS160" i="4" s="1"/>
  <c r="CS159" i="4" s="1"/>
  <c r="CS158" i="4" s="1"/>
  <c r="CS157" i="4" s="1"/>
  <c r="CS156" i="4" s="1"/>
  <c r="CS155" i="4" s="1"/>
  <c r="CS154" i="4" s="1"/>
  <c r="CS153" i="4" s="1"/>
  <c r="CS152" i="4" s="1"/>
  <c r="CS151" i="4" s="1"/>
  <c r="CS150" i="4" s="1"/>
  <c r="CS149" i="4" s="1"/>
  <c r="CS148" i="4" s="1"/>
  <c r="CS147" i="4" s="1"/>
  <c r="CS146" i="4" s="1"/>
  <c r="CS145" i="4" s="1"/>
  <c r="CS144" i="4" s="1"/>
  <c r="CS143" i="4" s="1"/>
  <c r="CS142" i="4" s="1"/>
  <c r="CS141" i="4" s="1"/>
  <c r="CS140" i="4" s="1"/>
  <c r="CS139" i="4" s="1"/>
  <c r="CS138" i="4" s="1"/>
  <c r="CS137" i="4" s="1"/>
  <c r="CS136" i="4" s="1"/>
  <c r="CS135" i="4" s="1"/>
  <c r="CS134" i="4" s="1"/>
  <c r="CS133" i="4" s="1"/>
  <c r="CS132" i="4" s="1"/>
  <c r="CS131" i="4" s="1"/>
  <c r="CS130" i="4" s="1"/>
  <c r="CS129" i="4" s="1"/>
  <c r="CS128" i="4" s="1"/>
  <c r="CS127" i="4" s="1"/>
  <c r="CS126" i="4" s="1"/>
  <c r="CS125" i="4" s="1"/>
  <c r="CS124" i="4" s="1"/>
  <c r="CS123" i="4" s="1"/>
  <c r="CS122" i="4" s="1"/>
  <c r="CS121" i="4" s="1"/>
  <c r="CS120" i="4" s="1"/>
  <c r="CS119" i="4" s="1"/>
  <c r="CS118" i="4" s="1"/>
  <c r="CS117" i="4" s="1"/>
  <c r="CS116" i="4" s="1"/>
  <c r="CS115" i="4" s="1"/>
  <c r="CS114" i="4" s="1"/>
  <c r="CS113" i="4" s="1"/>
  <c r="CS112" i="4" s="1"/>
  <c r="CS111" i="4" s="1"/>
  <c r="CS110" i="4" s="1"/>
  <c r="CS109" i="4" s="1"/>
  <c r="CS108" i="4" s="1"/>
  <c r="CS107" i="4" s="1"/>
  <c r="CS106" i="4" s="1"/>
  <c r="CS4" i="4" s="1"/>
  <c r="H19" i="2" s="1"/>
  <c r="GG179" i="4"/>
  <c r="GG178" i="4" s="1"/>
  <c r="GG177" i="4" s="1"/>
  <c r="GG176" i="4" s="1"/>
  <c r="GG175" i="4" s="1"/>
  <c r="GG174" i="4" s="1"/>
  <c r="GG173" i="4" s="1"/>
  <c r="GG172" i="4" s="1"/>
  <c r="GG171" i="4" s="1"/>
  <c r="GG170" i="4" s="1"/>
  <c r="GG169" i="4" s="1"/>
  <c r="GG168" i="4" s="1"/>
  <c r="GG167" i="4" s="1"/>
  <c r="GG166" i="4" s="1"/>
  <c r="GG165" i="4" s="1"/>
  <c r="GG164" i="4" s="1"/>
  <c r="GG163" i="4" s="1"/>
  <c r="GG162" i="4" s="1"/>
  <c r="GG161" i="4" s="1"/>
  <c r="GG160" i="4" s="1"/>
  <c r="GG159" i="4" s="1"/>
  <c r="GG158" i="4" s="1"/>
  <c r="GG157" i="4" s="1"/>
  <c r="GG156" i="4" s="1"/>
  <c r="GG155" i="4" s="1"/>
  <c r="GG154" i="4" s="1"/>
  <c r="GG153" i="4" s="1"/>
  <c r="GG152" i="4" s="1"/>
  <c r="GG151" i="4" s="1"/>
  <c r="GG150" i="4" s="1"/>
  <c r="GG149" i="4" s="1"/>
  <c r="GG148" i="4" s="1"/>
  <c r="GG147" i="4" s="1"/>
  <c r="GG146" i="4" s="1"/>
  <c r="GG145" i="4" s="1"/>
  <c r="GG144" i="4" s="1"/>
  <c r="GG143" i="4" s="1"/>
  <c r="GG142" i="4" s="1"/>
  <c r="GG141" i="4" s="1"/>
  <c r="GG140" i="4" s="1"/>
  <c r="GG139" i="4" s="1"/>
  <c r="GG138" i="4" s="1"/>
  <c r="GG137" i="4" s="1"/>
  <c r="GG136" i="4" s="1"/>
  <c r="GG135" i="4" s="1"/>
  <c r="GG134" i="4" s="1"/>
  <c r="GG133" i="4" s="1"/>
  <c r="GG132" i="4" s="1"/>
  <c r="GG131" i="4" s="1"/>
  <c r="GG130" i="4" s="1"/>
  <c r="GG129" i="4" s="1"/>
  <c r="GG128" i="4" s="1"/>
  <c r="GG127" i="4" s="1"/>
  <c r="GG126" i="4" s="1"/>
  <c r="GG125" i="4" s="1"/>
  <c r="GG124" i="4" s="1"/>
  <c r="GG123" i="4" s="1"/>
  <c r="GG122" i="4" s="1"/>
  <c r="GG121" i="4" s="1"/>
  <c r="GG120" i="4" s="1"/>
  <c r="GG119" i="4" s="1"/>
  <c r="GG118" i="4" s="1"/>
  <c r="GG117" i="4" s="1"/>
  <c r="GG116" i="4" s="1"/>
  <c r="GG115" i="4" s="1"/>
  <c r="GG114" i="4" s="1"/>
  <c r="GG113" i="4" s="1"/>
  <c r="GG112" i="4" s="1"/>
  <c r="GG111" i="4" s="1"/>
  <c r="GG110" i="4" s="1"/>
  <c r="GG109" i="4" s="1"/>
  <c r="GG108" i="4" s="1"/>
  <c r="GG107" i="4" s="1"/>
  <c r="GG106" i="4" s="1"/>
  <c r="ES179" i="4"/>
  <c r="ES178" i="4" s="1"/>
  <c r="ES177" i="4" s="1"/>
  <c r="ES176" i="4" s="1"/>
  <c r="ES175" i="4" s="1"/>
  <c r="ES174" i="4" s="1"/>
  <c r="ES173" i="4" s="1"/>
  <c r="ES172" i="4" s="1"/>
  <c r="ES171" i="4" s="1"/>
  <c r="ES170" i="4" s="1"/>
  <c r="ES169" i="4" s="1"/>
  <c r="ES168" i="4" s="1"/>
  <c r="ES167" i="4" s="1"/>
  <c r="ES166" i="4" s="1"/>
  <c r="ES165" i="4" s="1"/>
  <c r="ES164" i="4" s="1"/>
  <c r="ES163" i="4" s="1"/>
  <c r="ES162" i="4" s="1"/>
  <c r="ES161" i="4" s="1"/>
  <c r="ES160" i="4" s="1"/>
  <c r="ES159" i="4" s="1"/>
  <c r="ES158" i="4" s="1"/>
  <c r="ES157" i="4" s="1"/>
  <c r="ES156" i="4" s="1"/>
  <c r="ES155" i="4" s="1"/>
  <c r="ES154" i="4" s="1"/>
  <c r="ES153" i="4" s="1"/>
  <c r="ES152" i="4" s="1"/>
  <c r="ES151" i="4" s="1"/>
  <c r="ES150" i="4" s="1"/>
  <c r="ES149" i="4" s="1"/>
  <c r="ES148" i="4" s="1"/>
  <c r="ES147" i="4" s="1"/>
  <c r="ES146" i="4" s="1"/>
  <c r="ES145" i="4" s="1"/>
  <c r="ES144" i="4" s="1"/>
  <c r="ES143" i="4" s="1"/>
  <c r="ES142" i="4" s="1"/>
  <c r="ES141" i="4" s="1"/>
  <c r="ES140" i="4" s="1"/>
  <c r="ES139" i="4" s="1"/>
  <c r="ES138" i="4" s="1"/>
  <c r="ES137" i="4" s="1"/>
  <c r="ES136" i="4" s="1"/>
  <c r="ES135" i="4" s="1"/>
  <c r="ES134" i="4" s="1"/>
  <c r="ES133" i="4" s="1"/>
  <c r="ES132" i="4" s="1"/>
  <c r="ES131" i="4" s="1"/>
  <c r="ES130" i="4" s="1"/>
  <c r="ES129" i="4" s="1"/>
  <c r="ES128" i="4" s="1"/>
  <c r="ES127" i="4" s="1"/>
  <c r="ES126" i="4" s="1"/>
  <c r="ES125" i="4" s="1"/>
  <c r="ES124" i="4" s="1"/>
  <c r="ES123" i="4" s="1"/>
  <c r="ES122" i="4" s="1"/>
  <c r="ES121" i="4" s="1"/>
  <c r="ES120" i="4" s="1"/>
  <c r="ES119" i="4" s="1"/>
  <c r="ES118" i="4" s="1"/>
  <c r="ES117" i="4" s="1"/>
  <c r="ES116" i="4" s="1"/>
  <c r="ES115" i="4" s="1"/>
  <c r="ES114" i="4" s="1"/>
  <c r="ES113" i="4" s="1"/>
  <c r="ES112" i="4" s="1"/>
  <c r="ES111" i="4" s="1"/>
  <c r="ES110" i="4" s="1"/>
  <c r="ES109" i="4" s="1"/>
  <c r="ES108" i="4" s="1"/>
  <c r="ES107" i="4" s="1"/>
  <c r="FI179" i="4"/>
  <c r="FI178" i="4" s="1"/>
  <c r="FI177" i="4" s="1"/>
  <c r="FI176" i="4" s="1"/>
  <c r="FI175" i="4" s="1"/>
  <c r="FI174" i="4" s="1"/>
  <c r="FI173" i="4" s="1"/>
  <c r="FI172" i="4" s="1"/>
  <c r="FI171" i="4" s="1"/>
  <c r="FI170" i="4" s="1"/>
  <c r="FI169" i="4" s="1"/>
  <c r="FI168" i="4" s="1"/>
  <c r="FI167" i="4" s="1"/>
  <c r="FI166" i="4" s="1"/>
  <c r="FI165" i="4" s="1"/>
  <c r="FI164" i="4" s="1"/>
  <c r="FI163" i="4" s="1"/>
  <c r="FI162" i="4" s="1"/>
  <c r="FI161" i="4" s="1"/>
  <c r="FI160" i="4" s="1"/>
  <c r="FI159" i="4" s="1"/>
  <c r="FI158" i="4" s="1"/>
  <c r="FI157" i="4" s="1"/>
  <c r="FI156" i="4" s="1"/>
  <c r="FI155" i="4" s="1"/>
  <c r="FI154" i="4" s="1"/>
  <c r="FI153" i="4" s="1"/>
  <c r="FI152" i="4" s="1"/>
  <c r="FI151" i="4" s="1"/>
  <c r="FI150" i="4" s="1"/>
  <c r="FI149" i="4" s="1"/>
  <c r="FI148" i="4" s="1"/>
  <c r="FI147" i="4" s="1"/>
  <c r="FI146" i="4" s="1"/>
  <c r="FI145" i="4" s="1"/>
  <c r="FI144" i="4" s="1"/>
  <c r="FI143" i="4" s="1"/>
  <c r="FI142" i="4" s="1"/>
  <c r="FI141" i="4" s="1"/>
  <c r="FI140" i="4" s="1"/>
  <c r="FI139" i="4" s="1"/>
  <c r="FI138" i="4" s="1"/>
  <c r="FI137" i="4" s="1"/>
  <c r="FI136" i="4" s="1"/>
  <c r="FI135" i="4" s="1"/>
  <c r="FI134" i="4" s="1"/>
  <c r="FI133" i="4" s="1"/>
  <c r="FI132" i="4" s="1"/>
  <c r="FI131" i="4" s="1"/>
  <c r="FI130" i="4" s="1"/>
  <c r="FI129" i="4" s="1"/>
  <c r="FI128" i="4" s="1"/>
  <c r="FI127" i="4" s="1"/>
  <c r="FI126" i="4" s="1"/>
  <c r="FI125" i="4" s="1"/>
  <c r="FI124" i="4" s="1"/>
  <c r="FI123" i="4" s="1"/>
  <c r="FI122" i="4" s="1"/>
  <c r="FI121" i="4" s="1"/>
  <c r="FI120" i="4" s="1"/>
  <c r="FI119" i="4" s="1"/>
  <c r="FI118" i="4" s="1"/>
  <c r="FI117" i="4" s="1"/>
  <c r="FI116" i="4" s="1"/>
  <c r="FI115" i="4" s="1"/>
  <c r="FI114" i="4" s="1"/>
  <c r="FI113" i="4" s="1"/>
  <c r="FI112" i="4" s="1"/>
  <c r="FI111" i="4" s="1"/>
  <c r="FI110" i="4" s="1"/>
  <c r="FI109" i="4" s="1"/>
  <c r="FI108" i="4" s="1"/>
  <c r="FI107" i="4" s="1"/>
  <c r="FI106" i="4" s="1"/>
  <c r="FI4" i="4" s="1"/>
  <c r="J30" i="2" s="1"/>
  <c r="GW179" i="4"/>
  <c r="GW178" i="4" s="1"/>
  <c r="GW177" i="4" s="1"/>
  <c r="GW176" i="4" s="1"/>
  <c r="GW175" i="4" s="1"/>
  <c r="GW174" i="4" s="1"/>
  <c r="GW173" i="4" s="1"/>
  <c r="GW172" i="4" s="1"/>
  <c r="GW171" i="4" s="1"/>
  <c r="GW170" i="4" s="1"/>
  <c r="GW169" i="4" s="1"/>
  <c r="GW168" i="4" s="1"/>
  <c r="GW167" i="4" s="1"/>
  <c r="GW166" i="4" s="1"/>
  <c r="GW165" i="4" s="1"/>
  <c r="GW164" i="4" s="1"/>
  <c r="GW163" i="4" s="1"/>
  <c r="GW162" i="4" s="1"/>
  <c r="GW161" i="4" s="1"/>
  <c r="GW160" i="4" s="1"/>
  <c r="GW159" i="4" s="1"/>
  <c r="GW158" i="4" s="1"/>
  <c r="GW157" i="4" s="1"/>
  <c r="GW156" i="4" s="1"/>
  <c r="GW155" i="4" s="1"/>
  <c r="GW154" i="4" s="1"/>
  <c r="GW153" i="4" s="1"/>
  <c r="GW152" i="4" s="1"/>
  <c r="GW151" i="4" s="1"/>
  <c r="GW150" i="4" s="1"/>
  <c r="GW149" i="4" s="1"/>
  <c r="GW148" i="4" s="1"/>
  <c r="GW147" i="4" s="1"/>
  <c r="GW146" i="4" s="1"/>
  <c r="GW145" i="4" s="1"/>
  <c r="GW144" i="4" s="1"/>
  <c r="GW143" i="4" s="1"/>
  <c r="GW142" i="4" s="1"/>
  <c r="GW141" i="4" s="1"/>
  <c r="GW140" i="4" s="1"/>
  <c r="GW139" i="4" s="1"/>
  <c r="GW138" i="4" s="1"/>
  <c r="GW137" i="4" s="1"/>
  <c r="GW136" i="4" s="1"/>
  <c r="GW135" i="4" s="1"/>
  <c r="GW134" i="4" s="1"/>
  <c r="GW133" i="4" s="1"/>
  <c r="GW132" i="4" s="1"/>
  <c r="GW131" i="4" s="1"/>
  <c r="GW130" i="4" s="1"/>
  <c r="GW129" i="4" s="1"/>
  <c r="GW128" i="4" s="1"/>
  <c r="GW127" i="4" s="1"/>
  <c r="GW126" i="4" s="1"/>
  <c r="GW125" i="4" s="1"/>
  <c r="GW124" i="4" s="1"/>
  <c r="GW123" i="4" s="1"/>
  <c r="GW122" i="4" s="1"/>
  <c r="GW121" i="4" s="1"/>
  <c r="GW120" i="4" s="1"/>
  <c r="GW119" i="4" s="1"/>
  <c r="GW118" i="4" s="1"/>
  <c r="GW117" i="4" s="1"/>
  <c r="GW116" i="4" s="1"/>
  <c r="GW115" i="4" s="1"/>
  <c r="GW114" i="4" s="1"/>
  <c r="GW113" i="4" s="1"/>
  <c r="GW112" i="4" s="1"/>
  <c r="GW111" i="4" s="1"/>
  <c r="GW110" i="4" s="1"/>
  <c r="GW109" i="4" s="1"/>
  <c r="GW108" i="4" s="1"/>
  <c r="GW107" i="4" s="1"/>
  <c r="GW106" i="4" s="1"/>
  <c r="GW4" i="4" s="1"/>
  <c r="H37" i="2" s="1"/>
  <c r="EC179" i="4"/>
  <c r="EC178" i="4" s="1"/>
  <c r="EC177" i="4" s="1"/>
  <c r="EC176" i="4" s="1"/>
  <c r="EC175" i="4" s="1"/>
  <c r="EC174" i="4" s="1"/>
  <c r="EC173" i="4" s="1"/>
  <c r="EC172" i="4" s="1"/>
  <c r="EC171" i="4" s="1"/>
  <c r="EC170" i="4" s="1"/>
  <c r="EC169" i="4" s="1"/>
  <c r="EC168" i="4" s="1"/>
  <c r="EC167" i="4" s="1"/>
  <c r="EC166" i="4" s="1"/>
  <c r="EC165" i="4" s="1"/>
  <c r="EC164" i="4" s="1"/>
  <c r="EC163" i="4" s="1"/>
  <c r="EC162" i="4" s="1"/>
  <c r="EC161" i="4" s="1"/>
  <c r="EC160" i="4" s="1"/>
  <c r="EC159" i="4" s="1"/>
  <c r="EC158" i="4" s="1"/>
  <c r="EC157" i="4" s="1"/>
  <c r="EC156" i="4" s="1"/>
  <c r="EC155" i="4" s="1"/>
  <c r="EC154" i="4" s="1"/>
  <c r="EC153" i="4" s="1"/>
  <c r="EC152" i="4" s="1"/>
  <c r="EC151" i="4" s="1"/>
  <c r="EC150" i="4" s="1"/>
  <c r="EC149" i="4" s="1"/>
  <c r="EC148" i="4" s="1"/>
  <c r="EC147" i="4" s="1"/>
  <c r="EC146" i="4" s="1"/>
  <c r="EC145" i="4" s="1"/>
  <c r="EC144" i="4" s="1"/>
  <c r="EC143" i="4" s="1"/>
  <c r="EC142" i="4" s="1"/>
  <c r="EC141" i="4" s="1"/>
  <c r="EC140" i="4" s="1"/>
  <c r="EC139" i="4" s="1"/>
  <c r="EC138" i="4" s="1"/>
  <c r="EC137" i="4" s="1"/>
  <c r="EC136" i="4" s="1"/>
  <c r="EC135" i="4" s="1"/>
  <c r="EC134" i="4" s="1"/>
  <c r="EC133" i="4" s="1"/>
  <c r="EC132" i="4" s="1"/>
  <c r="EC131" i="4" s="1"/>
  <c r="EC130" i="4" s="1"/>
  <c r="EC129" i="4" s="1"/>
  <c r="EC128" i="4" s="1"/>
  <c r="EC127" i="4" s="1"/>
  <c r="EC126" i="4" s="1"/>
  <c r="EC125" i="4" s="1"/>
  <c r="EC124" i="4" s="1"/>
  <c r="EC123" i="4" s="1"/>
  <c r="EC122" i="4" s="1"/>
  <c r="EC121" i="4" s="1"/>
  <c r="EC120" i="4" s="1"/>
  <c r="EC119" i="4" s="1"/>
  <c r="EC118" i="4" s="1"/>
  <c r="EC117" i="4" s="1"/>
  <c r="EC116" i="4" s="1"/>
  <c r="EC115" i="4" s="1"/>
  <c r="EC114" i="4" s="1"/>
  <c r="EC113" i="4" s="1"/>
  <c r="EC112" i="4" s="1"/>
  <c r="EC111" i="4" s="1"/>
  <c r="EC110" i="4" s="1"/>
  <c r="EC109" i="4" s="1"/>
  <c r="EC108" i="4" s="1"/>
  <c r="EC107" i="4" s="1"/>
  <c r="EC106" i="4" s="1"/>
  <c r="EC4" i="4" s="1"/>
  <c r="H25" i="2" s="1"/>
  <c r="GF179" i="4"/>
  <c r="GF178" i="4" s="1"/>
  <c r="GF177" i="4" s="1"/>
  <c r="GF176" i="4" s="1"/>
  <c r="GF175" i="4" s="1"/>
  <c r="GF174" i="4" s="1"/>
  <c r="GF173" i="4" s="1"/>
  <c r="GF172" i="4" s="1"/>
  <c r="GF171" i="4" s="1"/>
  <c r="GF170" i="4" s="1"/>
  <c r="GF169" i="4" s="1"/>
  <c r="GF168" i="4" s="1"/>
  <c r="GF167" i="4" s="1"/>
  <c r="GF166" i="4" s="1"/>
  <c r="GF165" i="4" s="1"/>
  <c r="GF164" i="4" s="1"/>
  <c r="GF163" i="4" s="1"/>
  <c r="GF162" i="4" s="1"/>
  <c r="GF161" i="4" s="1"/>
  <c r="GF160" i="4" s="1"/>
  <c r="GF159" i="4" s="1"/>
  <c r="GF158" i="4" s="1"/>
  <c r="GF157" i="4" s="1"/>
  <c r="GF156" i="4" s="1"/>
  <c r="GF155" i="4" s="1"/>
  <c r="GF154" i="4" s="1"/>
  <c r="GF153" i="4" s="1"/>
  <c r="GF152" i="4" s="1"/>
  <c r="GF151" i="4" s="1"/>
  <c r="GF150" i="4" s="1"/>
  <c r="GF149" i="4" s="1"/>
  <c r="GF148" i="4" s="1"/>
  <c r="GF147" i="4" s="1"/>
  <c r="GF146" i="4" s="1"/>
  <c r="GF145" i="4" s="1"/>
  <c r="GF144" i="4" s="1"/>
  <c r="GF143" i="4" s="1"/>
  <c r="GF142" i="4" s="1"/>
  <c r="GF141" i="4" s="1"/>
  <c r="GF140" i="4" s="1"/>
  <c r="GF139" i="4" s="1"/>
  <c r="GF138" i="4" s="1"/>
  <c r="GF137" i="4" s="1"/>
  <c r="GF136" i="4" s="1"/>
  <c r="GF135" i="4" s="1"/>
  <c r="GF134" i="4" s="1"/>
  <c r="GF133" i="4" s="1"/>
  <c r="GF132" i="4" s="1"/>
  <c r="GF131" i="4" s="1"/>
  <c r="GF130" i="4" s="1"/>
  <c r="GF129" i="4" s="1"/>
  <c r="GF128" i="4" s="1"/>
  <c r="GF127" i="4" s="1"/>
  <c r="GF126" i="4" s="1"/>
  <c r="GF125" i="4" s="1"/>
  <c r="GF124" i="4" s="1"/>
  <c r="GF123" i="4" s="1"/>
  <c r="GF122" i="4" s="1"/>
  <c r="GF121" i="4" s="1"/>
  <c r="GF120" i="4" s="1"/>
  <c r="GF119" i="4" s="1"/>
  <c r="GF118" i="4" s="1"/>
  <c r="GF117" i="4" s="1"/>
  <c r="GF116" i="4" s="1"/>
  <c r="GF115" i="4" s="1"/>
  <c r="GF114" i="4" s="1"/>
  <c r="GF113" i="4" s="1"/>
  <c r="GF112" i="4" s="1"/>
  <c r="GF111" i="4" s="1"/>
  <c r="GF110" i="4" s="1"/>
  <c r="GF109" i="4" s="1"/>
  <c r="GF108" i="4" s="1"/>
  <c r="GF107" i="4" s="1"/>
  <c r="BA4" i="4"/>
  <c r="BG3" i="4"/>
  <c r="AX3" i="4"/>
  <c r="AR4" i="4"/>
  <c r="I10" i="2" s="1"/>
  <c r="HK3" i="4"/>
  <c r="HK106" i="4" s="1"/>
  <c r="E14" i="2"/>
  <c r="G106" i="4"/>
  <c r="G4" i="4" s="1"/>
  <c r="EE4" i="4"/>
  <c r="J25" i="2" s="1"/>
  <c r="H24" i="2"/>
  <c r="DY4" i="4"/>
  <c r="J24" i="2" s="1"/>
  <c r="O4" i="4"/>
  <c r="J5" i="2" s="1"/>
  <c r="H9" i="2"/>
  <c r="H5" i="2"/>
  <c r="E5" i="2"/>
  <c r="H20" i="2"/>
  <c r="H18" i="2"/>
  <c r="E25" i="2"/>
  <c r="E26" i="2"/>
  <c r="DM4" i="4"/>
  <c r="J22" i="2" s="1"/>
  <c r="DS4" i="4"/>
  <c r="J23" i="2" s="1"/>
  <c r="G5" i="2"/>
  <c r="F5" i="2"/>
  <c r="T4" i="4"/>
  <c r="I6" i="2" s="1"/>
  <c r="CI4" i="4"/>
  <c r="J17" i="2" s="1"/>
  <c r="AG4" i="4"/>
  <c r="J8" i="2" s="1"/>
  <c r="F8" i="2"/>
  <c r="DG4" i="4"/>
  <c r="J21" i="2" s="1"/>
  <c r="F9" i="2"/>
  <c r="AM4" i="4"/>
  <c r="J9" i="2" s="1"/>
  <c r="E16" i="2"/>
  <c r="E17" i="2"/>
  <c r="E8" i="2"/>
  <c r="E18" i="2"/>
  <c r="EK4" i="4"/>
  <c r="J26" i="2" s="1"/>
  <c r="H28" i="2"/>
  <c r="EW4" i="4"/>
  <c r="J28" i="2" s="1"/>
  <c r="FC4" i="4"/>
  <c r="J29" i="2" s="1"/>
  <c r="FU4" i="4"/>
  <c r="J32" i="2" s="1"/>
  <c r="GG4" i="4"/>
  <c r="J34" i="2" s="1"/>
  <c r="GM4" i="4"/>
  <c r="J35" i="2" s="1"/>
  <c r="GS4" i="4"/>
  <c r="H21" i="2"/>
  <c r="H34" i="2"/>
  <c r="H36" i="2"/>
  <c r="H10" i="2"/>
  <c r="E23" i="2"/>
  <c r="E13" i="2"/>
  <c r="E11" i="2"/>
  <c r="E22" i="2"/>
  <c r="GY4" i="4"/>
  <c r="J37" i="2" s="1"/>
  <c r="BK4" i="4"/>
  <c r="J13" i="2" s="1"/>
  <c r="H13" i="2"/>
  <c r="H11" i="2"/>
  <c r="E32" i="2"/>
  <c r="E33" i="2"/>
  <c r="E31" i="2"/>
  <c r="E29" i="2"/>
  <c r="E30" i="2"/>
  <c r="E35" i="2"/>
  <c r="E36" i="2"/>
  <c r="G10" i="2"/>
  <c r="F10" i="2"/>
  <c r="F7" i="2"/>
  <c r="F11" i="2"/>
  <c r="E10" i="2"/>
  <c r="I107" i="4"/>
  <c r="I106" i="4" s="1"/>
  <c r="H106" i="4"/>
  <c r="H4" i="4" s="1"/>
  <c r="F12" i="2"/>
  <c r="H26" i="2"/>
  <c r="H27" i="2"/>
  <c r="H29" i="2"/>
  <c r="H30" i="2"/>
  <c r="H31" i="2"/>
  <c r="H32" i="2"/>
  <c r="H33" i="2"/>
  <c r="E34" i="2"/>
  <c r="E28" i="2"/>
  <c r="H22" i="2"/>
  <c r="E20" i="2"/>
  <c r="H6" i="2"/>
  <c r="E37" i="2"/>
  <c r="J36" i="2"/>
  <c r="E24" i="2"/>
  <c r="H16" i="2"/>
  <c r="E12" i="2"/>
  <c r="E9" i="2"/>
  <c r="H8" i="2"/>
  <c r="H7" i="2"/>
  <c r="E7" i="2"/>
  <c r="E6" i="2"/>
  <c r="H4" i="2"/>
  <c r="H35" i="2"/>
  <c r="H17" i="2"/>
  <c r="E27" i="2"/>
  <c r="E21" i="2"/>
  <c r="E19" i="2"/>
  <c r="F107" i="4"/>
  <c r="F106" i="4" s="1"/>
  <c r="D107" i="4"/>
  <c r="HL106" i="4" l="1"/>
  <c r="HL4" i="4" s="1"/>
  <c r="E40" i="2" s="1"/>
  <c r="HR3" i="4"/>
  <c r="HO106" i="4"/>
  <c r="HO4" i="4" s="1"/>
  <c r="H40" i="2" s="1"/>
  <c r="HU3" i="4"/>
  <c r="BG106" i="4"/>
  <c r="BG4" i="4" s="1"/>
  <c r="F13" i="2" s="1"/>
  <c r="AX106" i="4"/>
  <c r="BT106" i="4"/>
  <c r="BT4" i="4" s="1"/>
  <c r="G15" i="2" s="1"/>
  <c r="BZ3" i="4"/>
  <c r="BM3" i="4"/>
  <c r="BM106" i="4" s="1"/>
  <c r="BD3" i="4"/>
  <c r="BD106" i="4" s="1"/>
  <c r="E4" i="4"/>
  <c r="F4" i="2" s="1"/>
  <c r="F4" i="4"/>
  <c r="G4" i="2" s="1"/>
  <c r="CC4" i="4"/>
  <c r="J16" i="2" s="1"/>
  <c r="AY4" i="4"/>
  <c r="J11" i="2" s="1"/>
  <c r="AA4" i="4"/>
  <c r="J7" i="2" s="1"/>
  <c r="CO4" i="4"/>
  <c r="J18" i="2" s="1"/>
  <c r="CU4" i="4"/>
  <c r="J19" i="2" s="1"/>
  <c r="EQ4" i="4"/>
  <c r="J27" i="2" s="1"/>
  <c r="FO4" i="4"/>
  <c r="J31" i="2" s="1"/>
  <c r="DA4" i="4"/>
  <c r="J20" i="2" s="1"/>
  <c r="U4" i="4"/>
  <c r="J6" i="2" s="1"/>
  <c r="HQ3" i="4"/>
  <c r="HW3" i="4" s="1"/>
  <c r="HK4" i="4"/>
  <c r="J39" i="2" s="1"/>
  <c r="AF4" i="4"/>
  <c r="I8" i="2" s="1"/>
  <c r="AX4" i="4"/>
  <c r="I11" i="2" s="1"/>
  <c r="AL4" i="4"/>
  <c r="I9" i="2" s="1"/>
  <c r="N4" i="4"/>
  <c r="I5" i="2" s="1"/>
  <c r="I4" i="4"/>
  <c r="J4" i="2" s="1"/>
  <c r="I4" i="2"/>
  <c r="D106" i="4"/>
  <c r="C4" i="3"/>
  <c r="IA3" i="4" l="1"/>
  <c r="HU106" i="4"/>
  <c r="HU4" i="4" s="1"/>
  <c r="H41" i="2" s="1"/>
  <c r="HR106" i="4"/>
  <c r="HR4" i="4" s="1"/>
  <c r="E41" i="2" s="1"/>
  <c r="HX3" i="4"/>
  <c r="HW106" i="4"/>
  <c r="HW4" i="4" s="1"/>
  <c r="J41" i="2" s="1"/>
  <c r="IC3" i="4"/>
  <c r="HQ106" i="4"/>
  <c r="HQ4" i="4" s="1"/>
  <c r="J40" i="2" s="1"/>
  <c r="BZ106" i="4"/>
  <c r="BZ4" i="4" s="1"/>
  <c r="G16" i="2" s="1"/>
  <c r="CF3" i="4"/>
  <c r="BM4" i="4"/>
  <c r="F14" i="2" s="1"/>
  <c r="BS3" i="4"/>
  <c r="BS106" i="4" s="1"/>
  <c r="BJ3" i="4"/>
  <c r="BJ106" i="4" s="1"/>
  <c r="BD4" i="4"/>
  <c r="I12" i="2" s="1"/>
  <c r="D4" i="4"/>
  <c r="E4" i="2" s="1"/>
  <c r="E1" i="3"/>
  <c r="G4" i="3" l="1"/>
  <c r="F7" i="3"/>
  <c r="F4" i="3"/>
  <c r="F5" i="3"/>
  <c r="F2" i="3"/>
  <c r="II3" i="4"/>
  <c r="IC106" i="4"/>
  <c r="IC4" i="4" s="1"/>
  <c r="J42" i="2" s="1"/>
  <c r="ID3" i="4"/>
  <c r="HX106" i="4"/>
  <c r="HX4" i="4" s="1"/>
  <c r="E42" i="2" s="1"/>
  <c r="IG3" i="4"/>
  <c r="IA106" i="4"/>
  <c r="IA4" i="4" s="1"/>
  <c r="H42" i="2" s="1"/>
  <c r="CL3" i="4"/>
  <c r="CF106" i="4"/>
  <c r="CF4" i="4" s="1"/>
  <c r="G17" i="2" s="1"/>
  <c r="F8" i="3"/>
  <c r="BS4" i="4"/>
  <c r="F15" i="2" s="1"/>
  <c r="BY3" i="4"/>
  <c r="BY106" i="4" s="1"/>
  <c r="BP3" i="4"/>
  <c r="BP106" i="4" s="1"/>
  <c r="BJ4" i="4"/>
  <c r="I13" i="2" s="1"/>
  <c r="I1" i="3"/>
  <c r="J5" i="3" l="1"/>
  <c r="J2" i="3"/>
  <c r="J7" i="3"/>
  <c r="K4" i="3"/>
  <c r="J4" i="3"/>
  <c r="IM3" i="4"/>
  <c r="IG106" i="4"/>
  <c r="IG4" i="4" s="1"/>
  <c r="H43" i="2" s="1"/>
  <c r="IJ3" i="4"/>
  <c r="ID106" i="4"/>
  <c r="ID4" i="4" s="1"/>
  <c r="E43" i="2" s="1"/>
  <c r="IO3" i="4"/>
  <c r="II106" i="4"/>
  <c r="II4" i="4" s="1"/>
  <c r="J43" i="2" s="1"/>
  <c r="CR3" i="4"/>
  <c r="CL106" i="4"/>
  <c r="CL4" i="4" s="1"/>
  <c r="G18" i="2" s="1"/>
  <c r="J8" i="3"/>
  <c r="BY4" i="4"/>
  <c r="F16" i="2" s="1"/>
  <c r="CE3" i="4"/>
  <c r="CE106" i="4" s="1"/>
  <c r="BV3" i="4"/>
  <c r="BV106" i="4" s="1"/>
  <c r="BP4" i="4"/>
  <c r="I14" i="2" s="1"/>
  <c r="B9" i="3" s="1"/>
  <c r="M1" i="3"/>
  <c r="N7" i="3" l="1"/>
  <c r="N4" i="3"/>
  <c r="N5" i="3"/>
  <c r="N2" i="3"/>
  <c r="O4" i="3"/>
  <c r="IP3" i="4"/>
  <c r="IJ106" i="4"/>
  <c r="IJ4" i="4" s="1"/>
  <c r="E44" i="2" s="1"/>
  <c r="IU3" i="4"/>
  <c r="IO106" i="4"/>
  <c r="IO4" i="4" s="1"/>
  <c r="J44" i="2" s="1"/>
  <c r="IS3" i="4"/>
  <c r="IM106" i="4"/>
  <c r="IM4" i="4" s="1"/>
  <c r="H44" i="2" s="1"/>
  <c r="CX3" i="4"/>
  <c r="CR106" i="4"/>
  <c r="CR4" i="4" s="1"/>
  <c r="G19" i="2" s="1"/>
  <c r="N8" i="3"/>
  <c r="CE4" i="4"/>
  <c r="F17" i="2" s="1"/>
  <c r="CK3" i="4"/>
  <c r="CK106" i="4" s="1"/>
  <c r="CB3" i="4"/>
  <c r="CB106" i="4" s="1"/>
  <c r="BV4" i="4"/>
  <c r="I15" i="2" s="1"/>
  <c r="F9" i="3" s="1"/>
  <c r="Q1" i="3"/>
  <c r="S4" i="3" l="1"/>
  <c r="R2" i="3"/>
  <c r="R7" i="3"/>
  <c r="R4" i="3"/>
  <c r="R5" i="3"/>
  <c r="JA3" i="4"/>
  <c r="IU106" i="4"/>
  <c r="IU4" i="4" s="1"/>
  <c r="J45" i="2" s="1"/>
  <c r="IY3" i="4"/>
  <c r="IS106" i="4"/>
  <c r="IS4" i="4" s="1"/>
  <c r="H45" i="2" s="1"/>
  <c r="IV3" i="4"/>
  <c r="IP106" i="4"/>
  <c r="IP4" i="4" s="1"/>
  <c r="E45" i="2" s="1"/>
  <c r="DD3" i="4"/>
  <c r="CX106" i="4"/>
  <c r="CX4" i="4" s="1"/>
  <c r="G20" i="2" s="1"/>
  <c r="R8" i="3"/>
  <c r="CK4" i="4"/>
  <c r="F18" i="2" s="1"/>
  <c r="CQ3" i="4"/>
  <c r="CQ106" i="4" s="1"/>
  <c r="CH3" i="4"/>
  <c r="CH106" i="4" s="1"/>
  <c r="CB4" i="4"/>
  <c r="I16" i="2" s="1"/>
  <c r="J9" i="3" s="1"/>
  <c r="A11" i="3"/>
  <c r="B15" i="3" l="1"/>
  <c r="B12" i="3"/>
  <c r="B17" i="3"/>
  <c r="C14" i="3"/>
  <c r="B14" i="3"/>
  <c r="IY106" i="4"/>
  <c r="IY4" i="4" s="1"/>
  <c r="H46" i="2" s="1"/>
  <c r="JE3" i="4"/>
  <c r="JB3" i="4"/>
  <c r="IV106" i="4"/>
  <c r="IV4" i="4" s="1"/>
  <c r="E46" i="2" s="1"/>
  <c r="JG3" i="4"/>
  <c r="JA106" i="4"/>
  <c r="JA4" i="4" s="1"/>
  <c r="J46" i="2" s="1"/>
  <c r="DJ3" i="4"/>
  <c r="DD106" i="4"/>
  <c r="DD4" i="4" s="1"/>
  <c r="G21" i="2" s="1"/>
  <c r="B18" i="3"/>
  <c r="CQ4" i="4"/>
  <c r="F19" i="2" s="1"/>
  <c r="CW3" i="4"/>
  <c r="CW106" i="4" s="1"/>
  <c r="CN3" i="4"/>
  <c r="CN106" i="4" s="1"/>
  <c r="CH4" i="4"/>
  <c r="I17" i="2" s="1"/>
  <c r="N9" i="3" s="1"/>
  <c r="E11" i="3"/>
  <c r="F17" i="3" l="1"/>
  <c r="F14" i="3"/>
  <c r="F15" i="3"/>
  <c r="F12" i="3"/>
  <c r="G14" i="3"/>
  <c r="JM3" i="4"/>
  <c r="JG106" i="4"/>
  <c r="JG4" i="4" s="1"/>
  <c r="J47" i="2" s="1"/>
  <c r="JK3" i="4"/>
  <c r="JE106" i="4"/>
  <c r="JE4" i="4" s="1"/>
  <c r="H47" i="2" s="1"/>
  <c r="JH3" i="4"/>
  <c r="JB106" i="4"/>
  <c r="JB4" i="4" s="1"/>
  <c r="E47" i="2" s="1"/>
  <c r="DP3" i="4"/>
  <c r="DJ106" i="4"/>
  <c r="DJ4" i="4" s="1"/>
  <c r="G22" i="2" s="1"/>
  <c r="F18" i="3"/>
  <c r="CW4" i="4"/>
  <c r="F20" i="2" s="1"/>
  <c r="DC3" i="4"/>
  <c r="DC106" i="4" s="1"/>
  <c r="CT3" i="4"/>
  <c r="CT106" i="4" s="1"/>
  <c r="CN4" i="4"/>
  <c r="I18" i="2" s="1"/>
  <c r="R9" i="3" s="1"/>
  <c r="I11" i="3"/>
  <c r="K14" i="3" l="1"/>
  <c r="J17" i="3"/>
  <c r="J14" i="3"/>
  <c r="J15" i="3"/>
  <c r="J12" i="3"/>
  <c r="JQ3" i="4"/>
  <c r="JK106" i="4"/>
  <c r="JK4" i="4" s="1"/>
  <c r="H48" i="2" s="1"/>
  <c r="JN3" i="4"/>
  <c r="JH106" i="4"/>
  <c r="JH4" i="4" s="1"/>
  <c r="E48" i="2" s="1"/>
  <c r="JS3" i="4"/>
  <c r="JM106" i="4"/>
  <c r="JM4" i="4" s="1"/>
  <c r="J48" i="2" s="1"/>
  <c r="DV3" i="4"/>
  <c r="DP106" i="4"/>
  <c r="DP4" i="4" s="1"/>
  <c r="G23" i="2" s="1"/>
  <c r="J18" i="3"/>
  <c r="DC4" i="4"/>
  <c r="F21" i="2" s="1"/>
  <c r="DI3" i="4"/>
  <c r="DI106" i="4" s="1"/>
  <c r="CZ3" i="4"/>
  <c r="CZ106" i="4" s="1"/>
  <c r="CT4" i="4"/>
  <c r="I19" i="2" s="1"/>
  <c r="B19" i="3" s="1"/>
  <c r="M11" i="3"/>
  <c r="N15" i="3" l="1"/>
  <c r="N12" i="3"/>
  <c r="O14" i="3"/>
  <c r="N17" i="3"/>
  <c r="N14" i="3"/>
  <c r="JY3" i="4"/>
  <c r="JS106" i="4"/>
  <c r="JS4" i="4" s="1"/>
  <c r="J49" i="2" s="1"/>
  <c r="JT3" i="4"/>
  <c r="JN106" i="4"/>
  <c r="JN4" i="4" s="1"/>
  <c r="E49" i="2" s="1"/>
  <c r="JW3" i="4"/>
  <c r="JQ106" i="4"/>
  <c r="JQ4" i="4" s="1"/>
  <c r="H49" i="2" s="1"/>
  <c r="EB3" i="4"/>
  <c r="DV106" i="4"/>
  <c r="DV4" i="4" s="1"/>
  <c r="G24" i="2" s="1"/>
  <c r="N18" i="3"/>
  <c r="DI4" i="4"/>
  <c r="F22" i="2" s="1"/>
  <c r="DO3" i="4"/>
  <c r="DO106" i="4" s="1"/>
  <c r="DF3" i="4"/>
  <c r="DF106" i="4" s="1"/>
  <c r="CZ4" i="4"/>
  <c r="I20" i="2" s="1"/>
  <c r="F19" i="3" s="1"/>
  <c r="Q11" i="3"/>
  <c r="R17" i="3" l="1"/>
  <c r="R14" i="3"/>
  <c r="R15" i="3"/>
  <c r="R12" i="3"/>
  <c r="S14" i="3"/>
  <c r="JZ3" i="4"/>
  <c r="JT106" i="4"/>
  <c r="JT4" i="4" s="1"/>
  <c r="E50" i="2" s="1"/>
  <c r="KC3" i="4"/>
  <c r="JW106" i="4"/>
  <c r="JW4" i="4" s="1"/>
  <c r="H50" i="2" s="1"/>
  <c r="KE3" i="4"/>
  <c r="JY106" i="4"/>
  <c r="JY4" i="4" s="1"/>
  <c r="J50" i="2" s="1"/>
  <c r="EH3" i="4"/>
  <c r="EB106" i="4"/>
  <c r="EB4" i="4" s="1"/>
  <c r="G25" i="2" s="1"/>
  <c r="R18" i="3"/>
  <c r="DO4" i="4"/>
  <c r="F23" i="2" s="1"/>
  <c r="DU3" i="4"/>
  <c r="DU106" i="4" s="1"/>
  <c r="DL3" i="4"/>
  <c r="DL106" i="4" s="1"/>
  <c r="DF4" i="4"/>
  <c r="I21" i="2" s="1"/>
  <c r="J19" i="3" s="1"/>
  <c r="KI3" i="4" l="1"/>
  <c r="KC106" i="4"/>
  <c r="KC4" i="4" s="1"/>
  <c r="H51" i="2" s="1"/>
  <c r="KK3" i="4"/>
  <c r="KE106" i="4"/>
  <c r="KE4" i="4" s="1"/>
  <c r="J51" i="2" s="1"/>
  <c r="KF3" i="4"/>
  <c r="JZ106" i="4"/>
  <c r="JZ4" i="4" s="1"/>
  <c r="E51" i="2" s="1"/>
  <c r="EN3" i="4"/>
  <c r="EH106" i="4"/>
  <c r="EH4" i="4" s="1"/>
  <c r="G26" i="2" s="1"/>
  <c r="DU4" i="4"/>
  <c r="F24" i="2" s="1"/>
  <c r="EA3" i="4"/>
  <c r="EA106" i="4" s="1"/>
  <c r="DR3" i="4"/>
  <c r="DR106" i="4" s="1"/>
  <c r="DL4" i="4"/>
  <c r="I22" i="2" s="1"/>
  <c r="N19" i="3" s="1"/>
  <c r="KQ3" i="4" l="1"/>
  <c r="KK106" i="4"/>
  <c r="KK4" i="4" s="1"/>
  <c r="J52" i="2" s="1"/>
  <c r="KL3" i="4"/>
  <c r="KF106" i="4"/>
  <c r="KF4" i="4" s="1"/>
  <c r="E52" i="2" s="1"/>
  <c r="KO3" i="4"/>
  <c r="KI106" i="4"/>
  <c r="KI4" i="4" s="1"/>
  <c r="H52" i="2" s="1"/>
  <c r="ET3" i="4"/>
  <c r="EN106" i="4"/>
  <c r="EN4" i="4" s="1"/>
  <c r="G27" i="2" s="1"/>
  <c r="EA4" i="4"/>
  <c r="F25" i="2" s="1"/>
  <c r="EG3" i="4"/>
  <c r="EG106" i="4" s="1"/>
  <c r="DX3" i="4"/>
  <c r="DX106" i="4" s="1"/>
  <c r="DR4" i="4"/>
  <c r="I23" i="2" s="1"/>
  <c r="R19" i="3" s="1"/>
  <c r="KR3" i="4" l="1"/>
  <c r="KL106" i="4"/>
  <c r="KL4" i="4" s="1"/>
  <c r="E53" i="2" s="1"/>
  <c r="KU3" i="4"/>
  <c r="KO106" i="4"/>
  <c r="KO4" i="4" s="1"/>
  <c r="H53" i="2" s="1"/>
  <c r="KW3" i="4"/>
  <c r="KQ106" i="4"/>
  <c r="KQ4" i="4" s="1"/>
  <c r="J53" i="2" s="1"/>
  <c r="EZ3" i="4"/>
  <c r="ET106" i="4"/>
  <c r="ET4" i="4" s="1"/>
  <c r="G28" i="2" s="1"/>
  <c r="EG4" i="4"/>
  <c r="F26" i="2" s="1"/>
  <c r="EM3" i="4"/>
  <c r="EM106" i="4" s="1"/>
  <c r="ED3" i="4"/>
  <c r="ED106" i="4" s="1"/>
  <c r="DX4" i="4"/>
  <c r="I24" i="2" s="1"/>
  <c r="LA3" i="4" l="1"/>
  <c r="KU106" i="4"/>
  <c r="KU4" i="4" s="1"/>
  <c r="H54" i="2" s="1"/>
  <c r="LC3" i="4"/>
  <c r="KW106" i="4"/>
  <c r="KW4" i="4" s="1"/>
  <c r="J54" i="2" s="1"/>
  <c r="KX3" i="4"/>
  <c r="KR106" i="4"/>
  <c r="KR4" i="4" s="1"/>
  <c r="E54" i="2" s="1"/>
  <c r="FF3" i="4"/>
  <c r="EZ106" i="4"/>
  <c r="EZ4" i="4" s="1"/>
  <c r="G29" i="2" s="1"/>
  <c r="EM4" i="4"/>
  <c r="F27" i="2" s="1"/>
  <c r="ES3" i="4"/>
  <c r="ES106" i="4" s="1"/>
  <c r="EJ3" i="4"/>
  <c r="EJ106" i="4" s="1"/>
  <c r="ED4" i="4"/>
  <c r="I25" i="2" s="1"/>
  <c r="LI3" i="4" l="1"/>
  <c r="LC106" i="4"/>
  <c r="LC4" i="4" s="1"/>
  <c r="J55" i="2" s="1"/>
  <c r="LD3" i="4"/>
  <c r="KX106" i="4"/>
  <c r="KX4" i="4" s="1"/>
  <c r="E55" i="2" s="1"/>
  <c r="LG3" i="4"/>
  <c r="LA106" i="4"/>
  <c r="LA4" i="4" s="1"/>
  <c r="H55" i="2" s="1"/>
  <c r="FL3" i="4"/>
  <c r="FF106" i="4"/>
  <c r="FF4" i="4" s="1"/>
  <c r="G30" i="2" s="1"/>
  <c r="ES4" i="4"/>
  <c r="F28" i="2" s="1"/>
  <c r="EY3" i="4"/>
  <c r="EY106" i="4" s="1"/>
  <c r="EP3" i="4"/>
  <c r="EP106" i="4" s="1"/>
  <c r="EJ4" i="4"/>
  <c r="I26" i="2" s="1"/>
  <c r="LJ3" i="4" l="1"/>
  <c r="LD106" i="4"/>
  <c r="LD4" i="4" s="1"/>
  <c r="E56" i="2" s="1"/>
  <c r="LM3" i="4"/>
  <c r="LG106" i="4"/>
  <c r="LG4" i="4" s="1"/>
  <c r="H56" i="2" s="1"/>
  <c r="LO3" i="4"/>
  <c r="LI106" i="4"/>
  <c r="LI4" i="4" s="1"/>
  <c r="J56" i="2" s="1"/>
  <c r="FR3" i="4"/>
  <c r="FL106" i="4"/>
  <c r="FL4" i="4" s="1"/>
  <c r="G31" i="2" s="1"/>
  <c r="EY4" i="4"/>
  <c r="F29" i="2" s="1"/>
  <c r="FE3" i="4"/>
  <c r="FE106" i="4" s="1"/>
  <c r="EV3" i="4"/>
  <c r="EV106" i="4" s="1"/>
  <c r="EP4" i="4"/>
  <c r="I27" i="2" s="1"/>
  <c r="LS3" i="4" l="1"/>
  <c r="LM106" i="4"/>
  <c r="LM4" i="4" s="1"/>
  <c r="LU3" i="4"/>
  <c r="LO106" i="4"/>
  <c r="LO4" i="4" s="1"/>
  <c r="LP3" i="4"/>
  <c r="LJ106" i="4"/>
  <c r="LJ4" i="4" s="1"/>
  <c r="FX3" i="4"/>
  <c r="FR106" i="4"/>
  <c r="FR4" i="4" s="1"/>
  <c r="G32" i="2" s="1"/>
  <c r="FE4" i="4"/>
  <c r="F30" i="2" s="1"/>
  <c r="FK3" i="4"/>
  <c r="FK106" i="4" s="1"/>
  <c r="FB3" i="4"/>
  <c r="FB106" i="4" s="1"/>
  <c r="EV4" i="4"/>
  <c r="I28" i="2" s="1"/>
  <c r="MA3" i="4" l="1"/>
  <c r="LU106" i="4"/>
  <c r="LU4" i="4" s="1"/>
  <c r="LV3" i="4"/>
  <c r="LP106" i="4"/>
  <c r="LP4" i="4" s="1"/>
  <c r="LY3" i="4"/>
  <c r="LS106" i="4"/>
  <c r="LS4" i="4" s="1"/>
  <c r="GD3" i="4"/>
  <c r="FX106" i="4"/>
  <c r="FX4" i="4" s="1"/>
  <c r="G33" i="2" s="1"/>
  <c r="FK4" i="4"/>
  <c r="F31" i="2" s="1"/>
  <c r="FQ3" i="4"/>
  <c r="FQ106" i="4" s="1"/>
  <c r="FH3" i="4"/>
  <c r="FH106" i="4" s="1"/>
  <c r="FB4" i="4"/>
  <c r="I29" i="2" s="1"/>
  <c r="MB3" i="4" l="1"/>
  <c r="LV106" i="4"/>
  <c r="LV4" i="4" s="1"/>
  <c r="ME3" i="4"/>
  <c r="LY106" i="4"/>
  <c r="LY4" i="4" s="1"/>
  <c r="MG3" i="4"/>
  <c r="MA106" i="4"/>
  <c r="MA4" i="4" s="1"/>
  <c r="GJ3" i="4"/>
  <c r="GD106" i="4"/>
  <c r="GD4" i="4" s="1"/>
  <c r="G34" i="2" s="1"/>
  <c r="FQ4" i="4"/>
  <c r="F32" i="2" s="1"/>
  <c r="FW3" i="4"/>
  <c r="FW106" i="4" s="1"/>
  <c r="FN3" i="4"/>
  <c r="FN106" i="4" s="1"/>
  <c r="FH4" i="4"/>
  <c r="I30" i="2" s="1"/>
  <c r="MK3" i="4" l="1"/>
  <c r="ME106" i="4"/>
  <c r="ME4" i="4" s="1"/>
  <c r="MM3" i="4"/>
  <c r="MG106" i="4"/>
  <c r="MG4" i="4" s="1"/>
  <c r="MH3" i="4"/>
  <c r="MB106" i="4"/>
  <c r="MB4" i="4" s="1"/>
  <c r="GP3" i="4"/>
  <c r="GJ106" i="4"/>
  <c r="GJ4" i="4" s="1"/>
  <c r="G35" i="2" s="1"/>
  <c r="FW4" i="4"/>
  <c r="F33" i="2" s="1"/>
  <c r="GC3" i="4"/>
  <c r="GC106" i="4" s="1"/>
  <c r="FT3" i="4"/>
  <c r="FT106" i="4" s="1"/>
  <c r="FN4" i="4"/>
  <c r="I31" i="2" s="1"/>
  <c r="MS3" i="4" l="1"/>
  <c r="MM106" i="4"/>
  <c r="MM4" i="4" s="1"/>
  <c r="MN3" i="4"/>
  <c r="MH106" i="4"/>
  <c r="MH4" i="4" s="1"/>
  <c r="MQ3" i="4"/>
  <c r="MK106" i="4"/>
  <c r="MK4" i="4" s="1"/>
  <c r="GV3" i="4"/>
  <c r="GP106" i="4"/>
  <c r="GP4" i="4" s="1"/>
  <c r="G36" i="2" s="1"/>
  <c r="GC4" i="4"/>
  <c r="F34" i="2" s="1"/>
  <c r="GI3" i="4"/>
  <c r="GI106" i="4" s="1"/>
  <c r="FZ3" i="4"/>
  <c r="FZ106" i="4" s="1"/>
  <c r="FT4" i="4"/>
  <c r="I32" i="2" s="1"/>
  <c r="MT3" i="4" l="1"/>
  <c r="MN106" i="4"/>
  <c r="MN4" i="4" s="1"/>
  <c r="MW3" i="4"/>
  <c r="MQ106" i="4"/>
  <c r="MQ4" i="4" s="1"/>
  <c r="MY3" i="4"/>
  <c r="MS106" i="4"/>
  <c r="MS4" i="4" s="1"/>
  <c r="HB3" i="4"/>
  <c r="GV106" i="4"/>
  <c r="GV4" i="4" s="1"/>
  <c r="G37" i="2" s="1"/>
  <c r="GI4" i="4"/>
  <c r="F35" i="2" s="1"/>
  <c r="GO3" i="4"/>
  <c r="GO106" i="4" s="1"/>
  <c r="GF3" i="4"/>
  <c r="GF106" i="4" s="1"/>
  <c r="FZ4" i="4"/>
  <c r="I33" i="2" s="1"/>
  <c r="MZ3" i="4" l="1"/>
  <c r="MT106" i="4"/>
  <c r="MT4" i="4" s="1"/>
  <c r="NC3" i="4"/>
  <c r="MW106" i="4"/>
  <c r="MW4" i="4" s="1"/>
  <c r="NE3" i="4"/>
  <c r="MY106" i="4"/>
  <c r="MY4" i="4" s="1"/>
  <c r="HH3" i="4"/>
  <c r="HB106" i="4"/>
  <c r="HB4" i="4" s="1"/>
  <c r="G38" i="2" s="1"/>
  <c r="GO4" i="4"/>
  <c r="F36" i="2" s="1"/>
  <c r="GU3" i="4"/>
  <c r="GU106" i="4" s="1"/>
  <c r="GL3" i="4"/>
  <c r="GL106" i="4" s="1"/>
  <c r="GF4" i="4"/>
  <c r="I34" i="2" s="1"/>
  <c r="NI3" i="4" l="1"/>
  <c r="NI106" i="4" s="1"/>
  <c r="NI4" i="4" s="1"/>
  <c r="NC106" i="4"/>
  <c r="NC4" i="4" s="1"/>
  <c r="NK3" i="4"/>
  <c r="NK106" i="4" s="1"/>
  <c r="NK4" i="4" s="1"/>
  <c r="NE106" i="4"/>
  <c r="NE4" i="4" s="1"/>
  <c r="NF3" i="4"/>
  <c r="MZ106" i="4"/>
  <c r="MZ4" i="4" s="1"/>
  <c r="HN3" i="4"/>
  <c r="HH106" i="4"/>
  <c r="HH4" i="4" s="1"/>
  <c r="G39" i="2" s="1"/>
  <c r="GU4" i="4"/>
  <c r="F37" i="2" s="1"/>
  <c r="HA3" i="4"/>
  <c r="HA106" i="4" s="1"/>
  <c r="GR3" i="4"/>
  <c r="GR106" i="4" s="1"/>
  <c r="GL4" i="4"/>
  <c r="I35" i="2" s="1"/>
  <c r="NL3" i="4" l="1"/>
  <c r="NL106" i="4" s="1"/>
  <c r="NL4" i="4" s="1"/>
  <c r="NF106" i="4"/>
  <c r="NF4" i="4" s="1"/>
  <c r="HN106" i="4"/>
  <c r="HN4" i="4" s="1"/>
  <c r="G40" i="2" s="1"/>
  <c r="HT3" i="4"/>
  <c r="HG3" i="4"/>
  <c r="HG106" i="4" s="1"/>
  <c r="HA4" i="4"/>
  <c r="F38" i="2" s="1"/>
  <c r="GX3" i="4"/>
  <c r="GX106" i="4" s="1"/>
  <c r="GR4" i="4"/>
  <c r="I36" i="2" s="1"/>
  <c r="HZ3" i="4" l="1"/>
  <c r="HT106" i="4"/>
  <c r="HT4" i="4" s="1"/>
  <c r="G41" i="2" s="1"/>
  <c r="HM3" i="4"/>
  <c r="HS3" i="4" s="1"/>
  <c r="HG4" i="4"/>
  <c r="F39" i="2" s="1"/>
  <c r="GX4" i="4"/>
  <c r="I37" i="2" s="1"/>
  <c r="HD3" i="4"/>
  <c r="HD106" i="4" s="1"/>
  <c r="HS106" i="4" l="1"/>
  <c r="HS4" i="4" s="1"/>
  <c r="F41" i="2" s="1"/>
  <c r="HY3" i="4"/>
  <c r="IF3" i="4"/>
  <c r="HZ106" i="4"/>
  <c r="HZ4" i="4" s="1"/>
  <c r="G42" i="2" s="1"/>
  <c r="HM106" i="4"/>
  <c r="HM4" i="4" s="1"/>
  <c r="F40" i="2" s="1"/>
  <c r="HD4" i="4"/>
  <c r="I38" i="2" s="1"/>
  <c r="HJ3" i="4"/>
  <c r="HJ106" i="4" s="1"/>
  <c r="IL3" i="4" l="1"/>
  <c r="IF106" i="4"/>
  <c r="IF4" i="4" s="1"/>
  <c r="G43" i="2" s="1"/>
  <c r="IE3" i="4"/>
  <c r="HY106" i="4"/>
  <c r="HY4" i="4" s="1"/>
  <c r="F42" i="2" s="1"/>
  <c r="HJ4" i="4"/>
  <c r="I39" i="2" s="1"/>
  <c r="HP3" i="4"/>
  <c r="HP106" i="4" l="1"/>
  <c r="HV3" i="4"/>
  <c r="IK3" i="4"/>
  <c r="IE106" i="4"/>
  <c r="IE4" i="4" s="1"/>
  <c r="F43" i="2" s="1"/>
  <c r="IR3" i="4"/>
  <c r="IL106" i="4"/>
  <c r="IL4" i="4" s="1"/>
  <c r="G44" i="2" s="1"/>
  <c r="HP4" i="4"/>
  <c r="I40" i="2" s="1"/>
  <c r="IQ3" i="4" l="1"/>
  <c r="IK106" i="4"/>
  <c r="IK4" i="4" s="1"/>
  <c r="F44" i="2" s="1"/>
  <c r="IX3" i="4"/>
  <c r="IR106" i="4"/>
  <c r="IR4" i="4" s="1"/>
  <c r="G45" i="2" s="1"/>
  <c r="HV106" i="4"/>
  <c r="HV4" i="4" s="1"/>
  <c r="I41" i="2" s="1"/>
  <c r="IB3" i="4"/>
  <c r="IH3" i="4" l="1"/>
  <c r="IB106" i="4"/>
  <c r="IB4" i="4" s="1"/>
  <c r="I42" i="2" s="1"/>
  <c r="JD3" i="4"/>
  <c r="IX106" i="4"/>
  <c r="IX4" i="4" s="1"/>
  <c r="G46" i="2" s="1"/>
  <c r="IW3" i="4"/>
  <c r="IQ106" i="4"/>
  <c r="IQ4" i="4" s="1"/>
  <c r="F45" i="2" s="1"/>
  <c r="JJ3" i="4" l="1"/>
  <c r="JD106" i="4"/>
  <c r="JD4" i="4" s="1"/>
  <c r="G47" i="2" s="1"/>
  <c r="JC3" i="4"/>
  <c r="IW106" i="4"/>
  <c r="IW4" i="4" s="1"/>
  <c r="F46" i="2" s="1"/>
  <c r="IN3" i="4"/>
  <c r="IH106" i="4"/>
  <c r="IH4" i="4" s="1"/>
  <c r="I43" i="2" s="1"/>
  <c r="JI3" i="4" l="1"/>
  <c r="JC106" i="4"/>
  <c r="JC4" i="4" s="1"/>
  <c r="F47" i="2" s="1"/>
  <c r="IT3" i="4"/>
  <c r="IN106" i="4"/>
  <c r="IN4" i="4" s="1"/>
  <c r="I44" i="2" s="1"/>
  <c r="JP3" i="4"/>
  <c r="JJ106" i="4"/>
  <c r="JJ4" i="4" s="1"/>
  <c r="G48" i="2" s="1"/>
  <c r="IZ3" i="4" l="1"/>
  <c r="IT106" i="4"/>
  <c r="IT4" i="4" s="1"/>
  <c r="I45" i="2" s="1"/>
  <c r="JV3" i="4"/>
  <c r="JP106" i="4"/>
  <c r="JP4" i="4" s="1"/>
  <c r="G49" i="2" s="1"/>
  <c r="JO3" i="4"/>
  <c r="JI106" i="4"/>
  <c r="JI4" i="4" s="1"/>
  <c r="F48" i="2" s="1"/>
  <c r="KB3" i="4" l="1"/>
  <c r="JV106" i="4"/>
  <c r="JV4" i="4" s="1"/>
  <c r="G50" i="2" s="1"/>
  <c r="JU3" i="4"/>
  <c r="JO106" i="4"/>
  <c r="JO4" i="4" s="1"/>
  <c r="F49" i="2" s="1"/>
  <c r="JF3" i="4"/>
  <c r="IZ106" i="4"/>
  <c r="IZ4" i="4" s="1"/>
  <c r="I46" i="2" s="1"/>
  <c r="JL3" i="4" l="1"/>
  <c r="JF106" i="4"/>
  <c r="JF4" i="4" s="1"/>
  <c r="I47" i="2" s="1"/>
  <c r="KA3" i="4"/>
  <c r="JU106" i="4"/>
  <c r="JU4" i="4" s="1"/>
  <c r="F50" i="2" s="1"/>
  <c r="KH3" i="4"/>
  <c r="KB106" i="4"/>
  <c r="KB4" i="4" s="1"/>
  <c r="G51" i="2" s="1"/>
  <c r="KN3" i="4" l="1"/>
  <c r="KH106" i="4"/>
  <c r="KH4" i="4" s="1"/>
  <c r="G52" i="2" s="1"/>
  <c r="KG3" i="4"/>
  <c r="KA106" i="4"/>
  <c r="KA4" i="4" s="1"/>
  <c r="F51" i="2" s="1"/>
  <c r="JR3" i="4"/>
  <c r="JL106" i="4"/>
  <c r="JL4" i="4" s="1"/>
  <c r="I48" i="2" s="1"/>
  <c r="KM3" i="4" l="1"/>
  <c r="KG106" i="4"/>
  <c r="KG4" i="4" s="1"/>
  <c r="F52" i="2" s="1"/>
  <c r="JX3" i="4"/>
  <c r="JR106" i="4"/>
  <c r="JR4" i="4" s="1"/>
  <c r="I49" i="2" s="1"/>
  <c r="KT3" i="4"/>
  <c r="KN106" i="4"/>
  <c r="KN4" i="4" s="1"/>
  <c r="G53" i="2" s="1"/>
  <c r="KZ3" i="4" l="1"/>
  <c r="KT106" i="4"/>
  <c r="KT4" i="4" s="1"/>
  <c r="G54" i="2" s="1"/>
  <c r="KD3" i="4"/>
  <c r="JX106" i="4"/>
  <c r="JX4" i="4" s="1"/>
  <c r="I50" i="2" s="1"/>
  <c r="KS3" i="4"/>
  <c r="KM106" i="4"/>
  <c r="KM4" i="4" s="1"/>
  <c r="F53" i="2" s="1"/>
  <c r="KJ3" i="4" l="1"/>
  <c r="KD106" i="4"/>
  <c r="KD4" i="4" s="1"/>
  <c r="I51" i="2" s="1"/>
  <c r="KY3" i="4"/>
  <c r="KS106" i="4"/>
  <c r="KS4" i="4" s="1"/>
  <c r="F54" i="2" s="1"/>
  <c r="LF3" i="4"/>
  <c r="KZ106" i="4"/>
  <c r="KZ4" i="4" s="1"/>
  <c r="G55" i="2" s="1"/>
  <c r="LE3" i="4" l="1"/>
  <c r="KY106" i="4"/>
  <c r="KY4" i="4" s="1"/>
  <c r="F55" i="2" s="1"/>
  <c r="LL3" i="4"/>
  <c r="LF106" i="4"/>
  <c r="LF4" i="4" s="1"/>
  <c r="G56" i="2" s="1"/>
  <c r="KP3" i="4"/>
  <c r="KJ106" i="4"/>
  <c r="KJ4" i="4" s="1"/>
  <c r="I52" i="2" s="1"/>
  <c r="LR3" i="4" l="1"/>
  <c r="LL106" i="4"/>
  <c r="LL4" i="4" s="1"/>
  <c r="KV3" i="4"/>
  <c r="KP106" i="4"/>
  <c r="KP4" i="4" s="1"/>
  <c r="I53" i="2" s="1"/>
  <c r="LK3" i="4"/>
  <c r="LE106" i="4"/>
  <c r="LE4" i="4" s="1"/>
  <c r="F56" i="2" s="1"/>
  <c r="LQ3" i="4" l="1"/>
  <c r="LK106" i="4"/>
  <c r="LK4" i="4" s="1"/>
  <c r="LB3" i="4"/>
  <c r="KV106" i="4"/>
  <c r="KV4" i="4" s="1"/>
  <c r="I54" i="2" s="1"/>
  <c r="LX3" i="4"/>
  <c r="LR106" i="4"/>
  <c r="LR4" i="4" s="1"/>
  <c r="LH3" i="4" l="1"/>
  <c r="LB106" i="4"/>
  <c r="LB4" i="4" s="1"/>
  <c r="I55" i="2" s="1"/>
  <c r="MD3" i="4"/>
  <c r="LX106" i="4"/>
  <c r="LX4" i="4" s="1"/>
  <c r="LW3" i="4"/>
  <c r="LQ106" i="4"/>
  <c r="LQ4" i="4" s="1"/>
  <c r="MJ3" i="4" l="1"/>
  <c r="MD106" i="4"/>
  <c r="MD4" i="4" s="1"/>
  <c r="MC3" i="4"/>
  <c r="LW106" i="4"/>
  <c r="LW4" i="4" s="1"/>
  <c r="LN3" i="4"/>
  <c r="LH106" i="4"/>
  <c r="LH4" i="4" s="1"/>
  <c r="I56" i="2" s="1"/>
  <c r="LT3" i="4" l="1"/>
  <c r="LN106" i="4"/>
  <c r="LN4" i="4" s="1"/>
  <c r="MI3" i="4"/>
  <c r="MC106" i="4"/>
  <c r="MC4" i="4" s="1"/>
  <c r="MP3" i="4"/>
  <c r="MJ106" i="4"/>
  <c r="MJ4" i="4" s="1"/>
  <c r="MO3" i="4" l="1"/>
  <c r="MI106" i="4"/>
  <c r="MI4" i="4" s="1"/>
  <c r="MV3" i="4"/>
  <c r="MP106" i="4"/>
  <c r="MP4" i="4" s="1"/>
  <c r="LZ3" i="4"/>
  <c r="LT106" i="4"/>
  <c r="LT4" i="4" s="1"/>
  <c r="NB3" i="4" l="1"/>
  <c r="MV106" i="4"/>
  <c r="MV4" i="4" s="1"/>
  <c r="MF3" i="4"/>
  <c r="LZ106" i="4"/>
  <c r="LZ4" i="4" s="1"/>
  <c r="MU3" i="4"/>
  <c r="MO106" i="4"/>
  <c r="MO4" i="4" s="1"/>
  <c r="ML3" i="4" l="1"/>
  <c r="MF106" i="4"/>
  <c r="MF4" i="4" s="1"/>
  <c r="NA3" i="4"/>
  <c r="MU106" i="4"/>
  <c r="MU4" i="4" s="1"/>
  <c r="NH3" i="4"/>
  <c r="NH106" i="4" s="1"/>
  <c r="NH4" i="4" s="1"/>
  <c r="NB106" i="4"/>
  <c r="NB4" i="4" s="1"/>
  <c r="NG3" i="4" l="1"/>
  <c r="NA106" i="4"/>
  <c r="NA4" i="4" s="1"/>
  <c r="MR3" i="4"/>
  <c r="ML106" i="4"/>
  <c r="ML4" i="4" s="1"/>
  <c r="MX3" i="4" l="1"/>
  <c r="MR106" i="4"/>
  <c r="MR4" i="4" s="1"/>
  <c r="NM3" i="4"/>
  <c r="NM106" i="4" s="1"/>
  <c r="NM4" i="4" s="1"/>
  <c r="NG106" i="4"/>
  <c r="NG4" i="4" s="1"/>
  <c r="ND3" i="4" l="1"/>
  <c r="MX106" i="4"/>
  <c r="MX4" i="4" s="1"/>
  <c r="NJ3" i="4" l="1"/>
  <c r="NJ106" i="4" s="1"/>
  <c r="NJ4" i="4" s="1"/>
  <c r="ND106" i="4"/>
  <c r="ND4" i="4" s="1"/>
</calcChain>
</file>

<file path=xl/sharedStrings.xml><?xml version="1.0" encoding="utf-8"?>
<sst xmlns="http://schemas.openxmlformats.org/spreadsheetml/2006/main" count="637" uniqueCount="244">
  <si>
    <t>title</t>
    <phoneticPr fontId="18"/>
  </si>
  <si>
    <t>picture</t>
    <phoneticPr fontId="18"/>
  </si>
  <si>
    <t>B Effs%</t>
    <phoneticPr fontId="24"/>
  </si>
  <si>
    <t>Bonus cond</t>
    <phoneticPr fontId="24"/>
  </si>
  <si>
    <r>
      <t>Eff</t>
    </r>
    <r>
      <rPr>
        <sz val="10"/>
        <rFont val="Arial"/>
        <family val="2"/>
      </rPr>
      <t xml:space="preserve">s. </t>
    </r>
    <r>
      <rPr>
        <sz val="10"/>
        <rFont val="Arial"/>
        <family val="2"/>
      </rPr>
      <t>%</t>
    </r>
    <phoneticPr fontId="24"/>
  </si>
  <si>
    <t xml:space="preserve">Required </t>
  </si>
  <si>
    <t>Resources</t>
  </si>
  <si>
    <t>Card Title</t>
  </si>
  <si>
    <t xml:space="preserve">ID No. </t>
  </si>
  <si>
    <t>Action Cards Data</t>
  </si>
  <si>
    <t xml:space="preserve"> </t>
    <phoneticPr fontId="18"/>
  </si>
  <si>
    <t>Effs. %</t>
  </si>
  <si>
    <t>Bonus cond</t>
  </si>
  <si>
    <t>B Effs%</t>
  </si>
  <si>
    <t>* input space</t>
    <phoneticPr fontId="18"/>
  </si>
  <si>
    <t xml:space="preserve"> (Action card: [type])</t>
    <phoneticPr fontId="18"/>
  </si>
  <si>
    <t>↑ページ指定</t>
    <rPh sb="4" eb="6">
      <t>シテイ</t>
    </rPh>
    <phoneticPr fontId="18"/>
  </si>
  <si>
    <t>Soliciting New Members</t>
  </si>
  <si>
    <t>Publicizing socical contribution</t>
  </si>
  <si>
    <t>Publicizing economic contribution</t>
  </si>
  <si>
    <t>Visiting local firms</t>
  </si>
  <si>
    <t>Visiting local non-profits</t>
  </si>
  <si>
    <t>Visiting local govts</t>
  </si>
  <si>
    <t>Visiting investors</t>
  </si>
  <si>
    <t>Winning a social innovation grant</t>
  </si>
  <si>
    <t xml:space="preserve">Winning a small social grant </t>
  </si>
  <si>
    <t>Winning a business dev grant</t>
  </si>
  <si>
    <t>Winning a business aid grant</t>
  </si>
  <si>
    <t>Entering a contest</t>
  </si>
  <si>
    <t>Visiting labs</t>
  </si>
  <si>
    <t>Hosting vistis from schools and learning groups</t>
  </si>
  <si>
    <t>Networking with suppliers and service providers</t>
  </si>
  <si>
    <t>Networking with tech experts</t>
  </si>
  <si>
    <t>Networking with non profits</t>
  </si>
  <si>
    <t xml:space="preserve">Networking with local businesses </t>
  </si>
  <si>
    <t>Hosting an event introducing the lab to non-profits</t>
  </si>
  <si>
    <t>Hosting an event introducing the lab to businesses</t>
  </si>
  <si>
    <t>Hosting public lecture events with external experts on tech and innovation</t>
  </si>
  <si>
    <t>Hosting public lecture events with technologists</t>
  </si>
  <si>
    <t>Hosting intensive tech seminars (web and mobile service)</t>
  </si>
  <si>
    <t>Hosting intensive tech seminars (IoT)</t>
  </si>
  <si>
    <t>Hosting intensive tech seminars (AI)</t>
  </si>
  <si>
    <t>Hosting intensive tech seminars (fintech)</t>
  </si>
  <si>
    <t>Hosting intensive tech seminars (health tech)</t>
  </si>
  <si>
    <t>Hosting intensive tech seminars (materials processing)</t>
  </si>
  <si>
    <t>Hosting intensive tech seminars (ed tech)</t>
  </si>
  <si>
    <t>Hosting intensive tech seminars (agri tech)</t>
  </si>
  <si>
    <t>Hosting intensive tech seminars (smart home appliances)</t>
  </si>
  <si>
    <t>Hosting letensive tech seminars (smart office furnitures)</t>
  </si>
  <si>
    <t>Hosting intensive tech seminars (User Interface&amp; User Experience)</t>
  </si>
  <si>
    <t>Organizing an innovation contest (mobile app)</t>
  </si>
  <si>
    <t>financial</t>
  </si>
  <si>
    <t>budget</t>
  </si>
  <si>
    <t>disposable money</t>
  </si>
  <si>
    <t>profit-loss</t>
  </si>
  <si>
    <t>asset-debt</t>
  </si>
  <si>
    <t>credit</t>
  </si>
  <si>
    <t>facilities</t>
  </si>
  <si>
    <t>software</t>
  </si>
  <si>
    <t>servers</t>
  </si>
  <si>
    <t>wood</t>
  </si>
  <si>
    <t>metal</t>
  </si>
  <si>
    <t>plastic</t>
  </si>
  <si>
    <t>electronics</t>
  </si>
  <si>
    <t>fabric</t>
  </si>
  <si>
    <t>lab members</t>
  </si>
  <si>
    <t>scale</t>
  </si>
  <si>
    <t>enthusiasm</t>
  </si>
  <si>
    <t>learning capacities</t>
  </si>
  <si>
    <t>field knowledge</t>
  </si>
  <si>
    <t>engineering knowledge</t>
  </si>
  <si>
    <t>network among members</t>
  </si>
  <si>
    <t>gifted leader</t>
  </si>
  <si>
    <t>gifted assistant</t>
  </si>
  <si>
    <t>gifted programmer</t>
  </si>
  <si>
    <t>gifted designer</t>
  </si>
  <si>
    <t>gifted business strategist</t>
  </si>
  <si>
    <t>lab staff</t>
  </si>
  <si>
    <t>agility</t>
  </si>
  <si>
    <t>ambition</t>
  </si>
  <si>
    <t>attention to details</t>
  </si>
  <si>
    <t>fun-ness</t>
  </si>
  <si>
    <t>seriousness</t>
  </si>
  <si>
    <t>initiative</t>
  </si>
  <si>
    <t>leader</t>
  </si>
  <si>
    <t>community manager</t>
  </si>
  <si>
    <t>PR</t>
  </si>
  <si>
    <t>finance</t>
  </si>
  <si>
    <t>administrator</t>
  </si>
  <si>
    <t>board</t>
  </si>
  <si>
    <t>fame</t>
  </si>
  <si>
    <t>network</t>
  </si>
  <si>
    <t>level of understanding</t>
  </si>
  <si>
    <t>knowledge</t>
  </si>
  <si>
    <t>networks</t>
  </si>
  <si>
    <t>local biz</t>
  </si>
  <si>
    <t>biz group</t>
  </si>
  <si>
    <t>govt</t>
  </si>
  <si>
    <t>investors</t>
  </si>
  <si>
    <t>media</t>
  </si>
  <si>
    <t>entrepreneurs</t>
  </si>
  <si>
    <t>technologists</t>
  </si>
  <si>
    <t>suppliers</t>
  </si>
  <si>
    <t>non-profits</t>
  </si>
  <si>
    <t>lab</t>
  </si>
  <si>
    <t>spaciousness</t>
  </si>
  <si>
    <t>ease of access</t>
  </si>
  <si>
    <t>reputation</t>
  </si>
  <si>
    <t>efficiency</t>
  </si>
  <si>
    <t>portfolio</t>
  </si>
  <si>
    <t>user rules and manuals</t>
  </si>
  <si>
    <t>organizational rules and manuals</t>
  </si>
  <si>
    <t>advanced skills: org</t>
  </si>
  <si>
    <t>law</t>
  </si>
  <si>
    <t>business model</t>
  </si>
  <si>
    <t>marketing</t>
  </si>
  <si>
    <t>team building</t>
  </si>
  <si>
    <t>project management</t>
  </si>
  <si>
    <t>social media</t>
  </si>
  <si>
    <t>negotiation</t>
  </si>
  <si>
    <t>web</t>
  </si>
  <si>
    <t>infrastructrue</t>
  </si>
  <si>
    <t>database</t>
  </si>
  <si>
    <t>mobile apps</t>
  </si>
  <si>
    <t>sensors</t>
  </si>
  <si>
    <t>security</t>
  </si>
  <si>
    <t>mobile comm</t>
  </si>
  <si>
    <t>VR&amp;AR</t>
  </si>
  <si>
    <t>fab</t>
  </si>
  <si>
    <t>wood processing</t>
  </si>
  <si>
    <t>metal processing</t>
  </si>
  <si>
    <t>plastic processing</t>
  </si>
  <si>
    <t>design</t>
  </si>
  <si>
    <t>aesthetics</t>
  </si>
  <si>
    <t>functions</t>
  </si>
  <si>
    <t>safety</t>
  </si>
  <si>
    <t>interaction</t>
  </si>
  <si>
    <t>achievements:soc</t>
  </si>
  <si>
    <t>social project</t>
  </si>
  <si>
    <t>social innovation</t>
  </si>
  <si>
    <t>non-profit biz</t>
  </si>
  <si>
    <t>commercial</t>
  </si>
  <si>
    <t>biz project</t>
  </si>
  <si>
    <t>biz enhancement</t>
  </si>
  <si>
    <t>job creation</t>
  </si>
  <si>
    <t>business</t>
  </si>
  <si>
    <t>start-up</t>
  </si>
  <si>
    <t>start-up with mvp</t>
  </si>
  <si>
    <t>start-up with customers</t>
  </si>
  <si>
    <t>education&amp; learning</t>
  </si>
  <si>
    <t>for basic literacy</t>
  </si>
  <si>
    <t>for the elites</t>
  </si>
  <si>
    <t>for entrepreneurs</t>
  </si>
  <si>
    <t>description</t>
    <phoneticPr fontId="18"/>
  </si>
  <si>
    <t>↓descriptionだけは直書きしてください。</t>
    <rPh sb="15" eb="17">
      <t>ジカガ</t>
    </rPh>
    <phoneticPr fontId="18"/>
  </si>
  <si>
    <t>holding an event introducing the lab to increase the membership</t>
  </si>
  <si>
    <t>persuade a media outlet to give a coverage on a lab's successful project for a social cause</t>
  </si>
  <si>
    <t>persuade a media outlet to give a coverage on a successful for-profit project</t>
  </si>
  <si>
    <t>visit local firms to network and explore partnership opportunities</t>
  </si>
  <si>
    <t>visit local non-profits, etc. to network and explore partnership opportunities</t>
  </si>
  <si>
    <t>visit local governments to network and explore partnership opportunities</t>
  </si>
  <si>
    <t>visit investors to network and explore partnership opportunities</t>
  </si>
  <si>
    <t xml:space="preserve">apply for, and win, a major grant to tackle a social problem. Take an open challenge (card) with 90% discount with financial requirements and conditions, and 25% discount on others. </t>
  </si>
  <si>
    <t xml:space="preserve">apply for, and win, a small grant to tackle a social problem. Take an open challenge (card) with 90% discount on financial requirements and conditions. </t>
  </si>
  <si>
    <t xml:space="preserve">apply for, and win, a major grant to advance business development. Take an open challenge (card) with 75% discount with financial and 50% discount with other requirements and conditions. </t>
  </si>
  <si>
    <t xml:space="preserve">apply for, and win, a small grant to help local business. Take an open challenge (card) with 75% discount on financial requirements and conditions. </t>
  </si>
  <si>
    <t>visit other labs to network, explore partnerships, and exchange tips</t>
  </si>
  <si>
    <t>sensor device deployable in the field</t>
  </si>
  <si>
    <t>B Effs[points,%]</t>
  </si>
  <si>
    <t>B Effs[points,%]</t>
    <phoneticPr fontId="24"/>
  </si>
  <si>
    <t>Effects[points,%]</t>
  </si>
  <si>
    <t>Effects[points,%]</t>
    <phoneticPr fontId="18"/>
  </si>
  <si>
    <t>C:\Users\t\Desktop\RwandaCard\ActionCard\pic\1.png</t>
    <phoneticPr fontId="18"/>
  </si>
  <si>
    <t>C:\Users\t\Desktop\RwandaCard\ActionCard\pic\2.png</t>
  </si>
  <si>
    <t>C:\Users\t\Desktop\RwandaCard\ActionCard\pic\3.png</t>
  </si>
  <si>
    <t>C:\Users\t\Desktop\RwandaCard\ActionCard\pic\4.png</t>
  </si>
  <si>
    <t>C:\Users\t\Desktop\RwandaCard\ActionCard\pic\5.png</t>
  </si>
  <si>
    <t>C:\Users\t\Desktop\RwandaCard\ActionCard\pic\6.png</t>
  </si>
  <si>
    <t>C:\Users\t\Desktop\RwandaCard\ActionCard\pic\7.png</t>
  </si>
  <si>
    <t>C:\Users\t\Desktop\RwandaCard\ActionCard\pic\8.png</t>
  </si>
  <si>
    <t>C:\Users\t\Desktop\RwandaCard\ActionCard\pic\9.png</t>
  </si>
  <si>
    <t>C:\Users\t\Desktop\RwandaCard\ActionCard\pic\10.png</t>
  </si>
  <si>
    <t>C:\Users\t\Desktop\RwandaCard\ActionCard\pic\11.png</t>
  </si>
  <si>
    <t>C:\Users\t\Desktop\RwandaCard\ActionCard\pic\12.png</t>
  </si>
  <si>
    <t>C:\Users\t\Desktop\RwandaCard\ActionCard\pic\13.png</t>
  </si>
  <si>
    <t>C:\Users\t\Desktop\RwandaCard\ActionCard\pic\14.png</t>
  </si>
  <si>
    <t>C:\Users\t\Desktop\RwandaCard\ActionCard\pic\15.png</t>
  </si>
  <si>
    <t>C:\Users\t\Desktop\RwandaCard\ActionCard\pic\16.png</t>
  </si>
  <si>
    <t>C:\Users\t\Desktop\RwandaCard\ActionCard\pic\17.png</t>
  </si>
  <si>
    <t>C:\Users\t\Desktop\RwandaCard\ActionCard\pic\18.png</t>
  </si>
  <si>
    <t>C:\Users\t\Desktop\RwandaCard\ActionCard\pic\19.png</t>
  </si>
  <si>
    <t>C:\Users\t\Desktop\RwandaCard\ActionCard\pic\20.png</t>
  </si>
  <si>
    <t>C:\Users\t\Desktop\RwandaCard\ActionCard\pic\21.png</t>
  </si>
  <si>
    <t>C:\Users\t\Desktop\RwandaCard\ActionCard\pic\22.png</t>
  </si>
  <si>
    <t>C:\Users\t\Desktop\RwandaCard\ActionCard\pic\23.png</t>
  </si>
  <si>
    <t>C:\Users\t\Desktop\RwandaCard\ActionCard\pic\24.png</t>
  </si>
  <si>
    <t>C:\Users\t\Desktop\RwandaCard\ActionCard\pic\25.png</t>
  </si>
  <si>
    <t>C:\Users\t\Desktop\RwandaCard\ActionCard\pic\26.png</t>
  </si>
  <si>
    <t>C:\Users\t\Desktop\RwandaCard\ActionCard\pic\27.png</t>
  </si>
  <si>
    <t>C:\Users\t\Desktop\RwandaCard\ActionCard\pic\28.png</t>
  </si>
  <si>
    <t>C:\Users\t\Desktop\RwandaCard\ActionCard\pic\29.png</t>
  </si>
  <si>
    <t>C:\Users\t\Desktop\RwandaCard\ActionCard\pic\30.png</t>
  </si>
  <si>
    <t>C:\Users\t\Desktop\RwandaCard\ActionCard\pic\31.png</t>
  </si>
  <si>
    <t>C:\Users\t\Desktop\RwandaCard\ActionCard\pic\32.png</t>
  </si>
  <si>
    <t>C:\Users\t\Desktop\RwandaCard\ActionCard\pic\33.png</t>
  </si>
  <si>
    <t>C:\Users\t\Desktop\RwandaCard\ActionCard\pic\34.png</t>
  </si>
  <si>
    <t>C:\Users\t\Desktop\RwandaCard\ActionCard\pic\35.png</t>
  </si>
  <si>
    <t>C:\Users\t\Desktop\RwandaCard\ActionCard\pic\36.png</t>
  </si>
  <si>
    <t>C:\Users\t\Desktop\RwandaCard\ActionCard\pic\37.png</t>
  </si>
  <si>
    <t>C:\Users\t\Desktop\RwandaCard\ActionCard\pic\38.png</t>
  </si>
  <si>
    <t>C:\Users\t\Desktop\RwandaCard\ActionCard\pic\39.png</t>
  </si>
  <si>
    <t>C:\Users\t\Desktop\RwandaCard\ActionCard\pic\40.png</t>
  </si>
  <si>
    <t>C:\Users\t\Desktop\RwandaCard\ActionCard\pic\41.png</t>
  </si>
  <si>
    <t>C:\Users\t\Desktop\RwandaCard\ActionCard\pic\42.png</t>
  </si>
  <si>
    <t>C:\Users\t\Desktop\RwandaCard\ActionCard\pic\43.png</t>
  </si>
  <si>
    <t>C:\Users\t\Desktop\RwandaCard\ActionCard\pic\44.png</t>
  </si>
  <si>
    <t>C:\Users\t\Desktop\RwandaCard\ActionCard\pic\45.png</t>
  </si>
  <si>
    <t>C:\Users\t\Desktop\RwandaCard\ActionCard\pic\46.png</t>
  </si>
  <si>
    <t>C:\Users\t\Desktop\RwandaCard\ActionCard\pic\47.png</t>
  </si>
  <si>
    <t>C:\Users\t\Desktop\RwandaCard\ActionCard\pic\48.png</t>
  </si>
  <si>
    <t>C:\Users\t\Desktop\RwandaCard\ActionCard\pic\49.png</t>
  </si>
  <si>
    <t>C:\Users\t\Desktop\RwandaCard\ActionCard\pic\50.png</t>
  </si>
  <si>
    <t>C:\Users\t\Desktop\RwandaCard\ActionCard\pic\51.png</t>
  </si>
  <si>
    <t>C:\Users\t\Desktop\RwandaCard\ActionCard\pic\52.png</t>
  </si>
  <si>
    <t>C:\Users\t\Desktop\RwandaCard\ActionCard\pic\53.png</t>
  </si>
  <si>
    <t>C:\Users\t\Desktop\RwandaCard\ActionCard\pic\54.png</t>
  </si>
  <si>
    <t>C:\Users\t\Desktop\RwandaCard\ActionCard\pic\55.png</t>
  </si>
  <si>
    <t>Demo events at schools</t>
  </si>
  <si>
    <t>AI&amp; data analysis</t>
    <phoneticPr fontId="18"/>
  </si>
  <si>
    <t>Running workshops at schools</t>
  </si>
  <si>
    <t>Celebrate lab's achievements with a party</t>
  </si>
  <si>
    <t>Participating in exhibitions</t>
  </si>
  <si>
    <t>Leads a group to improve a local marketplace</t>
  </si>
  <si>
    <t>Match up lab members with advanced programmers</t>
    <phoneticPr fontId="18"/>
  </si>
  <si>
    <t>Match up lab members with expert mechanics</t>
    <phoneticPr fontId="18"/>
  </si>
  <si>
    <t>Arrange field visits (small farms)</t>
    <phoneticPr fontId="18"/>
  </si>
  <si>
    <t>Arrange field visits (industrial farms)</t>
    <phoneticPr fontId="18"/>
  </si>
  <si>
    <t>Promote study groups</t>
  </si>
  <si>
    <t>Promote and support members' study groups on a wide range of tech and design topics.</t>
    <phoneticPr fontId="18"/>
  </si>
  <si>
    <t>Run an advanced fund drive</t>
    <phoneticPr fontId="18"/>
  </si>
  <si>
    <t>Run a small fund drive</t>
    <phoneticPr fontId="18"/>
  </si>
  <si>
    <t>Run a big fund drive</t>
    <phoneticPr fontId="18"/>
  </si>
  <si>
    <t>Visit philansolophists and charities for support</t>
    <phoneticPr fontId="18"/>
  </si>
  <si>
    <t>Polish the portofolio</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</si>
</sst>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2"/>
      <color theme="1"/>
      <name val="游ゴシック"/>
      <family val="2"/>
      <charset val="128"/>
      <scheme val="minor"/>
    </font>
    <font>
      <sz val="12"/>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2"/>
      <color rgb="FF006100"/>
      <name val="游ゴシック"/>
      <family val="2"/>
      <charset val="128"/>
      <scheme val="minor"/>
    </font>
    <font>
      <sz val="12"/>
      <color rgb="FF9C0006"/>
      <name val="游ゴシック"/>
      <family val="2"/>
      <charset val="128"/>
      <scheme val="minor"/>
    </font>
    <font>
      <sz val="12"/>
      <color rgb="FF9C5700"/>
      <name val="游ゴシック"/>
      <family val="2"/>
      <charset val="128"/>
      <scheme val="minor"/>
    </font>
    <font>
      <sz val="12"/>
      <color rgb="FF3F3F76"/>
      <name val="游ゴシック"/>
      <family val="2"/>
      <charset val="128"/>
      <scheme val="minor"/>
    </font>
    <font>
      <b/>
      <sz val="12"/>
      <color rgb="FF3F3F3F"/>
      <name val="游ゴシック"/>
      <family val="2"/>
      <charset val="128"/>
      <scheme val="minor"/>
    </font>
    <font>
      <b/>
      <sz val="12"/>
      <color rgb="FFFA7D00"/>
      <name val="游ゴシック"/>
      <family val="2"/>
      <charset val="128"/>
      <scheme val="minor"/>
    </font>
    <font>
      <sz val="12"/>
      <color rgb="FFFA7D00"/>
      <name val="游ゴシック"/>
      <family val="2"/>
      <charset val="128"/>
      <scheme val="minor"/>
    </font>
    <font>
      <b/>
      <sz val="12"/>
      <color theme="0"/>
      <name val="游ゴシック"/>
      <family val="2"/>
      <charset val="128"/>
      <scheme val="minor"/>
    </font>
    <font>
      <sz val="12"/>
      <color rgb="FFFF0000"/>
      <name val="游ゴシック"/>
      <family val="2"/>
      <charset val="128"/>
      <scheme val="minor"/>
    </font>
    <font>
      <i/>
      <sz val="12"/>
      <color rgb="FF7F7F7F"/>
      <name val="游ゴシック"/>
      <family val="2"/>
      <charset val="128"/>
      <scheme val="minor"/>
    </font>
    <font>
      <b/>
      <sz val="12"/>
      <color theme="1"/>
      <name val="游ゴシック"/>
      <family val="2"/>
      <charset val="128"/>
      <scheme val="minor"/>
    </font>
    <font>
      <sz val="12"/>
      <color theme="0"/>
      <name val="游ゴシック"/>
      <family val="2"/>
      <charset val="128"/>
      <scheme val="minor"/>
    </font>
    <font>
      <sz val="6"/>
      <name val="游ゴシック"/>
      <family val="2"/>
      <charset val="128"/>
      <scheme val="minor"/>
    </font>
    <font>
      <u/>
      <sz val="12"/>
      <color theme="10"/>
      <name val="游ゴシック"/>
      <family val="2"/>
      <charset val="128"/>
      <scheme val="minor"/>
    </font>
    <font>
      <sz val="14"/>
      <color theme="1"/>
      <name val="游ゴシック"/>
      <family val="3"/>
      <charset val="128"/>
      <scheme val="minor"/>
    </font>
    <font>
      <sz val="10"/>
      <color rgb="FF000000"/>
      <name val="Arial"/>
      <family val="2"/>
    </font>
    <font>
      <sz val="10"/>
      <name val="Arial"/>
      <family val="2"/>
    </font>
    <font>
      <sz val="11"/>
      <color rgb="FF000000"/>
      <name val="Arial"/>
      <family val="2"/>
    </font>
    <font>
      <sz val="6"/>
      <name val="HGGothicE"/>
      <family val="3"/>
      <charset val="128"/>
    </font>
    <font>
      <b/>
      <sz val="10"/>
      <name val="Arial"/>
      <family val="2"/>
    </font>
    <font>
      <b/>
      <sz val="12"/>
      <color theme="1"/>
      <name val="Verdana"/>
      <family val="2"/>
    </font>
    <font>
      <b/>
      <sz val="4"/>
      <color theme="1"/>
      <name val="Verdana"/>
      <family val="2"/>
    </font>
    <font>
      <b/>
      <sz val="12"/>
      <color theme="0"/>
      <name val="Verdana"/>
      <family val="2"/>
    </font>
    <font>
      <b/>
      <sz val="10"/>
      <color theme="1"/>
      <name val="Verdana"/>
      <family val="2"/>
    </font>
    <font>
      <b/>
      <sz val="6"/>
      <color theme="1"/>
      <name val="Verdana"/>
      <family val="2"/>
    </font>
    <font>
      <sz val="10"/>
      <color rgb="FF000000"/>
      <name val="Segoe UI Symbol"/>
      <family val="2"/>
    </font>
    <font>
      <sz val="14"/>
      <color rgb="FFFF0000"/>
      <name val="游ゴシック"/>
      <family val="3"/>
      <charset val="128"/>
      <scheme val="minor"/>
    </font>
    <font>
      <sz val="5"/>
      <color theme="1"/>
      <name val="Verdana"/>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bottom style="medium">
        <color theme="0"/>
      </bottom>
      <diagonal/>
    </border>
    <border>
      <left/>
      <right/>
      <top style="medium">
        <color theme="0"/>
      </top>
      <bottom style="medium">
        <color theme="0"/>
      </bottom>
      <diagonal/>
    </border>
    <border>
      <left/>
      <right/>
      <top style="medium">
        <color theme="0"/>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s>
  <cellStyleXfs count="44">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9" fillId="0" borderId="0" applyNumberFormat="0" applyFill="0" applyBorder="0" applyAlignment="0" applyProtection="0">
      <alignment vertical="center"/>
    </xf>
    <xf numFmtId="0" fontId="21" fillId="0" borderId="0"/>
  </cellStyleXfs>
  <cellXfs count="69">
    <xf numFmtId="0" fontId="0" fillId="0" borderId="0" xfId="0">
      <alignment vertical="center"/>
    </xf>
    <xf numFmtId="0" fontId="0" fillId="0" borderId="10" xfId="0" applyBorder="1">
      <alignment vertical="center"/>
    </xf>
    <xf numFmtId="0" fontId="0" fillId="0" borderId="0" xfId="0" applyAlignment="1">
      <alignment horizontal="left" vertical="center"/>
    </xf>
    <xf numFmtId="0" fontId="19" fillId="0" borderId="10" xfId="42" applyBorder="1">
      <alignment vertical="center"/>
    </xf>
    <xf numFmtId="0" fontId="20" fillId="33" borderId="10" xfId="0" applyFont="1" applyFill="1" applyBorder="1" applyAlignment="1">
      <alignment horizontal="center" vertical="center"/>
    </xf>
    <xf numFmtId="0" fontId="0" fillId="0" borderId="0" xfId="0" applyAlignment="1">
      <alignment vertical="top"/>
    </xf>
    <xf numFmtId="0" fontId="0" fillId="0" borderId="0" xfId="0" applyAlignment="1">
      <alignment horizontal="left" vertical="top"/>
    </xf>
    <xf numFmtId="0" fontId="21" fillId="0" borderId="0" xfId="43"/>
    <xf numFmtId="0" fontId="21" fillId="0" borderId="11" xfId="43" applyBorder="1"/>
    <xf numFmtId="0" fontId="22" fillId="0" borderId="0" xfId="43" applyFont="1"/>
    <xf numFmtId="0" fontId="22" fillId="34" borderId="0" xfId="43" applyFont="1" applyFill="1"/>
    <xf numFmtId="0" fontId="22" fillId="0" borderId="11" xfId="43" applyFont="1" applyBorder="1"/>
    <xf numFmtId="0" fontId="23" fillId="0" borderId="11" xfId="43" applyFont="1" applyBorder="1"/>
    <xf numFmtId="0" fontId="23" fillId="0" borderId="0" xfId="43" applyFont="1"/>
    <xf numFmtId="0" fontId="25" fillId="0" borderId="0" xfId="43" applyFont="1"/>
    <xf numFmtId="0" fontId="21" fillId="0" borderId="12" xfId="43" applyBorder="1"/>
    <xf numFmtId="0" fontId="21" fillId="0" borderId="13" xfId="43" applyBorder="1"/>
    <xf numFmtId="0" fontId="21" fillId="35" borderId="0" xfId="43" applyFill="1" applyBorder="1"/>
    <xf numFmtId="0" fontId="22" fillId="0" borderId="0" xfId="43" applyFont="1" applyAlignment="1">
      <alignment wrapText="1"/>
    </xf>
    <xf numFmtId="0" fontId="21" fillId="0" borderId="0" xfId="43" applyAlignment="1">
      <alignment wrapText="1"/>
    </xf>
    <xf numFmtId="0" fontId="21" fillId="0" borderId="12" xfId="43" applyBorder="1" applyAlignment="1">
      <alignment wrapText="1"/>
    </xf>
    <xf numFmtId="0" fontId="21" fillId="0" borderId="0" xfId="43" applyNumberFormat="1" applyAlignment="1">
      <alignment wrapText="1"/>
    </xf>
    <xf numFmtId="0" fontId="21" fillId="35" borderId="0" xfId="43" applyNumberFormat="1" applyFill="1" applyAlignment="1">
      <alignment wrapText="1"/>
    </xf>
    <xf numFmtId="0" fontId="22" fillId="36" borderId="0" xfId="43" applyFont="1" applyFill="1"/>
    <xf numFmtId="0" fontId="21" fillId="36" borderId="0" xfId="43" applyFill="1"/>
    <xf numFmtId="0" fontId="22" fillId="36" borderId="0" xfId="43" applyFont="1" applyFill="1" applyAlignment="1">
      <alignment wrapText="1"/>
    </xf>
    <xf numFmtId="0" fontId="0" fillId="0" borderId="0" xfId="0" applyAlignment="1">
      <alignment vertical="center" wrapText="1"/>
    </xf>
    <xf numFmtId="0" fontId="20" fillId="33" borderId="10" xfId="0" applyFont="1" applyFill="1" applyBorder="1" applyAlignment="1">
      <alignment horizontal="left" vertical="center"/>
    </xf>
    <xf numFmtId="0" fontId="22" fillId="0" borderId="0" xfId="43" applyFont="1" applyAlignment="1">
      <alignment horizontal="left" vertical="top"/>
    </xf>
    <xf numFmtId="0" fontId="21" fillId="0" borderId="0" xfId="43" applyAlignment="1">
      <alignment horizontal="left" vertical="top"/>
    </xf>
    <xf numFmtId="0" fontId="21" fillId="0" borderId="11" xfId="43" applyBorder="1" applyAlignment="1">
      <alignment horizontal="left" vertical="top"/>
    </xf>
    <xf numFmtId="0" fontId="0" fillId="37" borderId="0" xfId="0" applyFill="1">
      <alignment vertical="center"/>
    </xf>
    <xf numFmtId="0" fontId="26" fillId="0" borderId="0" xfId="0" applyFont="1" applyBorder="1" applyAlignment="1">
      <alignment horizontal="center" vertical="center" wrapText="1"/>
    </xf>
    <xf numFmtId="0" fontId="29" fillId="0" borderId="0" xfId="0" applyFont="1" applyAlignment="1">
      <alignment horizontal="left" vertical="center" wrapText="1"/>
    </xf>
    <xf numFmtId="0" fontId="26" fillId="0" borderId="0" xfId="0" applyFont="1" applyAlignment="1">
      <alignment vertical="center" wrapText="1"/>
    </xf>
    <xf numFmtId="0" fontId="0" fillId="0" borderId="0" xfId="0" applyAlignment="1">
      <alignment horizontal="right" vertical="top"/>
    </xf>
    <xf numFmtId="0" fontId="27" fillId="38" borderId="14" xfId="0" applyFont="1" applyFill="1" applyBorder="1" applyAlignment="1">
      <alignment horizontal="left" vertical="top" wrapText="1"/>
    </xf>
    <xf numFmtId="0" fontId="0" fillId="0" borderId="0" xfId="0" applyFill="1">
      <alignment vertical="center"/>
    </xf>
    <xf numFmtId="0" fontId="31" fillId="0" borderId="11" xfId="43" applyFont="1" applyBorder="1"/>
    <xf numFmtId="0" fontId="32" fillId="40" borderId="10" xfId="0" applyFont="1" applyFill="1" applyBorder="1" applyAlignment="1">
      <alignment horizontal="center" vertical="center"/>
    </xf>
    <xf numFmtId="0" fontId="0" fillId="41" borderId="10" xfId="0" applyFill="1" applyBorder="1">
      <alignment vertical="center"/>
    </xf>
    <xf numFmtId="0" fontId="0" fillId="0" borderId="0" xfId="0" applyFont="1" applyAlignment="1"/>
    <xf numFmtId="0" fontId="0" fillId="0" borderId="11" xfId="0" applyFont="1" applyBorder="1" applyAlignment="1"/>
    <xf numFmtId="0" fontId="0" fillId="0" borderId="0" xfId="0" applyFont="1" applyFill="1" applyBorder="1" applyAlignment="1"/>
    <xf numFmtId="0" fontId="22" fillId="36" borderId="11" xfId="43" applyFont="1" applyFill="1" applyBorder="1" applyAlignment="1">
      <alignment wrapText="1"/>
    </xf>
    <xf numFmtId="0" fontId="21" fillId="36" borderId="11" xfId="43" applyFill="1" applyBorder="1"/>
    <xf numFmtId="0" fontId="21" fillId="35" borderId="11" xfId="43" applyNumberFormat="1" applyFill="1" applyBorder="1" applyAlignment="1">
      <alignment wrapText="1"/>
    </xf>
    <xf numFmtId="0" fontId="21" fillId="0" borderId="11" xfId="43" applyNumberFormat="1" applyBorder="1" applyAlignment="1">
      <alignment wrapText="1"/>
    </xf>
    <xf numFmtId="0" fontId="21" fillId="0" borderId="18" xfId="43" applyBorder="1"/>
    <xf numFmtId="0" fontId="21" fillId="0" borderId="0" xfId="43" applyBorder="1"/>
    <xf numFmtId="0" fontId="21" fillId="0" borderId="18" xfId="43" applyBorder="1" applyAlignment="1">
      <alignment horizontal="left" vertical="top"/>
    </xf>
    <xf numFmtId="0" fontId="21" fillId="0" borderId="0" xfId="43" applyBorder="1" applyAlignment="1">
      <alignment horizontal="left" vertical="top"/>
    </xf>
    <xf numFmtId="0" fontId="22" fillId="36" borderId="18" xfId="43" applyFont="1" applyFill="1" applyBorder="1" applyAlignment="1">
      <alignment wrapText="1"/>
    </xf>
    <xf numFmtId="0" fontId="22" fillId="36" borderId="0" xfId="43" applyFont="1" applyFill="1" applyBorder="1" applyAlignment="1">
      <alignment wrapText="1"/>
    </xf>
    <xf numFmtId="0" fontId="21" fillId="0" borderId="19" xfId="43" applyBorder="1"/>
    <xf numFmtId="0" fontId="21" fillId="35" borderId="18" xfId="43" applyNumberFormat="1" applyFill="1" applyBorder="1" applyAlignment="1">
      <alignment wrapText="1"/>
    </xf>
    <xf numFmtId="0" fontId="21" fillId="35" borderId="0" xfId="43" applyNumberFormat="1" applyFill="1" applyBorder="1" applyAlignment="1">
      <alignment wrapText="1"/>
    </xf>
    <xf numFmtId="0" fontId="21" fillId="0" borderId="17" xfId="43" applyNumberFormat="1" applyBorder="1" applyAlignment="1">
      <alignment wrapText="1"/>
    </xf>
    <xf numFmtId="0" fontId="21" fillId="36" borderId="17" xfId="43" applyFill="1" applyBorder="1"/>
    <xf numFmtId="0" fontId="27" fillId="0" borderId="0" xfId="0" applyFont="1" applyBorder="1" applyAlignment="1">
      <alignment horizontal="center" vertical="center" wrapText="1"/>
    </xf>
    <xf numFmtId="0" fontId="27" fillId="0" borderId="0" xfId="0" applyFont="1" applyAlignment="1">
      <alignment horizontal="center" vertical="center" wrapText="1"/>
    </xf>
    <xf numFmtId="0" fontId="30" fillId="39" borderId="0" xfId="0" applyFont="1" applyFill="1" applyBorder="1" applyAlignment="1">
      <alignment horizontal="center" vertical="center" wrapText="1"/>
    </xf>
    <xf numFmtId="0" fontId="33" fillId="39" borderId="15" xfId="0" applyFont="1" applyFill="1" applyBorder="1" applyAlignment="1">
      <alignment vertical="top" wrapText="1"/>
    </xf>
    <xf numFmtId="0" fontId="27" fillId="38" borderId="15" xfId="0" applyFont="1" applyFill="1" applyBorder="1" applyAlignment="1">
      <alignment vertical="top" wrapText="1"/>
    </xf>
    <xf numFmtId="0" fontId="27" fillId="38" borderId="16" xfId="0" applyFont="1" applyFill="1" applyBorder="1" applyAlignment="1">
      <alignment vertical="top" wrapText="1"/>
    </xf>
    <xf numFmtId="0" fontId="28" fillId="0" borderId="14" xfId="0" applyFont="1" applyBorder="1" applyAlignment="1">
      <alignment horizontal="center" vertical="center" wrapText="1"/>
    </xf>
    <xf numFmtId="0" fontId="28" fillId="0" borderId="15" xfId="0" applyFont="1" applyBorder="1" applyAlignment="1">
      <alignment vertical="center" wrapText="1"/>
    </xf>
    <xf numFmtId="0" fontId="27" fillId="38" borderId="16" xfId="0" applyFont="1" applyFill="1" applyBorder="1" applyAlignment="1">
      <alignment horizontal="left" vertical="top" wrapText="1"/>
    </xf>
    <xf numFmtId="0" fontId="0" fillId="0" borderId="14" xfId="0" applyBorder="1" applyAlignment="1">
      <alignment horizontal="left" vertical="top" wrapText="1"/>
    </xf>
  </cellXfs>
  <cellStyles count="44">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00000000-0005-0000-0000-00002A00000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22"/>
  <sheetViews>
    <sheetView tabSelected="1" view="pageLayout" topLeftCell="A2" zoomScale="200" zoomScaleNormal="100" zoomScalePageLayoutView="200" workbookViewId="0">
      <selection activeCell="C4" sqref="C4:C6"/>
    </sheetView>
  </sheetViews>
  <sheetFormatPr defaultColWidth="11.44140625" defaultRowHeight="19.5"/>
  <cols>
    <col min="1" max="1" width="1" customWidth="1"/>
    <col min="2" max="2" width="8.44140625" style="26" customWidth="1"/>
    <col min="3" max="3" width="12.77734375" style="26" customWidth="1"/>
    <col min="4" max="5" width="1" style="26" customWidth="1"/>
    <col min="6" max="6" width="8.44140625" style="26" customWidth="1"/>
    <col min="7" max="7" width="12.77734375" style="26" customWidth="1"/>
    <col min="8" max="9" width="1" style="26" customWidth="1"/>
    <col min="10" max="10" width="8.44140625" style="26" customWidth="1"/>
    <col min="11" max="11" width="12.77734375" style="26" customWidth="1"/>
    <col min="12" max="13" width="1" style="26" customWidth="1"/>
    <col min="14" max="14" width="8.44140625" style="26" customWidth="1"/>
    <col min="15" max="15" width="12.77734375" style="26" customWidth="1"/>
    <col min="16" max="17" width="1" style="26" customWidth="1"/>
    <col min="18" max="18" width="8.44140625" style="26" customWidth="1"/>
    <col min="19" max="19" width="12.77734375" style="26" customWidth="1"/>
    <col min="20" max="20" width="1" customWidth="1"/>
    <col min="21" max="21" width="5.6640625" customWidth="1"/>
    <col min="22" max="22" width="5" customWidth="1"/>
  </cols>
  <sheetData>
    <row r="1" spans="1:23" ht="2.85" customHeight="1">
      <c r="A1">
        <f>V5</f>
        <v>11</v>
      </c>
      <c r="E1" s="26">
        <f>A1+1</f>
        <v>12</v>
      </c>
      <c r="I1" s="26">
        <f>E1+1</f>
        <v>13</v>
      </c>
      <c r="M1" s="26">
        <f>I1+1</f>
        <v>14</v>
      </c>
      <c r="Q1" s="26">
        <f>M1+1</f>
        <v>15</v>
      </c>
      <c r="U1" s="5">
        <v>1</v>
      </c>
    </row>
    <row r="2" spans="1:23" ht="27.75" customHeight="1">
      <c r="B2" s="61" t="str">
        <f>VLOOKUP(A1,actiondata!$A$3:$J$85,1,FALSE)&amp;". "&amp;VLOOKUP(A1,actiondata!$A$3:$J$85,2,FALSE)</f>
        <v>11. Winning a business aid grant</v>
      </c>
      <c r="C2" s="61"/>
      <c r="D2" s="32"/>
      <c r="E2" s="32"/>
      <c r="F2" s="61" t="str">
        <f>VLOOKUP(E1,actiondata!$A$3:$J$85,1,FALSE)&amp;". "&amp;VLOOKUP(E1,actiondata!$A$3:$J$85,2,FALSE)</f>
        <v>12. Entering a contest</v>
      </c>
      <c r="G2" s="61"/>
      <c r="H2" s="32"/>
      <c r="I2" s="32"/>
      <c r="J2" s="61" t="str">
        <f>VLOOKUP(I1,actiondata!$A$3:$J$85,1,FALSE)&amp;". "&amp;VLOOKUP(I1,actiondata!$A$3:$J$85,2,FALSE)</f>
        <v>13. Visiting labs</v>
      </c>
      <c r="K2" s="61"/>
      <c r="L2" s="32"/>
      <c r="M2" s="32"/>
      <c r="N2" s="61" t="str">
        <f>VLOOKUP(M1,actiondata!$A$3:$J$85,1,FALSE)&amp;". "&amp;VLOOKUP(M1,actiondata!$A$3:$J$85,2,FALSE)</f>
        <v>14. Hosting vistis from schools and learning groups</v>
      </c>
      <c r="O2" s="61"/>
      <c r="P2" s="32"/>
      <c r="Q2" s="32"/>
      <c r="R2" s="61" t="str">
        <f>VLOOKUP(Q1,actiondata!$A$3:$J$85,1,FALSE)&amp;". "&amp;VLOOKUP(Q1,actiondata!$A$3:$J$85,2,FALSE)</f>
        <v>15. Networking with suppliers and service providers</v>
      </c>
      <c r="S2" s="61"/>
      <c r="U2" s="35">
        <v>10</v>
      </c>
      <c r="V2" s="31">
        <v>2</v>
      </c>
    </row>
    <row r="3" spans="1:23" ht="5.65" customHeight="1">
      <c r="B3" s="59" t="s">
        <v>15</v>
      </c>
      <c r="C3" s="60"/>
      <c r="D3" s="32"/>
      <c r="E3" s="32"/>
      <c r="F3" s="59" t="s">
        <v>15</v>
      </c>
      <c r="G3" s="60"/>
      <c r="H3" s="32"/>
      <c r="I3" s="32"/>
      <c r="J3" s="59" t="s">
        <v>15</v>
      </c>
      <c r="K3" s="60"/>
      <c r="L3" s="32"/>
      <c r="M3" s="32"/>
      <c r="N3" s="59" t="s">
        <v>15</v>
      </c>
      <c r="O3" s="60"/>
      <c r="P3" s="32"/>
      <c r="Q3" s="32"/>
      <c r="R3" s="59" t="s">
        <v>15</v>
      </c>
      <c r="S3" s="60"/>
      <c r="U3" s="35">
        <v>2</v>
      </c>
    </row>
    <row r="4" spans="1:23" ht="42" customHeight="1" thickBot="1">
      <c r="B4" s="36" t="str">
        <f>VLOOKUP(A1,actiondata!$A$3:$J$85,5,FALSE)</f>
        <v xml:space="preserve"> Required 
budget 1
profit-loss 1
asset-debt 0
scale 1
enthusiasm 1
scale 1
enthusiasm 1
local biz 1
reputation 1
portfolio 1
biz enhancement 1
 </v>
      </c>
      <c r="C4" s="65" t="str">
        <f>VLOOKUP(A1,actiondata!$A$3:$J$85,3,FALSE)</f>
        <v>C:\Users\t\Desktop\RwandaCard\ActionCard\pic\11.png</v>
      </c>
      <c r="D4" s="32"/>
      <c r="E4" s="32"/>
      <c r="F4" s="36" t="str">
        <f>VLOOKUP(E1,actiondata!$A$3:$J$85,5,FALSE)</f>
        <v xml:space="preserve"> Required 
 </v>
      </c>
      <c r="G4" s="65" t="str">
        <f>VLOOKUP(E1,actiondata!$A$3:$J$85,3,FALSE)</f>
        <v>C:\Users\t\Desktop\RwandaCard\ActionCard\pic\12.png</v>
      </c>
      <c r="H4" s="32"/>
      <c r="I4" s="32"/>
      <c r="J4" s="36" t="str">
        <f>VLOOKUP(I1,actiondata!$A$3:$J$85,5,FALSE)</f>
        <v xml:space="preserve"> Required 
disposable money 1
scale 1
network 1
 </v>
      </c>
      <c r="K4" s="65" t="str">
        <f>VLOOKUP(I1,actiondata!$A$3:$J$85,3,FALSE)</f>
        <v>C:\Users\t\Desktop\RwandaCard\ActionCard\pic\13.png</v>
      </c>
      <c r="L4" s="32"/>
      <c r="M4" s="32"/>
      <c r="N4" s="36" t="str">
        <f>VLOOKUP(M1,actiondata!$A$3:$J$85,5,FALSE)</f>
        <v xml:space="preserve"> Required 
disposable money 1
software 1
servers 1
scale 1
scale 1
enthusiasm 1
network 1
 </v>
      </c>
      <c r="O4" s="65" t="str">
        <f>VLOOKUP(M1,actiondata!$A$3:$J$85,3,FALSE)</f>
        <v>C:\Users\t\Desktop\RwandaCard\ActionCard\pic\14.png</v>
      </c>
      <c r="P4" s="32"/>
      <c r="Q4" s="32"/>
      <c r="R4" s="36" t="str">
        <f>VLOOKUP(Q1,actiondata!$A$3:$J$85,5,FALSE)</f>
        <v xml:space="preserve"> Required 
disposable money 1
software 1
servers 1
scale 1
scale 1
 </v>
      </c>
      <c r="S4" s="65" t="str">
        <f>VLOOKUP(Q1,actiondata!$A$3:$J$85,3,FALSE)</f>
        <v>C:\Users\t\Desktop\RwandaCard\ActionCard\pic\15.png</v>
      </c>
      <c r="U4" s="35">
        <v>15</v>
      </c>
      <c r="V4" t="s">
        <v>16</v>
      </c>
    </row>
    <row r="5" spans="1:23" ht="22.5" customHeight="1" thickBot="1">
      <c r="B5" s="67" t="str">
        <f>VLOOKUP(A1,actiondata!$A$3:$J$85,6,FALSE)</f>
        <v xml:space="preserve"> Effects[points,%]
budget(1,),  </v>
      </c>
      <c r="C5" s="66"/>
      <c r="D5" s="32"/>
      <c r="E5" s="32"/>
      <c r="F5" s="67" t="str">
        <f>VLOOKUP(E1,actiondata!$A$3:$J$85,6,FALSE)</f>
        <v xml:space="preserve"> Effects[points,%]
 </v>
      </c>
      <c r="G5" s="66"/>
      <c r="H5" s="32"/>
      <c r="I5" s="32"/>
      <c r="J5" s="67" t="str">
        <f>VLOOKUP(I1,actiondata!$A$3:$J$85,6,FALSE)</f>
        <v xml:space="preserve"> Effects[points,%]
efficiency(1,),  </v>
      </c>
      <c r="K5" s="66"/>
      <c r="L5" s="32"/>
      <c r="M5" s="32"/>
      <c r="N5" s="67" t="str">
        <f>VLOOKUP(M1,actiondata!$A$3:$J$85,6,FALSE)</f>
        <v xml:space="preserve"> Effects[points,%]
disposable money(-1,12.5), field knowledge(1,), non-profits(1,),  </v>
      </c>
      <c r="O5" s="66"/>
      <c r="P5" s="32"/>
      <c r="Q5" s="32"/>
      <c r="R5" s="67" t="str">
        <f>VLOOKUP(Q1,actiondata!$A$3:$J$85,6,FALSE)</f>
        <v xml:space="preserve"> Effects[points,%]
disposable money(-1,12.5), suppliers(1,),  </v>
      </c>
      <c r="S5" s="66"/>
      <c r="U5" s="35">
        <v>8</v>
      </c>
      <c r="V5">
        <f>10*V2-9</f>
        <v>11</v>
      </c>
    </row>
    <row r="6" spans="1:23" ht="22.5" customHeight="1" thickBot="1">
      <c r="B6" s="68"/>
      <c r="C6" s="66"/>
      <c r="D6" s="32"/>
      <c r="E6" s="32"/>
      <c r="F6" s="68"/>
      <c r="G6" s="66"/>
      <c r="H6" s="32"/>
      <c r="I6" s="32"/>
      <c r="J6" s="68"/>
      <c r="K6" s="66"/>
      <c r="L6" s="32"/>
      <c r="M6" s="32"/>
      <c r="N6" s="68"/>
      <c r="O6" s="66"/>
      <c r="P6" s="32"/>
      <c r="Q6" s="32"/>
      <c r="R6" s="68"/>
      <c r="S6" s="66"/>
      <c r="U6" s="35">
        <v>8</v>
      </c>
    </row>
    <row r="7" spans="1:23" s="2" customFormat="1" ht="45" customHeight="1" thickBot="1">
      <c r="B7" s="62" t="str">
        <f>"Description"&amp;CHAR(10)&amp;VLOOKUP(A1,actiondata!$A$3:$J$85,4,FALSE)</f>
        <v xml:space="preserve">Description
apply for, and win, a small grant to help local business. Take an open challenge (card) with 75% discount on financial requirements and conditions. </v>
      </c>
      <c r="C7" s="62"/>
      <c r="D7" s="33"/>
      <c r="E7" s="33"/>
      <c r="F7" s="62" t="str">
        <f>"Description"&amp;CHAR(10)&amp;VLOOKUP(E1,actiondata!$A$3:$J$85,4,FALSE)</f>
        <v xml:space="preserve">Description
</v>
      </c>
      <c r="G7" s="62"/>
      <c r="H7" s="33"/>
      <c r="I7" s="33"/>
      <c r="J7" s="62" t="str">
        <f>"Description"&amp;CHAR(10)&amp;VLOOKUP(I1,actiondata!$A$3:$J$85,4,FALSE)</f>
        <v>Description
visit other labs to network, explore partnerships, and exchange tips</v>
      </c>
      <c r="K7" s="62"/>
      <c r="L7" s="33"/>
      <c r="M7" s="33"/>
      <c r="N7" s="62" t="str">
        <f>"Description"&amp;CHAR(10)&amp;VLOOKUP(M1,actiondata!$A$3:$J$85,4,FALSE)</f>
        <v xml:space="preserve">Description
</v>
      </c>
      <c r="O7" s="62"/>
      <c r="P7" s="33"/>
      <c r="Q7" s="33"/>
      <c r="R7" s="62" t="str">
        <f>"Description"&amp;CHAR(10)&amp;VLOOKUP(Q1,actiondata!$A$3:$J$85,4,FALSE)</f>
        <v xml:space="preserve">Description
</v>
      </c>
      <c r="S7" s="62"/>
      <c r="U7" s="35">
        <v>16</v>
      </c>
    </row>
    <row r="8" spans="1:23" s="2" customFormat="1" ht="39.6" customHeight="1" thickBot="1">
      <c r="B8" s="63" t="str">
        <f>VLOOKUP(A1,actiondata!$A$3:$J$85,4,FALSE)</f>
        <v xml:space="preserve">apply for, and win, a small grant to help local business. Take an open challenge (card) with 75% discount on financial requirements and conditions. </v>
      </c>
      <c r="C8" s="63"/>
      <c r="D8" s="33"/>
      <c r="E8" s="33"/>
      <c r="F8" s="63">
        <f>VLOOKUP(E1,actiondata!$A$3:$J$85,4,FALSE)</f>
        <v>0</v>
      </c>
      <c r="G8" s="63"/>
      <c r="H8" s="33"/>
      <c r="I8" s="33"/>
      <c r="J8" s="63" t="str">
        <f>VLOOKUP(I1,actiondata!$A$3:$J$85,4,FALSE)</f>
        <v>visit other labs to network, explore partnerships, and exchange tips</v>
      </c>
      <c r="K8" s="63"/>
      <c r="L8" s="33"/>
      <c r="M8" s="33"/>
      <c r="N8" s="63">
        <f>VLOOKUP(M1,actiondata!$A$3:$J$85,4,FALSE)</f>
        <v>0</v>
      </c>
      <c r="O8" s="63"/>
      <c r="P8" s="33"/>
      <c r="Q8" s="33"/>
      <c r="R8" s="63">
        <f>VLOOKUP(Q1,actiondata!$A$3:$J$85,4,FALSE)</f>
        <v>0</v>
      </c>
      <c r="S8" s="63"/>
      <c r="U8" s="35">
        <v>14</v>
      </c>
    </row>
    <row r="9" spans="1:23" s="2" customFormat="1" ht="39.6" customHeight="1">
      <c r="B9" s="64" t="str">
        <f>VLOOKUP(A1,actiondata!$A$3:$J$85,9,FALSE)</f>
        <v xml:space="preserve"> B Effs[points,%]
 </v>
      </c>
      <c r="C9" s="64"/>
      <c r="D9" s="33"/>
      <c r="E9" s="33"/>
      <c r="F9" s="64" t="str">
        <f>VLOOKUP(E1,actiondata!$A$3:$J$85,9,FALSE)</f>
        <v xml:space="preserve"> B Effs[points,%]
 </v>
      </c>
      <c r="G9" s="64"/>
      <c r="H9" s="33"/>
      <c r="I9" s="33"/>
      <c r="J9" s="64" t="str">
        <f>VLOOKUP(I1,actiondata!$A$3:$J$85,9,FALSE)</f>
        <v xml:space="preserve"> B Effs[points,%]
user rules and manuals(1,50), organizational rules and manuals(1,50),  </v>
      </c>
      <c r="K9" s="64"/>
      <c r="L9" s="33"/>
      <c r="M9" s="33"/>
      <c r="N9" s="64" t="str">
        <f>VLOOKUP(M1,actiondata!$A$3:$J$85,9,FALSE)</f>
        <v xml:space="preserve"> B Effs[points,%]
scale(1,6.25), technologists(1,6.25), non-profits(1,6.25),  </v>
      </c>
      <c r="O9" s="64"/>
      <c r="P9" s="33"/>
      <c r="Q9" s="33"/>
      <c r="R9" s="64" t="str">
        <f>VLOOKUP(Q1,actiondata!$A$3:$J$85,9,FALSE)</f>
        <v xml:space="preserve"> B Effs[points,%]
learning capacities(1,), engineering knowledge(1,), enthusiasm(2,), efficiency(1,6.25),  </v>
      </c>
      <c r="S9" s="64"/>
      <c r="U9" s="35">
        <v>14</v>
      </c>
      <c r="W9" s="2">
        <f>SUM(U1:U10)</f>
        <v>89</v>
      </c>
    </row>
    <row r="10" spans="1:23" s="2" customFormat="1" ht="2.85" customHeight="1">
      <c r="B10" s="33"/>
      <c r="C10" s="33"/>
      <c r="D10" s="33"/>
      <c r="E10" s="33"/>
      <c r="F10" s="33"/>
      <c r="G10" s="33"/>
      <c r="H10" s="33"/>
      <c r="I10" s="33"/>
      <c r="J10" s="33"/>
      <c r="K10" s="33"/>
      <c r="L10" s="33"/>
      <c r="M10" s="33"/>
      <c r="N10" s="33"/>
      <c r="O10" s="33"/>
      <c r="P10" s="33"/>
      <c r="Q10" s="33"/>
      <c r="R10" s="33"/>
      <c r="S10" s="33"/>
      <c r="U10" s="6">
        <v>1</v>
      </c>
    </row>
    <row r="11" spans="1:23" ht="2.85" customHeight="1">
      <c r="A11">
        <f>Q1+1</f>
        <v>16</v>
      </c>
      <c r="B11" s="34"/>
      <c r="C11" s="34"/>
      <c r="D11" s="34"/>
      <c r="E11" s="34">
        <f>A11+1</f>
        <v>17</v>
      </c>
      <c r="F11" s="34"/>
      <c r="G11" s="34"/>
      <c r="H11" s="34"/>
      <c r="I11" s="34">
        <f>E11+1</f>
        <v>18</v>
      </c>
      <c r="J11" s="34"/>
      <c r="K11" s="34"/>
      <c r="L11" s="34"/>
      <c r="M11" s="34">
        <f>I11+1</f>
        <v>19</v>
      </c>
      <c r="N11" s="34"/>
      <c r="O11" s="34"/>
      <c r="P11" s="34"/>
      <c r="Q11" s="34">
        <f>M11+1</f>
        <v>20</v>
      </c>
      <c r="R11" s="34"/>
      <c r="S11" s="34"/>
      <c r="U11" s="5">
        <v>1</v>
      </c>
    </row>
    <row r="12" spans="1:23" ht="27.75" customHeight="1">
      <c r="B12" s="61" t="str">
        <f>VLOOKUP(A11,actiondata!$A$3:$J$85,1,FALSE)&amp;". "&amp;VLOOKUP(A11,actiondata!$A$3:$J$85,2,FALSE)</f>
        <v>16. Networking with tech experts</v>
      </c>
      <c r="C12" s="61"/>
      <c r="D12" s="32"/>
      <c r="E12" s="32"/>
      <c r="F12" s="61" t="str">
        <f>VLOOKUP(E11,actiondata!$A$3:$J$85,1,FALSE)&amp;". "&amp;VLOOKUP(E11,actiondata!$A$3:$J$85,2,FALSE)</f>
        <v>17. Networking with non profits</v>
      </c>
      <c r="G12" s="61"/>
      <c r="H12" s="32"/>
      <c r="I12" s="32"/>
      <c r="J12" s="61" t="str">
        <f>VLOOKUP(I11,actiondata!$A$3:$J$85,1,FALSE)&amp;". "&amp;VLOOKUP(I11,actiondata!$A$3:$J$85,2,FALSE)</f>
        <v xml:space="preserve">18. Networking with local businesses </v>
      </c>
      <c r="K12" s="61"/>
      <c r="L12" s="32"/>
      <c r="M12" s="32"/>
      <c r="N12" s="61" t="str">
        <f>VLOOKUP(M11,actiondata!$A$3:$J$85,1,FALSE)&amp;". "&amp;VLOOKUP(M11,actiondata!$A$3:$J$85,2,FALSE)</f>
        <v>19. Hosting an event introducing the lab to non-profits</v>
      </c>
      <c r="O12" s="61"/>
      <c r="P12" s="32"/>
      <c r="Q12" s="32"/>
      <c r="R12" s="61" t="str">
        <f>VLOOKUP(Q11,actiondata!$A$3:$J$85,1,FALSE)&amp;". "&amp;VLOOKUP(Q11,actiondata!$A$3:$J$85,2,FALSE)</f>
        <v>20. Hosting an event introducing the lab to businesses</v>
      </c>
      <c r="S12" s="61"/>
      <c r="U12" s="35">
        <f>U2</f>
        <v>10</v>
      </c>
      <c r="V12" s="37"/>
    </row>
    <row r="13" spans="1:23" ht="5.85" customHeight="1">
      <c r="B13" s="59" t="s">
        <v>15</v>
      </c>
      <c r="C13" s="60"/>
      <c r="D13" s="32"/>
      <c r="E13" s="32"/>
      <c r="F13" s="59" t="s">
        <v>15</v>
      </c>
      <c r="G13" s="60"/>
      <c r="H13" s="32"/>
      <c r="I13" s="32"/>
      <c r="J13" s="59" t="s">
        <v>15</v>
      </c>
      <c r="K13" s="60"/>
      <c r="L13" s="32"/>
      <c r="M13" s="32"/>
      <c r="N13" s="59" t="s">
        <v>15</v>
      </c>
      <c r="O13" s="60"/>
      <c r="P13" s="32"/>
      <c r="Q13" s="32"/>
      <c r="R13" s="59" t="s">
        <v>15</v>
      </c>
      <c r="S13" s="60"/>
      <c r="U13" s="35">
        <f t="shared" ref="U13:U19" si="0">U3</f>
        <v>2</v>
      </c>
    </row>
    <row r="14" spans="1:23" ht="42.6" customHeight="1" thickBot="1">
      <c r="B14" s="36" t="str">
        <f>VLOOKUP(A11,actiondata!$A$3:$J$85,5,FALSE)</f>
        <v xml:space="preserve"> Required 
disposable money 1
software 1
servers 1
scale 1
scale 1
 </v>
      </c>
      <c r="C14" s="65" t="str">
        <f>VLOOKUP(A11,actiondata!$A$3:$J$85,3,FALSE)</f>
        <v>C:\Users\t\Desktop\RwandaCard\ActionCard\pic\16.png</v>
      </c>
      <c r="D14" s="32"/>
      <c r="E14" s="32"/>
      <c r="F14" s="36" t="str">
        <f>VLOOKUP(E11,actiondata!$A$3:$J$85,5,FALSE)</f>
        <v xml:space="preserve"> Required 
disposable money 1
scale 1
scale 1
 </v>
      </c>
      <c r="G14" s="65" t="str">
        <f>VLOOKUP(E11,actiondata!$A$3:$J$85,3,FALSE)</f>
        <v>C:\Users\t\Desktop\RwandaCard\ActionCard\pic\17.png</v>
      </c>
      <c r="H14" s="32"/>
      <c r="I14" s="32"/>
      <c r="J14" s="36" t="str">
        <f>VLOOKUP(I11,actiondata!$A$3:$J$85,5,FALSE)</f>
        <v xml:space="preserve"> Required 
disposable money 1
scale 1
 </v>
      </c>
      <c r="K14" s="65" t="str">
        <f>VLOOKUP(I11,actiondata!$A$3:$J$85,3,FALSE)</f>
        <v>C:\Users\t\Desktop\RwandaCard\ActionCard\pic\18.png</v>
      </c>
      <c r="L14" s="32"/>
      <c r="M14" s="32"/>
      <c r="N14" s="36" t="str">
        <f>VLOOKUP(M11,actiondata!$A$3:$J$85,5,FALSE)</f>
        <v xml:space="preserve"> Required 
disposable money 1
software 1
scale 1
enthusiasm 1
scale 1
enthusiasm 1
network 1
non-profits 1
reputation 1
social project 1
 </v>
      </c>
      <c r="O14" s="65" t="str">
        <f>VLOOKUP(M11,actiondata!$A$3:$J$85,3,FALSE)</f>
        <v>C:\Users\t\Desktop\RwandaCard\ActionCard\pic\19.png</v>
      </c>
      <c r="P14" s="32"/>
      <c r="Q14" s="32"/>
      <c r="R14" s="36" t="str">
        <f>VLOOKUP(Q11,actiondata!$A$3:$J$85,5,FALSE)</f>
        <v xml:space="preserve"> Required 
disposable money 1
scale 1
enthusiasm 1
scale 1
enthusiasm 1
network 1
local biz 1
reputation 1
biz project 1
 </v>
      </c>
      <c r="S14" s="65" t="str">
        <f>VLOOKUP(Q11,actiondata!$A$3:$J$85,3,FALSE)</f>
        <v>C:\Users\t\Desktop\RwandaCard\ActionCard\pic\20.png</v>
      </c>
      <c r="U14" s="35">
        <f t="shared" si="0"/>
        <v>15</v>
      </c>
    </row>
    <row r="15" spans="1:23" ht="22.5" customHeight="1" thickBot="1">
      <c r="B15" s="67" t="str">
        <f>VLOOKUP(A11,actiondata!$A$3:$J$85,6,FALSE)</f>
        <v xml:space="preserve"> Effects[points,%]
disposable money(-1,12.5), technologists(1,),  </v>
      </c>
      <c r="C15" s="66"/>
      <c r="D15" s="32"/>
      <c r="E15" s="32"/>
      <c r="F15" s="67" t="str">
        <f>VLOOKUP(E11,actiondata!$A$3:$J$85,6,FALSE)</f>
        <v xml:space="preserve"> Effects[points,%]
disposable money(-1,12.5), local biz(1,),  </v>
      </c>
      <c r="G15" s="66"/>
      <c r="H15" s="32"/>
      <c r="I15" s="32"/>
      <c r="J15" s="67" t="str">
        <f>VLOOKUP(I11,actiondata!$A$3:$J$85,6,FALSE)</f>
        <v xml:space="preserve"> Effects[points,%]
disposable money(-1,12.5),  </v>
      </c>
      <c r="K15" s="66"/>
      <c r="L15" s="32"/>
      <c r="M15" s="32"/>
      <c r="N15" s="67" t="str">
        <f>VLOOKUP(M11,actiondata!$A$3:$J$85,6,FALSE)</f>
        <v xml:space="preserve"> Effects[points,%]
disposable money(-1,25),  </v>
      </c>
      <c r="O15" s="66"/>
      <c r="P15" s="32"/>
      <c r="Q15" s="32"/>
      <c r="R15" s="67" t="str">
        <f>VLOOKUP(Q11,actiondata!$A$3:$J$85,6,FALSE)</f>
        <v xml:space="preserve"> Effects[points,%]
disposable money(-1,25),  </v>
      </c>
      <c r="S15" s="66"/>
      <c r="U15" s="35">
        <f t="shared" si="0"/>
        <v>8</v>
      </c>
    </row>
    <row r="16" spans="1:23" s="2" customFormat="1" ht="22.5" customHeight="1" thickBot="1">
      <c r="B16" s="68"/>
      <c r="C16" s="66"/>
      <c r="D16" s="33"/>
      <c r="E16" s="33"/>
      <c r="F16" s="68"/>
      <c r="G16" s="66"/>
      <c r="H16" s="33"/>
      <c r="I16" s="33"/>
      <c r="J16" s="68"/>
      <c r="K16" s="66"/>
      <c r="L16" s="33"/>
      <c r="M16" s="33"/>
      <c r="N16" s="68"/>
      <c r="O16" s="66"/>
      <c r="P16" s="33"/>
      <c r="Q16" s="33"/>
      <c r="R16" s="68"/>
      <c r="S16" s="66"/>
      <c r="U16" s="35">
        <f>U6</f>
        <v>8</v>
      </c>
    </row>
    <row r="17" spans="1:21" s="2" customFormat="1" ht="45.2" customHeight="1" thickBot="1">
      <c r="B17" s="62" t="str">
        <f>"Description"&amp;CHAR(10)&amp;VLOOKUP(A11,actiondata!$A$3:$J$85,4,FALSE)</f>
        <v xml:space="preserve">Description
</v>
      </c>
      <c r="C17" s="62"/>
      <c r="D17" s="33"/>
      <c r="E17" s="33"/>
      <c r="F17" s="62" t="str">
        <f>"Description"&amp;CHAR(10)&amp;VLOOKUP(E11,actiondata!$A$3:$J$85,4,FALSE)</f>
        <v xml:space="preserve">Description
</v>
      </c>
      <c r="G17" s="62"/>
      <c r="H17" s="33"/>
      <c r="I17" s="33"/>
      <c r="J17" s="62" t="str">
        <f>"Description"&amp;CHAR(10)&amp;VLOOKUP(I11,actiondata!$A$3:$J$85,4,FALSE)</f>
        <v xml:space="preserve">Description
</v>
      </c>
      <c r="K17" s="62"/>
      <c r="L17" s="33"/>
      <c r="M17" s="33"/>
      <c r="N17" s="62" t="str">
        <f>"Description"&amp;CHAR(10)&amp;VLOOKUP(M11,actiondata!$A$3:$J$85,4,FALSE)</f>
        <v xml:space="preserve">Description
</v>
      </c>
      <c r="O17" s="62"/>
      <c r="P17" s="33"/>
      <c r="Q17" s="33"/>
      <c r="R17" s="62" t="str">
        <f>"Description"&amp;CHAR(10)&amp;VLOOKUP(Q11,actiondata!$A$3:$J$85,4,FALSE)</f>
        <v xml:space="preserve">Description
</v>
      </c>
      <c r="S17" s="62"/>
      <c r="U17" s="35">
        <f t="shared" si="0"/>
        <v>16</v>
      </c>
    </row>
    <row r="18" spans="1:21" s="2" customFormat="1" ht="39.6" customHeight="1" thickBot="1">
      <c r="B18" s="63">
        <f>VLOOKUP(A11,actiondata!$A$3:$J$85,4,FALSE)</f>
        <v>0</v>
      </c>
      <c r="C18" s="63"/>
      <c r="D18" s="33"/>
      <c r="E18" s="33"/>
      <c r="F18" s="63">
        <f>VLOOKUP(E11,actiondata!$A$3:$J$85,4,FALSE)</f>
        <v>0</v>
      </c>
      <c r="G18" s="63"/>
      <c r="H18" s="33"/>
      <c r="I18" s="33"/>
      <c r="J18" s="63">
        <f>VLOOKUP(I11,actiondata!$A$3:$J$85,4,FALSE)</f>
        <v>0</v>
      </c>
      <c r="K18" s="63"/>
      <c r="L18" s="33"/>
      <c r="M18" s="33"/>
      <c r="N18" s="63">
        <f>VLOOKUP(M11,actiondata!$A$3:$J$85,4,FALSE)</f>
        <v>0</v>
      </c>
      <c r="O18" s="63"/>
      <c r="P18" s="33"/>
      <c r="Q18" s="33"/>
      <c r="R18" s="63">
        <f>VLOOKUP(Q11,actiondata!$A$3:$J$85,4,FALSE)</f>
        <v>0</v>
      </c>
      <c r="S18" s="63"/>
      <c r="U18" s="35">
        <f t="shared" si="0"/>
        <v>14</v>
      </c>
    </row>
    <row r="19" spans="1:21" s="2" customFormat="1" ht="39.6" customHeight="1">
      <c r="B19" s="64" t="str">
        <f>VLOOKUP(A11,actiondata!$A$3:$J$85,9,FALSE)</f>
        <v xml:space="preserve"> B Effs[points,%]
engineering knowledge(1,6.25), efficiency(1,6.25),  </v>
      </c>
      <c r="C19" s="64"/>
      <c r="D19" s="33"/>
      <c r="E19" s="33"/>
      <c r="F19" s="64" t="str">
        <f>VLOOKUP(E11,actiondata!$A$3:$J$85,9,FALSE)</f>
        <v xml:space="preserve"> B Effs[points,%]
non-profits(1,6.25),  </v>
      </c>
      <c r="G19" s="64"/>
      <c r="H19" s="33"/>
      <c r="I19" s="33"/>
      <c r="J19" s="64" t="str">
        <f>VLOOKUP(I11,actiondata!$A$3:$J$85,9,FALSE)</f>
        <v xml:space="preserve"> B Effs[points,%]
profit-loss(1,6.25), network(1,), local biz(1,6.25), biz group(1,6.25), investors(1,6.25), entrepreneurs(1,6.25),  </v>
      </c>
      <c r="K19" s="64"/>
      <c r="L19" s="33"/>
      <c r="M19" s="33"/>
      <c r="N19" s="64" t="str">
        <f>VLOOKUP(M11,actiondata!$A$3:$J$85,9,FALSE)</f>
        <v xml:space="preserve"> B Effs[points,%]
field knowledge(1,12.5), network among members(1,12.5), reputation(1,6.25),  </v>
      </c>
      <c r="O19" s="64"/>
      <c r="P19" s="33"/>
      <c r="Q19" s="33"/>
      <c r="R19" s="64" t="str">
        <f>VLOOKUP(Q11,actiondata!$A$3:$J$85,9,FALSE)</f>
        <v xml:space="preserve"> B Effs[points,%]
disposable money(1,6.25), field knowledge(1,12.5), network among members(1,12.5), reputation(1,6.25),  </v>
      </c>
      <c r="S19" s="64"/>
      <c r="U19" s="35">
        <f t="shared" si="0"/>
        <v>14</v>
      </c>
    </row>
    <row r="20" spans="1:21" ht="2.85" customHeight="1">
      <c r="U20" s="5">
        <v>1</v>
      </c>
    </row>
    <row r="21" spans="1:21">
      <c r="A21">
        <v>0.24</v>
      </c>
      <c r="B21" s="26">
        <v>2.0099999999999998</v>
      </c>
      <c r="C21" s="26">
        <v>2.99</v>
      </c>
      <c r="D21" s="26">
        <v>0.24</v>
      </c>
      <c r="U21" s="5"/>
    </row>
    <row r="22" spans="1:21">
      <c r="C22" s="26">
        <f>SUM(A21:D21)</f>
        <v>5.48</v>
      </c>
    </row>
  </sheetData>
  <mergeCells count="70">
    <mergeCell ref="R19:S19"/>
    <mergeCell ref="R17:S17"/>
    <mergeCell ref="R18:S18"/>
    <mergeCell ref="J19:K19"/>
    <mergeCell ref="O14:O16"/>
    <mergeCell ref="N17:O17"/>
    <mergeCell ref="N19:O19"/>
    <mergeCell ref="N18:O18"/>
    <mergeCell ref="J17:K17"/>
    <mergeCell ref="J18:K18"/>
    <mergeCell ref="K14:K16"/>
    <mergeCell ref="S14:S16"/>
    <mergeCell ref="J15:J16"/>
    <mergeCell ref="N15:N16"/>
    <mergeCell ref="R15:R16"/>
    <mergeCell ref="B19:C19"/>
    <mergeCell ref="G14:G16"/>
    <mergeCell ref="F17:G17"/>
    <mergeCell ref="F19:G19"/>
    <mergeCell ref="F18:G18"/>
    <mergeCell ref="B17:C17"/>
    <mergeCell ref="B18:C18"/>
    <mergeCell ref="B15:B16"/>
    <mergeCell ref="F15:F16"/>
    <mergeCell ref="N9:O9"/>
    <mergeCell ref="S4:S6"/>
    <mergeCell ref="R7:S7"/>
    <mergeCell ref="R8:S8"/>
    <mergeCell ref="R9:S9"/>
    <mergeCell ref="N7:O7"/>
    <mergeCell ref="N8:O8"/>
    <mergeCell ref="O4:O6"/>
    <mergeCell ref="N5:N6"/>
    <mergeCell ref="R5:R6"/>
    <mergeCell ref="F9:G9"/>
    <mergeCell ref="K4:K6"/>
    <mergeCell ref="J7:K7"/>
    <mergeCell ref="J8:K8"/>
    <mergeCell ref="J9:K9"/>
    <mergeCell ref="F7:G7"/>
    <mergeCell ref="F8:G8"/>
    <mergeCell ref="G4:G6"/>
    <mergeCell ref="F5:F6"/>
    <mergeCell ref="J5:J6"/>
    <mergeCell ref="B7:C7"/>
    <mergeCell ref="B8:C8"/>
    <mergeCell ref="B9:C9"/>
    <mergeCell ref="C4:C6"/>
    <mergeCell ref="C14:C16"/>
    <mergeCell ref="B13:C13"/>
    <mergeCell ref="B5:B6"/>
    <mergeCell ref="B3:C3"/>
    <mergeCell ref="R3:S3"/>
    <mergeCell ref="N3:O3"/>
    <mergeCell ref="J3:K3"/>
    <mergeCell ref="F3:G3"/>
    <mergeCell ref="B2:C2"/>
    <mergeCell ref="F2:G2"/>
    <mergeCell ref="J2:K2"/>
    <mergeCell ref="N2:O2"/>
    <mergeCell ref="R2:S2"/>
    <mergeCell ref="F13:G13"/>
    <mergeCell ref="J13:K13"/>
    <mergeCell ref="N13:O13"/>
    <mergeCell ref="R13:S13"/>
    <mergeCell ref="B12:C12"/>
    <mergeCell ref="F12:G12"/>
    <mergeCell ref="J12:K12"/>
    <mergeCell ref="N12:O12"/>
    <mergeCell ref="R12:S12"/>
  </mergeCells>
  <phoneticPr fontId="18"/>
  <pageMargins left="0" right="0" top="0" bottom="0" header="0" footer="0"/>
  <pageSetup paperSize="9" orientation="landscape" horizontalDpi="1200" verticalDpi="1200" r:id="rId1"/>
  <headerFooter>
    <oddHeader xml:space="preserve">&amp;L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58"/>
  <sheetViews>
    <sheetView topLeftCell="Q11" zoomScale="75" zoomScaleNormal="75" workbookViewId="0">
      <selection activeCell="D47" sqref="D47"/>
    </sheetView>
  </sheetViews>
  <sheetFormatPr defaultColWidth="11.5546875" defaultRowHeight="19.5"/>
  <cols>
    <col min="1" max="1" width="4.33203125" customWidth="1"/>
    <col min="2" max="2" width="41.5546875" customWidth="1"/>
    <col min="3" max="3" width="60.5546875" customWidth="1"/>
    <col min="4" max="4" width="41.5546875" customWidth="1"/>
    <col min="5" max="5" width="12.33203125" bestFit="1" customWidth="1"/>
    <col min="6" max="6" width="10.6640625" bestFit="1" customWidth="1"/>
    <col min="7" max="7" width="18.6640625" bestFit="1" customWidth="1"/>
    <col min="8" max="8" width="17.77734375" customWidth="1"/>
    <col min="9" max="9" width="35.33203125" customWidth="1"/>
    <col min="10" max="10" width="15" bestFit="1" customWidth="1"/>
  </cols>
  <sheetData>
    <row r="1" spans="1:10">
      <c r="D1" t="s">
        <v>154</v>
      </c>
    </row>
    <row r="2" spans="1:10" hidden="1">
      <c r="E2">
        <v>0</v>
      </c>
      <c r="F2">
        <v>1</v>
      </c>
      <c r="G2">
        <v>2</v>
      </c>
      <c r="H2">
        <v>3</v>
      </c>
      <c r="I2">
        <v>4</v>
      </c>
      <c r="J2">
        <v>5</v>
      </c>
    </row>
    <row r="3" spans="1:10" ht="24">
      <c r="B3" s="4" t="s">
        <v>0</v>
      </c>
      <c r="C3" s="4" t="s">
        <v>1</v>
      </c>
      <c r="D3" s="39" t="s">
        <v>153</v>
      </c>
      <c r="E3" s="27" t="s">
        <v>5</v>
      </c>
      <c r="F3" s="27" t="s">
        <v>170</v>
      </c>
      <c r="G3" s="27" t="s">
        <v>11</v>
      </c>
      <c r="H3" s="27" t="s">
        <v>12</v>
      </c>
      <c r="I3" s="27" t="s">
        <v>168</v>
      </c>
      <c r="J3" s="27" t="s">
        <v>13</v>
      </c>
    </row>
    <row r="4" spans="1:10" ht="24.75" customHeight="1">
      <c r="A4">
        <v>1</v>
      </c>
      <c r="B4" s="1" t="str">
        <f>INDEX('Action Cards'!$2:$2,1,($A4*6)-2)</f>
        <v>Soliciting New Members</v>
      </c>
      <c r="C4" s="3" t="s">
        <v>172</v>
      </c>
      <c r="D4" s="40" t="s">
        <v>155</v>
      </c>
      <c r="E4" s="1" t="str">
        <f>INDEX('Action Cards'!$4:$4,1,($A4*6)-2+E$2)</f>
        <v xml:space="preserve"> Required 
disposable money 1
software 1
scale 1
 </v>
      </c>
      <c r="F4" s="1" t="str">
        <f>INDEX('Action Cards'!$4:$4,1,($A4*6)-2+F$2)</f>
        <v xml:space="preserve"> Effects[points,%]
disposable money(-1,25), scale(1,100),  </v>
      </c>
      <c r="G4" s="1" t="str">
        <f>INDEX('Action Cards'!$4:$4,1,($A4*6)-2+G$2)</f>
        <v xml:space="preserve"> Effs. %
disposable money 25
scale 100
 </v>
      </c>
      <c r="H4" s="1" t="str">
        <f>INDEX('Action Cards'!$4:$4,1,($A4*6)-2+H$2)</f>
        <v xml:space="preserve"> Bonus cond
software(2), servers(2), wood(2), metal(2), plastic(2), electronics(2), fabric(2), enthusiasm(1), enthusiasm(2), fun-ness(1), community manager(1), PR(1), fame(1), network(2), ease of access(1), reputation(2), social media(1),  </v>
      </c>
      <c r="I4" s="1" t="str">
        <f>INDEX('Action Cards'!$4:$4,1,($A4*6)-2+I$2)</f>
        <v xml:space="preserve"> B Effs[points,%]
scale(1,6.25),  </v>
      </c>
      <c r="J4" s="1" t="str">
        <f>INDEX('Action Cards'!$4:$4,1,($A4*6)-2+J$2)</f>
        <v xml:space="preserve"> B Effs%
scale(6.25), </v>
      </c>
    </row>
    <row r="5" spans="1:10">
      <c r="A5">
        <v>2</v>
      </c>
      <c r="B5" s="1" t="str">
        <f>INDEX('Action Cards'!$2:$2,1,($A5*6)-2)</f>
        <v>Publicizing socical contribution</v>
      </c>
      <c r="C5" s="3" t="s">
        <v>173</v>
      </c>
      <c r="D5" s="40" t="s">
        <v>156</v>
      </c>
      <c r="E5" s="1" t="str">
        <f>INDEX('Action Cards'!$4:$4,1,($A5*6)-2+E$2)</f>
        <v xml:space="preserve"> Required 
disposable money 1
scale 1
interaction 1
 </v>
      </c>
      <c r="F5" s="1" t="str">
        <f>INDEX('Action Cards'!$4:$4,1,($A5*6)-2+F$2)</f>
        <v xml:space="preserve"> Effects[points,%]
reputation(1,75),  </v>
      </c>
      <c r="G5" s="1" t="str">
        <f>INDEX('Action Cards'!$4:$4,1,($A5*6)-2+G$2)</f>
        <v xml:space="preserve"> Effs. %
reputation 75
 </v>
      </c>
      <c r="H5" s="1" t="str">
        <f>INDEX('Action Cards'!$4:$4,1,($A5*6)-2+H$2)</f>
        <v xml:space="preserve"> Bonus cond
PR(1), portfolio(1), social innovation(1), non-profit biz(1),  </v>
      </c>
      <c r="I5" s="1" t="str">
        <f>INDEX('Action Cards'!$4:$4,1,($A5*6)-2+I$2)</f>
        <v xml:space="preserve"> B Effs[points,%]
scale(1,6.25), enthusiasm(1,6.25), seriousness(1,25), non-profits(1,12.5), reputation(1,75), marketing(1,12.5),  </v>
      </c>
      <c r="J5" s="1" t="str">
        <f>INDEX('Action Cards'!$4:$4,1,($A5*6)-2+J$2)</f>
        <v xml:space="preserve"> B Effs%
scale(6.25),enthusiasm(6.25),seriousness(25),non-profits(12.5),reputation(75),marketing(12.5), </v>
      </c>
    </row>
    <row r="6" spans="1:10">
      <c r="A6">
        <v>3</v>
      </c>
      <c r="B6" s="1" t="str">
        <f>INDEX('Action Cards'!$2:$2,1,($A6*6)-2)</f>
        <v>Publicizing economic contribution</v>
      </c>
      <c r="C6" s="3" t="s">
        <v>174</v>
      </c>
      <c r="D6" s="40" t="s">
        <v>157</v>
      </c>
      <c r="E6" s="1" t="str">
        <f>INDEX('Action Cards'!$4:$4,1,($A6*6)-2+E$2)</f>
        <v xml:space="preserve"> Required 
disposable money 1
scale 1
biz project 1
 </v>
      </c>
      <c r="F6" s="1" t="str">
        <f>INDEX('Action Cards'!$4:$4,1,($A6*6)-2+F$2)</f>
        <v xml:space="preserve"> Effects[points,%]
 </v>
      </c>
      <c r="G6" s="1" t="str">
        <f>INDEX('Action Cards'!$4:$4,1,($A6*6)-2+G$2)</f>
        <v xml:space="preserve"> Effs. %
 </v>
      </c>
      <c r="H6" s="1" t="str">
        <f>INDEX('Action Cards'!$4:$4,1,($A6*6)-2+H$2)</f>
        <v xml:space="preserve"> Bonus cond
portfolio(1), biz enhancement(1), business(1), start-up(1),  </v>
      </c>
      <c r="I6" s="1" t="str">
        <f>INDEX('Action Cards'!$4:$4,1,($A6*6)-2+I$2)</f>
        <v xml:space="preserve"> B Effs[points,%]
scale(1,6.25), enthusiasm(1,6.25), seriousness(1,25), local biz(1,6.25), investors(1,6.25), reputation(1,6.25),  </v>
      </c>
      <c r="J6" s="1" t="str">
        <f>INDEX('Action Cards'!$4:$4,1,($A6*6)-2+J$2)</f>
        <v xml:space="preserve"> B Effs%
scale(6.25),enthusiasm(6.25),seriousness(25),local biz(6.25),investors(6.25),reputation(6.25), </v>
      </c>
    </row>
    <row r="7" spans="1:10">
      <c r="A7">
        <v>4</v>
      </c>
      <c r="B7" s="1" t="str">
        <f>INDEX('Action Cards'!$2:$2,1,($A7*6)-2)</f>
        <v>Visiting local firms</v>
      </c>
      <c r="C7" s="3" t="s">
        <v>175</v>
      </c>
      <c r="D7" s="40" t="s">
        <v>158</v>
      </c>
      <c r="E7" s="1" t="str">
        <f>INDEX('Action Cards'!$4:$4,1,($A7*6)-2+E$2)</f>
        <v xml:space="preserve"> Required 
disposable money 1
scale 1
 </v>
      </c>
      <c r="F7" s="1" t="str">
        <f>INDEX('Action Cards'!$4:$4,1,($A7*6)-2+F$2)</f>
        <v xml:space="preserve"> Effects[points,%]
local biz(1,),  </v>
      </c>
      <c r="G7" s="1" t="str">
        <f>INDEX('Action Cards'!$4:$4,1,($A7*6)-2+G$2)</f>
        <v xml:space="preserve"> Effs. %
 </v>
      </c>
      <c r="H7" s="1" t="str">
        <f>INDEX('Action Cards'!$4:$4,1,($A7*6)-2+H$2)</f>
        <v xml:space="preserve"> Bonus cond
enthusiasm(1), attention to details(1), PR(1), network(1), ease of access(1), reputation(1), portfolio(1), biz project(1), biz enhancement(1), job creation(1), business(1),  </v>
      </c>
      <c r="I7" s="1" t="str">
        <f>INDEX('Action Cards'!$4:$4,1,($A7*6)-2+I$2)</f>
        <v xml:space="preserve"> B Effs[points,%]
local biz(1,6.25),  </v>
      </c>
      <c r="J7" s="1" t="str">
        <f>INDEX('Action Cards'!$4:$4,1,($A7*6)-2+J$2)</f>
        <v xml:space="preserve"> B Effs%
local biz(6.25), </v>
      </c>
    </row>
    <row r="8" spans="1:10">
      <c r="A8">
        <v>5</v>
      </c>
      <c r="B8" s="1" t="str">
        <f>INDEX('Action Cards'!$2:$2,1,($A8*6)-2)</f>
        <v>Visiting local non-profits</v>
      </c>
      <c r="C8" s="3" t="s">
        <v>176</v>
      </c>
      <c r="D8" s="40" t="s">
        <v>159</v>
      </c>
      <c r="E8" s="1" t="str">
        <f>INDEX('Action Cards'!$4:$4,1,($A8*6)-2+E$2)</f>
        <v xml:space="preserve"> Required 
disposable money 1
scale 1
 </v>
      </c>
      <c r="F8" s="1" t="str">
        <f>INDEX('Action Cards'!$4:$4,1,($A8*6)-2+F$2)</f>
        <v xml:space="preserve"> Effects[points,%]
non-profits(1,100),  </v>
      </c>
      <c r="G8" s="1" t="str">
        <f>INDEX('Action Cards'!$4:$4,1,($A8*6)-2+G$2)</f>
        <v xml:space="preserve"> Effs. %
non-profits 100
 </v>
      </c>
      <c r="H8" s="1" t="str">
        <f>INDEX('Action Cards'!$4:$4,1,($A8*6)-2+H$2)</f>
        <v xml:space="preserve"> Bonus cond
enthusiasm(1), attention to details(1), PR(1), network(1), ease of access(1), reputation(1), portfolio(1), social project(1), social innovation(1), non-profit biz(1),  </v>
      </c>
      <c r="I8" s="1" t="str">
        <f>INDEX('Action Cards'!$4:$4,1,($A8*6)-2+I$2)</f>
        <v xml:space="preserve"> B Effs[points,%]
seriousness(1,6.25), non-profits(1,6.25),  </v>
      </c>
      <c r="J8" s="1" t="str">
        <f>INDEX('Action Cards'!$4:$4,1,($A8*6)-2+J$2)</f>
        <v xml:space="preserve"> B Effs%
seriousness(6.25),non-profits(6.25), </v>
      </c>
    </row>
    <row r="9" spans="1:10">
      <c r="A9">
        <v>6</v>
      </c>
      <c r="B9" s="1" t="str">
        <f>INDEX('Action Cards'!$2:$2,1,($A9*6)-2)</f>
        <v>Visiting local govts</v>
      </c>
      <c r="C9" s="3" t="s">
        <v>177</v>
      </c>
      <c r="D9" s="40" t="s">
        <v>160</v>
      </c>
      <c r="E9" s="1" t="str">
        <f>INDEX('Action Cards'!$4:$4,1,($A9*6)-2+E$2)</f>
        <v xml:space="preserve"> Required 
disposable money 1
scale 1
 </v>
      </c>
      <c r="F9" s="1" t="str">
        <f>INDEX('Action Cards'!$4:$4,1,($A9*6)-2+F$2)</f>
        <v xml:space="preserve"> Effects[points,%]
govt(1,),  </v>
      </c>
      <c r="G9" s="1" t="str">
        <f>INDEX('Action Cards'!$4:$4,1,($A9*6)-2+G$2)</f>
        <v xml:space="preserve"> Effs. %
 </v>
      </c>
      <c r="H9" s="1" t="str">
        <f>INDEX('Action Cards'!$4:$4,1,($A9*6)-2+H$2)</f>
        <v xml:space="preserve"> Bonus cond
enthusiasm(1), attention to details(1), seriousness(1), fame(1), network(1), govt(1), ease of access(1), reputation(2), portfolio(1), social project(1), social innovation(1), non-profit biz(1),  </v>
      </c>
      <c r="I9" s="1" t="str">
        <f>INDEX('Action Cards'!$4:$4,1,($A9*6)-2+I$2)</f>
        <v xml:space="preserve"> B Effs[points,%]
govt(1,6.25),  </v>
      </c>
      <c r="J9" s="1" t="str">
        <f>INDEX('Action Cards'!$4:$4,1,($A9*6)-2+J$2)</f>
        <v xml:space="preserve"> B Effs%
govt(6.25), </v>
      </c>
    </row>
    <row r="10" spans="1:10">
      <c r="A10">
        <v>7</v>
      </c>
      <c r="B10" s="1" t="str">
        <f>INDEX('Action Cards'!$2:$2,1,($A10*6)-2)</f>
        <v>Visiting investors</v>
      </c>
      <c r="C10" s="3" t="s">
        <v>178</v>
      </c>
      <c r="D10" s="40" t="s">
        <v>161</v>
      </c>
      <c r="E10" s="1" t="str">
        <f>INDEX('Action Cards'!$4:$4,1,($A10*6)-2+E$2)</f>
        <v xml:space="preserve"> Required 
disposable money 1
scale 1
enthusiasm 1
gifted leader 1
scale 1
enthusiasm 1
 </v>
      </c>
      <c r="F10" s="1" t="str">
        <f>INDEX('Action Cards'!$4:$4,1,($A10*6)-2+F$2)</f>
        <v xml:space="preserve"> Effects[points,%]
fame(1,), network(1,), investors(1,6.25),  </v>
      </c>
      <c r="G10" s="1" t="str">
        <f>INDEX('Action Cards'!$4:$4,1,($A10*6)-2+G$2)</f>
        <v xml:space="preserve"> Effs. %
investors 6.25
 </v>
      </c>
      <c r="H10" s="1" t="str">
        <f>INDEX('Action Cards'!$4:$4,1,($A10*6)-2+H$2)</f>
        <v xml:space="preserve"> Bonus cond
investors(1), ease of access(1), reputation(1), portfolio(1), start-up(1), start-up with mvp(1), start-up with customers(1),  </v>
      </c>
      <c r="I10" s="1" t="str">
        <f>INDEX('Action Cards'!$4:$4,1,($A10*6)-2+I$2)</f>
        <v xml:space="preserve"> B Effs[points,%]
 </v>
      </c>
      <c r="J10" s="1" t="str">
        <f>INDEX('Action Cards'!$4:$4,1,($A10*6)-2+J$2)</f>
        <v xml:space="preserve"> B Effs%
 </v>
      </c>
    </row>
    <row r="11" spans="1:10">
      <c r="A11">
        <v>8</v>
      </c>
      <c r="B11" s="1" t="str">
        <f>INDEX('Action Cards'!$2:$2,1,($A11*6)-2)</f>
        <v>Winning a social innovation grant</v>
      </c>
      <c r="C11" s="3" t="s">
        <v>179</v>
      </c>
      <c r="D11" s="40" t="s">
        <v>162</v>
      </c>
      <c r="E11" s="1" t="str">
        <f>INDEX('Action Cards'!$4:$4,1,($A11*6)-2+E$2)</f>
        <v xml:space="preserve"> Required 
budget 2
disposable money 1
profit-loss 1
asset-debt 0
credit 1
scale 1
enthusiasm 1
scale 2
enthusiasm 1
seriousness 1
administrator 1
non-profits 2
reputation 1
portfolio 1
social project 1
 </v>
      </c>
      <c r="F11" s="1" t="str">
        <f>INDEX('Action Cards'!$4:$4,1,($A11*6)-2+F$2)</f>
        <v xml:space="preserve"> Effects[points,%]
budget(2,), ambition(1,), attention to details(1,),  </v>
      </c>
      <c r="G11" s="1" t="str">
        <f>INDEX('Action Cards'!$4:$4,1,($A11*6)-2+G$2)</f>
        <v xml:space="preserve"> Effs. %
 </v>
      </c>
      <c r="H11" s="1" t="str">
        <f>INDEX('Action Cards'!$4:$4,1,($A11*6)-2+H$2)</f>
        <v xml:space="preserve"> Bonus cond
field knowledge(1), enthusiasm(3), PR(2), administrator(1), project management(2),  </v>
      </c>
      <c r="I11" s="1" t="str">
        <f>INDEX('Action Cards'!$4:$4,1,($A11*6)-2+I$2)</f>
        <v xml:space="preserve"> B Effs[points,%]
organizational rules and manuals(1,12.5), project management(1,12.5),  </v>
      </c>
      <c r="J11" s="1" t="str">
        <f>INDEX('Action Cards'!$4:$4,1,($A11*6)-2+J$2)</f>
        <v xml:space="preserve"> B Effs%
organizational rules and manuals(12.5),project management(12.5), </v>
      </c>
    </row>
    <row r="12" spans="1:10">
      <c r="A12">
        <v>9</v>
      </c>
      <c r="B12" s="1" t="str">
        <f>INDEX('Action Cards'!$2:$2,1,($A12*6)-2)</f>
        <v xml:space="preserve">Winning a small social grant </v>
      </c>
      <c r="C12" s="3" t="s">
        <v>180</v>
      </c>
      <c r="D12" s="40" t="s">
        <v>163</v>
      </c>
      <c r="E12" s="1" t="str">
        <f>INDEX('Action Cards'!$4:$4,1,($A12*6)-2+E$2)</f>
        <v xml:space="preserve"> Required 
budget 1
profit-loss 0
asset-debt 0
scale 1
enthusiasm 1
scale 1
enthusiasm 1
non-profits 1
 </v>
      </c>
      <c r="F12" s="1" t="str">
        <f>INDEX('Action Cards'!$4:$4,1,($A12*6)-2+F$2)</f>
        <v xml:space="preserve"> Effects[points,%]
budget(1,),  </v>
      </c>
      <c r="G12" s="1" t="str">
        <f>INDEX('Action Cards'!$4:$4,1,($A12*6)-2+G$2)</f>
        <v xml:space="preserve"> Effs. %
 </v>
      </c>
      <c r="H12" s="1" t="str">
        <f>INDEX('Action Cards'!$4:$4,1,($A12*6)-2+H$2)</f>
        <v xml:space="preserve"> Bonus cond
 </v>
      </c>
      <c r="I12" s="1" t="str">
        <f>INDEX('Action Cards'!$4:$4,1,($A12*6)-2+I$2)</f>
        <v xml:space="preserve"> B Effs[points,%]
 </v>
      </c>
      <c r="J12" s="1" t="str">
        <f>INDEX('Action Cards'!$4:$4,1,($A12*6)-2+J$2)</f>
        <v xml:space="preserve"> B Effs%
 </v>
      </c>
    </row>
    <row r="13" spans="1:10">
      <c r="A13">
        <v>10</v>
      </c>
      <c r="B13" s="1" t="str">
        <f>INDEX('Action Cards'!$2:$2,1,($A13*6)-2)</f>
        <v>Winning a business dev grant</v>
      </c>
      <c r="C13" s="3" t="s">
        <v>181</v>
      </c>
      <c r="D13" s="40" t="s">
        <v>164</v>
      </c>
      <c r="E13" s="1" t="str">
        <f>INDEX('Action Cards'!$4:$4,1,($A13*6)-2+E$2)</f>
        <v xml:space="preserve"> Required 
budget 2
disposable money 1
profit-loss 1
asset-debt 0
scale 1
enthusiasm 1
scale 2
enthusiasm 1
seriousness 1
administrator 1
local biz 2
entrepreneurs 1
reputation 1
portfolio 1
biz project 1
 </v>
      </c>
      <c r="F13" s="1" t="str">
        <f>INDEX('Action Cards'!$4:$4,1,($A13*6)-2+F$2)</f>
        <v xml:space="preserve"> Effects[points,%]
budget(2,), disposable money(1,), ambition(1,), attention to details(1,),  </v>
      </c>
      <c r="G13" s="1" t="str">
        <f>INDEX('Action Cards'!$4:$4,1,($A13*6)-2+G$2)</f>
        <v xml:space="preserve"> Effs. %
 </v>
      </c>
      <c r="H13" s="1" t="str">
        <f>INDEX('Action Cards'!$4:$4,1,($A13*6)-2+H$2)</f>
        <v xml:space="preserve"> Bonus cond
field knowledge(1), enthusiasm(3), PR(2), administrator(1), project management(2),  </v>
      </c>
      <c r="I13" s="1" t="str">
        <f>INDEX('Action Cards'!$4:$4,1,($A13*6)-2+I$2)</f>
        <v xml:space="preserve"> B Effs[points,%]
organizational rules and manuals(1,12.5), project management(1,12.5),  </v>
      </c>
      <c r="J13" s="1" t="str">
        <f>INDEX('Action Cards'!$4:$4,1,($A13*6)-2+J$2)</f>
        <v xml:space="preserve"> B Effs%
organizational rules and manuals(12.5),project management(12.5), </v>
      </c>
    </row>
    <row r="14" spans="1:10">
      <c r="A14">
        <v>11</v>
      </c>
      <c r="B14" s="1" t="str">
        <f>INDEX('Action Cards'!$2:$2,1,($A14*6)-2)</f>
        <v>Winning a business aid grant</v>
      </c>
      <c r="C14" s="3" t="s">
        <v>182</v>
      </c>
      <c r="D14" s="40" t="s">
        <v>165</v>
      </c>
      <c r="E14" s="1" t="str">
        <f>INDEX('Action Cards'!$4:$4,1,($A14*6)-2+E$2)</f>
        <v xml:space="preserve"> Required 
budget 1
profit-loss 1
asset-debt 0
scale 1
enthusiasm 1
scale 1
enthusiasm 1
local biz 1
reputation 1
portfolio 1
biz enhancement 1
 </v>
      </c>
      <c r="F14" s="1" t="str">
        <f>INDEX('Action Cards'!$4:$4,1,($A14*6)-2+F$2)</f>
        <v xml:space="preserve"> Effects[points,%]
budget(1,),  </v>
      </c>
      <c r="G14" s="1" t="str">
        <f>INDEX('Action Cards'!$4:$4,1,($A14*6)-2+G$2)</f>
        <v xml:space="preserve"> Effs. %
 </v>
      </c>
      <c r="H14" s="1" t="str">
        <f>INDEX('Action Cards'!$4:$4,1,($A14*6)-2+H$2)</f>
        <v xml:space="preserve"> Bonus cond
 </v>
      </c>
      <c r="I14" s="1" t="str">
        <f>INDEX('Action Cards'!$4:$4,1,($A14*6)-2+I$2)</f>
        <v xml:space="preserve"> B Effs[points,%]
 </v>
      </c>
      <c r="J14" s="1" t="str">
        <f>INDEX('Action Cards'!$4:$4,1,($A14*6)-2+J$2)</f>
        <v xml:space="preserve"> B Effs%
 </v>
      </c>
    </row>
    <row r="15" spans="1:10">
      <c r="A15">
        <v>12</v>
      </c>
      <c r="B15" s="1" t="str">
        <f>INDEX('Action Cards'!$2:$2,1,($A15*6)-2)</f>
        <v>Entering a contest</v>
      </c>
      <c r="C15" s="3" t="s">
        <v>183</v>
      </c>
      <c r="D15" s="40"/>
      <c r="E15" s="1" t="str">
        <f>INDEX('Action Cards'!$4:$4,1,($A15*6)-2+E$2)</f>
        <v xml:space="preserve"> Required 
 </v>
      </c>
      <c r="F15" s="1" t="str">
        <f>INDEX('Action Cards'!$4:$4,1,($A15*6)-2+F$2)</f>
        <v xml:space="preserve"> Effects[points,%]
 </v>
      </c>
      <c r="G15" s="1" t="str">
        <f>INDEX('Action Cards'!$4:$4,1,($A15*6)-2+G$2)</f>
        <v xml:space="preserve"> Effs. %
 </v>
      </c>
      <c r="H15" s="1" t="str">
        <f>INDEX('Action Cards'!$4:$4,1,($A15*6)-2+H$2)</f>
        <v xml:space="preserve"> Bonus cond
 </v>
      </c>
      <c r="I15" s="1" t="str">
        <f>INDEX('Action Cards'!$4:$4,1,($A15*6)-2+I$2)</f>
        <v xml:space="preserve"> B Effs[points,%]
 </v>
      </c>
      <c r="J15" s="1" t="str">
        <f>INDEX('Action Cards'!$4:$4,1,($A15*6)-2+J$2)</f>
        <v xml:space="preserve"> B Effs%
 </v>
      </c>
    </row>
    <row r="16" spans="1:10">
      <c r="A16">
        <v>13</v>
      </c>
      <c r="B16" s="1" t="str">
        <f>INDEX('Action Cards'!$2:$2,1,($A16*6)-2)</f>
        <v>Visiting labs</v>
      </c>
      <c r="C16" s="3" t="s">
        <v>184</v>
      </c>
      <c r="D16" s="40" t="s">
        <v>166</v>
      </c>
      <c r="E16" s="1" t="str">
        <f>INDEX('Action Cards'!$4:$4,1,($A16*6)-2+E$2)</f>
        <v xml:space="preserve"> Required 
disposable money 1
scale 1
network 1
 </v>
      </c>
      <c r="F16" s="1" t="str">
        <f>INDEX('Action Cards'!$4:$4,1,($A16*6)-2+F$2)</f>
        <v xml:space="preserve"> Effects[points,%]
efficiency(1,),  </v>
      </c>
      <c r="G16" s="1" t="str">
        <f>INDEX('Action Cards'!$4:$4,1,($A16*6)-2+G$2)</f>
        <v xml:space="preserve"> Effs. %
 </v>
      </c>
      <c r="H16" s="1" t="str">
        <f>INDEX('Action Cards'!$4:$4,1,($A16*6)-2+H$2)</f>
        <v xml:space="preserve"> Bonus cond
scale(2), enthusiasm(1), attention to details(1), administrator(1), negotiation(1),  </v>
      </c>
      <c r="I16" s="1" t="str">
        <f>INDEX('Action Cards'!$4:$4,1,($A16*6)-2+I$2)</f>
        <v xml:space="preserve"> B Effs[points,%]
user rules and manuals(1,50), organizational rules and manuals(1,50),  </v>
      </c>
      <c r="J16" s="1" t="str">
        <f>INDEX('Action Cards'!$4:$4,1,($A16*6)-2+J$2)</f>
        <v xml:space="preserve"> B Effs%
user rules and manuals(50),organizational rules and manuals(50), </v>
      </c>
    </row>
    <row r="17" spans="1:10">
      <c r="A17">
        <v>14</v>
      </c>
      <c r="B17" s="1" t="str">
        <f>INDEX('Action Cards'!$2:$2,1,($A17*6)-2)</f>
        <v>Hosting vistis from schools and learning groups</v>
      </c>
      <c r="C17" s="3" t="s">
        <v>185</v>
      </c>
      <c r="D17" s="40"/>
      <c r="E17" s="1" t="str">
        <f>INDEX('Action Cards'!$4:$4,1,($A17*6)-2+E$2)</f>
        <v xml:space="preserve"> Required 
disposable money 1
software 1
servers 1
scale 1
scale 1
enthusiasm 1
network 1
 </v>
      </c>
      <c r="F17" s="1" t="str">
        <f>INDEX('Action Cards'!$4:$4,1,($A17*6)-2+F$2)</f>
        <v xml:space="preserve"> Effects[points,%]
disposable money(-1,12.5), field knowledge(1,), non-profits(1,),  </v>
      </c>
      <c r="G17" s="1" t="str">
        <f>INDEX('Action Cards'!$4:$4,1,($A17*6)-2+G$2)</f>
        <v xml:space="preserve"> Effs. %
disposable money 12.5
 </v>
      </c>
      <c r="H17" s="1" t="str">
        <f>INDEX('Action Cards'!$4:$4,1,($A17*6)-2+H$2)</f>
        <v xml:space="preserve"> Bonus cond
software(2), servers(2), wood(2), metal(2), plastic(2), electronics(2), fabric(2), fun-ness(1), seriousness(1), ease of access(1), portfolio(1), user rules and manuals(1), negotiation(1), social project(1), biz project(1), for basic literacy(1), for the elites(1), for entrepreneurs(1),  </v>
      </c>
      <c r="I17" s="1" t="str">
        <f>INDEX('Action Cards'!$4:$4,1,($A17*6)-2+I$2)</f>
        <v xml:space="preserve"> B Effs[points,%]
scale(1,6.25), technologists(1,6.25), non-profits(1,6.25),  </v>
      </c>
      <c r="J17" s="1" t="str">
        <f>INDEX('Action Cards'!$4:$4,1,($A17*6)-2+J$2)</f>
        <v xml:space="preserve"> B Effs%
scale(6.25),technologists(6.25),non-profits(6.25), </v>
      </c>
    </row>
    <row r="18" spans="1:10">
      <c r="A18">
        <v>15</v>
      </c>
      <c r="B18" s="1" t="str">
        <f>INDEX('Action Cards'!$2:$2,1,($A18*6)-2)</f>
        <v>Networking with suppliers and service providers</v>
      </c>
      <c r="C18" s="3" t="s">
        <v>186</v>
      </c>
      <c r="D18" s="40"/>
      <c r="E18" s="1" t="str">
        <f>INDEX('Action Cards'!$4:$4,1,($A18*6)-2+E$2)</f>
        <v xml:space="preserve"> Required 
disposable money 1
software 1
servers 1
scale 1
scale 1
 </v>
      </c>
      <c r="F18" s="1" t="str">
        <f>INDEX('Action Cards'!$4:$4,1,($A18*6)-2+F$2)</f>
        <v xml:space="preserve"> Effects[points,%]
disposable money(-1,12.5), suppliers(1,),  </v>
      </c>
      <c r="G18" s="1" t="str">
        <f>INDEX('Action Cards'!$4:$4,1,($A18*6)-2+G$2)</f>
        <v xml:space="preserve"> Effs. %
disposable money 12.5
 </v>
      </c>
      <c r="H18" s="1" t="str">
        <f>INDEX('Action Cards'!$4:$4,1,($A18*6)-2+H$2)</f>
        <v xml:space="preserve"> Bonus cond
reputation(1), negotiation(1),  </v>
      </c>
      <c r="I18" s="1" t="str">
        <f>INDEX('Action Cards'!$4:$4,1,($A18*6)-2+I$2)</f>
        <v xml:space="preserve"> B Effs[points,%]
learning capacities(1,), engineering knowledge(1,), enthusiasm(2,), efficiency(1,6.25),  </v>
      </c>
      <c r="J18" s="1" t="str">
        <f>INDEX('Action Cards'!$4:$4,1,($A18*6)-2+J$2)</f>
        <v xml:space="preserve"> B Effs%
efficiency(6.25), </v>
      </c>
    </row>
    <row r="19" spans="1:10">
      <c r="A19">
        <v>16</v>
      </c>
      <c r="B19" s="1" t="str">
        <f>INDEX('Action Cards'!$2:$2,1,($A19*6)-2)</f>
        <v>Networking with tech experts</v>
      </c>
      <c r="C19" s="3" t="s">
        <v>187</v>
      </c>
      <c r="D19" s="40"/>
      <c r="E19" s="1" t="str">
        <f>INDEX('Action Cards'!$4:$4,1,($A19*6)-2+E$2)</f>
        <v xml:space="preserve"> Required 
disposable money 1
software 1
servers 1
scale 1
scale 1
 </v>
      </c>
      <c r="F19" s="1" t="str">
        <f>INDEX('Action Cards'!$4:$4,1,($A19*6)-2+F$2)</f>
        <v xml:space="preserve"> Effects[points,%]
disposable money(-1,12.5), technologists(1,),  </v>
      </c>
      <c r="G19" s="1" t="str">
        <f>INDEX('Action Cards'!$4:$4,1,($A19*6)-2+G$2)</f>
        <v xml:space="preserve"> Effs. %
disposable money 12.5
 </v>
      </c>
      <c r="H19" s="1" t="str">
        <f>INDEX('Action Cards'!$4:$4,1,($A19*6)-2+H$2)</f>
        <v xml:space="preserve"> Bonus cond
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I19" s="1" t="str">
        <f>INDEX('Action Cards'!$4:$4,1,($A19*6)-2+I$2)</f>
        <v xml:space="preserve"> B Effs[points,%]
engineering knowledge(1,6.25), efficiency(1,6.25),  </v>
      </c>
      <c r="J19" s="1" t="str">
        <f>INDEX('Action Cards'!$4:$4,1,($A19*6)-2+J$2)</f>
        <v xml:space="preserve"> B Effs%
engineering knowledge(6.25),efficiency(6.25), </v>
      </c>
    </row>
    <row r="20" spans="1:10">
      <c r="A20">
        <v>17</v>
      </c>
      <c r="B20" s="1" t="str">
        <f>INDEX('Action Cards'!$2:$2,1,($A20*6)-2)</f>
        <v>Networking with non profits</v>
      </c>
      <c r="C20" s="3" t="s">
        <v>188</v>
      </c>
      <c r="D20" s="40"/>
      <c r="E20" s="1" t="str">
        <f>INDEX('Action Cards'!$4:$4,1,($A20*6)-2+E$2)</f>
        <v xml:space="preserve"> Required 
disposable money 1
scale 1
scale 1
 </v>
      </c>
      <c r="F20" s="1" t="str">
        <f>INDEX('Action Cards'!$4:$4,1,($A20*6)-2+F$2)</f>
        <v xml:space="preserve"> Effects[points,%]
disposable money(-1,12.5), local biz(1,),  </v>
      </c>
      <c r="G20" s="1" t="str">
        <f>INDEX('Action Cards'!$4:$4,1,($A20*6)-2+G$2)</f>
        <v xml:space="preserve"> Effs. %
disposable money 12.5
 </v>
      </c>
      <c r="H20" s="1" t="str">
        <f>INDEX('Action Cards'!$4:$4,1,($A20*6)-2+H$2)</f>
        <v xml:space="preserve"> Bonus cond
software(2), servers(2), wood(2), metal(2), plastic(2), electronics(2), fabric(2), ease of access(1), reputation(1), portfolio(1), negotiation(1),  </v>
      </c>
      <c r="I20" s="1" t="str">
        <f>INDEX('Action Cards'!$4:$4,1,($A20*6)-2+I$2)</f>
        <v xml:space="preserve"> B Effs[points,%]
non-profits(1,6.25),  </v>
      </c>
      <c r="J20" s="1" t="str">
        <f>INDEX('Action Cards'!$4:$4,1,($A20*6)-2+J$2)</f>
        <v xml:space="preserve"> B Effs%
non-profits(6.25), </v>
      </c>
    </row>
    <row r="21" spans="1:10">
      <c r="A21">
        <v>18</v>
      </c>
      <c r="B21" s="1" t="str">
        <f>INDEX('Action Cards'!$2:$2,1,($A21*6)-2)</f>
        <v xml:space="preserve">Networking with local businesses </v>
      </c>
      <c r="C21" s="3" t="s">
        <v>189</v>
      </c>
      <c r="D21" s="40"/>
      <c r="E21" s="1" t="str">
        <f>INDEX('Action Cards'!$4:$4,1,($A21*6)-2+E$2)</f>
        <v xml:space="preserve"> Required 
disposable money 1
scale 1
 </v>
      </c>
      <c r="F21" s="1" t="str">
        <f>INDEX('Action Cards'!$4:$4,1,($A21*6)-2+F$2)</f>
        <v xml:space="preserve"> Effects[points,%]
disposable money(-1,12.5),  </v>
      </c>
      <c r="G21" s="1" t="str">
        <f>INDEX('Action Cards'!$4:$4,1,($A21*6)-2+G$2)</f>
        <v xml:space="preserve"> Effs. %
disposable money 12.5
 </v>
      </c>
      <c r="H21" s="1" t="str">
        <f>INDEX('Action Cards'!$4:$4,1,($A21*6)-2+H$2)</f>
        <v xml:space="preserve"> Bonus cond
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I21" s="1" t="str">
        <f>INDEX('Action Cards'!$4:$4,1,($A21*6)-2+I$2)</f>
        <v xml:space="preserve"> B Effs[points,%]
profit-loss(1,6.25), network(1,), local biz(1,6.25), biz group(1,6.25), investors(1,6.25), entrepreneurs(1,6.25),  </v>
      </c>
      <c r="J21" s="1" t="str">
        <f>INDEX('Action Cards'!$4:$4,1,($A21*6)-2+J$2)</f>
        <v xml:space="preserve"> B Effs%
profit-loss(6.25),local biz(6.25),biz group(6.25),investors(6.25),entrepreneurs(6.25), </v>
      </c>
    </row>
    <row r="22" spans="1:10">
      <c r="A22">
        <v>19</v>
      </c>
      <c r="B22" s="1" t="str">
        <f>INDEX('Action Cards'!$2:$2,1,($A22*6)-2)</f>
        <v>Hosting an event introducing the lab to non-profits</v>
      </c>
      <c r="C22" s="3" t="s">
        <v>190</v>
      </c>
      <c r="D22" s="40"/>
      <c r="E22" s="1" t="str">
        <f>INDEX('Action Cards'!$4:$4,1,($A22*6)-2+E$2)</f>
        <v xml:space="preserve"> Required 
disposable money 1
software 1
scale 1
enthusiasm 1
scale 1
enthusiasm 1
network 1
non-profits 1
reputation 1
social project 1
 </v>
      </c>
      <c r="F22" s="1" t="str">
        <f>INDEX('Action Cards'!$4:$4,1,($A22*6)-2+F$2)</f>
        <v xml:space="preserve"> Effects[points,%]
disposable money(-1,25),  </v>
      </c>
      <c r="G22" s="1" t="str">
        <f>INDEX('Action Cards'!$4:$4,1,($A22*6)-2+G$2)</f>
        <v xml:space="preserve"> Effs. %
disposable money 25
 </v>
      </c>
      <c r="H22" s="1" t="str">
        <f>INDEX('Action Cards'!$4:$4,1,($A22*6)-2+H$2)</f>
        <v xml:space="preserve"> Bonus cond
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I22" s="1" t="str">
        <f>INDEX('Action Cards'!$4:$4,1,($A22*6)-2+I$2)</f>
        <v xml:space="preserve"> B Effs[points,%]
field knowledge(1,12.5), network among members(1,12.5), reputation(1,6.25),  </v>
      </c>
      <c r="J22" s="1" t="str">
        <f>INDEX('Action Cards'!$4:$4,1,($A22*6)-2+J$2)</f>
        <v xml:space="preserve"> B Effs%
field knowledge(12.5),network among members(12.5),reputation(6.25), </v>
      </c>
    </row>
    <row r="23" spans="1:10">
      <c r="A23">
        <v>20</v>
      </c>
      <c r="B23" s="1" t="str">
        <f>INDEX('Action Cards'!$2:$2,1,($A23*6)-2)</f>
        <v>Hosting an event introducing the lab to businesses</v>
      </c>
      <c r="C23" s="3" t="s">
        <v>191</v>
      </c>
      <c r="D23" s="40"/>
      <c r="E23" s="1" t="str">
        <f>INDEX('Action Cards'!$4:$4,1,($A23*6)-2+E$2)</f>
        <v xml:space="preserve"> Required 
disposable money 1
scale 1
enthusiasm 1
scale 1
enthusiasm 1
network 1
local biz 1
reputation 1
biz project 1
 </v>
      </c>
      <c r="F23" s="1" t="str">
        <f>INDEX('Action Cards'!$4:$4,1,($A23*6)-2+F$2)</f>
        <v xml:space="preserve"> Effects[points,%]
disposable money(-1,25),  </v>
      </c>
      <c r="G23" s="1" t="str">
        <f>INDEX('Action Cards'!$4:$4,1,($A23*6)-2+G$2)</f>
        <v xml:space="preserve"> Effs. %
disposable money 25
 </v>
      </c>
      <c r="H23" s="1" t="str">
        <f>INDEX('Action Cards'!$4:$4,1,($A23*6)-2+H$2)</f>
        <v xml:space="preserve"> Bonus cond
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I23" s="1" t="str">
        <f>INDEX('Action Cards'!$4:$4,1,($A23*6)-2+I$2)</f>
        <v xml:space="preserve"> B Effs[points,%]
disposable money(1,6.25), field knowledge(1,12.5), network among members(1,12.5), reputation(1,6.25),  </v>
      </c>
      <c r="J23" s="1" t="str">
        <f>INDEX('Action Cards'!$4:$4,1,($A23*6)-2+J$2)</f>
        <v xml:space="preserve"> B Effs%
disposable money(6.25),field knowledge(12.5),network among members(12.5),reputation(6.25), </v>
      </c>
    </row>
    <row r="24" spans="1:10">
      <c r="A24">
        <v>21</v>
      </c>
      <c r="B24" s="1" t="str">
        <f>INDEX('Action Cards'!$2:$2,1,($A24*6)-2)</f>
        <v>Hosting public lecture events with external experts on tech and innovation</v>
      </c>
      <c r="C24" s="3" t="s">
        <v>192</v>
      </c>
      <c r="D24" s="40"/>
      <c r="E24" s="1" t="str">
        <f>INDEX('Action Cards'!$4:$4,1,($A24*6)-2+E$2)</f>
        <v xml:space="preserve"> Required 
disposable money 1
scale 1
enthusiasm 1
scale 1
enthusiasm 1
network 1
reputation 1
 </v>
      </c>
      <c r="F24" s="1" t="str">
        <f>INDEX('Action Cards'!$4:$4,1,($A24*6)-2+F$2)</f>
        <v xml:space="preserve"> Effects[points,%]
disposable money(-1,50),  </v>
      </c>
      <c r="G24" s="1" t="str">
        <f>INDEX('Action Cards'!$4:$4,1,($A24*6)-2+G$2)</f>
        <v xml:space="preserve"> Effs. %
disposable money 50
 </v>
      </c>
      <c r="H24" s="1" t="str">
        <f>INDEX('Action Cards'!$4:$4,1,($A24*6)-2+H$2)</f>
        <v xml:space="preserve"> Bonus cond
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I24" s="1" t="str">
        <f>INDEX('Action Cards'!$4:$4,1,($A24*6)-2+I$2)</f>
        <v xml:space="preserve"> B Effs[points,%]
disposable money(1,6.25), enthusiasm(1,6.25), field knowledge(1,6.25), engineering knowledge(1,6.25), ambition(1,6.25), reputation(1,6.25), for basic literacy(1,6.25),  </v>
      </c>
      <c r="J24" s="1" t="str">
        <f>INDEX('Action Cards'!$4:$4,1,($A24*6)-2+J$2)</f>
        <v xml:space="preserve"> B Effs%
disposable money(6.25),enthusiasm(6.25),field knowledge(6.25),engineering knowledge(6.25),ambition(6.25),reputation(6.25),for basic literacy(6.25), </v>
      </c>
    </row>
    <row r="25" spans="1:10">
      <c r="A25">
        <v>22</v>
      </c>
      <c r="B25" s="1" t="str">
        <f>INDEX('Action Cards'!$2:$2,1,($A25*6)-2)</f>
        <v>Hosting public lecture events with technologists</v>
      </c>
      <c r="C25" s="3" t="s">
        <v>193</v>
      </c>
      <c r="D25" s="40"/>
      <c r="E25" s="1" t="str">
        <f>INDEX('Action Cards'!$4:$4,1,($A25*6)-2+E$2)</f>
        <v xml:space="preserve"> Required 
disposable money 1
scale 1
enthusiasm 1
scale 1
enthusiasm 1
network 1
reputation 1
 </v>
      </c>
      <c r="F25" s="1" t="str">
        <f>INDEX('Action Cards'!$4:$4,1,($A25*6)-2+F$2)</f>
        <v xml:space="preserve"> Effects[points,%]
disposable money(-1,50),  </v>
      </c>
      <c r="G25" s="1" t="str">
        <f>INDEX('Action Cards'!$4:$4,1,($A25*6)-2+G$2)</f>
        <v xml:space="preserve"> Effs. %
disposable money 50
 </v>
      </c>
      <c r="H25" s="1" t="str">
        <f>INDEX('Action Cards'!$4:$4,1,($A25*6)-2+H$2)</f>
        <v xml:space="preserve"> Bonus cond
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I25" s="1" t="str">
        <f>INDEX('Action Cards'!$4:$4,1,($A25*6)-2+I$2)</f>
        <v xml:space="preserve"> B Effs[points,%]
enthusiasm(1,6.25), engineering knowledge(1,6.25), ambition(1,6.25), reputation(1,6.25), for basic literacy(1,6.25),  </v>
      </c>
      <c r="J25" s="1" t="str">
        <f>INDEX('Action Cards'!$4:$4,1,($A25*6)-2+J$2)</f>
        <v xml:space="preserve"> B Effs%
enthusiasm(6.25),engineering knowledge(6.25),ambition(6.25),reputation(6.25),for basic literacy(6.25), </v>
      </c>
    </row>
    <row r="26" spans="1:10">
      <c r="A26">
        <v>23</v>
      </c>
      <c r="B26" s="1" t="str">
        <f>INDEX('Action Cards'!$2:$2,1,($A26*6)-2)</f>
        <v>Hosting intensive tech seminars (web and mobile service)</v>
      </c>
      <c r="C26" s="3" t="s">
        <v>194</v>
      </c>
      <c r="D26" s="40"/>
      <c r="E26" s="1" t="str">
        <f>INDEX('Action Cards'!$4:$4,1,($A26*6)-2+E$2)</f>
        <v xml:space="preserve"> Required 
disposable money 1
scale 2
enthusiasm 2
technologists 1
reputation 1
 </v>
      </c>
      <c r="F26" s="1" t="str">
        <f>INDEX('Action Cards'!$4:$4,1,($A26*6)-2+F$2)</f>
        <v xml:space="preserve"> Effects[points,%]
disposable money(-1,75), web(1,50), mobile apps(1,50), interaction(1,50),  </v>
      </c>
      <c r="G26" s="1" t="str">
        <f>INDEX('Action Cards'!$4:$4,1,($A26*6)-2+G$2)</f>
        <v xml:space="preserve"> Effs. %
disposable money 75
web 50
mobile apps 50
interaction 50
 </v>
      </c>
      <c r="H26" s="1" t="str">
        <f>INDEX('Action Cards'!$4:$4,1,($A26*6)-2+H$2)</f>
        <v xml:space="preserve"> Bonus cond
learning capacities(2), gifted programmer(1), scale(2), enthusiasm(2), seriousness(2), initiative(1), community manager(1), administrator(1), enthusiasm(1), fame(1), network(2), level of understanding(1), technologists(2), ease of access(1), reputation(2), infrastructrue(1), database(1), mobile comm(1), for entrepreneurs(1),  </v>
      </c>
      <c r="I26" s="1" t="str">
        <f>INDEX('Action Cards'!$4:$4,1,($A26*6)-2+I$2)</f>
        <v xml:space="preserve"> B Effs[points,%]
engineering knowledge(1,6.25), technologists(1,12.5), infrastructrue(1,12.5), database(1,12.5), mobile comm(1,12.5), for entrepreneurs(1,6.25),  </v>
      </c>
      <c r="J26" s="1" t="str">
        <f>INDEX('Action Cards'!$4:$4,1,($A26*6)-2+J$2)</f>
        <v xml:space="preserve"> B Effs%
engineering knowledge(6.25),technologists(12.5),infrastructrue(12.5),database(12.5),mobile comm(12.5),for entrepreneurs(6.25), </v>
      </c>
    </row>
    <row r="27" spans="1:10">
      <c r="A27">
        <v>24</v>
      </c>
      <c r="B27" s="1" t="str">
        <f>INDEX('Action Cards'!$2:$2,1,($A27*6)-2)</f>
        <v>Hosting intensive tech seminars (IoT)</v>
      </c>
      <c r="C27" s="3" t="s">
        <v>195</v>
      </c>
      <c r="D27" s="40"/>
      <c r="E27" s="1" t="str">
        <f>INDEX('Action Cards'!$4:$4,1,($A27*6)-2+E$2)</f>
        <v xml:space="preserve"> Required 
disposable money 1
scale 2
enthusiasm 2
technologists 1
reputation 1
 </v>
      </c>
      <c r="F27" s="1" t="str">
        <f>INDEX('Action Cards'!$4:$4,1,($A27*6)-2+F$2)</f>
        <v xml:space="preserve"> Effects[points,%]
disposable money(-1,75), sensors(1,50),  </v>
      </c>
      <c r="G27" s="1" t="str">
        <f>INDEX('Action Cards'!$4:$4,1,($A27*6)-2+G$2)</f>
        <v xml:space="preserve"> Effs. %
disposable money 75
sensors 50
 </v>
      </c>
      <c r="H27" s="1" t="str">
        <f>INDEX('Action Cards'!$4:$4,1,($A27*6)-2+H$2)</f>
        <v xml:space="preserve"> Bonus cond
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I27" s="1" t="str">
        <f>INDEX('Action Cards'!$4:$4,1,($A27*6)-2+I$2)</f>
        <v xml:space="preserve"> B Effs[points,%]
engineering knowledge(1,6.25), technologists(1,12.5), infrastructrue(1,12.5), database(1,12.5), mobile comm(1,12.5), electronics(1,6.25), for entrepreneurs(1,6.25),  </v>
      </c>
      <c r="J27" s="1" t="str">
        <f>INDEX('Action Cards'!$4:$4,1,($A27*6)-2+J$2)</f>
        <v xml:space="preserve"> B Effs%
engineering knowledge(6.25),technologists(12.5),infrastructrue(12.5),database(12.5),mobile comm(12.5),electronics(6.25),for entrepreneurs(6.25), </v>
      </c>
    </row>
    <row r="28" spans="1:10">
      <c r="A28">
        <v>25</v>
      </c>
      <c r="B28" s="1" t="str">
        <f>INDEX('Action Cards'!$2:$2,1,($A28*6)-2)</f>
        <v>Hosting intensive tech seminars (AI)</v>
      </c>
      <c r="C28" s="3" t="s">
        <v>196</v>
      </c>
      <c r="D28" s="40"/>
      <c r="E28" s="1" t="str">
        <f>INDEX('Action Cards'!$4:$4,1,($A28*6)-2+E$2)</f>
        <v xml:space="preserve"> Required 
disposable money 1
software 1
servers 1
scale 2
enthusiasm 2
technologists 1
 </v>
      </c>
      <c r="F28" s="1" t="str">
        <f>INDEX('Action Cards'!$4:$4,1,($A28*6)-2+F$2)</f>
        <v xml:space="preserve"> Effects[points,%]
disposable money(-1,75), AI&amp; data analysis(1,50),  </v>
      </c>
      <c r="G28" s="1" t="str">
        <f>INDEX('Action Cards'!$4:$4,1,($A28*6)-2+G$2)</f>
        <v xml:space="preserve"> Effs. %
disposable money 75
AI&amp; data analysis 50
 </v>
      </c>
      <c r="H28" s="1" t="str">
        <f>INDEX('Action Cards'!$4:$4,1,($A28*6)-2+H$2)</f>
        <v xml:space="preserve"> Bonus cond
learning capacities(2), gifted programmer(1), scale(2), enthusiasm(2), seriousness(2), initiative(1), community manager(1), administrator(1), enthusiasm(1), fame(1), network(2), level of understanding(1), technologists(2), ease of access(1), reputation(2), database(1), sensors(1), mobile comm(1), for entrepreneurs(1),  </v>
      </c>
      <c r="I28" s="1" t="str">
        <f>INDEX('Action Cards'!$4:$4,1,($A28*6)-2+I$2)</f>
        <v xml:space="preserve"> B Effs[points,%]
engineering knowledge(1,6.25), technologists(1,12.5), database(1,12.5), sensors(1,12.5), mobile comm(1,12.5), for entrepreneurs(1,6.25),  </v>
      </c>
      <c r="J28" s="1" t="str">
        <f>INDEX('Action Cards'!$4:$4,1,($A28*6)-2+J$2)</f>
        <v xml:space="preserve"> B Effs%
engineering knowledge(6.25),technologists(12.5),database(12.5),sensors(12.5),mobile comm(12.5),for entrepreneurs(6.25), </v>
      </c>
    </row>
    <row r="29" spans="1:10">
      <c r="A29">
        <v>26</v>
      </c>
      <c r="B29" s="1" t="str">
        <f>INDEX('Action Cards'!$2:$2,1,($A29*6)-2)</f>
        <v>Hosting intensive tech seminars (fintech)</v>
      </c>
      <c r="C29" s="3" t="s">
        <v>197</v>
      </c>
      <c r="D29" s="40"/>
      <c r="E29" s="1" t="str">
        <f>INDEX('Action Cards'!$4:$4,1,($A29*6)-2+E$2)</f>
        <v xml:space="preserve"> Required 
disposable money 1
software 1
servers 1
scale 2
enthusiasm 2
technologists 1
 </v>
      </c>
      <c r="F29" s="1" t="str">
        <f>INDEX('Action Cards'!$4:$4,1,($A29*6)-2+F$2)</f>
        <v xml:space="preserve"> Effects[points,%]
disposable money(-1,75), law(1,50), security(1,50), interaction(1,25),  </v>
      </c>
      <c r="G29" s="1" t="str">
        <f>INDEX('Action Cards'!$4:$4,1,($A29*6)-2+G$2)</f>
        <v xml:space="preserve"> Effs. %
disposable money 75
law 50
security 50
interaction 25
 </v>
      </c>
      <c r="H29" s="1" t="str">
        <f>INDEX('Action Cards'!$4:$4,1,($A29*6)-2+H$2)</f>
        <v xml:space="preserve"> Bonus cond
learning capacities(2), gifted programmer(1), scale(2), enthusiasm(2), seriousness(2), initiative(1), community manager(1), administrator(1), enthusiasm(1), fame(1), network(2), level of understanding(1), technologists(2), ease of access(1), reputation(2), law(2), for entrepreneurs(1),  </v>
      </c>
      <c r="I29" s="1" t="str">
        <f>INDEX('Action Cards'!$4:$4,1,($A29*6)-2+I$2)</f>
        <v xml:space="preserve"> B Effs[points,%]
field knowledge(1,6.25), engineering knowledge(1,6.25), technologists(1,12.5), law(1,6.25), database(1,12.5), mobile apps(1,12.5), security(1,12.5), mobile comm(1,12.5), for entrepreneurs(1,6.25),  </v>
      </c>
      <c r="J29" s="1" t="str">
        <f>INDEX('Action Cards'!$4:$4,1,($A29*6)-2+J$2)</f>
        <v xml:space="preserve"> B Effs%
field knowledge(6.25),engineering knowledge(6.25),technologists(12.5),law(6.25),database(12.5),mobile apps(12.5),security(12.5),mobile comm(12.5),for entrepreneurs(6.25), </v>
      </c>
    </row>
    <row r="30" spans="1:10">
      <c r="A30">
        <v>27</v>
      </c>
      <c r="B30" s="1" t="str">
        <f>INDEX('Action Cards'!$2:$2,1,($A30*6)-2)</f>
        <v>Hosting intensive tech seminars (health tech)</v>
      </c>
      <c r="C30" s="3" t="s">
        <v>198</v>
      </c>
      <c r="D30" s="40"/>
      <c r="E30" s="1" t="str">
        <f>INDEX('Action Cards'!$4:$4,1,($A30*6)-2+E$2)</f>
        <v xml:space="preserve"> Required 
disposable money 1
software 1
servers 1
scale 2
enthusiasm 2
technologists 1
 </v>
      </c>
      <c r="F30" s="1" t="str">
        <f>INDEX('Action Cards'!$4:$4,1,($A30*6)-2+F$2)</f>
        <v xml:space="preserve"> Effects[points,%]
disposable money(-1,75), law(1,50), sensors(1,50), security(1,50),  </v>
      </c>
      <c r="G30" s="1" t="str">
        <f>INDEX('Action Cards'!$4:$4,1,($A30*6)-2+G$2)</f>
        <v xml:space="preserve"> Effs. %
disposable money 75
law 50
sensors 50
security 50
 </v>
      </c>
      <c r="H30" s="1" t="str">
        <f>INDEX('Action Cards'!$4:$4,1,($A30*6)-2+H$2)</f>
        <v xml:space="preserve"> Bonus cond
learning capacities(2), gifted programmer(1), scale(2), enthusiasm(2), seriousness(2), initiative(1), community manager(1), administrator(1), enthusiasm(1), fame(1), network(2), level of understanding(1), technologists(2), ease of access(1), reputation(2), law(2), project management(2), for entrepreneurs(1),  </v>
      </c>
      <c r="I30" s="1" t="str">
        <f>INDEX('Action Cards'!$4:$4,1,($A30*6)-2+I$2)</f>
        <v xml:space="preserve"> B Effs[points,%]
field knowledge(1,6.25), engineering knowledge(1,6.25), technologists(1,12.5), law(1,6.25), database(1,6.25), mobile apps(1,6.25), AI&amp; data analysis(1,6.25), mobile comm(1,6.25), for entrepreneurs(1,6.25),  </v>
      </c>
      <c r="J30" s="1" t="str">
        <f>INDEX('Action Cards'!$4:$4,1,($A30*6)-2+J$2)</f>
        <v xml:space="preserve"> B Effs%
field knowledge(6.25),engineering knowledge(6.25),technologists(12.5),law(6.25),database(6.25),mobile apps(6.25),AI&amp; data analysis(6.25),mobile comm(6.25),for entrepreneurs(6.25), </v>
      </c>
    </row>
    <row r="31" spans="1:10">
      <c r="A31">
        <v>28</v>
      </c>
      <c r="B31" s="1" t="str">
        <f>INDEX('Action Cards'!$2:$2,1,($A31*6)-2)</f>
        <v>Hosting intensive tech seminars (materials processing)</v>
      </c>
      <c r="C31" s="3" t="s">
        <v>199</v>
      </c>
      <c r="D31" s="40"/>
      <c r="E31" s="1" t="str">
        <f>INDEX('Action Cards'!$4:$4,1,($A31*6)-2+E$2)</f>
        <v xml:space="preserve"> Required 
disposable money 1
software 1
servers 1
scale 2
enthusiasm 2
technologists 1
 </v>
      </c>
      <c r="F31" s="1" t="str">
        <f>INDEX('Action Cards'!$4:$4,1,($A31*6)-2+F$2)</f>
        <v xml:space="preserve"> Effects[points,%]
disposable money(-1,100), wood processing(1,25), metal processing(1,25), plastic processing(1,25), fabric(1,25), safety(1,25), interaction(1,25),  </v>
      </c>
      <c r="G31" s="1" t="str">
        <f>INDEX('Action Cards'!$4:$4,1,($A31*6)-2+G$2)</f>
        <v xml:space="preserve"> Effs. %
disposable money 100
project management 2
wood processing 25
metal processing 25
plastic processing 25
fabric 25
safety 25
interaction 25
 </v>
      </c>
      <c r="H31" s="1" t="str">
        <f>INDEX('Action Cards'!$4:$4,1,($A31*6)-2+H$2)</f>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I31" s="1" t="str">
        <f>INDEX('Action Cards'!$4:$4,1,($A31*6)-2+I$2)</f>
        <v xml:space="preserve"> B Effs[points,%]
field knowledge(1,6.25), engineering knowledge(1,6.25), technologists(1,12.5), for entrepreneurs(1,6.25),  </v>
      </c>
      <c r="J31" s="1" t="str">
        <f>INDEX('Action Cards'!$4:$4,1,($A31*6)-2+J$2)</f>
        <v xml:space="preserve"> B Effs%
field knowledge(6.25),engineering knowledge(6.25),technologists(12.5),for entrepreneurs(6.25), </v>
      </c>
    </row>
    <row r="32" spans="1:10">
      <c r="A32">
        <v>29</v>
      </c>
      <c r="B32" s="1" t="str">
        <f>INDEX('Action Cards'!$2:$2,1,($A32*6)-2)</f>
        <v>Hosting intensive tech seminars (ed tech)</v>
      </c>
      <c r="C32" s="3" t="s">
        <v>200</v>
      </c>
      <c r="D32" s="40"/>
      <c r="E32" s="1" t="str">
        <f>INDEX('Action Cards'!$4:$4,1,($A32*6)-2+E$2)</f>
        <v xml:space="preserve"> Required 
disposable money 1
software 1
servers 1
scale 2
enthusiasm 2
technologists 1
 </v>
      </c>
      <c r="F32" s="1" t="str">
        <f>INDEX('Action Cards'!$4:$4,1,($A32*6)-2+F$2)</f>
        <v xml:space="preserve"> Effects[points,%]
disposable money(-1,75), web(1,25), mobile apps(1,50), functions(1,25), interaction(1,25),  </v>
      </c>
      <c r="G32" s="1" t="str">
        <f>INDEX('Action Cards'!$4:$4,1,($A32*6)-2+G$2)</f>
        <v xml:space="preserve"> Effs. %
disposable money 75
web 25
mobile apps 50
functions 25
interaction 25
 </v>
      </c>
      <c r="H32" s="1" t="str">
        <f>INDEX('Action Cards'!$4:$4,1,($A32*6)-2+H$2)</f>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I32" s="1" t="str">
        <f>INDEX('Action Cards'!$4:$4,1,($A32*6)-2+I$2)</f>
        <v xml:space="preserve"> B Effs[points,%]
field knowledge(1,6.25), engineering knowledge(1,6.25), technologists(1,12.5), for entrepreneurs(1,6.25),  </v>
      </c>
      <c r="J32" s="1" t="str">
        <f>INDEX('Action Cards'!$4:$4,1,($A32*6)-2+J$2)</f>
        <v xml:space="preserve"> B Effs%
field knowledge(6.25),engineering knowledge(6.25),technologists(12.5),for entrepreneurs(6.25), </v>
      </c>
    </row>
    <row r="33" spans="1:10">
      <c r="A33">
        <v>30</v>
      </c>
      <c r="B33" s="1" t="str">
        <f>INDEX('Action Cards'!$2:$2,1,($A33*6)-2)</f>
        <v>Hosting intensive tech seminars (agri tech)</v>
      </c>
      <c r="C33" s="3" t="s">
        <v>201</v>
      </c>
      <c r="D33" s="40" t="s">
        <v>167</v>
      </c>
      <c r="E33" s="1" t="str">
        <f>INDEX('Action Cards'!$4:$4,1,($A33*6)-2+E$2)</f>
        <v xml:space="preserve"> Required 
disposable money 1
software 1
servers 1
scale 2
enthusiasm 2
technologists 1
 </v>
      </c>
      <c r="F33" s="1" t="str">
        <f>INDEX('Action Cards'!$4:$4,1,($A33*6)-2+F$2)</f>
        <v xml:space="preserve"> Effects[points,%]
disposable money(-1,100), mobile apps(1,50), sensors(1,50), wood processing(1,25), plastic processing(1,25), electronics(1,25), functions(1,25), interaction(1,25),  </v>
      </c>
      <c r="G33" s="1" t="str">
        <f>INDEX('Action Cards'!$4:$4,1,($A33*6)-2+G$2)</f>
        <v xml:space="preserve"> Effs. %
disposable money 100
mobile apps 50
sensors 50
wood processing 25
plastic processing 25
electronics 25
functions 25
interaction 25
 </v>
      </c>
      <c r="H33" s="1" t="str">
        <f>INDEX('Action Cards'!$4:$4,1,($A33*6)-2+H$2)</f>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I33" s="1" t="str">
        <f>INDEX('Action Cards'!$4:$4,1,($A33*6)-2+I$2)</f>
        <v xml:space="preserve"> B Effs[points,%]
field knowledge(1,6.25), engineering knowledge(1,6.25), technologists(1,12.5), web(1,6.25), database(1,6.25), AI&amp; data analysis(1,6.25), mobile comm(1,6.25), for entrepreneurs(1,6.25),  </v>
      </c>
      <c r="J33" s="1" t="str">
        <f>INDEX('Action Cards'!$4:$4,1,($A33*6)-2+J$2)</f>
        <v xml:space="preserve"> B Effs%
field knowledge(6.25),engineering knowledge(6.25),technologists(12.5),web(6.25),database(6.25),AI&amp; data analysis(6.25),mobile comm(6.25),for entrepreneurs(6.25), </v>
      </c>
    </row>
    <row r="34" spans="1:10">
      <c r="A34">
        <v>31</v>
      </c>
      <c r="B34" s="1" t="str">
        <f>INDEX('Action Cards'!$2:$2,1,($A34*6)-2)</f>
        <v>Hosting intensive tech seminars (smart home appliances)</v>
      </c>
      <c r="C34" s="3" t="s">
        <v>202</v>
      </c>
      <c r="D34" s="40"/>
      <c r="E34" s="1" t="str">
        <f>INDEX('Action Cards'!$4:$4,1,($A34*6)-2+E$2)</f>
        <v xml:space="preserve"> Required 
disposable money 1
software 1
servers 1
scale 2
enthusiasm 2
technologists 1
 </v>
      </c>
      <c r="F34" s="1" t="str">
        <f>INDEX('Action Cards'!$4:$4,1,($A34*6)-2+F$2)</f>
        <v xml:space="preserve"> Effects[points,%]
disposable money(-1,75), sensors(1,25), mobile comm(1,25), electronics(1,50), functions(1,25), safety(1,25),  </v>
      </c>
      <c r="G34" s="1" t="str">
        <f>INDEX('Action Cards'!$4:$4,1,($A34*6)-2+G$2)</f>
        <v xml:space="preserve"> Effs. %
disposable money 75
sensors 25
mobile comm 25
electronics 50
functions 25
safety 25
 </v>
      </c>
      <c r="H34" s="1" t="str">
        <f>INDEX('Action Cards'!$4:$4,1,($A34*6)-2+H$2)</f>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I34" s="1" t="str">
        <f>INDEX('Action Cards'!$4:$4,1,($A34*6)-2+I$2)</f>
        <v xml:space="preserve"> B Effs[points,%]
field knowledge(1,6.25), engineering knowledge(1,6.25), technologists(1,12.5), database(1,6.25), mobile apps(1,6.25), AI&amp; data analysis(1,6.25), plastic processing(1,6.25), interaction(1,6.25), for entrepreneurs(1,6.25),  </v>
      </c>
      <c r="J34" s="1" t="str">
        <f>INDEX('Action Cards'!$4:$4,1,($A34*6)-2+J$2)</f>
        <v xml:space="preserve"> B Effs%
field knowledge(6.25),engineering knowledge(6.25),technologists(12.5),database(6.25),mobile apps(6.25),AI&amp; data analysis(6.25),plastic processing(6.25),interaction(6.25),for entrepreneurs(6.25), </v>
      </c>
    </row>
    <row r="35" spans="1:10">
      <c r="A35">
        <v>32</v>
      </c>
      <c r="B35" s="1" t="str">
        <f>INDEX('Action Cards'!$2:$2,1,($A35*6)-2)</f>
        <v>Hosting letensive tech seminars (smart office furnitures)</v>
      </c>
      <c r="C35" s="3" t="s">
        <v>203</v>
      </c>
      <c r="D35" s="40"/>
      <c r="E35" s="1" t="str">
        <f>INDEX('Action Cards'!$4:$4,1,($A35*6)-2+E$2)</f>
        <v xml:space="preserve"> Required 
disposable money 1
software 1
servers 1
scale 2
enthusiasm 2
technologists 1
 </v>
      </c>
      <c r="F35" s="1" t="str">
        <f>INDEX('Action Cards'!$4:$4,1,($A35*6)-2+F$2)</f>
        <v xml:space="preserve"> Effects[points,%]
disposable money(-1,75), web(1,25), mobile apps(1,50), functions(1,25), interaction(1,25),  </v>
      </c>
      <c r="G35" s="1" t="str">
        <f>INDEX('Action Cards'!$4:$4,1,($A35*6)-2+G$2)</f>
        <v xml:space="preserve"> Effs. %
disposable money 75
web 25
mobile apps 50
functions 25
interaction 25
 </v>
      </c>
      <c r="H35" s="1" t="str">
        <f>INDEX('Action Cards'!$4:$4,1,($A35*6)-2+H$2)</f>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I35" s="1" t="str">
        <f>INDEX('Action Cards'!$4:$4,1,($A35*6)-2+I$2)</f>
        <v xml:space="preserve"> B Effs[points,%]
field knowledge(1,6.25), engineering knowledge(1,6.25), technologists(1,12.5), for entrepreneurs(1,6.25),  </v>
      </c>
      <c r="J35" s="1" t="str">
        <f>INDEX('Action Cards'!$4:$4,1,($A35*6)-2+J$2)</f>
        <v xml:space="preserve"> B Effs%
field knowledge(6.25),engineering knowledge(6.25),technologists(12.5),for entrepreneurs(6.25), </v>
      </c>
    </row>
    <row r="36" spans="1:10">
      <c r="A36">
        <v>33</v>
      </c>
      <c r="B36" s="1" t="str">
        <f>INDEX('Action Cards'!$2:$2,1,($A36*6)-2)</f>
        <v>Hosting intensive tech seminars (User Interface&amp; User Experience)</v>
      </c>
      <c r="C36" s="3" t="s">
        <v>204</v>
      </c>
      <c r="D36" s="40"/>
      <c r="E36" s="1" t="str">
        <f>INDEX('Action Cards'!$4:$4,1,($A36*6)-2+E$2)</f>
        <v xml:space="preserve"> Required 
disposable money 1
software 1
servers 1
scale 2
enthusiasm 2
technologists 1
 </v>
      </c>
      <c r="F36" s="1" t="str">
        <f>INDEX('Action Cards'!$4:$4,1,($A36*6)-2+F$2)</f>
        <v xml:space="preserve"> Effects[points,%]
disposable money(-1,75), web(1,25), mobile apps(1,25), VR&amp;AR(1,25), aesthetics(1,25), functions(1,25), interaction(1,50),  </v>
      </c>
      <c r="G36" s="1" t="str">
        <f>INDEX('Action Cards'!$4:$4,1,($A36*6)-2+G$2)</f>
        <v xml:space="preserve"> Effs. %
disposable money 75
web 25
mobile apps 25
VR&amp;AR 25
aesthetics 25
functions 25
interaction 50
 </v>
      </c>
      <c r="H36" s="1" t="str">
        <f>INDEX('Action Cards'!$4:$4,1,($A36*6)-2+H$2)</f>
        <v xml:space="preserve"> Bonus cond
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I36" s="1" t="str">
        <f>INDEX('Action Cards'!$4:$4,1,($A36*6)-2+I$2)</f>
        <v xml:space="preserve"> B Effs[points,%]
field knowledge(1,6.25), technologists(1,12.5), for entrepreneurs(1,6.25),  </v>
      </c>
      <c r="J36" s="1" t="str">
        <f>INDEX('Action Cards'!$4:$4,1,($A36*6)-2+J$2)</f>
        <v xml:space="preserve"> B Effs%
field knowledge(6.25),technologists(12.5),for entrepreneurs(6.25), </v>
      </c>
    </row>
    <row r="37" spans="1:10">
      <c r="A37">
        <v>34</v>
      </c>
      <c r="B37" s="1" t="str">
        <f>INDEX('Action Cards'!$2:$2,1,($A37*6)-2)</f>
        <v>Organizing an innovation contest (mobile app)</v>
      </c>
      <c r="C37" s="3" t="s">
        <v>205</v>
      </c>
      <c r="D37" s="40"/>
      <c r="E37" s="1" t="str">
        <f>INDEX('Action Cards'!$4:$4,1,($A37*6)-2+E$2)</f>
        <v xml:space="preserve"> Required 
disposable money 2
software 1
servers 2
scale 3
scale 2
ease of access 1
reputation 2
web 1
mobile apps 1
mobile comm 1
 </v>
      </c>
      <c r="F37" s="1" t="str">
        <f>INDEX('Action Cards'!$4:$4,1,($A37*6)-2+F$2)</f>
        <v xml:space="preserve"> Effects[points,%]
disposable money(-2,100), software(1,),  </v>
      </c>
      <c r="G37" s="1" t="str">
        <f>INDEX('Action Cards'!$4:$4,1,($A37*6)-2+G$2)</f>
        <v xml:space="preserve"> Effs. %
disposable money 100
 </v>
      </c>
      <c r="H37" s="1" t="str">
        <f>INDEX('Action Cards'!$4:$4,1,($A37*6)-2+H$2)</f>
        <v xml:space="preserve"> Bonus cond
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I37" s="1" t="str">
        <f>INDEX('Action Cards'!$4:$4,1,($A37*6)-2+I$2)</f>
        <v xml:space="preserve"> B Effs[points,%]
disposable money(1,6.25), 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J37" s="1" t="str">
        <f>INDEX('Action Cards'!$4:$4,1,($A37*6)-2+J$2)</f>
        <v xml:space="preserve"> B Effs%
disposable money(6.25),scale(6.25),enthusiasm(12.5),learning capacities(6.25),field knowledge(6.25),engineering knowledge(6.25),network among members(6.25),gifted leader(6.25),gifted programmer(6.25),enthusiasm(6.25),media(6.25),entrepreneurs(6.25),technologists(6.25),project management(6.25),social media(6.25),web(6.25),mobile apps(6.25), </v>
      </c>
    </row>
    <row r="38" spans="1:10">
      <c r="A38">
        <v>35</v>
      </c>
      <c r="B38" s="1" t="str">
        <f>INDEX('Action Cards'!$2:$2,1,($A38*6)-2)</f>
        <v>Demo events at schools</v>
      </c>
      <c r="C38" s="3" t="s">
        <v>206</v>
      </c>
      <c r="D38" s="40"/>
      <c r="E38" s="1" t="str">
        <f>INDEX('Action Cards'!$4:$4,1,($A38*6)-2+E$2)</f>
        <v xml:space="preserve"> Required 
disposable money 1
software 1
plastic 1
electronics 1
fabric 1
scale 2
enthusiasm 2
scale 2
enthusiasm 2
network 1
govt 1
non-profits 1
reputation 2
portfolio 1
 </v>
      </c>
      <c r="F38" s="1" t="str">
        <f>INDEX('Action Cards'!$4:$4,1,($A38*6)-2+F$2)</f>
        <v xml:space="preserve"> Effects[points,%]
disposable money(-1,100),  </v>
      </c>
      <c r="G38" s="1" t="str">
        <f>INDEX('Action Cards'!$4:$4,1,($A38*6)-2+G$2)</f>
        <v xml:space="preserve"> Effs. %
disposable money 100
 </v>
      </c>
      <c r="H38" s="1" t="str">
        <f>INDEX('Action Cards'!$4:$4,1,($A38*6)-2+H$2)</f>
        <v xml:space="preserve"> Bonus cond
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I38" s="1" t="str">
        <f>INDEX('Action Cards'!$4:$4,1,($A38*6)-2+I$2)</f>
        <v xml:space="preserve"> B Effs[points,%]
scale(1,6.25), enthusiasm(1,6.25), learning capacities(1,6.25), field knowledge(1,6.25), enthusiasm(1,6.25), media(1,6.25), technologists(1,6.25), non-profits(1,6.25), reputation(1,6.25), start-up with customers(1,6.25), for basic literacy(1,6.25),  </v>
      </c>
      <c r="J38" s="1" t="str">
        <f>INDEX('Action Cards'!$4:$4,1,($A38*6)-2+J$2)</f>
        <v xml:space="preserve"> B Effs%
scale(6.25),enthusiasm(6.25),learning capacities(6.25),field knowledge(6.25),enthusiasm(6.25),media(6.25),technologists(6.25),non-profits(6.25),reputation(6.25),start-up with customers(6.25),for basic literacy(6.25), </v>
      </c>
    </row>
    <row r="39" spans="1:10">
      <c r="A39">
        <v>36</v>
      </c>
      <c r="B39" s="1" t="str">
        <f>INDEX('Action Cards'!$2:$2,1,($A39*6)-2)</f>
        <v>Running workshops at schools</v>
      </c>
      <c r="C39" s="3" t="s">
        <v>207</v>
      </c>
      <c r="D39" s="40"/>
      <c r="E39" s="1" t="str">
        <f>INDEX('Action Cards'!$4:$4,1,($A39*6)-2+E$2)</f>
        <v xml:space="preserve"> Required 
disposable money 1
 </v>
      </c>
      <c r="F39" s="1" t="str">
        <f>INDEX('Action Cards'!$4:$4,1,($A39*6)-2+F$2)</f>
        <v xml:space="preserve"> Effects[points,%]
disposable money(-1,100), scale(2,), enthusiasm(2,),  </v>
      </c>
      <c r="G39" s="1" t="str">
        <f>INDEX('Action Cards'!$4:$4,1,($A39*6)-2+G$2)</f>
        <v xml:space="preserve"> Effs. %
disposable money 100
 </v>
      </c>
      <c r="H39" s="1" t="str">
        <f>INDEX('Action Cards'!$4:$4,1,($A39*6)-2+H$2)</f>
        <v xml:space="preserve"> Bonus cond
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I39" s="1" t="str">
        <f>INDEX('Action Cards'!$4:$4,1,($A39*6)-2+I$2)</f>
        <v xml:space="preserve"> B Effs[points,%]
scale(1,6.25), enthusiasm(1,6.25), learning capacities(1,6.25), network among members(1,6.25), enthusiasm(1,6.25), fun-ness(1,6.25), seriousness(1,6.25), govt(1,6.25), media(1,6.25), non-profits(1,6.25), start-up with customers(1,6.25),  </v>
      </c>
      <c r="J39" s="1" t="str">
        <f>INDEX('Action Cards'!$4:$4,1,($A39*6)-2+J$2)</f>
        <v xml:space="preserve"> B Effs%
scale(6.25),enthusiasm(6.25),learning capacities(6.25),network among members(6.25),enthusiasm(6.25),fun-ness(6.25),seriousness(6.25),govt(6.25),media(6.25),non-profits(6.25),start-up with customers(6.25), </v>
      </c>
    </row>
    <row r="40" spans="1:10">
      <c r="A40">
        <v>37</v>
      </c>
      <c r="B40" s="1" t="str">
        <f>INDEX('Action Cards'!$2:$2,1,($A40*6)-2)</f>
        <v>Celebrate lab's achievements with a party</v>
      </c>
      <c r="C40" s="3" t="s">
        <v>208</v>
      </c>
      <c r="D40" s="40"/>
      <c r="E40" s="1" t="str">
        <f>INDEX('Action Cards'!$4:$4,1,($A40*6)-2+E$2)</f>
        <v xml:space="preserve"> Required 
disposable money 2
scale 2
scale 2
community manager 1
PR 1
administrator 1
local biz 1
entrepreneurs 1
non-profits 1
reputation 2
portfolio 2
 </v>
      </c>
      <c r="F40" s="1" t="str">
        <f>INDEX('Action Cards'!$4:$4,1,($A40*6)-2+F$2)</f>
        <v xml:space="preserve"> Effects[points,%]
disposable money(-1,100), scale(1,25), enthusiasm(1,25), network among members(1,25), scale(1,25), enthusiasm(1,25), ambition(1,25), fun-ness(1,25), seriousness(1,25),  </v>
      </c>
      <c r="G40" s="1" t="str">
        <f>INDEX('Action Cards'!$4:$4,1,($A40*6)-2+G$2)</f>
        <v xml:space="preserve"> Effs. %
disposable money 100
scale 25
enthusiasm 25
network among members 25
scale 25
enthusiasm 25
ambition 25
fun-ness 25
seriousness 25
 </v>
      </c>
      <c r="H40" s="1" t="str">
        <f>INDEX('Action Cards'!$4:$4,1,($A40*6)-2+H$2)</f>
        <v xml:space="preserve"> Bonus cond
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I40" s="1" t="str">
        <f>INDEX('Action Cards'!$4:$4,1,($A40*6)-2+I$2)</f>
        <v xml:space="preserve"> B Effs[points,%]
disposable money(1,6.25), scale(1,6.25), enthusiasm(1,6.25), enthusiasm(1,6.25), fun-ness(1,6.25), enthusiasm(1,6.25), level of understanding(1,6.25), local biz(1,6.25), biz group(1,6.25), govt(1,6.25), investors(1,6.25), media(1,6.25), entrepreneurs(1,6.25), technologists(1,6.25), suppliers(1,6.25), non-profits(1,6.25), reputation(1,6.25),  </v>
      </c>
      <c r="J40" s="1" t="str">
        <f>INDEX('Action Cards'!$4:$4,1,($A40*6)-2+J$2)</f>
        <v xml:space="preserve"> B Effs%
disposable money(6.25),scale(6.25),enthusiasm(6.25),enthusiasm(6.25),fun-ness(6.25),enthusiasm(6.25),level of understanding(6.25),local biz(6.25),biz group(6.25),govt(6.25),investors(6.25),media(6.25),entrepreneurs(6.25),technologists(6.25),suppliers(6.25),non-profits(6.25),reputation(6.25), </v>
      </c>
    </row>
    <row r="41" spans="1:10">
      <c r="A41">
        <v>38</v>
      </c>
      <c r="B41" s="1" t="str">
        <f>INDEX('Action Cards'!$2:$2,1,($A41*6)-2)</f>
        <v>Participating in exhibitions</v>
      </c>
      <c r="C41" s="3" t="s">
        <v>209</v>
      </c>
      <c r="D41" s="40"/>
      <c r="E41" s="1" t="str">
        <f>INDEX('Action Cards'!$4:$4,1,($A41*6)-2+E$2)</f>
        <v xml:space="preserve"> Required 
disposable money(2),software(1),servers(1),wood(1),metal(1),plastic(1),electronics(1),scale(2),enthusiasm(2),engineering knowledge(2),scale(2),enthusiasm(2),reputation(2),portfolio(2),mobile apps(1),sensors(1),wood processing(1),aesthetics(1), </v>
      </c>
      <c r="F41" s="1" t="str">
        <f>INDEX('Action Cards'!$4:$4,1,($A41*6)-2+F$2)</f>
        <v xml:space="preserve"> Effects[points,%]
disposable money(-1), </v>
      </c>
      <c r="G41" s="1" t="str">
        <f>INDEX('Action Cards'!$4:$4,1,($A41*6)-2+G$2)</f>
        <v xml:space="preserve"> Effs. %
disposable money(100), </v>
      </c>
      <c r="H41" s="1" t="str">
        <f>INDEX('Action Cards'!$4:$4,1,($A41*6)-2+H$2)</f>
        <v xml:space="preserve"> Bonus cond
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I41" s="1" t="str">
        <f>INDEX('Action Cards'!$4:$4,1,($A41*6)-2+I$2)</f>
        <v xml:space="preserve"> B Effs[points,%]
gifted programmer(1),local biz(1),biz group(1),govt(1),investors(1),media(1),entrepreneurs(1),technologists(1),suppliers(1),non-profits(1),reputation(1), </v>
      </c>
      <c r="J41" s="1" t="str">
        <f>INDEX('Action Cards'!$4:$4,1,($A41*6)-2+J$2)</f>
        <v xml:space="preserve"> B Effs%
gifted programmer(6.25),local biz(6.25),biz group(6.25),govt(6.25),investors(6.25),media(6.25),entrepreneurs(6.25),technologists(12.5),suppliers(6.25),non-profits(6.25),reputation(6.25), </v>
      </c>
    </row>
    <row r="42" spans="1:10">
      <c r="A42">
        <v>39</v>
      </c>
      <c r="B42" s="1" t="str">
        <f>INDEX('Action Cards'!$2:$2,1,($A42*6)-2)</f>
        <v>Leads a group to improve a local marketplace</v>
      </c>
      <c r="C42" s="3" t="s">
        <v>210</v>
      </c>
      <c r="D42" s="40"/>
      <c r="E42" s="1" t="str">
        <f>INDEX('Action Cards'!$4:$4,1,($A42*6)-2+E$2)</f>
        <v xml:space="preserve"> Required 
disposable money(2),software(2),servers(2),wood(2),plastic(2),electronics(2),fabric(1),scale(2),enthusiasm(2),field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F42" s="1" t="str">
        <f>INDEX('Action Cards'!$4:$4,1,($A42*6)-2+F$2)</f>
        <v xml:space="preserve"> Effects[points,%]
disposable money(-1),biz enhancement(1), </v>
      </c>
      <c r="G42" s="1" t="str">
        <f>INDEX('Action Cards'!$4:$4,1,($A42*6)-2+G$2)</f>
        <v xml:space="preserve"> Effs. %
disposable money(100),biz enhancement(100), </v>
      </c>
      <c r="H42" s="1" t="str">
        <f>INDEX('Action Cards'!$4:$4,1,($A42*6)-2+H$2)</f>
        <v xml:space="preserve"> Bonus cond
community manager(1),PR(1),finance(1),administrator(1),enthusiasm(2),network(2),ambition(2),knowledge(2),spaciousness(2),ease of access(3),efficiency(2),portfolio(4),finance(2),business model(2),marketing(3),team building(2),project management(2),social media(3),negotiation(3), </v>
      </c>
      <c r="I42" s="1" t="str">
        <f>INDEX('Action Cards'!$4:$4,1,($A42*6)-2+I$2)</f>
        <v xml:space="preserve"> B Effs[points,%]
disposable money(1),scale(1),enthusiasm(1),field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J42" s="1" t="str">
        <f>INDEX('Action Cards'!$4:$4,1,($A42*6)-2+J$2)</f>
        <v xml:space="preserve"> B Effs%
disposable money(6.25),scale(6.25),enthusiasm(6.25),field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row>
    <row r="43" spans="1:10">
      <c r="A43">
        <v>40</v>
      </c>
      <c r="B43" s="1" t="str">
        <f>INDEX('Action Cards'!$2:$2,1,($A43*6)-2)</f>
        <v>Match up lab members with advanced programmers</v>
      </c>
      <c r="C43" s="3" t="s">
        <v>211</v>
      </c>
      <c r="D43" s="40"/>
      <c r="E43" s="1" t="str">
        <f>INDEX('Action Cards'!$4:$4,1,($A43*6)-2+E$2)</f>
        <v xml:space="preserve"> Required 
disposable money(1),software(2),servers(2),scale(2),enthusiasm(2),engineering knowledge(1),scale(1),technologists(2), </v>
      </c>
      <c r="F43" s="1" t="str">
        <f>INDEX('Action Cards'!$4:$4,1,($A43*6)-2+F$2)</f>
        <v xml:space="preserve"> Effects[points,%]
disposable money(-1),engineering knowledge(1),web(1),mobile apps(1),security(1),AI&amp; data analysis(1), </v>
      </c>
      <c r="G43" s="1" t="str">
        <f>INDEX('Action Cards'!$4:$4,1,($A43*6)-2+G$2)</f>
        <v xml:space="preserve"> Effs. %
disposable money(25),engineering knowledge(25),web(25),mobile apps(25),security(25),AI&amp; data analysis(25), </v>
      </c>
      <c r="H43" s="1" t="str">
        <f>INDEX('Action Cards'!$4:$4,1,($A43*6)-2+H$2)</f>
        <v xml:space="preserve"> Bonus cond
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43" s="1" t="str">
        <f>INDEX('Action Cards'!$4:$4,1,($A43*6)-2+I$2)</f>
        <v xml:space="preserve"> B Effs[points,%]
engineering knowledge(1),technologists(1),web(1),database(1),mobile apps(1),security(1),AI&amp; data analysis(1), </v>
      </c>
      <c r="J43" s="1" t="str">
        <f>INDEX('Action Cards'!$4:$4,1,($A43*6)-2+J$2)</f>
        <v xml:space="preserve"> B Effs%
engineering knowledge(6.25),technologists(6.25),web(6.25),database(6.25),mobile apps(6.25),security(6.25),AI&amp; data analysis(6.25), </v>
      </c>
    </row>
    <row r="44" spans="1:10">
      <c r="A44">
        <v>41</v>
      </c>
      <c r="B44" s="1" t="str">
        <f>INDEX('Action Cards'!$2:$2,1,($A44*6)-2)</f>
        <v>Match up lab members with expert mechanics</v>
      </c>
      <c r="C44" s="3" t="s">
        <v>212</v>
      </c>
      <c r="D44" s="40"/>
      <c r="E44" s="1" t="str">
        <f>INDEX('Action Cards'!$4:$4,1,($A44*6)-2+E$2)</f>
        <v xml:space="preserve"> Required 
disposable money(1),metal(1),scale(2),enthusiasm(2),engineering knowledge(1),scale(1),technologists(2), </v>
      </c>
      <c r="F44" s="1" t="str">
        <f>INDEX('Action Cards'!$4:$4,1,($A44*6)-2+F$2)</f>
        <v xml:space="preserve"> Effects[points,%]
disposable money(-1),engineering knowledge(1),wood processing(1),metal processing(1),functions(1),safety(1), </v>
      </c>
      <c r="G44" s="1" t="str">
        <f>INDEX('Action Cards'!$4:$4,1,($A44*6)-2+G$2)</f>
        <v xml:space="preserve"> Effs. %
disposable money(25),engineering knowledge(25),wood processing(25),metal processing(25),functions(25),safety(25), </v>
      </c>
      <c r="H44" s="1" t="str">
        <f>INDEX('Action Cards'!$4:$4,1,($A44*6)-2+H$2)</f>
        <v xml:space="preserve"> Bonus cond
scale(3),enthusiasm(3),learning capacities(2),scale(2),enthusiasm(3),attention to details(2),seriousness(2),community manager(1),administrator(1),network(2),entrepreneurs(3),technologists(4),spaciousness(2),ease of access(2),reputation(3),efficiency(2),portfolio(3),wood processing(2),metal processing(2),functions(2),safety(2), </v>
      </c>
      <c r="I44" s="1" t="str">
        <f>INDEX('Action Cards'!$4:$4,1,($A44*6)-2+I$2)</f>
        <v xml:space="preserve"> B Effs[points,%]
engineering knowledge(1),technologists(1),wood processing(1),metal processing(1),functions(1),safety(1),interaction(1), </v>
      </c>
      <c r="J44" s="1" t="str">
        <f>INDEX('Action Cards'!$4:$4,1,($A44*6)-2+J$2)</f>
        <v xml:space="preserve"> B Effs%
engineering knowledge(6.25),technologists(6.25),wood processing(6.25),metal processing(6.25),functions(6.25),safety(6.25),interaction(6.25), </v>
      </c>
    </row>
    <row r="45" spans="1:10">
      <c r="A45">
        <v>42</v>
      </c>
      <c r="B45" s="1" t="str">
        <f>INDEX('Action Cards'!$2:$2,1,($A45*6)-2)</f>
        <v>Arrange field visits (small farms)</v>
      </c>
      <c r="C45" s="3" t="s">
        <v>213</v>
      </c>
      <c r="D45" s="40"/>
      <c r="E45" s="1" t="str">
        <f>INDEX('Action Cards'!$4:$4,1,($A45*6)-2+E$2)</f>
        <v xml:space="preserve"> Required 
disposable money(1),scale(2),enthusiasm(2),learning capacities(1),scale(2),local biz(2),reputation(1), </v>
      </c>
      <c r="F45" s="1" t="str">
        <f>INDEX('Action Cards'!$4:$4,1,($A45*6)-2+F$2)</f>
        <v xml:space="preserve"> Effects[points,%]
disposable money(-1),field knowledge(1),network among members(1),local biz(1),marketing(1), </v>
      </c>
      <c r="G45" s="1" t="str">
        <f>INDEX('Action Cards'!$4:$4,1,($A45*6)-2+G$2)</f>
        <v xml:space="preserve"> Effs. %
disposable money(50),field knowledge(100),network among members(25),local biz(25),marketing(25), </v>
      </c>
      <c r="H45" s="1" t="str">
        <f>INDEX('Action Cards'!$4:$4,1,($A45*6)-2+H$2)</f>
        <v xml:space="preserve"> Bonus cond
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45" s="1" t="str">
        <f>INDEX('Action Cards'!$4:$4,1,($A45*6)-2+I$2)</f>
        <v xml:space="preserve"> B Effs[points,%]
field knowledge(1),network among members(1),enthusiasm(1),fun-ness(1),seriousness(1),local biz(1),biz group(1),govt(1),non-profits(1),marketing(1), </v>
      </c>
      <c r="J45" s="1" t="str">
        <f>INDEX('Action Cards'!$4:$4,1,($A45*6)-2+J$2)</f>
        <v xml:space="preserve"> B Effs%
field knowledge(6.25),network among members(6.25),enthusiasm(6.25),fun-ness(6.25),seriousness(6.25),local biz(6.25),biz group(6.25),govt(6.25),non-profits(6.25),marketing(6.25), </v>
      </c>
    </row>
    <row r="46" spans="1:10">
      <c r="A46">
        <v>43</v>
      </c>
      <c r="B46" s="1" t="str">
        <f>INDEX('Action Cards'!$2:$2,1,($A46*6)-2)</f>
        <v>Arrange field visits (industrial farms)</v>
      </c>
      <c r="C46" s="3" t="s">
        <v>214</v>
      </c>
      <c r="D46" s="40"/>
      <c r="E46" s="1" t="str">
        <f>INDEX('Action Cards'!$4:$4,1,($A46*6)-2+E$2)</f>
        <v xml:space="preserve"> Required 
disposable money(1),scale(2),enthusiasm(2),learning capacities(1),scale(2),local biz(2),reputation(1), </v>
      </c>
      <c r="F46" s="1" t="str">
        <f>INDEX('Action Cards'!$4:$4,1,($A46*6)-2+F$2)</f>
        <v xml:space="preserve"> Effects[points,%]
disposable money(-1),field knowledge(1),network among members(1),local biz(1),marketing(1), </v>
      </c>
      <c r="G46" s="1" t="str">
        <f>INDEX('Action Cards'!$4:$4,1,($A46*6)-2+G$2)</f>
        <v xml:space="preserve"> Effs. %
disposable money(50),field knowledge(100),network among members(25),local biz(25),marketing(25), </v>
      </c>
      <c r="H46" s="1" t="str">
        <f>INDEX('Action Cards'!$4:$4,1,($A46*6)-2+H$2)</f>
        <v xml:space="preserve"> Bonus cond
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46" s="1" t="str">
        <f>INDEX('Action Cards'!$4:$4,1,($A46*6)-2+I$2)</f>
        <v xml:space="preserve"> B Effs[points,%]
field knowledge(1),network among members(1),enthusiasm(1),fun-ness(1),seriousness(1),local biz(1),biz group(1),govt(1),marketing(1), </v>
      </c>
      <c r="J46" s="1" t="str">
        <f>INDEX('Action Cards'!$4:$4,1,($A46*6)-2+J$2)</f>
        <v xml:space="preserve"> B Effs%
field knowledge(6.25),network among members(6.25),enthusiasm(6.25),fun-ness(6.25),seriousness(6.25),local biz(6.25),biz group(6.25),govt(6.25),marketing(6.25), </v>
      </c>
    </row>
    <row r="47" spans="1:10">
      <c r="A47">
        <v>44</v>
      </c>
      <c r="B47" s="1" t="str">
        <f>INDEX('Action Cards'!$2:$2,1,($A47*6)-2)</f>
        <v>Promote study groups</v>
      </c>
      <c r="C47" s="3" t="s">
        <v>215</v>
      </c>
      <c r="D47" s="40" t="s">
        <v>238</v>
      </c>
      <c r="E47" s="1" t="str">
        <f>INDEX('Action Cards'!$4:$4,1,($A47*6)-2+E$2)</f>
        <v xml:space="preserve"> Required 
disposable money(1),software(1),servers(1),wood(1),metal(1),plastic(1),electronics(1),fabric(1),scale(2),enthusiasm(1),scale(1),enthusiasm(2), </v>
      </c>
      <c r="F47" s="1" t="str">
        <f>INDEX('Action Cards'!$4:$4,1,($A47*6)-2+F$2)</f>
        <v xml:space="preserve"> Effects[points,%]
engineering knowledge(1), </v>
      </c>
      <c r="G47" s="1" t="str">
        <f>INDEX('Action Cards'!$4:$4,1,($A47*6)-2+G$2)</f>
        <v xml:space="preserve"> Effs. %
engineering knowledge(50), </v>
      </c>
      <c r="H47" s="1" t="str">
        <f>INDEX('Action Cards'!$4:$4,1,($A47*6)-2+H$2)</f>
        <v xml:space="preserve"> Bonus cond
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I47" s="1" t="str">
        <f>INDEX('Action Cards'!$4:$4,1,($A47*6)-2+I$2)</f>
        <v xml:space="preserve"> B Effs[points,%]
enthusiasm(1),learning capacities(1),engineering knowledge(1),web(1),infrastructrue(1),database(1),mobile apps(1),sensors(1),security(1),AI&amp; data analysis(1),mobile comm(1),VR&amp;AR(1),wood processing(1),metal processing(1),plastic processing(1),electronics(1),fabric(1),aesthetics(1),functions(1),safety(1),interaction(1), </v>
      </c>
      <c r="J47" s="1" t="str">
        <f>INDEX('Action Cards'!$4:$4,1,($A47*6)-2+J$2)</f>
        <v xml:space="preserve"> B Effs%
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row>
    <row r="48" spans="1:10">
      <c r="A48">
        <v>45</v>
      </c>
      <c r="B48" s="1" t="str">
        <f>INDEX('Action Cards'!$2:$2,1,($A48*6)-2)</f>
        <v>Run a small fund drive</v>
      </c>
      <c r="C48" s="3" t="s">
        <v>216</v>
      </c>
      <c r="D48" s="40"/>
      <c r="E48" s="1" t="str">
        <f>INDEX('Action Cards'!$4:$4,1,($A48*6)-2+E$2)</f>
        <v xml:space="preserve"> Required 
disposable money(1),scale(1),scale(1),enthusiasm(1),enthusiasm(1),local biz(1),non-profits(1),reputation(2), </v>
      </c>
      <c r="F48" s="1" t="str">
        <f>INDEX('Action Cards'!$4:$4,1,($A48*6)-2+F$2)</f>
        <v xml:space="preserve"> Effects[points,%]
disposable money(-1), </v>
      </c>
      <c r="G48" s="1" t="str">
        <f>INDEX('Action Cards'!$4:$4,1,($A48*6)-2+G$2)</f>
        <v xml:space="preserve"> Effs. %
disposable money(25), </v>
      </c>
      <c r="H48" s="1" t="str">
        <f>INDEX('Action Cards'!$4:$4,1,($A48*6)-2+H$2)</f>
        <v xml:space="preserve"> Bonus cond
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I48" s="1" t="str">
        <f>INDEX('Action Cards'!$4:$4,1,($A48*6)-2+I$2)</f>
        <v xml:space="preserve"> B Effs[points,%]
disposable money(1),non-profits(1), </v>
      </c>
      <c r="J48" s="1" t="str">
        <f>INDEX('Action Cards'!$4:$4,1,($A48*6)-2+J$2)</f>
        <v xml:space="preserve"> B Effs%
disposable money(6.25),non-profits(6.25), </v>
      </c>
    </row>
    <row r="49" spans="1:10">
      <c r="A49">
        <v>46</v>
      </c>
      <c r="B49" s="1" t="str">
        <f>INDEX('Action Cards'!$2:$2,1,($A49*6)-2)</f>
        <v>Run a big fund drive</v>
      </c>
      <c r="C49" s="3" t="s">
        <v>217</v>
      </c>
      <c r="D49" s="40"/>
      <c r="E49" s="1" t="str">
        <f>INDEX('Action Cards'!$4:$4,1,($A49*6)-2+E$2)</f>
        <v xml:space="preserve"> Required 
disposable money(1),scale(2),enthusiasm(2),scale(2),enthusiasm(2),enthusiasm(1),network(1),local biz(1),investors(1),entrepreneurs(1),technologists(1),non-profits(1),reputation(2),portfolio(2), </v>
      </c>
      <c r="F49" s="1" t="str">
        <f>INDEX('Action Cards'!$4:$4,1,($A49*6)-2+F$2)</f>
        <v xml:space="preserve"> Effects[points,%]
disposable money(-1), </v>
      </c>
      <c r="G49" s="1" t="str">
        <f>INDEX('Action Cards'!$4:$4,1,($A49*6)-2+G$2)</f>
        <v xml:space="preserve"> Effs. %
disposable money(50), </v>
      </c>
      <c r="H49" s="1" t="str">
        <f>INDEX('Action Cards'!$4:$4,1,($A49*6)-2+H$2)</f>
        <v xml:space="preserve"> Bonus cond
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I49" s="1" t="str">
        <f>INDEX('Action Cards'!$4:$4,1,($A49*6)-2+I$2)</f>
        <v xml:space="preserve"> B Effs[points,%]
disposable money(1), </v>
      </c>
      <c r="J49" s="1" t="str">
        <f>INDEX('Action Cards'!$4:$4,1,($A49*6)-2+J$2)</f>
        <v xml:space="preserve"> B Effs%
disposable money(6.25), </v>
      </c>
    </row>
    <row r="50" spans="1:10">
      <c r="A50">
        <v>47</v>
      </c>
      <c r="B50" s="1" t="str">
        <f>INDEX('Action Cards'!$2:$2,1,($A50*6)-2)</f>
        <v>Run an advanced fund drive</v>
      </c>
      <c r="C50" s="3" t="s">
        <v>218</v>
      </c>
      <c r="D50" s="40"/>
      <c r="E50" s="1" t="str">
        <f>INDEX('Action Cards'!$4:$4,1,($A50*6)-2+E$2)</f>
        <v xml:space="preserve"> Required 
disposable money(1),scale(3),enthusiasm(3),PR(1),administrator(1),enthusiasm(2),network(2),local biz(2),biz group(1),govt(2),investors(2),entrepreneurs(2),technologists(2),non-profits(2),reputation(2),portfolio(3), </v>
      </c>
      <c r="F50" s="1" t="str">
        <f>INDEX('Action Cards'!$4:$4,1,($A50*6)-2+F$2)</f>
        <v xml:space="preserve"> Effects[points,%]
disposable money(-1), </v>
      </c>
      <c r="G50" s="1" t="str">
        <f>INDEX('Action Cards'!$4:$4,1,($A50*6)-2+G$2)</f>
        <v xml:space="preserve"> Effs. %
disposable money(100), </v>
      </c>
      <c r="H50" s="1" t="str">
        <f>INDEX('Action Cards'!$4:$4,1,($A50*6)-2+H$2)</f>
        <v xml:space="preserve"> Bonus cond
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I50" s="1" t="str">
        <f>INDEX('Action Cards'!$4:$4,1,($A50*6)-2+I$2)</f>
        <v xml:space="preserve"> B Effs[points,%]
budget(1), </v>
      </c>
      <c r="J50" s="1" t="str">
        <f>INDEX('Action Cards'!$4:$4,1,($A50*6)-2+J$2)</f>
        <v xml:space="preserve"> B Effs%
budget(6.25), </v>
      </c>
    </row>
    <row r="51" spans="1:10">
      <c r="A51">
        <v>48</v>
      </c>
      <c r="B51" s="1" t="str">
        <f>INDEX('Action Cards'!$2:$2,1,($A51*6)-2)</f>
        <v>Visit philansolophists and charities for support</v>
      </c>
      <c r="C51" s="3" t="s">
        <v>219</v>
      </c>
      <c r="D51" s="40"/>
      <c r="E51" s="1" t="str">
        <f>INDEX('Action Cards'!$4:$4,1,($A51*6)-2+E$2)</f>
        <v xml:space="preserve"> Required 
disposable money(1),scale(1),enthusiasm(1),scale(1),enthusiasm(2),network(1),non-profits(1),reputation(2),social project(2), </v>
      </c>
      <c r="F51" s="1" t="str">
        <f>INDEX('Action Cards'!$4:$4,1,($A51*6)-2+F$2)</f>
        <v xml:space="preserve"> Effects[points,%]
non-profits(1), </v>
      </c>
      <c r="G51" s="1" t="str">
        <f>INDEX('Action Cards'!$4:$4,1,($A51*6)-2+G$2)</f>
        <v xml:space="preserve"> Effs. %
non-profits(25), </v>
      </c>
      <c r="H51" s="1" t="str">
        <f>INDEX('Action Cards'!$4:$4,1,($A51*6)-2+H$2)</f>
        <v xml:space="preserve"> Bonus cond
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I51" s="1" t="str">
        <f>INDEX('Action Cards'!$4:$4,1,($A51*6)-2+I$2)</f>
        <v xml:space="preserve"> B Effs[points,%]
disposable money(1),non-profits(1), </v>
      </c>
      <c r="J51" s="1" t="str">
        <f>INDEX('Action Cards'!$4:$4,1,($A51*6)-2+J$2)</f>
        <v xml:space="preserve"> B Effs%
disposable money(6.25),non-profits(6.25), </v>
      </c>
    </row>
    <row r="52" spans="1:10">
      <c r="A52">
        <v>49</v>
      </c>
      <c r="B52" s="1" t="str">
        <f>INDEX('Action Cards'!$2:$2,1,($A52*6)-2)</f>
        <v>Polish the portofolio</v>
      </c>
      <c r="C52" s="3" t="s">
        <v>220</v>
      </c>
      <c r="D52" s="40"/>
      <c r="E52" s="1" t="str">
        <f>INDEX('Action Cards'!$4:$4,1,($A52*6)-2+E$2)</f>
        <v xml:space="preserve"> Required 
disposable money(1), </v>
      </c>
      <c r="F52" s="1" t="str">
        <f>INDEX('Action Cards'!$4:$4,1,($A52*6)-2+F$2)</f>
        <v xml:space="preserve"> Effects[points,%]
 </v>
      </c>
      <c r="G52" s="1" t="str">
        <f>INDEX('Action Cards'!$4:$4,1,($A52*6)-2+G$2)</f>
        <v xml:space="preserve"> Effs. %
 </v>
      </c>
      <c r="H52" s="1" t="str">
        <f>INDEX('Action Cards'!$4:$4,1,($A52*6)-2+H$2)</f>
        <v xml:space="preserve"> Bonus cond
 </v>
      </c>
      <c r="I52" s="1" t="str">
        <f>INDEX('Action Cards'!$4:$4,1,($A52*6)-2+I$2)</f>
        <v xml:space="preserve"> B Effs[points,%]
 </v>
      </c>
      <c r="J52" s="1" t="str">
        <f>INDEX('Action Cards'!$4:$4,1,($A52*6)-2+J$2)</f>
        <v xml:space="preserve"> B Effs%
 </v>
      </c>
    </row>
    <row r="53" spans="1:10">
      <c r="A53">
        <v>50</v>
      </c>
      <c r="B53" s="1">
        <f>INDEX('Action Cards'!$2:$2,1,($A53*6)-2)</f>
        <v>0</v>
      </c>
      <c r="C53" s="3" t="s">
        <v>221</v>
      </c>
      <c r="D53" s="40"/>
      <c r="E53" s="1" t="str">
        <f>INDEX('Action Cards'!$4:$4,1,($A53*6)-2+E$2)</f>
        <v xml:space="preserve"> Required 
 </v>
      </c>
      <c r="F53" s="1" t="str">
        <f>INDEX('Action Cards'!$4:$4,1,($A53*6)-2+F$2)</f>
        <v xml:space="preserve"> Effects[points,%]
 </v>
      </c>
      <c r="G53" s="1" t="str">
        <f>INDEX('Action Cards'!$4:$4,1,($A53*6)-2+G$2)</f>
        <v xml:space="preserve"> Effs. %
 </v>
      </c>
      <c r="H53" s="1" t="str">
        <f>INDEX('Action Cards'!$4:$4,1,($A53*6)-2+H$2)</f>
        <v xml:space="preserve"> Bonus cond
 </v>
      </c>
      <c r="I53" s="1" t="str">
        <f>INDEX('Action Cards'!$4:$4,1,($A53*6)-2+I$2)</f>
        <v xml:space="preserve"> B Effs[points,%]
 </v>
      </c>
      <c r="J53" s="1" t="str">
        <f>INDEX('Action Cards'!$4:$4,1,($A53*6)-2+J$2)</f>
        <v xml:space="preserve"> B Effs%
 </v>
      </c>
    </row>
    <row r="54" spans="1:10">
      <c r="A54">
        <v>51</v>
      </c>
      <c r="B54" s="1">
        <f>INDEX('Action Cards'!$2:$2,1,($A54*6)-2)</f>
        <v>0</v>
      </c>
      <c r="C54" s="3" t="s">
        <v>222</v>
      </c>
      <c r="D54" s="40"/>
      <c r="E54" s="1" t="str">
        <f>INDEX('Action Cards'!$4:$4,1,($A54*6)-2+E$2)</f>
        <v xml:space="preserve"> Required 
 </v>
      </c>
      <c r="F54" s="1" t="str">
        <f>INDEX('Action Cards'!$4:$4,1,($A54*6)-2+F$2)</f>
        <v xml:space="preserve"> Effects[points,%]
 </v>
      </c>
      <c r="G54" s="1" t="str">
        <f>INDEX('Action Cards'!$4:$4,1,($A54*6)-2+G$2)</f>
        <v xml:space="preserve"> Effs. %
 </v>
      </c>
      <c r="H54" s="1" t="str">
        <f>INDEX('Action Cards'!$4:$4,1,($A54*6)-2+H$2)</f>
        <v xml:space="preserve"> Bonus cond
 </v>
      </c>
      <c r="I54" s="1" t="str">
        <f>INDEX('Action Cards'!$4:$4,1,($A54*6)-2+I$2)</f>
        <v xml:space="preserve"> B Effs[points,%]
 </v>
      </c>
      <c r="J54" s="1" t="str">
        <f>INDEX('Action Cards'!$4:$4,1,($A54*6)-2+J$2)</f>
        <v xml:space="preserve"> B Effs%
 </v>
      </c>
    </row>
    <row r="55" spans="1:10">
      <c r="A55">
        <v>52</v>
      </c>
      <c r="B55" s="1">
        <f>INDEX('Action Cards'!$2:$2,1,($A55*6)-2)</f>
        <v>0</v>
      </c>
      <c r="C55" s="3" t="s">
        <v>223</v>
      </c>
      <c r="D55" s="40"/>
      <c r="E55" s="1" t="str">
        <f>INDEX('Action Cards'!$4:$4,1,($A55*6)-2+E$2)</f>
        <v xml:space="preserve"> Required 
 </v>
      </c>
      <c r="F55" s="1" t="str">
        <f>INDEX('Action Cards'!$4:$4,1,($A55*6)-2+F$2)</f>
        <v xml:space="preserve"> Effects[points,%]
 </v>
      </c>
      <c r="G55" s="1" t="str">
        <f>INDEX('Action Cards'!$4:$4,1,($A55*6)-2+G$2)</f>
        <v xml:space="preserve"> Effs. %
 </v>
      </c>
      <c r="H55" s="1" t="str">
        <f>INDEX('Action Cards'!$4:$4,1,($A55*6)-2+H$2)</f>
        <v xml:space="preserve"> Bonus cond
 </v>
      </c>
      <c r="I55" s="1" t="str">
        <f>INDEX('Action Cards'!$4:$4,1,($A55*6)-2+I$2)</f>
        <v xml:space="preserve"> B Effs[points,%]
 </v>
      </c>
      <c r="J55" s="1" t="str">
        <f>INDEX('Action Cards'!$4:$4,1,($A55*6)-2+J$2)</f>
        <v xml:space="preserve"> B Effs%
 </v>
      </c>
    </row>
    <row r="56" spans="1:10">
      <c r="A56">
        <v>53</v>
      </c>
      <c r="B56" s="1">
        <f>INDEX('Action Cards'!$2:$2,1,($A56*6)-2)</f>
        <v>0</v>
      </c>
      <c r="C56" s="3" t="s">
        <v>224</v>
      </c>
      <c r="D56" s="40"/>
      <c r="E56" s="1" t="str">
        <f>INDEX('Action Cards'!$4:$4,1,($A56*6)-2+E$2)</f>
        <v xml:space="preserve"> Required 
 </v>
      </c>
      <c r="F56" s="1" t="str">
        <f>INDEX('Action Cards'!$4:$4,1,($A56*6)-2+F$2)</f>
        <v xml:space="preserve"> Effects[points,%]
 </v>
      </c>
      <c r="G56" s="1" t="str">
        <f>INDEX('Action Cards'!$4:$4,1,($A56*6)-2+G$2)</f>
        <v xml:space="preserve"> Effs. %
 </v>
      </c>
      <c r="H56" s="1" t="str">
        <f>INDEX('Action Cards'!$4:$4,1,($A56*6)-2+H$2)</f>
        <v xml:space="preserve"> Bonus cond
 </v>
      </c>
      <c r="I56" s="1" t="str">
        <f>INDEX('Action Cards'!$4:$4,1,($A56*6)-2+I$2)</f>
        <v xml:space="preserve"> B Effs[points,%]
 </v>
      </c>
      <c r="J56" s="1" t="str">
        <f>INDEX('Action Cards'!$4:$4,1,($A56*6)-2+J$2)</f>
        <v xml:space="preserve"> B Effs%
 </v>
      </c>
    </row>
    <row r="57" spans="1:10">
      <c r="C57" s="3" t="s">
        <v>225</v>
      </c>
    </row>
    <row r="58" spans="1:10">
      <c r="C58" s="3" t="s">
        <v>226</v>
      </c>
    </row>
  </sheetData>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ummaryRight="0"/>
  </sheetPr>
  <dimension ref="A1:NM205"/>
  <sheetViews>
    <sheetView zoomScale="90" zoomScaleNormal="90" workbookViewId="0">
      <pane xSplit="3" ySplit="3" topLeftCell="F75" activePane="bottomRight" state="frozen"/>
      <selection pane="topRight" activeCell="D1" sqref="D1"/>
      <selection pane="bottomLeft" activeCell="A4" sqref="A4"/>
      <selection pane="bottomRight" activeCell="H107" sqref="H107"/>
    </sheetView>
  </sheetViews>
  <sheetFormatPr defaultColWidth="11.21875" defaultRowHeight="15.75" customHeight="1"/>
  <cols>
    <col min="1" max="1" width="2.6640625" style="7" customWidth="1"/>
    <col min="2" max="2" width="12.109375" style="7" customWidth="1"/>
    <col min="3" max="3" width="14.44140625" style="7" customWidth="1"/>
    <col min="4" max="4" width="10.109375" style="19" customWidth="1"/>
    <col min="5" max="8" width="10.109375" style="7" customWidth="1"/>
    <col min="9" max="9" width="10.109375" style="8" customWidth="1"/>
    <col min="10" max="10" width="6.33203125" style="7" customWidth="1"/>
    <col min="11" max="11" width="5.21875" style="7" bestFit="1" customWidth="1"/>
    <col min="12" max="12" width="5.33203125" style="7" bestFit="1" customWidth="1"/>
    <col min="13" max="13" width="8.109375" style="7" customWidth="1"/>
    <col min="14" max="14" width="4.6640625" style="7" bestFit="1" customWidth="1"/>
    <col min="15" max="15" width="5.88671875" style="8" bestFit="1" customWidth="1"/>
    <col min="16" max="16" width="6.44140625" style="7" customWidth="1"/>
    <col min="17" max="17" width="5.21875" style="7" bestFit="1" customWidth="1"/>
    <col min="18" max="18" width="5.33203125" style="7" bestFit="1" customWidth="1"/>
    <col min="19" max="19" width="8.109375" style="7" bestFit="1" customWidth="1"/>
    <col min="20" max="20" width="4.6640625" style="7" bestFit="1" customWidth="1"/>
    <col min="21" max="21" width="5.88671875" style="8" bestFit="1" customWidth="1"/>
    <col min="22" max="22" width="6.21875" style="7" customWidth="1"/>
    <col min="23" max="23" width="5.21875" style="7" bestFit="1" customWidth="1"/>
    <col min="24" max="24" width="5.33203125" style="7" bestFit="1" customWidth="1"/>
    <col min="25" max="25" width="8.109375" style="7" bestFit="1" customWidth="1"/>
    <col min="26" max="26" width="4.6640625" style="7" bestFit="1" customWidth="1"/>
    <col min="27" max="27" width="5.88671875" style="8" bestFit="1" customWidth="1"/>
    <col min="28" max="28" width="6.33203125" style="7" customWidth="1"/>
    <col min="29" max="29" width="4.77734375" style="7" customWidth="1"/>
    <col min="30" max="30" width="5.33203125" style="7" bestFit="1" customWidth="1"/>
    <col min="31" max="31" width="8.109375" style="7" bestFit="1" customWidth="1"/>
    <col min="32" max="32" width="4.6640625" style="7" bestFit="1" customWidth="1"/>
    <col min="33" max="33" width="5.88671875" style="8" bestFit="1" customWidth="1"/>
    <col min="34" max="34" width="6.6640625" style="7" customWidth="1"/>
    <col min="35" max="35" width="5.77734375" style="7" customWidth="1"/>
    <col min="36" max="36" width="5.33203125" style="7" bestFit="1" customWidth="1"/>
    <col min="37" max="37" width="8.109375" style="7" bestFit="1" customWidth="1"/>
    <col min="38" max="38" width="4.6640625" style="7" bestFit="1" customWidth="1"/>
    <col min="39" max="39" width="3.88671875" style="8" customWidth="1"/>
    <col min="40" max="40" width="6" style="7" customWidth="1"/>
    <col min="41" max="41" width="5.21875" style="7" bestFit="1" customWidth="1"/>
    <col min="42" max="42" width="5.33203125" style="7" bestFit="1" customWidth="1"/>
    <col min="43" max="43" width="8.109375" style="7" bestFit="1" customWidth="1"/>
    <col min="44" max="44" width="4.6640625" style="7" bestFit="1" customWidth="1"/>
    <col min="45" max="45" width="5.6640625" style="8" customWidth="1"/>
    <col min="46" max="46" width="6.77734375" style="7" bestFit="1" customWidth="1"/>
    <col min="47" max="47" width="5.21875" style="7" bestFit="1" customWidth="1"/>
    <col min="48" max="48" width="5.33203125" style="7" bestFit="1" customWidth="1"/>
    <col min="49" max="49" width="7.88671875" style="7" customWidth="1"/>
    <col min="50" max="50" width="4.6640625" style="7" bestFit="1" customWidth="1"/>
    <col min="51" max="51" width="5.88671875" style="8" bestFit="1" customWidth="1"/>
    <col min="52" max="52" width="6.77734375" style="7" bestFit="1" customWidth="1"/>
    <col min="53" max="53" width="5.21875" style="7" bestFit="1" customWidth="1"/>
    <col min="54" max="54" width="5.33203125" style="7" bestFit="1" customWidth="1"/>
    <col min="55" max="55" width="8.109375" style="7" bestFit="1" customWidth="1"/>
    <col min="56" max="56" width="4.6640625" style="7" bestFit="1" customWidth="1"/>
    <col min="57" max="57" width="5.88671875" style="8" bestFit="1" customWidth="1"/>
    <col min="58" max="58" width="6.44140625" style="7" customWidth="1"/>
    <col min="59" max="59" width="5.21875" style="7" bestFit="1" customWidth="1"/>
    <col min="60" max="60" width="5.33203125" style="7" bestFit="1" customWidth="1"/>
    <col min="61" max="61" width="8.109375" style="7" bestFit="1" customWidth="1"/>
    <col min="62" max="62" width="4.6640625" style="7" bestFit="1" customWidth="1"/>
    <col min="63" max="63" width="5.88671875" style="8" bestFit="1" customWidth="1"/>
    <col min="64" max="64" width="6.21875" style="7" customWidth="1"/>
    <col min="65" max="65" width="5.21875" style="7" bestFit="1" customWidth="1"/>
    <col min="66" max="66" width="5.33203125" style="7" bestFit="1" customWidth="1"/>
    <col min="67" max="67" width="8.109375" style="7" bestFit="1" customWidth="1"/>
    <col min="68" max="68" width="4.6640625" style="7" bestFit="1" customWidth="1"/>
    <col min="69" max="69" width="5.88671875" style="8" bestFit="1" customWidth="1"/>
    <col min="70" max="70" width="6.77734375" style="7" bestFit="1" customWidth="1"/>
    <col min="71" max="71" width="5.21875" style="7" bestFit="1" customWidth="1"/>
    <col min="72" max="72" width="5.33203125" style="7" bestFit="1" customWidth="1"/>
    <col min="73" max="73" width="5.77734375" style="7" customWidth="1"/>
    <col min="74" max="74" width="4.6640625" style="7" bestFit="1" customWidth="1"/>
    <col min="75" max="75" width="5.88671875" style="8" bestFit="1" customWidth="1"/>
    <col min="76" max="76" width="6.77734375" style="7" bestFit="1" customWidth="1"/>
    <col min="77" max="77" width="5.21875" style="7" bestFit="1" customWidth="1"/>
    <col min="78" max="78" width="5.33203125" style="7" bestFit="1" customWidth="1"/>
    <col min="79" max="79" width="8.109375" style="7" bestFit="1" customWidth="1"/>
    <col min="80" max="80" width="4.6640625" style="7" bestFit="1" customWidth="1"/>
    <col min="81" max="81" width="5.88671875" style="8" bestFit="1" customWidth="1"/>
    <col min="82" max="82" width="6.77734375" style="7" bestFit="1" customWidth="1"/>
    <col min="83" max="83" width="5.21875" style="7" bestFit="1" customWidth="1"/>
    <col min="84" max="84" width="5.33203125" style="7" bestFit="1" customWidth="1"/>
    <col min="85" max="85" width="5.44140625" style="7" customWidth="1"/>
    <col min="86" max="86" width="4.6640625" style="7" bestFit="1" customWidth="1"/>
    <col min="87" max="87" width="5.88671875" style="8" bestFit="1" customWidth="1"/>
    <col min="88" max="88" width="6.77734375" style="7" bestFit="1" customWidth="1"/>
    <col min="89" max="89" width="5.21875" style="7" bestFit="1" customWidth="1"/>
    <col min="90" max="90" width="5.33203125" style="7" bestFit="1" customWidth="1"/>
    <col min="91" max="91" width="5.109375" style="7" customWidth="1"/>
    <col min="92" max="92" width="4.6640625" style="7" bestFit="1" customWidth="1"/>
    <col min="93" max="93" width="5.88671875" style="8" bestFit="1" customWidth="1"/>
    <col min="94" max="94" width="6" style="7" customWidth="1"/>
    <col min="95" max="95" width="5.21875" style="7" bestFit="1" customWidth="1"/>
    <col min="96" max="96" width="5.33203125" style="7" bestFit="1" customWidth="1"/>
    <col min="97" max="97" width="6" style="7" customWidth="1"/>
    <col min="98" max="98" width="4.6640625" style="7" bestFit="1" customWidth="1"/>
    <col min="99" max="99" width="5.88671875" style="8" bestFit="1" customWidth="1"/>
    <col min="100" max="100" width="5.88671875" style="7" customWidth="1"/>
    <col min="101" max="101" width="5.21875" style="7" bestFit="1" customWidth="1"/>
    <col min="102" max="102" width="5.33203125" style="7" bestFit="1" customWidth="1"/>
    <col min="103" max="103" width="5.77734375" style="7" customWidth="1"/>
    <col min="104" max="104" width="4.6640625" style="7" bestFit="1" customWidth="1"/>
    <col min="105" max="105" width="5.88671875" style="8" bestFit="1" customWidth="1"/>
    <col min="106" max="106" width="6.33203125" style="7" customWidth="1"/>
    <col min="107" max="107" width="5.21875" style="7" bestFit="1" customWidth="1"/>
    <col min="108" max="108" width="5.33203125" style="7" bestFit="1" customWidth="1"/>
    <col min="109" max="109" width="4.88671875" style="7" customWidth="1"/>
    <col min="110" max="110" width="4.6640625" style="7" bestFit="1" customWidth="1"/>
    <col min="111" max="111" width="5.88671875" style="8" bestFit="1" customWidth="1"/>
    <col min="112" max="112" width="6.77734375" style="7" bestFit="1" customWidth="1"/>
    <col min="113" max="113" width="5.21875" style="7" bestFit="1" customWidth="1"/>
    <col min="114" max="114" width="5.33203125" style="7" bestFit="1" customWidth="1"/>
    <col min="115" max="115" width="6" style="7" customWidth="1"/>
    <col min="116" max="116" width="4.6640625" style="7" bestFit="1" customWidth="1"/>
    <col min="117" max="117" width="5.88671875" style="8" bestFit="1" customWidth="1"/>
    <col min="118" max="118" width="6.77734375" style="7" bestFit="1" customWidth="1"/>
    <col min="119" max="119" width="5.21875" style="7" bestFit="1" customWidth="1"/>
    <col min="120" max="120" width="5.33203125" style="7" bestFit="1" customWidth="1"/>
    <col min="121" max="121" width="5.33203125" style="7" customWidth="1"/>
    <col min="122" max="122" width="4.6640625" style="7" bestFit="1" customWidth="1"/>
    <col min="123" max="123" width="5.88671875" style="8" bestFit="1" customWidth="1"/>
    <col min="124" max="124" width="6.88671875" style="7" bestFit="1" customWidth="1"/>
    <col min="125" max="125" width="5.33203125" style="7" bestFit="1" customWidth="1"/>
    <col min="126" max="126" width="5.44140625" style="7" bestFit="1" customWidth="1"/>
    <col min="127" max="127" width="5.77734375" style="7" customWidth="1"/>
    <col min="128" max="128" width="4.77734375" style="7" bestFit="1" customWidth="1"/>
    <col min="129" max="129" width="6" style="8" bestFit="1" customWidth="1"/>
    <col min="130" max="130" width="6.44140625" style="7" customWidth="1"/>
    <col min="131" max="131" width="5.33203125" style="7" bestFit="1" customWidth="1"/>
    <col min="132" max="132" width="5.44140625" style="7" bestFit="1" customWidth="1"/>
    <col min="133" max="133" width="5.77734375" style="7" customWidth="1"/>
    <col min="134" max="134" width="4.77734375" style="7" bestFit="1" customWidth="1"/>
    <col min="135" max="135" width="6" style="8" bestFit="1" customWidth="1"/>
    <col min="136" max="136" width="6.88671875" style="7" bestFit="1" customWidth="1"/>
    <col min="137" max="137" width="5.33203125" style="7" bestFit="1" customWidth="1"/>
    <col min="138" max="138" width="5.44140625" style="7" bestFit="1" customWidth="1"/>
    <col min="139" max="139" width="5.5546875" style="7" customWidth="1"/>
    <col min="140" max="140" width="4.77734375" style="7" bestFit="1" customWidth="1"/>
    <col min="141" max="141" width="6" style="8" bestFit="1" customWidth="1"/>
    <col min="142" max="142" width="6.88671875" style="7" bestFit="1" customWidth="1"/>
    <col min="143" max="143" width="5.33203125" style="7" bestFit="1" customWidth="1"/>
    <col min="144" max="144" width="5.44140625" style="7" bestFit="1" customWidth="1"/>
    <col min="145" max="145" width="6.21875" style="7" customWidth="1"/>
    <col min="146" max="146" width="4.77734375" style="7" bestFit="1" customWidth="1"/>
    <col min="147" max="147" width="6" style="8" bestFit="1" customWidth="1"/>
    <col min="148" max="148" width="6.88671875" style="7" bestFit="1" customWidth="1"/>
    <col min="149" max="149" width="5.33203125" style="7" bestFit="1" customWidth="1"/>
    <col min="150" max="150" width="5.44140625" style="7" bestFit="1" customWidth="1"/>
    <col min="151" max="151" width="5.5546875" style="7" customWidth="1"/>
    <col min="152" max="152" width="4.77734375" style="7" bestFit="1" customWidth="1"/>
    <col min="153" max="153" width="6" style="8" bestFit="1" customWidth="1"/>
    <col min="154" max="154" width="6.88671875" style="7" bestFit="1" customWidth="1"/>
    <col min="155" max="155" width="5.33203125" style="7" bestFit="1" customWidth="1"/>
    <col min="156" max="156" width="5.44140625" style="7" bestFit="1" customWidth="1"/>
    <col min="157" max="157" width="6.21875" style="7" customWidth="1"/>
    <col min="158" max="158" width="4.77734375" style="7" bestFit="1" customWidth="1"/>
    <col min="159" max="159" width="6" style="8" bestFit="1" customWidth="1"/>
    <col min="160" max="160" width="6.88671875" style="7" bestFit="1" customWidth="1"/>
    <col min="161" max="161" width="5.33203125" style="7" bestFit="1" customWidth="1"/>
    <col min="162" max="162" width="5.44140625" style="7" bestFit="1" customWidth="1"/>
    <col min="163" max="163" width="5.5546875" style="7" customWidth="1"/>
    <col min="164" max="164" width="4.77734375" style="7" bestFit="1" customWidth="1"/>
    <col min="165" max="165" width="6" style="8" bestFit="1" customWidth="1"/>
    <col min="166" max="166" width="6.109375" style="7" customWidth="1"/>
    <col min="167" max="167" width="5.33203125" style="7" bestFit="1" customWidth="1"/>
    <col min="168" max="168" width="5.44140625" style="7" bestFit="1" customWidth="1"/>
    <col min="169" max="169" width="5.33203125" style="7" customWidth="1"/>
    <col min="170" max="170" width="4.77734375" style="7" bestFit="1" customWidth="1"/>
    <col min="171" max="171" width="6" style="8" bestFit="1" customWidth="1"/>
    <col min="172" max="172" width="6.33203125" style="7" customWidth="1"/>
    <col min="173" max="173" width="5.33203125" style="7" bestFit="1" customWidth="1"/>
    <col min="174" max="174" width="5.44140625" style="7" bestFit="1" customWidth="1"/>
    <col min="175" max="175" width="6" style="7" customWidth="1"/>
    <col min="176" max="176" width="4.77734375" style="7" bestFit="1" customWidth="1"/>
    <col min="177" max="177" width="6" style="8" bestFit="1" customWidth="1"/>
    <col min="178" max="178" width="6.88671875" style="7" bestFit="1" customWidth="1"/>
    <col min="179" max="179" width="5.33203125" style="7" bestFit="1" customWidth="1"/>
    <col min="180" max="180" width="5.44140625" style="7" bestFit="1" customWidth="1"/>
    <col min="181" max="181" width="8.33203125" style="7" bestFit="1" customWidth="1"/>
    <col min="182" max="182" width="4.77734375" style="7" bestFit="1" customWidth="1"/>
    <col min="183" max="183" width="6" style="8" bestFit="1" customWidth="1"/>
    <col min="184" max="184" width="6.88671875" style="7" bestFit="1" customWidth="1"/>
    <col min="185" max="185" width="5.33203125" style="7" bestFit="1" customWidth="1"/>
    <col min="186" max="186" width="5.44140625" style="7" bestFit="1" customWidth="1"/>
    <col min="187" max="187" width="8.33203125" style="7" bestFit="1" customWidth="1"/>
    <col min="188" max="188" width="4.77734375" style="7" bestFit="1" customWidth="1"/>
    <col min="189" max="189" width="6" style="8" bestFit="1" customWidth="1"/>
    <col min="190" max="190" width="6.88671875" style="7" bestFit="1" customWidth="1"/>
    <col min="191" max="191" width="5.33203125" style="7" bestFit="1" customWidth="1"/>
    <col min="192" max="192" width="5.44140625" style="7" bestFit="1" customWidth="1"/>
    <col min="193" max="193" width="8.33203125" style="7" bestFit="1" customWidth="1"/>
    <col min="194" max="194" width="4.77734375" style="7" bestFit="1" customWidth="1"/>
    <col min="195" max="195" width="6" style="8" bestFit="1" customWidth="1"/>
    <col min="196" max="196" width="6.88671875" style="7" bestFit="1" customWidth="1"/>
    <col min="197" max="197" width="5.33203125" style="7" bestFit="1" customWidth="1"/>
    <col min="198" max="198" width="5.44140625" style="7" bestFit="1" customWidth="1"/>
    <col min="199" max="199" width="8.33203125" style="7" bestFit="1" customWidth="1"/>
    <col min="200" max="200" width="4.77734375" style="7" bestFit="1" customWidth="1"/>
    <col min="201" max="201" width="6" style="8" bestFit="1" customWidth="1"/>
    <col min="202" max="202" width="6.88671875" style="7" bestFit="1" customWidth="1"/>
    <col min="203" max="203" width="5.33203125" style="7" bestFit="1" customWidth="1"/>
    <col min="204" max="204" width="5.44140625" style="7" bestFit="1" customWidth="1"/>
    <col min="205" max="205" width="8.33203125" style="7" bestFit="1" customWidth="1"/>
    <col min="206" max="206" width="4.77734375" style="7" bestFit="1" customWidth="1"/>
    <col min="207" max="207" width="6" style="8" bestFit="1" customWidth="1"/>
    <col min="208" max="208" width="6.88671875" style="7" bestFit="1" customWidth="1"/>
    <col min="209" max="209" width="5.33203125" style="7" bestFit="1" customWidth="1"/>
    <col min="210" max="210" width="5.44140625" style="7" bestFit="1" customWidth="1"/>
    <col min="211" max="211" width="8.33203125" style="7" bestFit="1" customWidth="1"/>
    <col min="212" max="212" width="4.77734375" style="7" bestFit="1" customWidth="1"/>
    <col min="213" max="213" width="6" style="8" bestFit="1" customWidth="1"/>
    <col min="214" max="214" width="6.88671875" style="7" bestFit="1" customWidth="1"/>
    <col min="215" max="215" width="5.33203125" style="7" bestFit="1" customWidth="1"/>
    <col min="216" max="216" width="5.44140625" style="7" bestFit="1" customWidth="1"/>
    <col min="217" max="217" width="8.33203125" style="7" bestFit="1" customWidth="1"/>
    <col min="218" max="218" width="4.77734375" style="7" bestFit="1" customWidth="1"/>
    <col min="219" max="219" width="6" style="8" bestFit="1" customWidth="1"/>
    <col min="220" max="220" width="6.88671875" style="7" bestFit="1" customWidth="1"/>
    <col min="221" max="221" width="5.33203125" style="7" bestFit="1" customWidth="1"/>
    <col min="222" max="222" width="5.44140625" style="7" bestFit="1" customWidth="1"/>
    <col min="223" max="223" width="8.33203125" style="7" bestFit="1" customWidth="1"/>
    <col min="224" max="224" width="4.77734375" style="7" bestFit="1" customWidth="1"/>
    <col min="225" max="225" width="6" style="8" bestFit="1" customWidth="1"/>
    <col min="226" max="226" width="7.109375" style="7" customWidth="1"/>
    <col min="227" max="230" width="6.44140625" style="7" customWidth="1"/>
    <col min="231" max="231" width="6.44140625" style="8" customWidth="1"/>
    <col min="232" max="232" width="7.109375" style="7" customWidth="1"/>
    <col min="233" max="236" width="8.21875" style="7" customWidth="1"/>
    <col min="237" max="237" width="8.21875" style="8" customWidth="1"/>
    <col min="238" max="238" width="6.88671875" style="7" customWidth="1"/>
    <col min="239" max="239" width="7.33203125" style="7" customWidth="1"/>
    <col min="240" max="240" width="8.21875" style="7" customWidth="1"/>
    <col min="241" max="241" width="9.21875" style="7" customWidth="1"/>
    <col min="242" max="242" width="7.6640625" style="7" customWidth="1"/>
    <col min="243" max="243" width="8.6640625" style="8" customWidth="1"/>
    <col min="244" max="244" width="8.109375" style="7" customWidth="1"/>
    <col min="245" max="248" width="6.77734375" style="7" customWidth="1"/>
    <col min="249" max="249" width="6.77734375" style="8" customWidth="1"/>
    <col min="250" max="250" width="6.109375" style="48" customWidth="1"/>
    <col min="251" max="254" width="6.109375" style="49" customWidth="1"/>
    <col min="255" max="255" width="6.109375" style="8" customWidth="1"/>
    <col min="256" max="256" width="5.5546875" style="48" customWidth="1"/>
    <col min="257" max="260" width="5.5546875" style="49" customWidth="1"/>
    <col min="261" max="261" width="5.5546875" style="8" customWidth="1"/>
    <col min="262" max="266" width="5.21875" style="7" customWidth="1"/>
    <col min="267" max="267" width="5.21875" style="8" customWidth="1"/>
    <col min="268" max="272" width="5.21875" style="7" customWidth="1"/>
    <col min="273" max="273" width="5.21875" style="8" customWidth="1"/>
    <col min="274" max="278" width="5.21875" style="7" customWidth="1"/>
    <col min="279" max="279" width="5.21875" style="8" customWidth="1"/>
    <col min="280" max="284" width="5.21875" style="7" customWidth="1"/>
    <col min="285" max="285" width="5.21875" style="8" customWidth="1"/>
    <col min="286" max="290" width="5.21875" style="7" customWidth="1"/>
    <col min="291" max="291" width="5.21875" style="8" customWidth="1"/>
    <col min="292" max="315" width="5.21875" style="7" customWidth="1"/>
    <col min="316" max="16384" width="11.21875" style="7"/>
  </cols>
  <sheetData>
    <row r="1" spans="1:377" ht="15.75" customHeight="1">
      <c r="A1" s="14" t="s">
        <v>9</v>
      </c>
      <c r="C1" s="9" t="s">
        <v>8</v>
      </c>
      <c r="D1" s="18">
        <v>1</v>
      </c>
      <c r="J1" s="7">
        <v>2</v>
      </c>
      <c r="P1" s="7">
        <v>3</v>
      </c>
      <c r="V1" s="7">
        <v>4</v>
      </c>
      <c r="AB1" s="7">
        <v>5</v>
      </c>
      <c r="AH1" s="7">
        <v>6</v>
      </c>
      <c r="AN1" s="7">
        <v>7</v>
      </c>
      <c r="AT1" s="7">
        <v>8</v>
      </c>
      <c r="AZ1" s="7">
        <v>9</v>
      </c>
      <c r="BF1" s="7">
        <v>10</v>
      </c>
      <c r="BL1" s="7">
        <v>11</v>
      </c>
      <c r="BR1" s="7">
        <v>12</v>
      </c>
      <c r="BX1" s="7">
        <v>13</v>
      </c>
      <c r="CD1" s="7">
        <v>14</v>
      </c>
      <c r="CJ1" s="7">
        <v>15</v>
      </c>
      <c r="CP1" s="7">
        <v>16</v>
      </c>
      <c r="CV1" s="7">
        <v>17</v>
      </c>
      <c r="DB1" s="7">
        <v>18</v>
      </c>
      <c r="DH1" s="7">
        <v>19</v>
      </c>
      <c r="DN1" s="7">
        <v>20</v>
      </c>
      <c r="DT1" s="7">
        <v>21</v>
      </c>
      <c r="DZ1" s="7">
        <v>22</v>
      </c>
      <c r="EF1" s="7">
        <v>23</v>
      </c>
      <c r="EL1" s="7">
        <v>24</v>
      </c>
      <c r="ER1" s="7">
        <v>25</v>
      </c>
      <c r="EX1" s="7">
        <v>26</v>
      </c>
      <c r="FD1" s="7">
        <v>27</v>
      </c>
      <c r="FJ1" s="7">
        <v>28</v>
      </c>
      <c r="FP1" s="7">
        <v>29</v>
      </c>
      <c r="FV1" s="7">
        <v>30</v>
      </c>
      <c r="GB1" s="7">
        <v>31</v>
      </c>
      <c r="GH1" s="7">
        <v>32</v>
      </c>
      <c r="GN1" s="7">
        <v>33</v>
      </c>
      <c r="GT1" s="7">
        <v>34</v>
      </c>
      <c r="GZ1" s="7">
        <v>35</v>
      </c>
      <c r="HF1" s="7">
        <v>36</v>
      </c>
      <c r="HL1" s="7">
        <v>37</v>
      </c>
      <c r="HR1" s="7">
        <v>38</v>
      </c>
      <c r="HX1" s="7">
        <v>39</v>
      </c>
      <c r="ID1" s="7">
        <v>40</v>
      </c>
      <c r="IJ1" s="7">
        <v>41</v>
      </c>
      <c r="IP1" s="48">
        <v>42</v>
      </c>
      <c r="IV1" s="48">
        <v>43</v>
      </c>
      <c r="JB1" s="49">
        <v>44</v>
      </c>
      <c r="JC1" s="49"/>
      <c r="JD1" s="49"/>
      <c r="JE1" s="49"/>
      <c r="JF1" s="49"/>
      <c r="JH1" s="49">
        <v>45</v>
      </c>
      <c r="JI1" s="49"/>
      <c r="JJ1" s="49"/>
      <c r="JK1" s="49"/>
      <c r="JL1" s="49"/>
      <c r="JN1" s="49">
        <v>46</v>
      </c>
      <c r="JO1" s="49"/>
      <c r="JP1" s="49"/>
      <c r="JQ1" s="49"/>
      <c r="JR1" s="49"/>
      <c r="JT1" s="49">
        <v>47</v>
      </c>
      <c r="JU1" s="49"/>
      <c r="JV1" s="49"/>
      <c r="JW1" s="49"/>
      <c r="JX1" s="49"/>
      <c r="JZ1" s="49">
        <v>48</v>
      </c>
      <c r="KA1" s="49"/>
      <c r="KB1" s="49"/>
      <c r="KC1" s="49"/>
      <c r="KD1" s="49"/>
      <c r="KF1" s="49">
        <v>49</v>
      </c>
      <c r="KG1" s="49"/>
      <c r="KH1" s="49"/>
      <c r="KI1" s="49"/>
      <c r="KJ1" s="49"/>
      <c r="KK1" s="8"/>
      <c r="KL1" s="48">
        <v>50</v>
      </c>
      <c r="KM1" s="49"/>
      <c r="KN1" s="49"/>
      <c r="KO1" s="49"/>
      <c r="KP1" s="49"/>
      <c r="KQ1" s="8"/>
      <c r="KR1" s="48">
        <v>51</v>
      </c>
      <c r="KS1" s="49"/>
      <c r="KT1" s="49"/>
      <c r="KU1" s="49"/>
      <c r="KV1" s="49"/>
      <c r="KW1" s="8"/>
    </row>
    <row r="2" spans="1:377" s="29" customFormat="1" ht="15.75" customHeight="1">
      <c r="A2" s="28"/>
      <c r="B2" s="28"/>
      <c r="C2" s="28" t="s">
        <v>7</v>
      </c>
      <c r="D2" s="29" t="s">
        <v>17</v>
      </c>
      <c r="I2" s="30"/>
      <c r="J2" s="29" t="s">
        <v>18</v>
      </c>
      <c r="O2" s="30"/>
      <c r="P2" s="29" t="s">
        <v>19</v>
      </c>
      <c r="U2" s="30"/>
      <c r="V2" s="29" t="s">
        <v>20</v>
      </c>
      <c r="AA2" s="30"/>
      <c r="AB2" s="29" t="s">
        <v>21</v>
      </c>
      <c r="AG2" s="30"/>
      <c r="AH2" s="29" t="s">
        <v>22</v>
      </c>
      <c r="AM2" s="30"/>
      <c r="AN2" s="29" t="s">
        <v>23</v>
      </c>
      <c r="AS2" s="30"/>
      <c r="AT2" s="29" t="s">
        <v>24</v>
      </c>
      <c r="AY2" s="30"/>
      <c r="AZ2" s="29" t="s">
        <v>25</v>
      </c>
      <c r="BE2" s="30"/>
      <c r="BF2" s="29" t="s">
        <v>26</v>
      </c>
      <c r="BK2" s="30"/>
      <c r="BL2" s="29" t="s">
        <v>27</v>
      </c>
      <c r="BQ2" s="30"/>
      <c r="BR2" s="29" t="s">
        <v>28</v>
      </c>
      <c r="BW2" s="30"/>
      <c r="BX2" s="29" t="s">
        <v>29</v>
      </c>
      <c r="CC2" s="30"/>
      <c r="CD2" s="29" t="s">
        <v>30</v>
      </c>
      <c r="CI2" s="30"/>
      <c r="CJ2" s="29" t="s">
        <v>31</v>
      </c>
      <c r="CO2" s="30"/>
      <c r="CP2" s="29" t="s">
        <v>32</v>
      </c>
      <c r="CU2" s="30"/>
      <c r="CV2" s="29" t="s">
        <v>33</v>
      </c>
      <c r="DA2" s="30"/>
      <c r="DB2" s="29" t="s">
        <v>34</v>
      </c>
      <c r="DG2" s="30"/>
      <c r="DH2" s="29" t="s">
        <v>35</v>
      </c>
      <c r="DM2" s="30"/>
      <c r="DN2" s="29" t="s">
        <v>36</v>
      </c>
      <c r="DS2" s="30"/>
      <c r="DT2" s="29" t="s">
        <v>37</v>
      </c>
      <c r="DY2" s="30"/>
      <c r="DZ2" s="29" t="s">
        <v>38</v>
      </c>
      <c r="EE2" s="30"/>
      <c r="EF2" s="29" t="s">
        <v>39</v>
      </c>
      <c r="EK2" s="30"/>
      <c r="EL2" s="29" t="s">
        <v>40</v>
      </c>
      <c r="EQ2" s="30"/>
      <c r="ER2" s="29" t="s">
        <v>41</v>
      </c>
      <c r="EW2" s="30"/>
      <c r="EX2" s="29" t="s">
        <v>42</v>
      </c>
      <c r="FC2" s="30"/>
      <c r="FD2" s="29" t="s">
        <v>43</v>
      </c>
      <c r="FI2" s="30"/>
      <c r="FJ2" s="29" t="s">
        <v>44</v>
      </c>
      <c r="FO2" s="30"/>
      <c r="FP2" s="29" t="s">
        <v>45</v>
      </c>
      <c r="FU2" s="30"/>
      <c r="FV2" s="29" t="s">
        <v>46</v>
      </c>
      <c r="GA2" s="30"/>
      <c r="GB2" s="29" t="s">
        <v>47</v>
      </c>
      <c r="GG2" s="30"/>
      <c r="GH2" s="29" t="s">
        <v>48</v>
      </c>
      <c r="GM2" s="30"/>
      <c r="GN2" s="29" t="s">
        <v>49</v>
      </c>
      <c r="GS2" s="30"/>
      <c r="GT2" s="29" t="s">
        <v>50</v>
      </c>
      <c r="GY2" s="30"/>
      <c r="GZ2" s="29" t="s">
        <v>227</v>
      </c>
      <c r="HE2" s="30"/>
      <c r="HF2" s="29" t="s">
        <v>229</v>
      </c>
      <c r="HK2" s="30"/>
      <c r="HL2" s="29" t="s">
        <v>230</v>
      </c>
      <c r="HQ2" s="30"/>
      <c r="HR2" s="29" t="s">
        <v>231</v>
      </c>
      <c r="HW2" s="30"/>
      <c r="HX2" s="29" t="s">
        <v>232</v>
      </c>
      <c r="IC2" s="30"/>
      <c r="ID2" s="29" t="s">
        <v>233</v>
      </c>
      <c r="II2" s="30"/>
      <c r="IJ2" s="29" t="s">
        <v>234</v>
      </c>
      <c r="IO2" s="30"/>
      <c r="IP2" s="50" t="s">
        <v>235</v>
      </c>
      <c r="IQ2" s="51"/>
      <c r="IR2" s="51"/>
      <c r="IS2" s="51"/>
      <c r="IT2" s="51"/>
      <c r="IU2" s="30"/>
      <c r="IV2" s="50" t="s">
        <v>236</v>
      </c>
      <c r="IW2" s="51"/>
      <c r="IX2" s="51"/>
      <c r="IY2" s="51"/>
      <c r="IZ2" s="51"/>
      <c r="JA2" s="30"/>
      <c r="JB2" s="29" t="s">
        <v>237</v>
      </c>
      <c r="JG2" s="30"/>
      <c r="JH2" s="29" t="s">
        <v>240</v>
      </c>
      <c r="JM2" s="30"/>
      <c r="JN2" s="29" t="s">
        <v>241</v>
      </c>
      <c r="JS2" s="30"/>
      <c r="JT2" s="29" t="s">
        <v>239</v>
      </c>
      <c r="JY2" s="30"/>
      <c r="JZ2" s="29" t="s">
        <v>242</v>
      </c>
      <c r="KE2" s="30"/>
      <c r="KF2" s="29" t="s">
        <v>243</v>
      </c>
    </row>
    <row r="3" spans="1:377" ht="15.75" customHeight="1">
      <c r="A3" s="9" t="s">
        <v>6</v>
      </c>
      <c r="D3" s="18" t="s">
        <v>5</v>
      </c>
      <c r="E3" s="9" t="s">
        <v>171</v>
      </c>
      <c r="F3" s="9" t="s">
        <v>4</v>
      </c>
      <c r="G3" s="7" t="s">
        <v>3</v>
      </c>
      <c r="H3" s="9" t="s">
        <v>169</v>
      </c>
      <c r="I3" s="11" t="s">
        <v>2</v>
      </c>
      <c r="J3" s="7" t="str">
        <f t="shared" ref="J3:BU3" si="0">D3</f>
        <v xml:space="preserve">Required </v>
      </c>
      <c r="K3" s="7" t="str">
        <f t="shared" si="0"/>
        <v>Effects[points,%]</v>
      </c>
      <c r="L3" s="7" t="str">
        <f t="shared" si="0"/>
        <v>Effs. %</v>
      </c>
      <c r="M3" s="7" t="str">
        <f t="shared" si="0"/>
        <v>Bonus cond</v>
      </c>
      <c r="N3" s="7" t="str">
        <f t="shared" si="0"/>
        <v>B Effs[points,%]</v>
      </c>
      <c r="O3" s="8" t="str">
        <f t="shared" si="0"/>
        <v>B Effs%</v>
      </c>
      <c r="P3" s="7" t="str">
        <f t="shared" si="0"/>
        <v xml:space="preserve">Required </v>
      </c>
      <c r="Q3" s="7" t="str">
        <f t="shared" si="0"/>
        <v>Effects[points,%]</v>
      </c>
      <c r="R3" s="7" t="str">
        <f t="shared" si="0"/>
        <v>Effs. %</v>
      </c>
      <c r="S3" s="7" t="str">
        <f t="shared" si="0"/>
        <v>Bonus cond</v>
      </c>
      <c r="T3" s="7" t="str">
        <f t="shared" si="0"/>
        <v>B Effs[points,%]</v>
      </c>
      <c r="U3" s="8" t="str">
        <f t="shared" si="0"/>
        <v>B Effs%</v>
      </c>
      <c r="V3" s="7" t="str">
        <f t="shared" si="0"/>
        <v xml:space="preserve">Required </v>
      </c>
      <c r="W3" s="7" t="str">
        <f t="shared" si="0"/>
        <v>Effects[points,%]</v>
      </c>
      <c r="X3" s="7" t="str">
        <f t="shared" si="0"/>
        <v>Effs. %</v>
      </c>
      <c r="Y3" s="7" t="str">
        <f t="shared" si="0"/>
        <v>Bonus cond</v>
      </c>
      <c r="Z3" s="7" t="str">
        <f t="shared" si="0"/>
        <v>B Effs[points,%]</v>
      </c>
      <c r="AA3" s="8" t="str">
        <f t="shared" si="0"/>
        <v>B Effs%</v>
      </c>
      <c r="AB3" s="7" t="str">
        <f t="shared" si="0"/>
        <v xml:space="preserve">Required </v>
      </c>
      <c r="AC3" s="7" t="str">
        <f t="shared" si="0"/>
        <v>Effects[points,%]</v>
      </c>
      <c r="AD3" s="7" t="str">
        <f t="shared" si="0"/>
        <v>Effs. %</v>
      </c>
      <c r="AE3" s="7" t="str">
        <f t="shared" si="0"/>
        <v>Bonus cond</v>
      </c>
      <c r="AF3" s="7" t="str">
        <f t="shared" si="0"/>
        <v>B Effs[points,%]</v>
      </c>
      <c r="AG3" s="8" t="str">
        <f t="shared" si="0"/>
        <v>B Effs%</v>
      </c>
      <c r="AH3" s="7" t="str">
        <f t="shared" si="0"/>
        <v xml:space="preserve">Required </v>
      </c>
      <c r="AI3" s="7" t="str">
        <f t="shared" si="0"/>
        <v>Effects[points,%]</v>
      </c>
      <c r="AJ3" s="7" t="str">
        <f t="shared" si="0"/>
        <v>Effs. %</v>
      </c>
      <c r="AK3" s="7" t="str">
        <f t="shared" si="0"/>
        <v>Bonus cond</v>
      </c>
      <c r="AL3" s="7" t="str">
        <f t="shared" si="0"/>
        <v>B Effs[points,%]</v>
      </c>
      <c r="AM3" s="8" t="str">
        <f t="shared" si="0"/>
        <v>B Effs%</v>
      </c>
      <c r="AN3" s="7" t="str">
        <f t="shared" si="0"/>
        <v xml:space="preserve">Required </v>
      </c>
      <c r="AO3" s="7" t="str">
        <f t="shared" si="0"/>
        <v>Effects[points,%]</v>
      </c>
      <c r="AP3" s="7" t="str">
        <f t="shared" si="0"/>
        <v>Effs. %</v>
      </c>
      <c r="AQ3" s="7" t="str">
        <f t="shared" si="0"/>
        <v>Bonus cond</v>
      </c>
      <c r="AR3" s="7" t="str">
        <f t="shared" si="0"/>
        <v>B Effs[points,%]</v>
      </c>
      <c r="AS3" s="8" t="str">
        <f t="shared" si="0"/>
        <v>B Effs%</v>
      </c>
      <c r="AT3" s="7" t="str">
        <f t="shared" si="0"/>
        <v xml:space="preserve">Required </v>
      </c>
      <c r="AU3" s="7" t="str">
        <f t="shared" si="0"/>
        <v>Effects[points,%]</v>
      </c>
      <c r="AV3" s="7" t="str">
        <f t="shared" si="0"/>
        <v>Effs. %</v>
      </c>
      <c r="AW3" s="7" t="str">
        <f t="shared" si="0"/>
        <v>Bonus cond</v>
      </c>
      <c r="AX3" s="7" t="str">
        <f t="shared" si="0"/>
        <v>B Effs[points,%]</v>
      </c>
      <c r="AY3" s="8" t="str">
        <f t="shared" si="0"/>
        <v>B Effs%</v>
      </c>
      <c r="AZ3" s="7" t="str">
        <f t="shared" si="0"/>
        <v xml:space="preserve">Required </v>
      </c>
      <c r="BA3" s="7" t="str">
        <f t="shared" si="0"/>
        <v>Effects[points,%]</v>
      </c>
      <c r="BB3" s="7" t="str">
        <f t="shared" si="0"/>
        <v>Effs. %</v>
      </c>
      <c r="BC3" s="7" t="str">
        <f t="shared" si="0"/>
        <v>Bonus cond</v>
      </c>
      <c r="BD3" s="7" t="str">
        <f t="shared" si="0"/>
        <v>B Effs[points,%]</v>
      </c>
      <c r="BE3" s="8" t="str">
        <f t="shared" si="0"/>
        <v>B Effs%</v>
      </c>
      <c r="BF3" s="7" t="str">
        <f t="shared" si="0"/>
        <v xml:space="preserve">Required </v>
      </c>
      <c r="BG3" s="7" t="str">
        <f t="shared" si="0"/>
        <v>Effects[points,%]</v>
      </c>
      <c r="BH3" s="7" t="str">
        <f t="shared" si="0"/>
        <v>Effs. %</v>
      </c>
      <c r="BI3" s="7" t="str">
        <f t="shared" si="0"/>
        <v>Bonus cond</v>
      </c>
      <c r="BJ3" s="7" t="str">
        <f t="shared" si="0"/>
        <v>B Effs[points,%]</v>
      </c>
      <c r="BK3" s="8" t="str">
        <f t="shared" si="0"/>
        <v>B Effs%</v>
      </c>
      <c r="BL3" s="7" t="str">
        <f t="shared" si="0"/>
        <v xml:space="preserve">Required </v>
      </c>
      <c r="BM3" s="7" t="str">
        <f t="shared" si="0"/>
        <v>Effects[points,%]</v>
      </c>
      <c r="BN3" s="7" t="str">
        <f t="shared" si="0"/>
        <v>Effs. %</v>
      </c>
      <c r="BO3" s="7" t="str">
        <f t="shared" si="0"/>
        <v>Bonus cond</v>
      </c>
      <c r="BP3" s="7" t="str">
        <f t="shared" si="0"/>
        <v>B Effs[points,%]</v>
      </c>
      <c r="BQ3" s="8" t="str">
        <f t="shared" si="0"/>
        <v>B Effs%</v>
      </c>
      <c r="BR3" s="7" t="str">
        <f t="shared" si="0"/>
        <v xml:space="preserve">Required </v>
      </c>
      <c r="BS3" s="7" t="str">
        <f t="shared" si="0"/>
        <v>Effects[points,%]</v>
      </c>
      <c r="BT3" s="7" t="str">
        <f t="shared" si="0"/>
        <v>Effs. %</v>
      </c>
      <c r="BU3" s="7" t="str">
        <f t="shared" si="0"/>
        <v>Bonus cond</v>
      </c>
      <c r="BV3" s="7" t="str">
        <f t="shared" ref="BV3:EG3" si="1">BP3</f>
        <v>B Effs[points,%]</v>
      </c>
      <c r="BW3" s="8" t="str">
        <f t="shared" si="1"/>
        <v>B Effs%</v>
      </c>
      <c r="BX3" s="7" t="str">
        <f t="shared" si="1"/>
        <v xml:space="preserve">Required </v>
      </c>
      <c r="BY3" s="7" t="str">
        <f t="shared" si="1"/>
        <v>Effects[points,%]</v>
      </c>
      <c r="BZ3" s="7" t="str">
        <f t="shared" si="1"/>
        <v>Effs. %</v>
      </c>
      <c r="CA3" s="7" t="str">
        <f t="shared" si="1"/>
        <v>Bonus cond</v>
      </c>
      <c r="CB3" s="7" t="str">
        <f t="shared" si="1"/>
        <v>B Effs[points,%]</v>
      </c>
      <c r="CC3" s="8" t="str">
        <f t="shared" si="1"/>
        <v>B Effs%</v>
      </c>
      <c r="CD3" s="7" t="str">
        <f t="shared" si="1"/>
        <v xml:space="preserve">Required </v>
      </c>
      <c r="CE3" s="7" t="str">
        <f t="shared" si="1"/>
        <v>Effects[points,%]</v>
      </c>
      <c r="CF3" s="7" t="str">
        <f t="shared" si="1"/>
        <v>Effs. %</v>
      </c>
      <c r="CG3" s="7" t="str">
        <f t="shared" si="1"/>
        <v>Bonus cond</v>
      </c>
      <c r="CH3" s="7" t="str">
        <f t="shared" si="1"/>
        <v>B Effs[points,%]</v>
      </c>
      <c r="CI3" s="8" t="str">
        <f t="shared" si="1"/>
        <v>B Effs%</v>
      </c>
      <c r="CJ3" s="7" t="str">
        <f t="shared" si="1"/>
        <v xml:space="preserve">Required </v>
      </c>
      <c r="CK3" s="7" t="str">
        <f t="shared" si="1"/>
        <v>Effects[points,%]</v>
      </c>
      <c r="CL3" s="7" t="str">
        <f t="shared" si="1"/>
        <v>Effs. %</v>
      </c>
      <c r="CM3" s="7" t="str">
        <f t="shared" si="1"/>
        <v>Bonus cond</v>
      </c>
      <c r="CN3" s="7" t="str">
        <f t="shared" si="1"/>
        <v>B Effs[points,%]</v>
      </c>
      <c r="CO3" s="8" t="str">
        <f t="shared" si="1"/>
        <v>B Effs%</v>
      </c>
      <c r="CP3" s="7" t="str">
        <f t="shared" si="1"/>
        <v xml:space="preserve">Required </v>
      </c>
      <c r="CQ3" s="7" t="str">
        <f t="shared" si="1"/>
        <v>Effects[points,%]</v>
      </c>
      <c r="CR3" s="7" t="str">
        <f t="shared" si="1"/>
        <v>Effs. %</v>
      </c>
      <c r="CS3" s="7" t="str">
        <f t="shared" si="1"/>
        <v>Bonus cond</v>
      </c>
      <c r="CT3" s="7" t="str">
        <f t="shared" si="1"/>
        <v>B Effs[points,%]</v>
      </c>
      <c r="CU3" s="8" t="str">
        <f t="shared" si="1"/>
        <v>B Effs%</v>
      </c>
      <c r="CV3" s="7" t="str">
        <f t="shared" si="1"/>
        <v xml:space="preserve">Required </v>
      </c>
      <c r="CW3" s="7" t="str">
        <f t="shared" si="1"/>
        <v>Effects[points,%]</v>
      </c>
      <c r="CX3" s="7" t="str">
        <f t="shared" si="1"/>
        <v>Effs. %</v>
      </c>
      <c r="CY3" s="7" t="str">
        <f t="shared" si="1"/>
        <v>Bonus cond</v>
      </c>
      <c r="CZ3" s="7" t="str">
        <f t="shared" si="1"/>
        <v>B Effs[points,%]</v>
      </c>
      <c r="DA3" s="8" t="str">
        <f t="shared" si="1"/>
        <v>B Effs%</v>
      </c>
      <c r="DB3" s="7" t="str">
        <f t="shared" si="1"/>
        <v xml:space="preserve">Required </v>
      </c>
      <c r="DC3" s="7" t="str">
        <f t="shared" si="1"/>
        <v>Effects[points,%]</v>
      </c>
      <c r="DD3" s="7" t="str">
        <f t="shared" si="1"/>
        <v>Effs. %</v>
      </c>
      <c r="DE3" s="7" t="str">
        <f t="shared" si="1"/>
        <v>Bonus cond</v>
      </c>
      <c r="DF3" s="7" t="str">
        <f t="shared" si="1"/>
        <v>B Effs[points,%]</v>
      </c>
      <c r="DG3" s="8" t="str">
        <f t="shared" si="1"/>
        <v>B Effs%</v>
      </c>
      <c r="DH3" s="7" t="str">
        <f t="shared" si="1"/>
        <v xml:space="preserve">Required </v>
      </c>
      <c r="DI3" s="7" t="str">
        <f t="shared" si="1"/>
        <v>Effects[points,%]</v>
      </c>
      <c r="DJ3" s="7" t="str">
        <f t="shared" si="1"/>
        <v>Effs. %</v>
      </c>
      <c r="DK3" s="7" t="str">
        <f t="shared" si="1"/>
        <v>Bonus cond</v>
      </c>
      <c r="DL3" s="7" t="str">
        <f t="shared" si="1"/>
        <v>B Effs[points,%]</v>
      </c>
      <c r="DM3" s="8" t="str">
        <f t="shared" si="1"/>
        <v>B Effs%</v>
      </c>
      <c r="DN3" s="7" t="str">
        <f t="shared" si="1"/>
        <v xml:space="preserve">Required </v>
      </c>
      <c r="DO3" s="7" t="str">
        <f t="shared" si="1"/>
        <v>Effects[points,%]</v>
      </c>
      <c r="DP3" s="7" t="str">
        <f t="shared" si="1"/>
        <v>Effs. %</v>
      </c>
      <c r="DQ3" s="7" t="str">
        <f t="shared" si="1"/>
        <v>Bonus cond</v>
      </c>
      <c r="DR3" s="7" t="str">
        <f t="shared" si="1"/>
        <v>B Effs[points,%]</v>
      </c>
      <c r="DS3" s="8" t="str">
        <f t="shared" si="1"/>
        <v>B Effs%</v>
      </c>
      <c r="DT3" s="7" t="str">
        <f t="shared" si="1"/>
        <v xml:space="preserve">Required </v>
      </c>
      <c r="DU3" s="7" t="str">
        <f t="shared" si="1"/>
        <v>Effects[points,%]</v>
      </c>
      <c r="DV3" s="7" t="str">
        <f t="shared" si="1"/>
        <v>Effs. %</v>
      </c>
      <c r="DW3" s="7" t="str">
        <f t="shared" si="1"/>
        <v>Bonus cond</v>
      </c>
      <c r="DX3" s="7" t="str">
        <f t="shared" si="1"/>
        <v>B Effs[points,%]</v>
      </c>
      <c r="DY3" s="8" t="str">
        <f t="shared" si="1"/>
        <v>B Effs%</v>
      </c>
      <c r="DZ3" s="7" t="str">
        <f t="shared" si="1"/>
        <v xml:space="preserve">Required </v>
      </c>
      <c r="EA3" s="7" t="str">
        <f t="shared" si="1"/>
        <v>Effects[points,%]</v>
      </c>
      <c r="EB3" s="7" t="str">
        <f t="shared" si="1"/>
        <v>Effs. %</v>
      </c>
      <c r="EC3" s="7" t="str">
        <f t="shared" si="1"/>
        <v>Bonus cond</v>
      </c>
      <c r="ED3" s="7" t="str">
        <f t="shared" si="1"/>
        <v>B Effs[points,%]</v>
      </c>
      <c r="EE3" s="8" t="str">
        <f t="shared" si="1"/>
        <v>B Effs%</v>
      </c>
      <c r="EF3" s="7" t="str">
        <f t="shared" si="1"/>
        <v xml:space="preserve">Required </v>
      </c>
      <c r="EG3" s="7" t="str">
        <f t="shared" si="1"/>
        <v>Effects[points,%]</v>
      </c>
      <c r="EH3" s="7" t="str">
        <f t="shared" ref="EH3:GS3" si="2">EB3</f>
        <v>Effs. %</v>
      </c>
      <c r="EI3" s="7" t="str">
        <f t="shared" si="2"/>
        <v>Bonus cond</v>
      </c>
      <c r="EJ3" s="7" t="str">
        <f t="shared" si="2"/>
        <v>B Effs[points,%]</v>
      </c>
      <c r="EK3" s="8" t="str">
        <f t="shared" si="2"/>
        <v>B Effs%</v>
      </c>
      <c r="EL3" s="7" t="str">
        <f t="shared" si="2"/>
        <v xml:space="preserve">Required </v>
      </c>
      <c r="EM3" s="7" t="str">
        <f t="shared" si="2"/>
        <v>Effects[points,%]</v>
      </c>
      <c r="EN3" s="7" t="str">
        <f t="shared" si="2"/>
        <v>Effs. %</v>
      </c>
      <c r="EO3" s="7" t="str">
        <f t="shared" si="2"/>
        <v>Bonus cond</v>
      </c>
      <c r="EP3" s="7" t="str">
        <f t="shared" si="2"/>
        <v>B Effs[points,%]</v>
      </c>
      <c r="EQ3" s="8" t="str">
        <f t="shared" si="2"/>
        <v>B Effs%</v>
      </c>
      <c r="ER3" s="7" t="str">
        <f t="shared" si="2"/>
        <v xml:space="preserve">Required </v>
      </c>
      <c r="ES3" s="7" t="str">
        <f t="shared" si="2"/>
        <v>Effects[points,%]</v>
      </c>
      <c r="ET3" s="7" t="str">
        <f t="shared" si="2"/>
        <v>Effs. %</v>
      </c>
      <c r="EU3" s="7" t="str">
        <f t="shared" si="2"/>
        <v>Bonus cond</v>
      </c>
      <c r="EV3" s="7" t="str">
        <f t="shared" si="2"/>
        <v>B Effs[points,%]</v>
      </c>
      <c r="EW3" s="8" t="str">
        <f t="shared" si="2"/>
        <v>B Effs%</v>
      </c>
      <c r="EX3" s="7" t="str">
        <f t="shared" si="2"/>
        <v xml:space="preserve">Required </v>
      </c>
      <c r="EY3" s="7" t="str">
        <f t="shared" si="2"/>
        <v>Effects[points,%]</v>
      </c>
      <c r="EZ3" s="7" t="str">
        <f t="shared" si="2"/>
        <v>Effs. %</v>
      </c>
      <c r="FA3" s="7" t="str">
        <f t="shared" si="2"/>
        <v>Bonus cond</v>
      </c>
      <c r="FB3" s="7" t="str">
        <f t="shared" si="2"/>
        <v>B Effs[points,%]</v>
      </c>
      <c r="FC3" s="8" t="str">
        <f t="shared" si="2"/>
        <v>B Effs%</v>
      </c>
      <c r="FD3" s="7" t="str">
        <f t="shared" si="2"/>
        <v xml:space="preserve">Required </v>
      </c>
      <c r="FE3" s="7" t="str">
        <f t="shared" si="2"/>
        <v>Effects[points,%]</v>
      </c>
      <c r="FF3" s="7" t="str">
        <f t="shared" si="2"/>
        <v>Effs. %</v>
      </c>
      <c r="FG3" s="7" t="str">
        <f t="shared" si="2"/>
        <v>Bonus cond</v>
      </c>
      <c r="FH3" s="7" t="str">
        <f t="shared" si="2"/>
        <v>B Effs[points,%]</v>
      </c>
      <c r="FI3" s="8" t="str">
        <f t="shared" si="2"/>
        <v>B Effs%</v>
      </c>
      <c r="FJ3" s="7" t="str">
        <f t="shared" si="2"/>
        <v xml:space="preserve">Required </v>
      </c>
      <c r="FK3" s="7" t="str">
        <f t="shared" si="2"/>
        <v>Effects[points,%]</v>
      </c>
      <c r="FL3" s="7" t="str">
        <f t="shared" si="2"/>
        <v>Effs. %</v>
      </c>
      <c r="FM3" s="7" t="str">
        <f t="shared" si="2"/>
        <v>Bonus cond</v>
      </c>
      <c r="FN3" s="7" t="str">
        <f t="shared" si="2"/>
        <v>B Effs[points,%]</v>
      </c>
      <c r="FO3" s="8" t="str">
        <f t="shared" si="2"/>
        <v>B Effs%</v>
      </c>
      <c r="FP3" s="7" t="str">
        <f t="shared" si="2"/>
        <v xml:space="preserve">Required </v>
      </c>
      <c r="FQ3" s="7" t="str">
        <f t="shared" si="2"/>
        <v>Effects[points,%]</v>
      </c>
      <c r="FR3" s="7" t="str">
        <f t="shared" si="2"/>
        <v>Effs. %</v>
      </c>
      <c r="FS3" s="7" t="str">
        <f t="shared" si="2"/>
        <v>Bonus cond</v>
      </c>
      <c r="FT3" s="7" t="str">
        <f t="shared" si="2"/>
        <v>B Effs[points,%]</v>
      </c>
      <c r="FU3" s="8" t="str">
        <f t="shared" si="2"/>
        <v>B Effs%</v>
      </c>
      <c r="FV3" s="7" t="str">
        <f t="shared" si="2"/>
        <v xml:space="preserve">Required </v>
      </c>
      <c r="FW3" s="7" t="str">
        <f t="shared" si="2"/>
        <v>Effects[points,%]</v>
      </c>
      <c r="FX3" s="7" t="str">
        <f t="shared" si="2"/>
        <v>Effs. %</v>
      </c>
      <c r="FY3" s="7" t="str">
        <f t="shared" si="2"/>
        <v>Bonus cond</v>
      </c>
      <c r="FZ3" s="7" t="str">
        <f t="shared" si="2"/>
        <v>B Effs[points,%]</v>
      </c>
      <c r="GA3" s="8" t="str">
        <f t="shared" si="2"/>
        <v>B Effs%</v>
      </c>
      <c r="GB3" s="7" t="str">
        <f t="shared" si="2"/>
        <v xml:space="preserve">Required </v>
      </c>
      <c r="GC3" s="7" t="str">
        <f t="shared" si="2"/>
        <v>Effects[points,%]</v>
      </c>
      <c r="GD3" s="7" t="str">
        <f t="shared" si="2"/>
        <v>Effs. %</v>
      </c>
      <c r="GE3" s="7" t="str">
        <f t="shared" si="2"/>
        <v>Bonus cond</v>
      </c>
      <c r="GF3" s="7" t="str">
        <f t="shared" si="2"/>
        <v>B Effs[points,%]</v>
      </c>
      <c r="GG3" s="8" t="str">
        <f t="shared" si="2"/>
        <v>B Effs%</v>
      </c>
      <c r="GH3" s="7" t="str">
        <f t="shared" si="2"/>
        <v xml:space="preserve">Required </v>
      </c>
      <c r="GI3" s="7" t="str">
        <f t="shared" si="2"/>
        <v>Effects[points,%]</v>
      </c>
      <c r="GJ3" s="7" t="str">
        <f t="shared" si="2"/>
        <v>Effs. %</v>
      </c>
      <c r="GK3" s="7" t="str">
        <f t="shared" si="2"/>
        <v>Bonus cond</v>
      </c>
      <c r="GL3" s="7" t="str">
        <f t="shared" si="2"/>
        <v>B Effs[points,%]</v>
      </c>
      <c r="GM3" s="8" t="str">
        <f t="shared" si="2"/>
        <v>B Effs%</v>
      </c>
      <c r="GN3" s="7" t="str">
        <f t="shared" si="2"/>
        <v xml:space="preserve">Required </v>
      </c>
      <c r="GO3" s="7" t="str">
        <f t="shared" si="2"/>
        <v>Effects[points,%]</v>
      </c>
      <c r="GP3" s="7" t="str">
        <f t="shared" si="2"/>
        <v>Effs. %</v>
      </c>
      <c r="GQ3" s="7" t="str">
        <f t="shared" si="2"/>
        <v>Bonus cond</v>
      </c>
      <c r="GR3" s="7" t="str">
        <f t="shared" si="2"/>
        <v>B Effs[points,%]</v>
      </c>
      <c r="GS3" s="8" t="str">
        <f t="shared" si="2"/>
        <v>B Effs%</v>
      </c>
      <c r="GT3" s="7" t="str">
        <f t="shared" ref="GT3:HQ3" si="3">GN3</f>
        <v xml:space="preserve">Required </v>
      </c>
      <c r="GU3" s="7" t="str">
        <f t="shared" si="3"/>
        <v>Effects[points,%]</v>
      </c>
      <c r="GV3" s="7" t="str">
        <f t="shared" si="3"/>
        <v>Effs. %</v>
      </c>
      <c r="GW3" s="7" t="str">
        <f t="shared" si="3"/>
        <v>Bonus cond</v>
      </c>
      <c r="GX3" s="7" t="str">
        <f t="shared" si="3"/>
        <v>B Effs[points,%]</v>
      </c>
      <c r="GY3" s="8" t="str">
        <f t="shared" si="3"/>
        <v>B Effs%</v>
      </c>
      <c r="GZ3" s="7" t="str">
        <f t="shared" si="3"/>
        <v xml:space="preserve">Required </v>
      </c>
      <c r="HA3" s="7" t="str">
        <f t="shared" si="3"/>
        <v>Effects[points,%]</v>
      </c>
      <c r="HB3" s="7" t="str">
        <f t="shared" si="3"/>
        <v>Effs. %</v>
      </c>
      <c r="HC3" s="7" t="str">
        <f t="shared" si="3"/>
        <v>Bonus cond</v>
      </c>
      <c r="HD3" s="7" t="str">
        <f t="shared" si="3"/>
        <v>B Effs[points,%]</v>
      </c>
      <c r="HE3" s="8" t="str">
        <f t="shared" si="3"/>
        <v>B Effs%</v>
      </c>
      <c r="HF3" s="7" t="str">
        <f t="shared" si="3"/>
        <v xml:space="preserve">Required </v>
      </c>
      <c r="HG3" s="7" t="str">
        <f t="shared" si="3"/>
        <v>Effects[points,%]</v>
      </c>
      <c r="HH3" s="7" t="str">
        <f t="shared" si="3"/>
        <v>Effs. %</v>
      </c>
      <c r="HI3" s="7" t="str">
        <f t="shared" si="3"/>
        <v>Bonus cond</v>
      </c>
      <c r="HJ3" s="7" t="str">
        <f t="shared" si="3"/>
        <v>B Effs[points,%]</v>
      </c>
      <c r="HK3" s="8" t="str">
        <f t="shared" si="3"/>
        <v>B Effs%</v>
      </c>
      <c r="HL3" s="7" t="str">
        <f t="shared" si="3"/>
        <v xml:space="preserve">Required </v>
      </c>
      <c r="HM3" s="7" t="str">
        <f t="shared" si="3"/>
        <v>Effects[points,%]</v>
      </c>
      <c r="HN3" s="7" t="str">
        <f t="shared" si="3"/>
        <v>Effs. %</v>
      </c>
      <c r="HO3" s="7" t="str">
        <f t="shared" si="3"/>
        <v>Bonus cond</v>
      </c>
      <c r="HP3" s="7" t="str">
        <f t="shared" si="3"/>
        <v>B Effs[points,%]</v>
      </c>
      <c r="HQ3" s="8" t="str">
        <f t="shared" si="3"/>
        <v>B Effs%</v>
      </c>
      <c r="HR3" s="7" t="str">
        <f t="shared" ref="HR3" si="4">HL3</f>
        <v xml:space="preserve">Required </v>
      </c>
      <c r="HS3" s="7" t="str">
        <f t="shared" ref="HS3" si="5">HM3</f>
        <v>Effects[points,%]</v>
      </c>
      <c r="HT3" s="7" t="str">
        <f t="shared" ref="HT3" si="6">HN3</f>
        <v>Effs. %</v>
      </c>
      <c r="HU3" s="7" t="str">
        <f t="shared" ref="HU3" si="7">HO3</f>
        <v>Bonus cond</v>
      </c>
      <c r="HV3" s="7" t="str">
        <f t="shared" ref="HV3" si="8">HP3</f>
        <v>B Effs[points,%]</v>
      </c>
      <c r="HW3" s="8" t="str">
        <f t="shared" ref="HW3" si="9">HQ3</f>
        <v>B Effs%</v>
      </c>
      <c r="HX3" s="7" t="str">
        <f t="shared" ref="HX3" si="10">HR3</f>
        <v xml:space="preserve">Required </v>
      </c>
      <c r="HY3" s="7" t="str">
        <f t="shared" ref="HY3" si="11">HS3</f>
        <v>Effects[points,%]</v>
      </c>
      <c r="HZ3" s="7" t="str">
        <f t="shared" ref="HZ3" si="12">HT3</f>
        <v>Effs. %</v>
      </c>
      <c r="IA3" s="7" t="str">
        <f t="shared" ref="IA3" si="13">HU3</f>
        <v>Bonus cond</v>
      </c>
      <c r="IB3" s="7" t="str">
        <f t="shared" ref="IB3" si="14">HV3</f>
        <v>B Effs[points,%]</v>
      </c>
      <c r="IC3" s="8" t="str">
        <f t="shared" ref="IC3" si="15">HW3</f>
        <v>B Effs%</v>
      </c>
      <c r="ID3" s="7" t="str">
        <f t="shared" ref="ID3" si="16">HX3</f>
        <v xml:space="preserve">Required </v>
      </c>
      <c r="IE3" s="7" t="str">
        <f t="shared" ref="IE3" si="17">HY3</f>
        <v>Effects[points,%]</v>
      </c>
      <c r="IF3" s="7" t="str">
        <f t="shared" ref="IF3" si="18">HZ3</f>
        <v>Effs. %</v>
      </c>
      <c r="IG3" s="7" t="str">
        <f t="shared" ref="IG3" si="19">IA3</f>
        <v>Bonus cond</v>
      </c>
      <c r="IH3" s="7" t="str">
        <f t="shared" ref="IH3" si="20">IB3</f>
        <v>B Effs[points,%]</v>
      </c>
      <c r="II3" s="8" t="str">
        <f t="shared" ref="II3" si="21">IC3</f>
        <v>B Effs%</v>
      </c>
      <c r="IJ3" s="7" t="str">
        <f t="shared" ref="IJ3" si="22">ID3</f>
        <v xml:space="preserve">Required </v>
      </c>
      <c r="IK3" s="7" t="str">
        <f t="shared" ref="IK3" si="23">IE3</f>
        <v>Effects[points,%]</v>
      </c>
      <c r="IL3" s="7" t="str">
        <f t="shared" ref="IL3" si="24">IF3</f>
        <v>Effs. %</v>
      </c>
      <c r="IM3" s="7" t="str">
        <f t="shared" ref="IM3" si="25">IG3</f>
        <v>Bonus cond</v>
      </c>
      <c r="IN3" s="7" t="str">
        <f t="shared" ref="IN3" si="26">IH3</f>
        <v>B Effs[points,%]</v>
      </c>
      <c r="IO3" s="8" t="str">
        <f t="shared" ref="IO3" si="27">II3</f>
        <v>B Effs%</v>
      </c>
      <c r="IP3" s="48" t="str">
        <f t="shared" ref="IP3" si="28">IJ3</f>
        <v xml:space="preserve">Required </v>
      </c>
      <c r="IQ3" s="49" t="str">
        <f t="shared" ref="IQ3" si="29">IK3</f>
        <v>Effects[points,%]</v>
      </c>
      <c r="IR3" s="49" t="str">
        <f t="shared" ref="IR3" si="30">IL3</f>
        <v>Effs. %</v>
      </c>
      <c r="IS3" s="49" t="str">
        <f t="shared" ref="IS3" si="31">IM3</f>
        <v>Bonus cond</v>
      </c>
      <c r="IT3" s="49" t="str">
        <f t="shared" ref="IT3" si="32">IN3</f>
        <v>B Effs[points,%]</v>
      </c>
      <c r="IU3" s="8" t="str">
        <f t="shared" ref="IU3" si="33">IO3</f>
        <v>B Effs%</v>
      </c>
      <c r="IV3" s="48" t="str">
        <f t="shared" ref="IV3" si="34">IP3</f>
        <v xml:space="preserve">Required </v>
      </c>
      <c r="IW3" s="49" t="str">
        <f t="shared" ref="IW3" si="35">IQ3</f>
        <v>Effects[points,%]</v>
      </c>
      <c r="IX3" s="49" t="str">
        <f t="shared" ref="IX3" si="36">IR3</f>
        <v>Effs. %</v>
      </c>
      <c r="IY3" s="49" t="str">
        <f t="shared" ref="IY3" si="37">IS3</f>
        <v>Bonus cond</v>
      </c>
      <c r="IZ3" s="49" t="str">
        <f t="shared" ref="IZ3" si="38">IT3</f>
        <v>B Effs[points,%]</v>
      </c>
      <c r="JA3" s="8" t="str">
        <f t="shared" ref="JA3" si="39">IU3</f>
        <v>B Effs%</v>
      </c>
      <c r="JB3" s="49" t="str">
        <f t="shared" ref="JB3" si="40">IV3</f>
        <v xml:space="preserve">Required </v>
      </c>
      <c r="JC3" s="49" t="str">
        <f t="shared" ref="JC3" si="41">IW3</f>
        <v>Effects[points,%]</v>
      </c>
      <c r="JD3" s="49" t="str">
        <f t="shared" ref="JD3" si="42">IX3</f>
        <v>Effs. %</v>
      </c>
      <c r="JE3" s="49" t="str">
        <f t="shared" ref="JE3" si="43">IY3</f>
        <v>Bonus cond</v>
      </c>
      <c r="JF3" s="49" t="str">
        <f t="shared" ref="JF3" si="44">IZ3</f>
        <v>B Effs[points,%]</v>
      </c>
      <c r="JG3" s="8" t="str">
        <f t="shared" ref="JG3" si="45">JA3</f>
        <v>B Effs%</v>
      </c>
      <c r="JH3" s="49" t="str">
        <f t="shared" ref="JH3" si="46">JB3</f>
        <v xml:space="preserve">Required </v>
      </c>
      <c r="JI3" s="49" t="str">
        <f t="shared" ref="JI3" si="47">JC3</f>
        <v>Effects[points,%]</v>
      </c>
      <c r="JJ3" s="49" t="str">
        <f t="shared" ref="JJ3" si="48">JD3</f>
        <v>Effs. %</v>
      </c>
      <c r="JK3" s="49" t="str">
        <f t="shared" ref="JK3" si="49">JE3</f>
        <v>Bonus cond</v>
      </c>
      <c r="JL3" s="49" t="str">
        <f t="shared" ref="JL3" si="50">JF3</f>
        <v>B Effs[points,%]</v>
      </c>
      <c r="JM3" s="8" t="str">
        <f t="shared" ref="JM3" si="51">JG3</f>
        <v>B Effs%</v>
      </c>
      <c r="JN3" s="49" t="str">
        <f t="shared" ref="JN3" si="52">JH3</f>
        <v xml:space="preserve">Required </v>
      </c>
      <c r="JO3" s="49" t="str">
        <f t="shared" ref="JO3" si="53">JI3</f>
        <v>Effects[points,%]</v>
      </c>
      <c r="JP3" s="49" t="str">
        <f t="shared" ref="JP3" si="54">JJ3</f>
        <v>Effs. %</v>
      </c>
      <c r="JQ3" s="49" t="str">
        <f t="shared" ref="JQ3" si="55">JK3</f>
        <v>Bonus cond</v>
      </c>
      <c r="JR3" s="49" t="str">
        <f t="shared" ref="JR3" si="56">JL3</f>
        <v>B Effs[points,%]</v>
      </c>
      <c r="JS3" s="8" t="str">
        <f t="shared" ref="JS3" si="57">JM3</f>
        <v>B Effs%</v>
      </c>
      <c r="JT3" s="49" t="str">
        <f t="shared" ref="JT3" si="58">JN3</f>
        <v xml:space="preserve">Required </v>
      </c>
      <c r="JU3" s="49" t="str">
        <f t="shared" ref="JU3" si="59">JO3</f>
        <v>Effects[points,%]</v>
      </c>
      <c r="JV3" s="49" t="str">
        <f t="shared" ref="JV3" si="60">JP3</f>
        <v>Effs. %</v>
      </c>
      <c r="JW3" s="49" t="str">
        <f t="shared" ref="JW3" si="61">JQ3</f>
        <v>Bonus cond</v>
      </c>
      <c r="JX3" s="49" t="str">
        <f t="shared" ref="JX3" si="62">JR3</f>
        <v>B Effs[points,%]</v>
      </c>
      <c r="JY3" s="8" t="str">
        <f t="shared" ref="JY3" si="63">JS3</f>
        <v>B Effs%</v>
      </c>
      <c r="JZ3" s="49" t="str">
        <f t="shared" ref="JZ3" si="64">JT3</f>
        <v xml:space="preserve">Required </v>
      </c>
      <c r="KA3" s="49" t="str">
        <f t="shared" ref="KA3" si="65">JU3</f>
        <v>Effects[points,%]</v>
      </c>
      <c r="KB3" s="49" t="str">
        <f t="shared" ref="KB3" si="66">JV3</f>
        <v>Effs. %</v>
      </c>
      <c r="KC3" s="49" t="str">
        <f t="shared" ref="KC3" si="67">JW3</f>
        <v>Bonus cond</v>
      </c>
      <c r="KD3" s="49" t="str">
        <f t="shared" ref="KD3" si="68">JX3</f>
        <v>B Effs[points,%]</v>
      </c>
      <c r="KE3" s="8" t="str">
        <f t="shared" ref="KE3" si="69">JY3</f>
        <v>B Effs%</v>
      </c>
      <c r="KF3" s="49" t="str">
        <f t="shared" ref="KF3" si="70">JZ3</f>
        <v xml:space="preserve">Required </v>
      </c>
      <c r="KG3" s="49" t="str">
        <f t="shared" ref="KG3" si="71">KA3</f>
        <v>Effects[points,%]</v>
      </c>
      <c r="KH3" s="49" t="str">
        <f t="shared" ref="KH3" si="72">KB3</f>
        <v>Effs. %</v>
      </c>
      <c r="KI3" s="49" t="str">
        <f t="shared" ref="KI3" si="73">KC3</f>
        <v>Bonus cond</v>
      </c>
      <c r="KJ3" s="49" t="str">
        <f t="shared" ref="KJ3" si="74">KD3</f>
        <v>B Effs[points,%]</v>
      </c>
      <c r="KK3" s="8" t="str">
        <f t="shared" ref="KK3" si="75">KE3</f>
        <v>B Effs%</v>
      </c>
      <c r="KL3" s="48" t="str">
        <f t="shared" ref="KL3" si="76">KF3</f>
        <v xml:space="preserve">Required </v>
      </c>
      <c r="KM3" s="49" t="str">
        <f t="shared" ref="KM3" si="77">KG3</f>
        <v>Effects[points,%]</v>
      </c>
      <c r="KN3" s="49" t="str">
        <f t="shared" ref="KN3" si="78">KH3</f>
        <v>Effs. %</v>
      </c>
      <c r="KO3" s="49" t="str">
        <f t="shared" ref="KO3" si="79">KI3</f>
        <v>Bonus cond</v>
      </c>
      <c r="KP3" s="49" t="str">
        <f t="shared" ref="KP3" si="80">KJ3</f>
        <v>B Effs[points,%]</v>
      </c>
      <c r="KQ3" s="8" t="str">
        <f t="shared" ref="KQ3" si="81">KK3</f>
        <v>B Effs%</v>
      </c>
      <c r="KR3" s="48" t="str">
        <f t="shared" ref="KR3" si="82">KL3</f>
        <v xml:space="preserve">Required </v>
      </c>
      <c r="KS3" s="49" t="str">
        <f t="shared" ref="KS3" si="83">KM3</f>
        <v>Effects[points,%]</v>
      </c>
      <c r="KT3" s="49" t="str">
        <f t="shared" ref="KT3" si="84">KN3</f>
        <v>Effs. %</v>
      </c>
      <c r="KU3" s="49" t="str">
        <f t="shared" ref="KU3" si="85">KO3</f>
        <v>Bonus cond</v>
      </c>
      <c r="KV3" s="49" t="str">
        <f t="shared" ref="KV3" si="86">KP3</f>
        <v>B Effs[points,%]</v>
      </c>
      <c r="KW3" s="8" t="str">
        <f t="shared" ref="KW3" si="87">KQ3</f>
        <v>B Effs%</v>
      </c>
      <c r="KX3" s="48" t="str">
        <f t="shared" ref="KX3" si="88">KR3</f>
        <v xml:space="preserve">Required </v>
      </c>
      <c r="KY3" s="49" t="str">
        <f t="shared" ref="KY3" si="89">KS3</f>
        <v>Effects[points,%]</v>
      </c>
      <c r="KZ3" s="49" t="str">
        <f t="shared" ref="KZ3" si="90">KT3</f>
        <v>Effs. %</v>
      </c>
      <c r="LA3" s="49" t="str">
        <f t="shared" ref="LA3" si="91">KU3</f>
        <v>Bonus cond</v>
      </c>
      <c r="LB3" s="49" t="str">
        <f t="shared" ref="LB3" si="92">KV3</f>
        <v>B Effs[points,%]</v>
      </c>
      <c r="LC3" s="8" t="str">
        <f t="shared" ref="LC3" si="93">KW3</f>
        <v>B Effs%</v>
      </c>
      <c r="LD3" s="48" t="str">
        <f t="shared" ref="LD3" si="94">KX3</f>
        <v xml:space="preserve">Required </v>
      </c>
      <c r="LE3" s="49" t="str">
        <f t="shared" ref="LE3" si="95">KY3</f>
        <v>Effects[points,%]</v>
      </c>
      <c r="LF3" s="49" t="str">
        <f t="shared" ref="LF3" si="96">KZ3</f>
        <v>Effs. %</v>
      </c>
      <c r="LG3" s="49" t="str">
        <f t="shared" ref="LG3" si="97">LA3</f>
        <v>Bonus cond</v>
      </c>
      <c r="LH3" s="49" t="str">
        <f t="shared" ref="LH3" si="98">LB3</f>
        <v>B Effs[points,%]</v>
      </c>
      <c r="LI3" s="8" t="str">
        <f t="shared" ref="LI3" si="99">LC3</f>
        <v>B Effs%</v>
      </c>
      <c r="LJ3" s="48" t="str">
        <f t="shared" ref="LJ3" si="100">LD3</f>
        <v xml:space="preserve">Required </v>
      </c>
      <c r="LK3" s="49" t="str">
        <f t="shared" ref="LK3" si="101">LE3</f>
        <v>Effects[points,%]</v>
      </c>
      <c r="LL3" s="49" t="str">
        <f t="shared" ref="LL3" si="102">LF3</f>
        <v>Effs. %</v>
      </c>
      <c r="LM3" s="49" t="str">
        <f t="shared" ref="LM3" si="103">LG3</f>
        <v>Bonus cond</v>
      </c>
      <c r="LN3" s="49" t="str">
        <f t="shared" ref="LN3" si="104">LH3</f>
        <v>B Effs[points,%]</v>
      </c>
      <c r="LO3" s="8" t="str">
        <f t="shared" ref="LO3" si="105">LI3</f>
        <v>B Effs%</v>
      </c>
      <c r="LP3" s="48" t="str">
        <f t="shared" ref="LP3" si="106">LJ3</f>
        <v xml:space="preserve">Required </v>
      </c>
      <c r="LQ3" s="49" t="str">
        <f t="shared" ref="LQ3" si="107">LK3</f>
        <v>Effects[points,%]</v>
      </c>
      <c r="LR3" s="49" t="str">
        <f t="shared" ref="LR3" si="108">LL3</f>
        <v>Effs. %</v>
      </c>
      <c r="LS3" s="49" t="str">
        <f t="shared" ref="LS3" si="109">LM3</f>
        <v>Bonus cond</v>
      </c>
      <c r="LT3" s="49" t="str">
        <f t="shared" ref="LT3" si="110">LN3</f>
        <v>B Effs[points,%]</v>
      </c>
      <c r="LU3" s="8" t="str">
        <f t="shared" ref="LU3" si="111">LO3</f>
        <v>B Effs%</v>
      </c>
      <c r="LV3" s="48" t="str">
        <f t="shared" ref="LV3" si="112">LP3</f>
        <v xml:space="preserve">Required </v>
      </c>
      <c r="LW3" s="49" t="str">
        <f t="shared" ref="LW3" si="113">LQ3</f>
        <v>Effects[points,%]</v>
      </c>
      <c r="LX3" s="49" t="str">
        <f t="shared" ref="LX3" si="114">LR3</f>
        <v>Effs. %</v>
      </c>
      <c r="LY3" s="49" t="str">
        <f t="shared" ref="LY3" si="115">LS3</f>
        <v>Bonus cond</v>
      </c>
      <c r="LZ3" s="49" t="str">
        <f t="shared" ref="LZ3" si="116">LT3</f>
        <v>B Effs[points,%]</v>
      </c>
      <c r="MA3" s="8" t="str">
        <f t="shared" ref="MA3" si="117">LU3</f>
        <v>B Effs%</v>
      </c>
      <c r="MB3" s="48" t="str">
        <f t="shared" ref="MB3" si="118">LV3</f>
        <v xml:space="preserve">Required </v>
      </c>
      <c r="MC3" s="49" t="str">
        <f t="shared" ref="MC3" si="119">LW3</f>
        <v>Effects[points,%]</v>
      </c>
      <c r="MD3" s="49" t="str">
        <f t="shared" ref="MD3" si="120">LX3</f>
        <v>Effs. %</v>
      </c>
      <c r="ME3" s="49" t="str">
        <f t="shared" ref="ME3" si="121">LY3</f>
        <v>Bonus cond</v>
      </c>
      <c r="MF3" s="49" t="str">
        <f t="shared" ref="MF3" si="122">LZ3</f>
        <v>B Effs[points,%]</v>
      </c>
      <c r="MG3" s="8" t="str">
        <f t="shared" ref="MG3" si="123">MA3</f>
        <v>B Effs%</v>
      </c>
      <c r="MH3" s="48" t="str">
        <f t="shared" ref="MH3" si="124">MB3</f>
        <v xml:space="preserve">Required </v>
      </c>
      <c r="MI3" s="49" t="str">
        <f t="shared" ref="MI3" si="125">MC3</f>
        <v>Effects[points,%]</v>
      </c>
      <c r="MJ3" s="49" t="str">
        <f t="shared" ref="MJ3" si="126">MD3</f>
        <v>Effs. %</v>
      </c>
      <c r="MK3" s="49" t="str">
        <f t="shared" ref="MK3" si="127">ME3</f>
        <v>Bonus cond</v>
      </c>
      <c r="ML3" s="49" t="str">
        <f t="shared" ref="ML3" si="128">MF3</f>
        <v>B Effs[points,%]</v>
      </c>
      <c r="MM3" s="8" t="str">
        <f t="shared" ref="MM3" si="129">MG3</f>
        <v>B Effs%</v>
      </c>
      <c r="MN3" s="48" t="str">
        <f t="shared" ref="MN3" si="130">MH3</f>
        <v xml:space="preserve">Required </v>
      </c>
      <c r="MO3" s="49" t="str">
        <f t="shared" ref="MO3" si="131">MI3</f>
        <v>Effects[points,%]</v>
      </c>
      <c r="MP3" s="49" t="str">
        <f t="shared" ref="MP3" si="132">MJ3</f>
        <v>Effs. %</v>
      </c>
      <c r="MQ3" s="49" t="str">
        <f t="shared" ref="MQ3" si="133">MK3</f>
        <v>Bonus cond</v>
      </c>
      <c r="MR3" s="49" t="str">
        <f t="shared" ref="MR3" si="134">ML3</f>
        <v>B Effs[points,%]</v>
      </c>
      <c r="MS3" s="8" t="str">
        <f t="shared" ref="MS3" si="135">MM3</f>
        <v>B Effs%</v>
      </c>
      <c r="MT3" s="48" t="str">
        <f t="shared" ref="MT3" si="136">MN3</f>
        <v xml:space="preserve">Required </v>
      </c>
      <c r="MU3" s="49" t="str">
        <f t="shared" ref="MU3" si="137">MO3</f>
        <v>Effects[points,%]</v>
      </c>
      <c r="MV3" s="49" t="str">
        <f t="shared" ref="MV3" si="138">MP3</f>
        <v>Effs. %</v>
      </c>
      <c r="MW3" s="49" t="str">
        <f t="shared" ref="MW3" si="139">MQ3</f>
        <v>Bonus cond</v>
      </c>
      <c r="MX3" s="49" t="str">
        <f t="shared" ref="MX3" si="140">MR3</f>
        <v>B Effs[points,%]</v>
      </c>
      <c r="MY3" s="8" t="str">
        <f t="shared" ref="MY3" si="141">MS3</f>
        <v>B Effs%</v>
      </c>
      <c r="MZ3" s="48" t="str">
        <f t="shared" ref="MZ3" si="142">MT3</f>
        <v xml:space="preserve">Required </v>
      </c>
      <c r="NA3" s="49" t="str">
        <f t="shared" ref="NA3" si="143">MU3</f>
        <v>Effects[points,%]</v>
      </c>
      <c r="NB3" s="49" t="str">
        <f t="shared" ref="NB3" si="144">MV3</f>
        <v>Effs. %</v>
      </c>
      <c r="NC3" s="49" t="str">
        <f t="shared" ref="NC3" si="145">MW3</f>
        <v>Bonus cond</v>
      </c>
      <c r="ND3" s="49" t="str">
        <f t="shared" ref="ND3" si="146">MX3</f>
        <v>B Effs[points,%]</v>
      </c>
      <c r="NE3" s="8" t="str">
        <f t="shared" ref="NE3" si="147">MY3</f>
        <v>B Effs%</v>
      </c>
      <c r="NF3" s="48" t="str">
        <f t="shared" ref="NF3" si="148">MZ3</f>
        <v xml:space="preserve">Required </v>
      </c>
      <c r="NG3" s="49" t="str">
        <f t="shared" ref="NG3" si="149">NA3</f>
        <v>Effects[points,%]</v>
      </c>
      <c r="NH3" s="49" t="str">
        <f t="shared" ref="NH3" si="150">NB3</f>
        <v>Effs. %</v>
      </c>
      <c r="NI3" s="49" t="str">
        <f t="shared" ref="NI3" si="151">NC3</f>
        <v>Bonus cond</v>
      </c>
      <c r="NJ3" s="49" t="str">
        <f t="shared" ref="NJ3" si="152">ND3</f>
        <v>B Effs[points,%]</v>
      </c>
      <c r="NK3" s="8" t="str">
        <f t="shared" ref="NK3" si="153">NE3</f>
        <v>B Effs%</v>
      </c>
      <c r="NL3" s="48" t="str">
        <f t="shared" ref="NL3" si="154">NF3</f>
        <v xml:space="preserve">Required </v>
      </c>
      <c r="NM3" s="49" t="str">
        <f t="shared" ref="NM3" si="155">NG3</f>
        <v>Effects[points,%]</v>
      </c>
    </row>
    <row r="4" spans="1:377" s="24" customFormat="1" ht="126.75" customHeight="1">
      <c r="A4" s="23"/>
      <c r="D4" s="25" t="str">
        <f>D106</f>
        <v xml:space="preserve"> Required 
disposable money 1
software 1
scale 1
 </v>
      </c>
      <c r="E4" s="25" t="str">
        <f t="shared" ref="E4:BP4" si="156">E106</f>
        <v xml:space="preserve"> Effects[points,%]
disposable money(-1,25), scale(1,100),  </v>
      </c>
      <c r="F4" s="25" t="str">
        <f t="shared" si="156"/>
        <v xml:space="preserve"> Effs. %
disposable money 25
scale 100
 </v>
      </c>
      <c r="G4" s="25" t="str">
        <f t="shared" si="156"/>
        <v xml:space="preserve"> Bonus cond
software(2), servers(2), wood(2), metal(2), plastic(2), electronics(2), fabric(2), enthusiasm(1), enthusiasm(2), fun-ness(1), community manager(1), PR(1), fame(1), network(2), ease of access(1), reputation(2), social media(1),  </v>
      </c>
      <c r="H4" s="25" t="str">
        <f>H106</f>
        <v xml:space="preserve"> B Effs[points,%]
scale(1,6.25),  </v>
      </c>
      <c r="I4" s="25" t="str">
        <f t="shared" si="156"/>
        <v xml:space="preserve"> B Effs%
scale(6.25), </v>
      </c>
      <c r="J4" s="25" t="str">
        <f t="shared" si="156"/>
        <v xml:space="preserve"> Required 
disposable money 1
scale 1
interaction 1
 </v>
      </c>
      <c r="K4" s="25" t="str">
        <f t="shared" si="156"/>
        <v xml:space="preserve"> Effects[points,%]
reputation(1,75),  </v>
      </c>
      <c r="L4" s="25" t="str">
        <f t="shared" si="156"/>
        <v xml:space="preserve"> Effs. %
reputation 75
 </v>
      </c>
      <c r="M4" s="25" t="str">
        <f t="shared" si="156"/>
        <v xml:space="preserve"> Bonus cond
PR(1), portfolio(1), social innovation(1), non-profit biz(1),  </v>
      </c>
      <c r="N4" s="25" t="str">
        <f t="shared" si="156"/>
        <v xml:space="preserve"> B Effs[points,%]
scale(1,6.25), enthusiasm(1,6.25), seriousness(1,25), non-profits(1,12.5), reputation(1,75), marketing(1,12.5),  </v>
      </c>
      <c r="O4" s="25" t="str">
        <f t="shared" si="156"/>
        <v xml:space="preserve"> B Effs%
scale(6.25),enthusiasm(6.25),seriousness(25),non-profits(12.5),reputation(75),marketing(12.5), </v>
      </c>
      <c r="P4" s="25" t="str">
        <f t="shared" si="156"/>
        <v xml:space="preserve"> Required 
disposable money 1
scale 1
biz project 1
 </v>
      </c>
      <c r="Q4" s="25" t="str">
        <f t="shared" si="156"/>
        <v xml:space="preserve"> Effects[points,%]
 </v>
      </c>
      <c r="R4" s="25" t="str">
        <f t="shared" si="156"/>
        <v xml:space="preserve"> Effs. %
 </v>
      </c>
      <c r="S4" s="25" t="str">
        <f t="shared" si="156"/>
        <v xml:space="preserve"> Bonus cond
portfolio(1), biz enhancement(1), business(1), start-up(1),  </v>
      </c>
      <c r="T4" s="25" t="str">
        <f t="shared" si="156"/>
        <v xml:space="preserve"> B Effs[points,%]
scale(1,6.25), enthusiasm(1,6.25), seriousness(1,25), local biz(1,6.25), investors(1,6.25), reputation(1,6.25),  </v>
      </c>
      <c r="U4" s="25" t="str">
        <f t="shared" si="156"/>
        <v xml:space="preserve"> B Effs%
scale(6.25),enthusiasm(6.25),seriousness(25),local biz(6.25),investors(6.25),reputation(6.25), </v>
      </c>
      <c r="V4" s="25" t="str">
        <f t="shared" si="156"/>
        <v xml:space="preserve"> Required 
disposable money 1
scale 1
 </v>
      </c>
      <c r="W4" s="25" t="str">
        <f t="shared" si="156"/>
        <v xml:space="preserve"> Effects[points,%]
local biz(1,),  </v>
      </c>
      <c r="X4" s="25" t="str">
        <f t="shared" si="156"/>
        <v xml:space="preserve"> Effs. %
 </v>
      </c>
      <c r="Y4" s="25" t="str">
        <f t="shared" si="156"/>
        <v xml:space="preserve"> Bonus cond
enthusiasm(1), attention to details(1), PR(1), network(1), ease of access(1), reputation(1), portfolio(1), biz project(1), biz enhancement(1), job creation(1), business(1),  </v>
      </c>
      <c r="Z4" s="25" t="str">
        <f t="shared" si="156"/>
        <v xml:space="preserve"> B Effs[points,%]
local biz(1,6.25),  </v>
      </c>
      <c r="AA4" s="25" t="str">
        <f t="shared" si="156"/>
        <v xml:space="preserve"> B Effs%
local biz(6.25), </v>
      </c>
      <c r="AB4" s="25" t="str">
        <f t="shared" si="156"/>
        <v xml:space="preserve"> Required 
disposable money 1
scale 1
 </v>
      </c>
      <c r="AC4" s="25" t="str">
        <f t="shared" si="156"/>
        <v xml:space="preserve"> Effects[points,%]
non-profits(1,100),  </v>
      </c>
      <c r="AD4" s="25" t="str">
        <f t="shared" si="156"/>
        <v xml:space="preserve"> Effs. %
non-profits 100
 </v>
      </c>
      <c r="AE4" s="25" t="str">
        <f t="shared" si="156"/>
        <v xml:space="preserve"> Bonus cond
enthusiasm(1), attention to details(1), PR(1), network(1), ease of access(1), reputation(1), portfolio(1), social project(1), social innovation(1), non-profit biz(1),  </v>
      </c>
      <c r="AF4" s="25" t="str">
        <f t="shared" si="156"/>
        <v xml:space="preserve"> B Effs[points,%]
seriousness(1,6.25), non-profits(1,6.25),  </v>
      </c>
      <c r="AG4" s="25" t="str">
        <f t="shared" si="156"/>
        <v xml:space="preserve"> B Effs%
seriousness(6.25),non-profits(6.25), </v>
      </c>
      <c r="AH4" s="25" t="str">
        <f t="shared" si="156"/>
        <v xml:space="preserve"> Required 
disposable money 1
scale 1
 </v>
      </c>
      <c r="AI4" s="25" t="str">
        <f t="shared" si="156"/>
        <v xml:space="preserve"> Effects[points,%]
govt(1,),  </v>
      </c>
      <c r="AJ4" s="25" t="str">
        <f t="shared" si="156"/>
        <v xml:space="preserve"> Effs. %
 </v>
      </c>
      <c r="AK4" s="25" t="str">
        <f t="shared" si="156"/>
        <v xml:space="preserve"> Bonus cond
enthusiasm(1), attention to details(1), seriousness(1), fame(1), network(1), govt(1), ease of access(1), reputation(2), portfolio(1), social project(1), social innovation(1), non-profit biz(1),  </v>
      </c>
      <c r="AL4" s="25" t="str">
        <f t="shared" si="156"/>
        <v xml:space="preserve"> B Effs[points,%]
govt(1,6.25),  </v>
      </c>
      <c r="AM4" s="25" t="str">
        <f t="shared" si="156"/>
        <v xml:space="preserve"> B Effs%
govt(6.25), </v>
      </c>
      <c r="AN4" s="25" t="str">
        <f t="shared" si="156"/>
        <v xml:space="preserve"> Required 
disposable money 1
scale 1
enthusiasm 1
gifted leader 1
scale 1
enthusiasm 1
 </v>
      </c>
      <c r="AO4" s="25" t="str">
        <f t="shared" si="156"/>
        <v xml:space="preserve"> Effects[points,%]
fame(1,), network(1,), investors(1,6.25),  </v>
      </c>
      <c r="AP4" s="25" t="str">
        <f t="shared" si="156"/>
        <v xml:space="preserve"> Effs. %
investors 6.25
 </v>
      </c>
      <c r="AQ4" s="25" t="str">
        <f t="shared" si="156"/>
        <v xml:space="preserve"> Bonus cond
investors(1), ease of access(1), reputation(1), portfolio(1), start-up(1), start-up with mvp(1), start-up with customers(1),  </v>
      </c>
      <c r="AR4" s="25" t="str">
        <f t="shared" si="156"/>
        <v xml:space="preserve"> B Effs[points,%]
 </v>
      </c>
      <c r="AS4" s="25" t="str">
        <f t="shared" si="156"/>
        <v xml:space="preserve"> B Effs%
 </v>
      </c>
      <c r="AT4" s="25" t="str">
        <f t="shared" si="156"/>
        <v xml:space="preserve"> Required 
budget 2
disposable money 1
profit-loss 1
asset-debt 0
credit 1
scale 1
enthusiasm 1
scale 2
enthusiasm 1
seriousness 1
administrator 1
non-profits 2
reputation 1
portfolio 1
social project 1
 </v>
      </c>
      <c r="AU4" s="25" t="str">
        <f t="shared" si="156"/>
        <v xml:space="preserve"> Effects[points,%]
budget(2,), ambition(1,), attention to details(1,),  </v>
      </c>
      <c r="AV4" s="25" t="str">
        <f t="shared" si="156"/>
        <v xml:space="preserve"> Effs. %
 </v>
      </c>
      <c r="AW4" s="25" t="str">
        <f t="shared" si="156"/>
        <v xml:space="preserve"> Bonus cond
field knowledge(1), enthusiasm(3), PR(2), administrator(1), project management(2),  </v>
      </c>
      <c r="AX4" s="25" t="str">
        <f t="shared" si="156"/>
        <v xml:space="preserve"> B Effs[points,%]
organizational rules and manuals(1,12.5), project management(1,12.5),  </v>
      </c>
      <c r="AY4" s="25" t="str">
        <f t="shared" si="156"/>
        <v xml:space="preserve"> B Effs%
organizational rules and manuals(12.5),project management(12.5), </v>
      </c>
      <c r="AZ4" s="25" t="str">
        <f t="shared" si="156"/>
        <v xml:space="preserve"> Required 
budget 1
profit-loss 0
asset-debt 0
scale 1
enthusiasm 1
scale 1
enthusiasm 1
non-profits 1
 </v>
      </c>
      <c r="BA4" s="25" t="str">
        <f t="shared" si="156"/>
        <v xml:space="preserve"> Effects[points,%]
budget(1,),  </v>
      </c>
      <c r="BB4" s="25" t="str">
        <f t="shared" si="156"/>
        <v xml:space="preserve"> Effs. %
 </v>
      </c>
      <c r="BC4" s="25" t="str">
        <f t="shared" si="156"/>
        <v xml:space="preserve"> Bonus cond
 </v>
      </c>
      <c r="BD4" s="25" t="str">
        <f t="shared" si="156"/>
        <v xml:space="preserve"> B Effs[points,%]
 </v>
      </c>
      <c r="BE4" s="25" t="str">
        <f t="shared" si="156"/>
        <v xml:space="preserve"> B Effs%
 </v>
      </c>
      <c r="BF4" s="25" t="str">
        <f t="shared" si="156"/>
        <v xml:space="preserve"> Required 
budget 2
disposable money 1
profit-loss 1
asset-debt 0
scale 1
enthusiasm 1
scale 2
enthusiasm 1
seriousness 1
administrator 1
local biz 2
entrepreneurs 1
reputation 1
portfolio 1
biz project 1
 </v>
      </c>
      <c r="BG4" s="25" t="str">
        <f t="shared" si="156"/>
        <v xml:space="preserve"> Effects[points,%]
budget(2,), disposable money(1,), ambition(1,), attention to details(1,),  </v>
      </c>
      <c r="BH4" s="25" t="str">
        <f t="shared" si="156"/>
        <v xml:space="preserve"> Effs. %
 </v>
      </c>
      <c r="BI4" s="25" t="str">
        <f t="shared" si="156"/>
        <v xml:space="preserve"> Bonus cond
field knowledge(1), enthusiasm(3), PR(2), administrator(1), project management(2),  </v>
      </c>
      <c r="BJ4" s="25" t="str">
        <f t="shared" si="156"/>
        <v xml:space="preserve"> B Effs[points,%]
organizational rules and manuals(1,12.5), project management(1,12.5),  </v>
      </c>
      <c r="BK4" s="25" t="str">
        <f t="shared" si="156"/>
        <v xml:space="preserve"> B Effs%
organizational rules and manuals(12.5),project management(12.5), </v>
      </c>
      <c r="BL4" s="25" t="str">
        <f t="shared" si="156"/>
        <v xml:space="preserve"> Required 
budget 1
profit-loss 1
asset-debt 0
scale 1
enthusiasm 1
scale 1
enthusiasm 1
local biz 1
reputation 1
portfolio 1
biz enhancement 1
 </v>
      </c>
      <c r="BM4" s="25" t="str">
        <f t="shared" si="156"/>
        <v xml:space="preserve"> Effects[points,%]
budget(1,),  </v>
      </c>
      <c r="BN4" s="25" t="str">
        <f t="shared" si="156"/>
        <v xml:space="preserve"> Effs. %
 </v>
      </c>
      <c r="BO4" s="25" t="str">
        <f t="shared" si="156"/>
        <v xml:space="preserve"> Bonus cond
 </v>
      </c>
      <c r="BP4" s="25" t="str">
        <f t="shared" si="156"/>
        <v xml:space="preserve"> B Effs[points,%]
 </v>
      </c>
      <c r="BQ4" s="25" t="str">
        <f t="shared" ref="BQ4:EB4" si="157">BQ106</f>
        <v xml:space="preserve"> B Effs%
 </v>
      </c>
      <c r="BR4" s="25" t="str">
        <f t="shared" si="157"/>
        <v xml:space="preserve"> Required 
 </v>
      </c>
      <c r="BS4" s="25" t="str">
        <f t="shared" si="157"/>
        <v xml:space="preserve"> Effects[points,%]
 </v>
      </c>
      <c r="BT4" s="25" t="str">
        <f t="shared" si="157"/>
        <v xml:space="preserve"> Effs. %
 </v>
      </c>
      <c r="BU4" s="25" t="str">
        <f t="shared" si="157"/>
        <v xml:space="preserve"> Bonus cond
 </v>
      </c>
      <c r="BV4" s="25" t="str">
        <f t="shared" si="157"/>
        <v xml:space="preserve"> B Effs[points,%]
 </v>
      </c>
      <c r="BW4" s="25" t="str">
        <f t="shared" si="157"/>
        <v xml:space="preserve"> B Effs%
 </v>
      </c>
      <c r="BX4" s="25" t="str">
        <f t="shared" si="157"/>
        <v xml:space="preserve"> Required 
disposable money 1
scale 1
network 1
 </v>
      </c>
      <c r="BY4" s="25" t="str">
        <f t="shared" si="157"/>
        <v xml:space="preserve"> Effects[points,%]
efficiency(1,),  </v>
      </c>
      <c r="BZ4" s="25" t="str">
        <f t="shared" si="157"/>
        <v xml:space="preserve"> Effs. %
 </v>
      </c>
      <c r="CA4" s="25" t="str">
        <f t="shared" si="157"/>
        <v xml:space="preserve"> Bonus cond
scale(2), enthusiasm(1), attention to details(1), administrator(1), negotiation(1),  </v>
      </c>
      <c r="CB4" s="25" t="str">
        <f t="shared" si="157"/>
        <v xml:space="preserve"> B Effs[points,%]
user rules and manuals(1,50), organizational rules and manuals(1,50),  </v>
      </c>
      <c r="CC4" s="25" t="str">
        <f t="shared" si="157"/>
        <v xml:space="preserve"> B Effs%
user rules and manuals(50),organizational rules and manuals(50), </v>
      </c>
      <c r="CD4" s="25" t="str">
        <f t="shared" si="157"/>
        <v xml:space="preserve"> Required 
disposable money 1
software 1
servers 1
scale 1
scale 1
enthusiasm 1
network 1
 </v>
      </c>
      <c r="CE4" s="25" t="str">
        <f t="shared" si="157"/>
        <v xml:space="preserve"> Effects[points,%]
disposable money(-1,12.5), field knowledge(1,), non-profits(1,),  </v>
      </c>
      <c r="CF4" s="25" t="str">
        <f t="shared" si="157"/>
        <v xml:space="preserve"> Effs. %
disposable money 12.5
 </v>
      </c>
      <c r="CG4" s="25" t="str">
        <f t="shared" si="157"/>
        <v xml:space="preserve"> Bonus cond
software(2), servers(2), wood(2), metal(2), plastic(2), electronics(2), fabric(2), fun-ness(1), seriousness(1), ease of access(1), portfolio(1), user rules and manuals(1), negotiation(1), social project(1), biz project(1), for basic literacy(1), for the elites(1), for entrepreneurs(1),  </v>
      </c>
      <c r="CH4" s="25" t="str">
        <f t="shared" si="157"/>
        <v xml:space="preserve"> B Effs[points,%]
scale(1,6.25), technologists(1,6.25), non-profits(1,6.25),  </v>
      </c>
      <c r="CI4" s="25" t="str">
        <f t="shared" si="157"/>
        <v xml:space="preserve"> B Effs%
scale(6.25),technologists(6.25),non-profits(6.25), </v>
      </c>
      <c r="CJ4" s="25" t="str">
        <f t="shared" si="157"/>
        <v xml:space="preserve"> Required 
disposable money 1
software 1
servers 1
scale 1
scale 1
 </v>
      </c>
      <c r="CK4" s="25" t="str">
        <f t="shared" si="157"/>
        <v xml:space="preserve"> Effects[points,%]
disposable money(-1,12.5), suppliers(1,),  </v>
      </c>
      <c r="CL4" s="25" t="str">
        <f t="shared" si="157"/>
        <v xml:space="preserve"> Effs. %
disposable money 12.5
 </v>
      </c>
      <c r="CM4" s="25" t="str">
        <f t="shared" si="157"/>
        <v xml:space="preserve"> Bonus cond
reputation(1), negotiation(1),  </v>
      </c>
      <c r="CN4" s="25" t="str">
        <f t="shared" si="157"/>
        <v xml:space="preserve"> B Effs[points,%]
learning capacities(1,), engineering knowledge(1,), enthusiasm(2,), efficiency(1,6.25),  </v>
      </c>
      <c r="CO4" s="25" t="str">
        <f t="shared" si="157"/>
        <v xml:space="preserve"> B Effs%
efficiency(6.25), </v>
      </c>
      <c r="CP4" s="25" t="str">
        <f t="shared" si="157"/>
        <v xml:space="preserve"> Required 
disposable money 1
software 1
servers 1
scale 1
scale 1
 </v>
      </c>
      <c r="CQ4" s="25" t="str">
        <f t="shared" si="157"/>
        <v xml:space="preserve"> Effects[points,%]
disposable money(-1,12.5), technologists(1,),  </v>
      </c>
      <c r="CR4" s="25" t="str">
        <f t="shared" si="157"/>
        <v xml:space="preserve"> Effs. %
disposable money 12.5
 </v>
      </c>
      <c r="CS4" s="25" t="str">
        <f t="shared" si="157"/>
        <v xml:space="preserve"> Bonus cond
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4" s="25" t="str">
        <f t="shared" si="157"/>
        <v xml:space="preserve"> B Effs[points,%]
engineering knowledge(1,6.25), efficiency(1,6.25),  </v>
      </c>
      <c r="CU4" s="25" t="str">
        <f t="shared" si="157"/>
        <v xml:space="preserve"> B Effs%
engineering knowledge(6.25),efficiency(6.25), </v>
      </c>
      <c r="CV4" s="25" t="str">
        <f t="shared" si="157"/>
        <v xml:space="preserve"> Required 
disposable money 1
scale 1
scale 1
 </v>
      </c>
      <c r="CW4" s="25" t="str">
        <f t="shared" si="157"/>
        <v xml:space="preserve"> Effects[points,%]
disposable money(-1,12.5), local biz(1,),  </v>
      </c>
      <c r="CX4" s="25" t="str">
        <f t="shared" si="157"/>
        <v xml:space="preserve"> Effs. %
disposable money 12.5
 </v>
      </c>
      <c r="CY4" s="25" t="str">
        <f t="shared" si="157"/>
        <v xml:space="preserve"> Bonus cond
software(2), servers(2), wood(2), metal(2), plastic(2), electronics(2), fabric(2), ease of access(1), reputation(1), portfolio(1), negotiation(1),  </v>
      </c>
      <c r="CZ4" s="25" t="str">
        <f t="shared" si="157"/>
        <v xml:space="preserve"> B Effs[points,%]
non-profits(1,6.25),  </v>
      </c>
      <c r="DA4" s="25" t="str">
        <f t="shared" si="157"/>
        <v xml:space="preserve"> B Effs%
non-profits(6.25), </v>
      </c>
      <c r="DB4" s="25" t="str">
        <f t="shared" si="157"/>
        <v xml:space="preserve"> Required 
disposable money 1
scale 1
 </v>
      </c>
      <c r="DC4" s="25" t="str">
        <f t="shared" si="157"/>
        <v xml:space="preserve"> Effects[points,%]
disposable money(-1,12.5),  </v>
      </c>
      <c r="DD4" s="25" t="str">
        <f t="shared" si="157"/>
        <v xml:space="preserve"> Effs. %
disposable money 12.5
 </v>
      </c>
      <c r="DE4" s="25" t="str">
        <f t="shared" si="157"/>
        <v xml:space="preserve"> Bonus cond
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4" s="25" t="str">
        <f t="shared" si="157"/>
        <v xml:space="preserve"> B Effs[points,%]
profit-loss(1,6.25), network(1,), local biz(1,6.25), biz group(1,6.25), investors(1,6.25), entrepreneurs(1,6.25),  </v>
      </c>
      <c r="DG4" s="25" t="str">
        <f t="shared" si="157"/>
        <v xml:space="preserve"> B Effs%
profit-loss(6.25),local biz(6.25),biz group(6.25),investors(6.25),entrepreneurs(6.25), </v>
      </c>
      <c r="DH4" s="25" t="str">
        <f t="shared" si="157"/>
        <v xml:space="preserve"> Required 
disposable money 1
software 1
scale 1
enthusiasm 1
scale 1
enthusiasm 1
network 1
non-profits 1
reputation 1
social project 1
 </v>
      </c>
      <c r="DI4" s="25" t="str">
        <f t="shared" si="157"/>
        <v xml:space="preserve"> Effects[points,%]
disposable money(-1,25),  </v>
      </c>
      <c r="DJ4" s="25" t="str">
        <f t="shared" si="157"/>
        <v xml:space="preserve"> Effs. %
disposable money 25
 </v>
      </c>
      <c r="DK4" s="25" t="str">
        <f t="shared" si="157"/>
        <v xml:space="preserve"> Bonus cond
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4" s="25" t="str">
        <f t="shared" si="157"/>
        <v xml:space="preserve"> B Effs[points,%]
field knowledge(1,12.5), network among members(1,12.5), reputation(1,6.25),  </v>
      </c>
      <c r="DM4" s="25" t="str">
        <f t="shared" si="157"/>
        <v xml:space="preserve"> B Effs%
field knowledge(12.5),network among members(12.5),reputation(6.25), </v>
      </c>
      <c r="DN4" s="25" t="str">
        <f t="shared" si="157"/>
        <v xml:space="preserve"> Required 
disposable money 1
scale 1
enthusiasm 1
scale 1
enthusiasm 1
network 1
local biz 1
reputation 1
biz project 1
 </v>
      </c>
      <c r="DO4" s="25" t="str">
        <f t="shared" si="157"/>
        <v xml:space="preserve"> Effects[points,%]
disposable money(-1,25),  </v>
      </c>
      <c r="DP4" s="25" t="str">
        <f t="shared" si="157"/>
        <v xml:space="preserve"> Effs. %
disposable money 25
 </v>
      </c>
      <c r="DQ4" s="25" t="str">
        <f t="shared" si="157"/>
        <v xml:space="preserve"> Bonus cond
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4" s="25" t="str">
        <f t="shared" si="157"/>
        <v xml:space="preserve"> B Effs[points,%]
disposable money(1,6.25), field knowledge(1,12.5), network among members(1,12.5), reputation(1,6.25),  </v>
      </c>
      <c r="DS4" s="25" t="str">
        <f t="shared" si="157"/>
        <v xml:space="preserve"> B Effs%
disposable money(6.25),field knowledge(12.5),network among members(12.5),reputation(6.25), </v>
      </c>
      <c r="DT4" s="25" t="str">
        <f t="shared" si="157"/>
        <v xml:space="preserve"> Required 
disposable money 1
scale 1
enthusiasm 1
scale 1
enthusiasm 1
network 1
reputation 1
 </v>
      </c>
      <c r="DU4" s="25" t="str">
        <f t="shared" si="157"/>
        <v xml:space="preserve"> Effects[points,%]
disposable money(-1,50),  </v>
      </c>
      <c r="DV4" s="25" t="str">
        <f t="shared" si="157"/>
        <v xml:space="preserve"> Effs. %
disposable money 50
 </v>
      </c>
      <c r="DW4" s="25" t="str">
        <f t="shared" si="157"/>
        <v xml:space="preserve"> Bonus cond
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4" s="25" t="str">
        <f t="shared" si="157"/>
        <v xml:space="preserve"> B Effs[points,%]
disposable money(1,6.25), enthusiasm(1,6.25), field knowledge(1,6.25), engineering knowledge(1,6.25), ambition(1,6.25), reputation(1,6.25), for basic literacy(1,6.25),  </v>
      </c>
      <c r="DY4" s="25" t="str">
        <f t="shared" si="157"/>
        <v xml:space="preserve"> B Effs%
disposable money(6.25),enthusiasm(6.25),field knowledge(6.25),engineering knowledge(6.25),ambition(6.25),reputation(6.25),for basic literacy(6.25), </v>
      </c>
      <c r="DZ4" s="25" t="str">
        <f t="shared" si="157"/>
        <v xml:space="preserve"> Required 
disposable money 1
scale 1
enthusiasm 1
scale 1
enthusiasm 1
network 1
reputation 1
 </v>
      </c>
      <c r="EA4" s="25" t="str">
        <f t="shared" si="157"/>
        <v xml:space="preserve"> Effects[points,%]
disposable money(-1,50),  </v>
      </c>
      <c r="EB4" s="25" t="str">
        <f t="shared" si="157"/>
        <v xml:space="preserve"> Effs. %
disposable money 50
 </v>
      </c>
      <c r="EC4" s="25" t="str">
        <f t="shared" ref="EC4:GN4" si="158">EC106</f>
        <v xml:space="preserve"> Bonus cond
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4" s="25" t="str">
        <f t="shared" si="158"/>
        <v xml:space="preserve"> B Effs[points,%]
enthusiasm(1,6.25), engineering knowledge(1,6.25), ambition(1,6.25), reputation(1,6.25), for basic literacy(1,6.25),  </v>
      </c>
      <c r="EE4" s="25" t="str">
        <f t="shared" si="158"/>
        <v xml:space="preserve"> B Effs%
enthusiasm(6.25),engineering knowledge(6.25),ambition(6.25),reputation(6.25),for basic literacy(6.25), </v>
      </c>
      <c r="EF4" s="25" t="str">
        <f t="shared" si="158"/>
        <v xml:space="preserve"> Required 
disposable money 1
scale 2
enthusiasm 2
technologists 1
reputation 1
 </v>
      </c>
      <c r="EG4" s="25" t="str">
        <f t="shared" si="158"/>
        <v xml:space="preserve"> Effects[points,%]
disposable money(-1,75), web(1,50), mobile apps(1,50), interaction(1,50),  </v>
      </c>
      <c r="EH4" s="25" t="str">
        <f t="shared" si="158"/>
        <v xml:space="preserve"> Effs. %
disposable money 75
web 50
mobile apps 50
interaction 50
 </v>
      </c>
      <c r="EI4" s="25" t="str">
        <f t="shared" si="158"/>
        <v xml:space="preserve"> Bonus cond
learning capacities(2), gifted programmer(1), scale(2), enthusiasm(2), seriousness(2), initiative(1), community manager(1), administrator(1), enthusiasm(1), fame(1), network(2), level of understanding(1), technologists(2), ease of access(1), reputation(2), infrastructrue(1), database(1), mobile comm(1), for entrepreneurs(1),  </v>
      </c>
      <c r="EJ4" s="25" t="str">
        <f t="shared" si="158"/>
        <v xml:space="preserve"> B Effs[points,%]
engineering knowledge(1,6.25), technologists(1,12.5), infrastructrue(1,12.5), database(1,12.5), mobile comm(1,12.5), for entrepreneurs(1,6.25),  </v>
      </c>
      <c r="EK4" s="25" t="str">
        <f t="shared" si="158"/>
        <v xml:space="preserve"> B Effs%
engineering knowledge(6.25),technologists(12.5),infrastructrue(12.5),database(12.5),mobile comm(12.5),for entrepreneurs(6.25), </v>
      </c>
      <c r="EL4" s="25" t="str">
        <f t="shared" si="158"/>
        <v xml:space="preserve"> Required 
disposable money 1
scale 2
enthusiasm 2
technologists 1
reputation 1
 </v>
      </c>
      <c r="EM4" s="25" t="str">
        <f t="shared" si="158"/>
        <v xml:space="preserve"> Effects[points,%]
disposable money(-1,75), sensors(1,50),  </v>
      </c>
      <c r="EN4" s="25" t="str">
        <f t="shared" si="158"/>
        <v xml:space="preserve"> Effs. %
disposable money 75
sensors 50
 </v>
      </c>
      <c r="EO4" s="25" t="str">
        <f t="shared" si="158"/>
        <v xml:space="preserve"> Bonus cond
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4" s="25" t="str">
        <f t="shared" si="158"/>
        <v xml:space="preserve"> B Effs[points,%]
engineering knowledge(1,6.25), technologists(1,12.5), infrastructrue(1,12.5), database(1,12.5), mobile comm(1,12.5), electronics(1,6.25), for entrepreneurs(1,6.25),  </v>
      </c>
      <c r="EQ4" s="25" t="str">
        <f t="shared" si="158"/>
        <v xml:space="preserve"> B Effs%
engineering knowledge(6.25),technologists(12.5),infrastructrue(12.5),database(12.5),mobile comm(12.5),electronics(6.25),for entrepreneurs(6.25), </v>
      </c>
      <c r="ER4" s="25" t="str">
        <f t="shared" si="158"/>
        <v xml:space="preserve"> Required 
disposable money 1
software 1
servers 1
scale 2
enthusiasm 2
technologists 1
 </v>
      </c>
      <c r="ES4" s="25" t="str">
        <f t="shared" si="158"/>
        <v xml:space="preserve"> Effects[points,%]
disposable money(-1,75), AI&amp; data analysis(1,50),  </v>
      </c>
      <c r="ET4" s="25" t="str">
        <f t="shared" si="158"/>
        <v xml:space="preserve"> Effs. %
disposable money 75
AI&amp; data analysis 50
 </v>
      </c>
      <c r="EU4" s="25" t="str">
        <f t="shared" si="158"/>
        <v xml:space="preserve"> Bonus cond
learning capacities(2), gifted programmer(1), scale(2), enthusiasm(2), seriousness(2), initiative(1), community manager(1), administrator(1), enthusiasm(1), fame(1), network(2), level of understanding(1), technologists(2), ease of access(1), reputation(2), database(1), sensors(1), mobile comm(1), for entrepreneurs(1),  </v>
      </c>
      <c r="EV4" s="25" t="str">
        <f t="shared" si="158"/>
        <v xml:space="preserve"> B Effs[points,%]
engineering knowledge(1,6.25), technologists(1,12.5), database(1,12.5), sensors(1,12.5), mobile comm(1,12.5), for entrepreneurs(1,6.25),  </v>
      </c>
      <c r="EW4" s="25" t="str">
        <f t="shared" si="158"/>
        <v xml:space="preserve"> B Effs%
engineering knowledge(6.25),technologists(12.5),database(12.5),sensors(12.5),mobile comm(12.5),for entrepreneurs(6.25), </v>
      </c>
      <c r="EX4" s="25" t="str">
        <f t="shared" si="158"/>
        <v xml:space="preserve"> Required 
disposable money 1
software 1
servers 1
scale 2
enthusiasm 2
technologists 1
 </v>
      </c>
      <c r="EY4" s="25" t="str">
        <f t="shared" si="158"/>
        <v xml:space="preserve"> Effects[points,%]
disposable money(-1,75), law(1,50), security(1,50), interaction(1,25),  </v>
      </c>
      <c r="EZ4" s="25" t="str">
        <f t="shared" si="158"/>
        <v xml:space="preserve"> Effs. %
disposable money 75
law 50
security 50
interaction 25
 </v>
      </c>
      <c r="FA4" s="25" t="str">
        <f t="shared" si="158"/>
        <v xml:space="preserve"> Bonus cond
learning capacities(2), gifted programmer(1), scale(2), enthusiasm(2), seriousness(2), initiative(1), community manager(1), administrator(1), enthusiasm(1), fame(1), network(2), level of understanding(1), technologists(2), ease of access(1), reputation(2), law(2), for entrepreneurs(1),  </v>
      </c>
      <c r="FB4" s="25" t="str">
        <f t="shared" si="158"/>
        <v xml:space="preserve"> B Effs[points,%]
field knowledge(1,6.25), engineering knowledge(1,6.25), technologists(1,12.5), law(1,6.25), database(1,12.5), mobile apps(1,12.5), security(1,12.5), mobile comm(1,12.5), for entrepreneurs(1,6.25),  </v>
      </c>
      <c r="FC4" s="25" t="str">
        <f t="shared" si="158"/>
        <v xml:space="preserve"> B Effs%
field knowledge(6.25),engineering knowledge(6.25),technologists(12.5),law(6.25),database(12.5),mobile apps(12.5),security(12.5),mobile comm(12.5),for entrepreneurs(6.25), </v>
      </c>
      <c r="FD4" s="25" t="str">
        <f t="shared" si="158"/>
        <v xml:space="preserve"> Required 
disposable money 1
software 1
servers 1
scale 2
enthusiasm 2
technologists 1
 </v>
      </c>
      <c r="FE4" s="25" t="str">
        <f t="shared" si="158"/>
        <v xml:space="preserve"> Effects[points,%]
disposable money(-1,75), law(1,50), sensors(1,50), security(1,50),  </v>
      </c>
      <c r="FF4" s="25" t="str">
        <f t="shared" si="158"/>
        <v xml:space="preserve"> Effs. %
disposable money 75
law 50
sensors 50
security 50
 </v>
      </c>
      <c r="FG4" s="25" t="str">
        <f t="shared" si="158"/>
        <v xml:space="preserve"> Bonus cond
learning capacities(2), gifted programmer(1), scale(2), enthusiasm(2), seriousness(2), initiative(1), community manager(1), administrator(1), enthusiasm(1), fame(1), network(2), level of understanding(1), technologists(2), ease of access(1), reputation(2), law(2), project management(2), for entrepreneurs(1),  </v>
      </c>
      <c r="FH4" s="25" t="str">
        <f t="shared" si="158"/>
        <v xml:space="preserve"> B Effs[points,%]
field knowledge(1,6.25), engineering knowledge(1,6.25), technologists(1,12.5), law(1,6.25), database(1,6.25), mobile apps(1,6.25), AI&amp; data analysis(1,6.25), mobile comm(1,6.25), for entrepreneurs(1,6.25),  </v>
      </c>
      <c r="FI4" s="25" t="str">
        <f t="shared" si="158"/>
        <v xml:space="preserve"> B Effs%
field knowledge(6.25),engineering knowledge(6.25),technologists(12.5),law(6.25),database(6.25),mobile apps(6.25),AI&amp; data analysis(6.25),mobile comm(6.25),for entrepreneurs(6.25), </v>
      </c>
      <c r="FJ4" s="25" t="str">
        <f t="shared" si="158"/>
        <v xml:space="preserve"> Required 
disposable money 1
software 1
servers 1
scale 2
enthusiasm 2
technologists 1
 </v>
      </c>
      <c r="FK4" s="25" t="str">
        <f t="shared" si="158"/>
        <v xml:space="preserve"> Effects[points,%]
disposable money(-1,100), wood processing(1,25), metal processing(1,25), plastic processing(1,25), fabric(1,25), safety(1,25), interaction(1,25),  </v>
      </c>
      <c r="FL4" s="25" t="str">
        <f t="shared" si="158"/>
        <v xml:space="preserve"> Effs. %
disposable money 100
project management 2
wood processing 25
metal processing 25
plastic processing 25
fabric 25
safety 25
interaction 25
 </v>
      </c>
      <c r="FM4" s="25" t="str">
        <f t="shared" si="158"/>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FN4" s="25" t="str">
        <f t="shared" si="158"/>
        <v xml:space="preserve"> B Effs[points,%]
field knowledge(1,6.25), engineering knowledge(1,6.25), technologists(1,12.5), for entrepreneurs(1,6.25),  </v>
      </c>
      <c r="FO4" s="25" t="str">
        <f t="shared" si="158"/>
        <v xml:space="preserve"> B Effs%
field knowledge(6.25),engineering knowledge(6.25),technologists(12.5),for entrepreneurs(6.25), </v>
      </c>
      <c r="FP4" s="25" t="str">
        <f t="shared" si="158"/>
        <v xml:space="preserve"> Required 
disposable money 1
software 1
servers 1
scale 2
enthusiasm 2
technologists 1
 </v>
      </c>
      <c r="FQ4" s="25" t="str">
        <f t="shared" si="158"/>
        <v xml:space="preserve"> Effects[points,%]
disposable money(-1,75), web(1,25), mobile apps(1,50), functions(1,25), interaction(1,25),  </v>
      </c>
      <c r="FR4" s="25" t="str">
        <f t="shared" si="158"/>
        <v xml:space="preserve"> Effs. %
disposable money 75
web 25
mobile apps 50
functions 25
interaction 25
 </v>
      </c>
      <c r="FS4" s="25" t="str">
        <f t="shared" si="158"/>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FT4" s="25" t="str">
        <f t="shared" si="158"/>
        <v xml:space="preserve"> B Effs[points,%]
field knowledge(1,6.25), engineering knowledge(1,6.25), technologists(1,12.5), for entrepreneurs(1,6.25),  </v>
      </c>
      <c r="FU4" s="25" t="str">
        <f t="shared" si="158"/>
        <v xml:space="preserve"> B Effs%
field knowledge(6.25),engineering knowledge(6.25),technologists(12.5),for entrepreneurs(6.25), </v>
      </c>
      <c r="FV4" s="25" t="str">
        <f t="shared" si="158"/>
        <v xml:space="preserve"> Required 
disposable money 1
software 1
servers 1
scale 2
enthusiasm 2
technologists 1
 </v>
      </c>
      <c r="FW4" s="25" t="str">
        <f t="shared" si="158"/>
        <v xml:space="preserve"> Effects[points,%]
disposable money(-1,100), mobile apps(1,50), sensors(1,50), wood processing(1,25), plastic processing(1,25), electronics(1,25), functions(1,25), interaction(1,25),  </v>
      </c>
      <c r="FX4" s="25" t="str">
        <f t="shared" si="158"/>
        <v xml:space="preserve"> Effs. %
disposable money 100
mobile apps 50
sensors 50
wood processing 25
plastic processing 25
electronics 25
functions 25
interaction 25
 </v>
      </c>
      <c r="FY4" s="25" t="str">
        <f t="shared" si="158"/>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FZ4" s="25" t="str">
        <f t="shared" si="158"/>
        <v xml:space="preserve"> B Effs[points,%]
field knowledge(1,6.25), engineering knowledge(1,6.25), technologists(1,12.5), web(1,6.25), database(1,6.25), AI&amp; data analysis(1,6.25), mobile comm(1,6.25), for entrepreneurs(1,6.25),  </v>
      </c>
      <c r="GA4" s="25" t="str">
        <f t="shared" si="158"/>
        <v xml:space="preserve"> B Effs%
field knowledge(6.25),engineering knowledge(6.25),technologists(12.5),web(6.25),database(6.25),AI&amp; data analysis(6.25),mobile comm(6.25),for entrepreneurs(6.25), </v>
      </c>
      <c r="GB4" s="25" t="str">
        <f t="shared" si="158"/>
        <v xml:space="preserve"> Required 
disposable money 1
software 1
servers 1
scale 2
enthusiasm 2
technologists 1
 </v>
      </c>
      <c r="GC4" s="25" t="str">
        <f t="shared" si="158"/>
        <v xml:space="preserve"> Effects[points,%]
disposable money(-1,75), sensors(1,25), mobile comm(1,25), electronics(1,50), functions(1,25), safety(1,25),  </v>
      </c>
      <c r="GD4" s="25" t="str">
        <f t="shared" si="158"/>
        <v xml:space="preserve"> Effs. %
disposable money 75
sensors 25
mobile comm 25
electronics 50
functions 25
safety 25
 </v>
      </c>
      <c r="GE4" s="25" t="str">
        <f t="shared" si="158"/>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GF4" s="25" t="str">
        <f t="shared" si="158"/>
        <v xml:space="preserve"> B Effs[points,%]
field knowledge(1,6.25), engineering knowledge(1,6.25), technologists(1,12.5), database(1,6.25), mobile apps(1,6.25), AI&amp; data analysis(1,6.25), plastic processing(1,6.25), interaction(1,6.25), for entrepreneurs(1,6.25),  </v>
      </c>
      <c r="GG4" s="25" t="str">
        <f t="shared" si="158"/>
        <v xml:space="preserve"> B Effs%
field knowledge(6.25),engineering knowledge(6.25),technologists(12.5),database(6.25),mobile apps(6.25),AI&amp; data analysis(6.25),plastic processing(6.25),interaction(6.25),for entrepreneurs(6.25), </v>
      </c>
      <c r="GH4" s="25" t="str">
        <f t="shared" si="158"/>
        <v xml:space="preserve"> Required 
disposable money 1
software 1
servers 1
scale 2
enthusiasm 2
technologists 1
 </v>
      </c>
      <c r="GI4" s="25" t="str">
        <f t="shared" si="158"/>
        <v xml:space="preserve"> Effects[points,%]
disposable money(-1,75), web(1,25), mobile apps(1,50), functions(1,25), interaction(1,25),  </v>
      </c>
      <c r="GJ4" s="25" t="str">
        <f t="shared" si="158"/>
        <v xml:space="preserve"> Effs. %
disposable money 75
web 25
mobile apps 50
functions 25
interaction 25
 </v>
      </c>
      <c r="GK4" s="25" t="str">
        <f t="shared" si="158"/>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GL4" s="25" t="str">
        <f t="shared" si="158"/>
        <v xml:space="preserve"> B Effs[points,%]
field knowledge(1,6.25), engineering knowledge(1,6.25), technologists(1,12.5), for entrepreneurs(1,6.25),  </v>
      </c>
      <c r="GM4" s="25" t="str">
        <f t="shared" si="158"/>
        <v xml:space="preserve"> B Effs%
field knowledge(6.25),engineering knowledge(6.25),technologists(12.5),for entrepreneurs(6.25), </v>
      </c>
      <c r="GN4" s="25" t="str">
        <f t="shared" si="158"/>
        <v xml:space="preserve"> Required 
disposable money 1
software 1
servers 1
scale 2
enthusiasm 2
technologists 1
 </v>
      </c>
      <c r="GO4" s="25" t="str">
        <f t="shared" ref="GO4:IU4" si="159">GO106</f>
        <v xml:space="preserve"> Effects[points,%]
disposable money(-1,75), web(1,25), mobile apps(1,25), VR&amp;AR(1,25), aesthetics(1,25), functions(1,25), interaction(1,50),  </v>
      </c>
      <c r="GP4" s="25" t="str">
        <f t="shared" si="159"/>
        <v xml:space="preserve"> Effs. %
disposable money 75
web 25
mobile apps 25
VR&amp;AR 25
aesthetics 25
functions 25
interaction 50
 </v>
      </c>
      <c r="GQ4" s="25" t="str">
        <f t="shared" si="159"/>
        <v xml:space="preserve"> Bonus cond
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4" s="25" t="str">
        <f t="shared" si="159"/>
        <v xml:space="preserve"> B Effs[points,%]
field knowledge(1,6.25), technologists(1,12.5), for entrepreneurs(1,6.25),  </v>
      </c>
      <c r="GS4" s="25" t="str">
        <f t="shared" si="159"/>
        <v xml:space="preserve"> B Effs%
field knowledge(6.25),technologists(12.5),for entrepreneurs(6.25), </v>
      </c>
      <c r="GT4" s="25" t="str">
        <f t="shared" si="159"/>
        <v xml:space="preserve"> Required 
disposable money 2
software 1
servers 2
scale 3
scale 2
ease of access 1
reputation 2
web 1
mobile apps 1
mobile comm 1
 </v>
      </c>
      <c r="GU4" s="25" t="str">
        <f t="shared" si="159"/>
        <v xml:space="preserve"> Effects[points,%]
disposable money(-2,100), software(1,),  </v>
      </c>
      <c r="GV4" s="25" t="str">
        <f t="shared" si="159"/>
        <v xml:space="preserve"> Effs. %
disposable money 100
 </v>
      </c>
      <c r="GW4" s="25" t="str">
        <f t="shared" si="159"/>
        <v xml:space="preserve"> Bonus cond
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4" s="25" t="str">
        <f t="shared" si="159"/>
        <v xml:space="preserve"> B Effs[points,%]
disposable money(1,6.25), 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4" s="25" t="str">
        <f t="shared" si="159"/>
        <v xml:space="preserve"> B Effs%
disposable money(6.25),scale(6.25),enthusiasm(12.5),learning capacities(6.25),field knowledge(6.25),engineering knowledge(6.25),network among members(6.25),gifted leader(6.25),gifted programmer(6.25),enthusiasm(6.25),media(6.25),entrepreneurs(6.25),technologists(6.25),project management(6.25),social media(6.25),web(6.25),mobile apps(6.25), </v>
      </c>
      <c r="GZ4" s="25" t="str">
        <f t="shared" si="159"/>
        <v xml:space="preserve"> Required 
disposable money 1
software 1
plastic 1
electronics 1
fabric 1
scale 2
enthusiasm 2
scale 2
enthusiasm 2
network 1
govt 1
non-profits 1
reputation 2
portfolio 1
 </v>
      </c>
      <c r="HA4" s="25" t="str">
        <f t="shared" si="159"/>
        <v xml:space="preserve"> Effects[points,%]
disposable money(-1,100),  </v>
      </c>
      <c r="HB4" s="25" t="str">
        <f t="shared" si="159"/>
        <v xml:space="preserve"> Effs. %
disposable money 100
 </v>
      </c>
      <c r="HC4" s="25" t="str">
        <f t="shared" si="159"/>
        <v xml:space="preserve"> Bonus cond
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4" s="25" t="str">
        <f t="shared" si="159"/>
        <v xml:space="preserve"> B Effs[points,%]
scale(1,6.25), enthusiasm(1,6.25), learning capacities(1,6.25), field knowledge(1,6.25), enthusiasm(1,6.25), media(1,6.25), technologists(1,6.25), non-profits(1,6.25), reputation(1,6.25), start-up with customers(1,6.25), for basic literacy(1,6.25),  </v>
      </c>
      <c r="HE4" s="25" t="str">
        <f t="shared" si="159"/>
        <v xml:space="preserve"> B Effs%
scale(6.25),enthusiasm(6.25),learning capacities(6.25),field knowledge(6.25),enthusiasm(6.25),media(6.25),technologists(6.25),non-profits(6.25),reputation(6.25),start-up with customers(6.25),for basic literacy(6.25), </v>
      </c>
      <c r="HF4" s="25" t="str">
        <f t="shared" si="159"/>
        <v xml:space="preserve"> Required 
disposable money 1
 </v>
      </c>
      <c r="HG4" s="25" t="str">
        <f t="shared" si="159"/>
        <v xml:space="preserve"> Effects[points,%]
disposable money(-1,100), scale(2,), enthusiasm(2,),  </v>
      </c>
      <c r="HH4" s="25" t="str">
        <f t="shared" si="159"/>
        <v xml:space="preserve"> Effs. %
disposable money 100
 </v>
      </c>
      <c r="HI4" s="25" t="str">
        <f t="shared" si="159"/>
        <v xml:space="preserve"> Bonus cond
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4" s="25" t="str">
        <f t="shared" si="159"/>
        <v xml:space="preserve"> B Effs[points,%]
scale(1,6.25), enthusiasm(1,6.25), learning capacities(1,6.25), network among members(1,6.25), enthusiasm(1,6.25), fun-ness(1,6.25), seriousness(1,6.25), govt(1,6.25), media(1,6.25), non-profits(1,6.25), start-up with customers(1,6.25),  </v>
      </c>
      <c r="HK4" s="25" t="str">
        <f t="shared" si="159"/>
        <v xml:space="preserve"> B Effs%
scale(6.25),enthusiasm(6.25),learning capacities(6.25),network among members(6.25),enthusiasm(6.25),fun-ness(6.25),seriousness(6.25),govt(6.25),media(6.25),non-profits(6.25),start-up with customers(6.25), </v>
      </c>
      <c r="HL4" s="25" t="str">
        <f t="shared" si="159"/>
        <v xml:space="preserve"> Required 
disposable money 2
scale 2
scale 2
community manager 1
PR 1
administrator 1
local biz 1
entrepreneurs 1
non-profits 1
reputation 2
portfolio 2
 </v>
      </c>
      <c r="HM4" s="25" t="str">
        <f t="shared" si="159"/>
        <v xml:space="preserve"> Effects[points,%]
disposable money(-1,100), scale(1,25), enthusiasm(1,25), network among members(1,25), scale(1,25), enthusiasm(1,25), ambition(1,25), fun-ness(1,25), seriousness(1,25),  </v>
      </c>
      <c r="HN4" s="25" t="str">
        <f t="shared" si="159"/>
        <v xml:space="preserve"> Effs. %
disposable money 100
scale 25
enthusiasm 25
network among members 25
scale 25
enthusiasm 25
ambition 25
fun-ness 25
seriousness 25
 </v>
      </c>
      <c r="HO4" s="25" t="str">
        <f t="shared" si="159"/>
        <v xml:space="preserve"> Bonus cond
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4" s="25" t="str">
        <f t="shared" si="159"/>
        <v xml:space="preserve"> B Effs[points,%]
disposable money(1,6.25), scale(1,6.25), enthusiasm(1,6.25), enthusiasm(1,6.25), fun-ness(1,6.25), enthusiasm(1,6.25), level of understanding(1,6.25), local biz(1,6.25), biz group(1,6.25), govt(1,6.25), investors(1,6.25), media(1,6.25), entrepreneurs(1,6.25), technologists(1,6.25), suppliers(1,6.25), non-profits(1,6.25), reputation(1,6.25),  </v>
      </c>
      <c r="HQ4" s="44" t="str">
        <f t="shared" si="159"/>
        <v xml:space="preserve"> B Effs%
disposable money(6.25),scale(6.25),enthusiasm(6.25),enthusiasm(6.25),fun-ness(6.25),enthusiasm(6.25),level of understanding(6.25),local biz(6.25),biz group(6.25),govt(6.25),investors(6.25),media(6.25),entrepreneurs(6.25),technologists(6.25),suppliers(6.25),non-profits(6.25),reputation(6.25), </v>
      </c>
      <c r="HR4" s="25" t="str">
        <f t="shared" si="159"/>
        <v xml:space="preserve"> Required 
disposable money(2),software(1),servers(1),wood(1),metal(1),plastic(1),electronics(1),scale(2),enthusiasm(2),engineering knowledge(2),scale(2),enthusiasm(2),reputation(2),portfolio(2),mobile apps(1),sensors(1),wood processing(1),aesthetics(1), </v>
      </c>
      <c r="HS4" s="25" t="str">
        <f t="shared" si="159"/>
        <v xml:space="preserve"> Effects[points,%]
disposable money(-1), </v>
      </c>
      <c r="HT4" s="25" t="str">
        <f t="shared" si="159"/>
        <v xml:space="preserve"> Effs. %
disposable money(100), </v>
      </c>
      <c r="HU4" s="25" t="str">
        <f t="shared" si="159"/>
        <v xml:space="preserve"> Bonus cond
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4" s="25" t="str">
        <f t="shared" si="159"/>
        <v xml:space="preserve"> B Effs[points,%]
gifted programmer(1),local biz(1),biz group(1),govt(1),investors(1),media(1),entrepreneurs(1),technologists(1),suppliers(1),non-profits(1),reputation(1), </v>
      </c>
      <c r="HW4" s="44" t="str">
        <f t="shared" si="159"/>
        <v xml:space="preserve"> B Effs%
gifted programmer(6.25),local biz(6.25),biz group(6.25),govt(6.25),investors(6.25),media(6.25),entrepreneurs(6.25),technologists(12.5),suppliers(6.25),non-profits(6.25),reputation(6.25), </v>
      </c>
      <c r="HX4" s="25" t="str">
        <f t="shared" si="159"/>
        <v xml:space="preserve"> Required 
disposable money(2),software(2),servers(2),wood(2),plastic(2),electronics(2),fabric(1),scale(2),enthusiasm(2),field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4" s="25" t="str">
        <f t="shared" si="159"/>
        <v xml:space="preserve"> Effects[points,%]
disposable money(-1),biz enhancement(1), </v>
      </c>
      <c r="HZ4" s="25" t="str">
        <f t="shared" si="159"/>
        <v xml:space="preserve"> Effs. %
disposable money(100),biz enhancement(100), </v>
      </c>
      <c r="IA4" s="25" t="str">
        <f t="shared" si="159"/>
        <v xml:space="preserve"> Bonus cond
community manager(1),PR(1),finance(1),administrator(1),enthusiasm(2),network(2),ambition(2),knowledge(2),spaciousness(2),ease of access(3),efficiency(2),portfolio(4),finance(2),business model(2),marketing(3),team building(2),project management(2),social media(3),negotiation(3), </v>
      </c>
      <c r="IB4" s="25" t="str">
        <f t="shared" si="159"/>
        <v xml:space="preserve"> B Effs[points,%]
disposable money(1),scale(1),enthusiasm(1),field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4" s="44" t="str">
        <f t="shared" si="159"/>
        <v xml:space="preserve"> B Effs%
disposable money(6.25),scale(6.25),enthusiasm(6.25),field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4" s="25" t="str">
        <f t="shared" si="159"/>
        <v xml:space="preserve"> Required 
disposable money(1),software(2),servers(2),scale(2),enthusiasm(2),engineering knowledge(1),scale(1),technologists(2), </v>
      </c>
      <c r="IE4" s="25" t="str">
        <f t="shared" si="159"/>
        <v xml:space="preserve"> Effects[points,%]
disposable money(-1),engineering knowledge(1),web(1),mobile apps(1),security(1),AI&amp; data analysis(1), </v>
      </c>
      <c r="IF4" s="25" t="str">
        <f t="shared" si="159"/>
        <v xml:space="preserve"> Effs. %
disposable money(25),engineering knowledge(25),web(25),mobile apps(25),security(25),AI&amp; data analysis(25), </v>
      </c>
      <c r="IG4" s="25" t="str">
        <f t="shared" si="159"/>
        <v xml:space="preserve"> Bonus cond
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4" s="25" t="str">
        <f t="shared" si="159"/>
        <v xml:space="preserve"> B Effs[points,%]
engineering knowledge(1),technologists(1),web(1),database(1),mobile apps(1),security(1),AI&amp; data analysis(1), </v>
      </c>
      <c r="II4" s="44" t="str">
        <f t="shared" si="159"/>
        <v xml:space="preserve"> B Effs%
engineering knowledge(6.25),technologists(6.25),web(6.25),database(6.25),mobile apps(6.25),security(6.25),AI&amp; data analysis(6.25), </v>
      </c>
      <c r="IJ4" s="25" t="str">
        <f t="shared" si="159"/>
        <v xml:space="preserve"> Required 
disposable money(1),metal(1),scale(2),enthusiasm(2),engineering knowledge(1),scale(1),technologists(2), </v>
      </c>
      <c r="IK4" s="25" t="str">
        <f t="shared" si="159"/>
        <v xml:space="preserve"> Effects[points,%]
disposable money(-1),engineering knowledge(1),wood processing(1),metal processing(1),functions(1),safety(1), </v>
      </c>
      <c r="IL4" s="25" t="str">
        <f t="shared" si="159"/>
        <v xml:space="preserve"> Effs. %
disposable money(25),engineering knowledge(25),wood processing(25),metal processing(25),functions(25),safety(25), </v>
      </c>
      <c r="IM4" s="25" t="str">
        <f t="shared" si="159"/>
        <v xml:space="preserve"> Bonus cond
scale(3),enthusiasm(3),learning capacities(2),scale(2),enthusiasm(3),attention to details(2),seriousness(2),community manager(1),administrator(1),network(2),entrepreneurs(3),technologists(4),spaciousness(2),ease of access(2),reputation(3),efficiency(2),portfolio(3),wood processing(2),metal processing(2),functions(2),safety(2), </v>
      </c>
      <c r="IN4" s="25" t="str">
        <f t="shared" si="159"/>
        <v xml:space="preserve"> B Effs[points,%]
engineering knowledge(1),technologists(1),wood processing(1),metal processing(1),functions(1),safety(1),interaction(1), </v>
      </c>
      <c r="IO4" s="44" t="str">
        <f t="shared" si="159"/>
        <v xml:space="preserve"> B Effs%
engineering knowledge(6.25),technologists(6.25),wood processing(6.25),metal processing(6.25),functions(6.25),safety(6.25),interaction(6.25), </v>
      </c>
      <c r="IP4" s="52" t="str">
        <f t="shared" si="159"/>
        <v xml:space="preserve"> Required 
disposable money(1),scale(2),enthusiasm(2),learning capacities(1),scale(2),local biz(2),reputation(1), </v>
      </c>
      <c r="IQ4" s="53" t="str">
        <f t="shared" si="159"/>
        <v xml:space="preserve"> Effects[points,%]
disposable money(-1),field knowledge(1),network among members(1),local biz(1),marketing(1), </v>
      </c>
      <c r="IR4" s="53" t="str">
        <f t="shared" si="159"/>
        <v xml:space="preserve"> Effs. %
disposable money(50),field knowledge(100),network among members(25),local biz(25),marketing(25), </v>
      </c>
      <c r="IS4" s="53" t="str">
        <f t="shared" si="159"/>
        <v xml:space="preserve"> Bonus cond
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4" s="53" t="str">
        <f t="shared" si="159"/>
        <v xml:space="preserve"> B Effs[points,%]
field knowledge(1),network among members(1),enthusiasm(1),fun-ness(1),seriousness(1),local biz(1),biz group(1),govt(1),non-profits(1),marketing(1), </v>
      </c>
      <c r="IU4" s="44" t="str">
        <f t="shared" si="159"/>
        <v xml:space="preserve"> B Effs%
field knowledge(6.25),network among members(6.25),enthusiasm(6.25),fun-ness(6.25),seriousness(6.25),local biz(6.25),biz group(6.25),govt(6.25),non-profits(6.25),marketing(6.25), </v>
      </c>
      <c r="IV4" s="52" t="str">
        <f t="shared" ref="IV4:LG4" si="160">IV106</f>
        <v xml:space="preserve"> Required 
disposable money(1),scale(2),enthusiasm(2),learning capacities(1),scale(2),local biz(2),reputation(1), </v>
      </c>
      <c r="IW4" s="53" t="str">
        <f t="shared" si="160"/>
        <v xml:space="preserve"> Effects[points,%]
disposable money(-1),field knowledge(1),network among members(1),local biz(1),marketing(1), </v>
      </c>
      <c r="IX4" s="53" t="str">
        <f t="shared" si="160"/>
        <v xml:space="preserve"> Effs. %
disposable money(50),field knowledge(100),network among members(25),local biz(25),marketing(25), </v>
      </c>
      <c r="IY4" s="53" t="str">
        <f t="shared" si="160"/>
        <v xml:space="preserve"> Bonus cond
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4" s="53" t="str">
        <f t="shared" si="160"/>
        <v xml:space="preserve"> B Effs[points,%]
field knowledge(1),network among members(1),enthusiasm(1),fun-ness(1),seriousness(1),local biz(1),biz group(1),govt(1),marketing(1), </v>
      </c>
      <c r="JA4" s="44" t="str">
        <f t="shared" si="160"/>
        <v xml:space="preserve"> B Effs%
field knowledge(6.25),network among members(6.25),enthusiasm(6.25),fun-ness(6.25),seriousness(6.25),local biz(6.25),biz group(6.25),govt(6.25),marketing(6.25), </v>
      </c>
      <c r="JB4" s="53" t="str">
        <f t="shared" si="160"/>
        <v xml:space="preserve"> Required 
disposable money(1),software(1),servers(1),wood(1),metal(1),plastic(1),electronics(1),fabric(1),scale(2),enthusiasm(1),scale(1),enthusiasm(2), </v>
      </c>
      <c r="JC4" s="53" t="str">
        <f t="shared" si="160"/>
        <v xml:space="preserve"> Effects[points,%]
engineering knowledge(1), </v>
      </c>
      <c r="JD4" s="53" t="str">
        <f t="shared" si="160"/>
        <v xml:space="preserve"> Effs. %
engineering knowledge(50), </v>
      </c>
      <c r="JE4" s="53" t="str">
        <f t="shared" si="160"/>
        <v xml:space="preserve"> Bonus cond
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4" s="53" t="str">
        <f t="shared" si="160"/>
        <v xml:space="preserve"> B Effs[points,%]
enthusiasm(1),learning capacities(1),engineering knowledge(1),web(1),infrastructrue(1),database(1),mobile apps(1),sensors(1),security(1),AI&amp; data analysis(1),mobile comm(1),VR&amp;AR(1),wood processing(1),metal processing(1),plastic processing(1),electronics(1),fabric(1),aesthetics(1),functions(1),safety(1),interaction(1), </v>
      </c>
      <c r="JG4" s="44" t="str">
        <f t="shared" si="160"/>
        <v xml:space="preserve"> B Effs%
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4" s="53" t="str">
        <f t="shared" si="160"/>
        <v xml:space="preserve"> Required 
disposable money(1),scale(1),scale(1),enthusiasm(1),enthusiasm(1),local biz(1),non-profits(1),reputation(2), </v>
      </c>
      <c r="JI4" s="53" t="str">
        <f t="shared" si="160"/>
        <v xml:space="preserve"> Effects[points,%]
disposable money(-1), </v>
      </c>
      <c r="JJ4" s="53" t="str">
        <f t="shared" si="160"/>
        <v xml:space="preserve"> Effs. %
disposable money(25), </v>
      </c>
      <c r="JK4" s="53" t="str">
        <f t="shared" si="160"/>
        <v xml:space="preserve"> Bonus cond
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4" s="53" t="str">
        <f t="shared" si="160"/>
        <v xml:space="preserve"> B Effs[points,%]
disposable money(1),non-profits(1), </v>
      </c>
      <c r="JM4" s="44" t="str">
        <f t="shared" si="160"/>
        <v xml:space="preserve"> B Effs%
disposable money(6.25),non-profits(6.25), </v>
      </c>
      <c r="JN4" s="53" t="str">
        <f t="shared" si="160"/>
        <v xml:space="preserve"> Required 
disposable money(1),scale(2),enthusiasm(2),scale(2),enthusiasm(2),enthusiasm(1),network(1),local biz(1),investors(1),entrepreneurs(1),technologists(1),non-profits(1),reputation(2),portfolio(2), </v>
      </c>
      <c r="JO4" s="53" t="str">
        <f t="shared" si="160"/>
        <v xml:space="preserve"> Effects[points,%]
disposable money(-1), </v>
      </c>
      <c r="JP4" s="53" t="str">
        <f t="shared" si="160"/>
        <v xml:space="preserve"> Effs. %
disposable money(50), </v>
      </c>
      <c r="JQ4" s="53" t="str">
        <f t="shared" si="160"/>
        <v xml:space="preserve"> Bonus cond
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4" s="53" t="str">
        <f t="shared" si="160"/>
        <v xml:space="preserve"> B Effs[points,%]
disposable money(1), </v>
      </c>
      <c r="JS4" s="44" t="str">
        <f t="shared" si="160"/>
        <v xml:space="preserve"> B Effs%
disposable money(6.25), </v>
      </c>
      <c r="JT4" s="53" t="str">
        <f t="shared" si="160"/>
        <v xml:space="preserve"> Required 
disposable money(1),scale(3),enthusiasm(3),PR(1),administrator(1),enthusiasm(2),network(2),local biz(2),biz group(1),govt(2),investors(2),entrepreneurs(2),technologists(2),non-profits(2),reputation(2),portfolio(3), </v>
      </c>
      <c r="JU4" s="53" t="str">
        <f t="shared" si="160"/>
        <v xml:space="preserve"> Effects[points,%]
disposable money(-1), </v>
      </c>
      <c r="JV4" s="53" t="str">
        <f t="shared" si="160"/>
        <v xml:space="preserve"> Effs. %
disposable money(100), </v>
      </c>
      <c r="JW4" s="53" t="str">
        <f t="shared" si="160"/>
        <v xml:space="preserve"> Bonus cond
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4" s="53" t="str">
        <f t="shared" si="160"/>
        <v xml:space="preserve"> B Effs[points,%]
budget(1), </v>
      </c>
      <c r="JY4" s="44" t="str">
        <f t="shared" si="160"/>
        <v xml:space="preserve"> B Effs%
budget(6.25), </v>
      </c>
      <c r="JZ4" s="53" t="str">
        <f t="shared" si="160"/>
        <v xml:space="preserve"> Required 
disposable money(1),scale(1),enthusiasm(1),scale(1),enthusiasm(2),network(1),non-profits(1),reputation(2),social project(2), </v>
      </c>
      <c r="KA4" s="53" t="str">
        <f t="shared" si="160"/>
        <v xml:space="preserve"> Effects[points,%]
non-profits(1), </v>
      </c>
      <c r="KB4" s="53" t="str">
        <f t="shared" si="160"/>
        <v xml:space="preserve"> Effs. %
non-profits(25), </v>
      </c>
      <c r="KC4" s="53" t="str">
        <f t="shared" si="160"/>
        <v xml:space="preserve"> Bonus cond
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4" s="53" t="str">
        <f t="shared" si="160"/>
        <v xml:space="preserve"> B Effs[points,%]
disposable money(1),non-profits(1), </v>
      </c>
      <c r="KE4" s="44" t="str">
        <f t="shared" si="160"/>
        <v xml:space="preserve"> B Effs%
disposable money(6.25),non-profits(6.25), </v>
      </c>
      <c r="KF4" s="53" t="str">
        <f t="shared" si="160"/>
        <v xml:space="preserve"> Required 
disposable money(1), </v>
      </c>
      <c r="KG4" s="53" t="str">
        <f t="shared" si="160"/>
        <v xml:space="preserve"> Effects[points,%]
 </v>
      </c>
      <c r="KH4" s="53" t="str">
        <f t="shared" si="160"/>
        <v xml:space="preserve"> Effs. %
 </v>
      </c>
      <c r="KI4" s="53" t="str">
        <f t="shared" si="160"/>
        <v xml:space="preserve"> Bonus cond
 </v>
      </c>
      <c r="KJ4" s="53" t="str">
        <f t="shared" si="160"/>
        <v xml:space="preserve"> B Effs[points,%]
 </v>
      </c>
      <c r="KK4" s="44" t="str">
        <f t="shared" si="160"/>
        <v xml:space="preserve"> B Effs%
 </v>
      </c>
      <c r="KL4" s="52" t="str">
        <f t="shared" si="160"/>
        <v xml:space="preserve"> Required 
 </v>
      </c>
      <c r="KM4" s="53" t="str">
        <f t="shared" si="160"/>
        <v xml:space="preserve"> Effects[points,%]
 </v>
      </c>
      <c r="KN4" s="53" t="str">
        <f t="shared" si="160"/>
        <v xml:space="preserve"> Effs. %
 </v>
      </c>
      <c r="KO4" s="53" t="str">
        <f t="shared" si="160"/>
        <v xml:space="preserve"> Bonus cond
 </v>
      </c>
      <c r="KP4" s="53" t="str">
        <f t="shared" si="160"/>
        <v xml:space="preserve"> B Effs[points,%]
 </v>
      </c>
      <c r="KQ4" s="44" t="str">
        <f t="shared" si="160"/>
        <v xml:space="preserve"> B Effs%
 </v>
      </c>
      <c r="KR4" s="52" t="str">
        <f t="shared" si="160"/>
        <v xml:space="preserve"> Required 
 </v>
      </c>
      <c r="KS4" s="53" t="str">
        <f t="shared" si="160"/>
        <v xml:space="preserve"> Effects[points,%]
 </v>
      </c>
      <c r="KT4" s="53" t="str">
        <f t="shared" si="160"/>
        <v xml:space="preserve"> Effs. %
 </v>
      </c>
      <c r="KU4" s="53" t="str">
        <f t="shared" si="160"/>
        <v xml:space="preserve"> Bonus cond
 </v>
      </c>
      <c r="KV4" s="53" t="str">
        <f t="shared" si="160"/>
        <v xml:space="preserve"> B Effs[points,%]
 </v>
      </c>
      <c r="KW4" s="44" t="str">
        <f t="shared" si="160"/>
        <v xml:space="preserve"> B Effs%
 </v>
      </c>
      <c r="KX4" s="52" t="str">
        <f t="shared" si="160"/>
        <v xml:space="preserve"> Required 
 </v>
      </c>
      <c r="KY4" s="53" t="str">
        <f t="shared" si="160"/>
        <v xml:space="preserve"> Effects[points,%]
 </v>
      </c>
      <c r="KZ4" s="53" t="str">
        <f t="shared" si="160"/>
        <v xml:space="preserve"> Effs. %
 </v>
      </c>
      <c r="LA4" s="53" t="str">
        <f t="shared" si="160"/>
        <v xml:space="preserve"> Bonus cond
 </v>
      </c>
      <c r="LB4" s="53" t="str">
        <f t="shared" si="160"/>
        <v xml:space="preserve"> B Effs[points,%]
 </v>
      </c>
      <c r="LC4" s="44" t="str">
        <f t="shared" si="160"/>
        <v xml:space="preserve"> B Effs%
 </v>
      </c>
      <c r="LD4" s="52" t="str">
        <f t="shared" si="160"/>
        <v xml:space="preserve"> Required 
 </v>
      </c>
      <c r="LE4" s="53" t="str">
        <f t="shared" si="160"/>
        <v xml:space="preserve"> Effects[points,%]
 </v>
      </c>
      <c r="LF4" s="53" t="str">
        <f t="shared" si="160"/>
        <v xml:space="preserve"> Effs. %
 </v>
      </c>
      <c r="LG4" s="53" t="str">
        <f t="shared" si="160"/>
        <v xml:space="preserve"> Bonus cond
 </v>
      </c>
      <c r="LH4" s="53" t="str">
        <f t="shared" ref="LH4:NM4" si="161">LH106</f>
        <v xml:space="preserve"> B Effs[points,%]
 </v>
      </c>
      <c r="LI4" s="44" t="str">
        <f t="shared" si="161"/>
        <v xml:space="preserve"> B Effs%
 </v>
      </c>
      <c r="LJ4" s="52" t="str">
        <f t="shared" si="161"/>
        <v xml:space="preserve"> Required 
 </v>
      </c>
      <c r="LK4" s="53" t="str">
        <f t="shared" si="161"/>
        <v xml:space="preserve"> Effects[points,%]
 </v>
      </c>
      <c r="LL4" s="53" t="str">
        <f t="shared" si="161"/>
        <v xml:space="preserve"> Effs. %
 </v>
      </c>
      <c r="LM4" s="53" t="str">
        <f t="shared" si="161"/>
        <v xml:space="preserve"> Bonus cond
 </v>
      </c>
      <c r="LN4" s="53" t="str">
        <f t="shared" si="161"/>
        <v xml:space="preserve"> B Effs[points,%]
 </v>
      </c>
      <c r="LO4" s="44" t="str">
        <f t="shared" si="161"/>
        <v xml:space="preserve"> B Effs%
 </v>
      </c>
      <c r="LP4" s="52" t="str">
        <f t="shared" si="161"/>
        <v xml:space="preserve"> Required 
 </v>
      </c>
      <c r="LQ4" s="53" t="str">
        <f t="shared" si="161"/>
        <v xml:space="preserve"> Effects[points,%]
 </v>
      </c>
      <c r="LR4" s="53" t="str">
        <f t="shared" si="161"/>
        <v xml:space="preserve"> Effs. %
 </v>
      </c>
      <c r="LS4" s="53" t="str">
        <f t="shared" si="161"/>
        <v xml:space="preserve"> Bonus cond
 </v>
      </c>
      <c r="LT4" s="53" t="str">
        <f t="shared" si="161"/>
        <v xml:space="preserve"> B Effs[points,%]
 </v>
      </c>
      <c r="LU4" s="44" t="str">
        <f t="shared" si="161"/>
        <v xml:space="preserve"> B Effs%
 </v>
      </c>
      <c r="LV4" s="52" t="str">
        <f t="shared" si="161"/>
        <v xml:space="preserve"> Required 
 </v>
      </c>
      <c r="LW4" s="53" t="str">
        <f t="shared" si="161"/>
        <v xml:space="preserve"> Effects[points,%]
 </v>
      </c>
      <c r="LX4" s="53" t="str">
        <f t="shared" si="161"/>
        <v xml:space="preserve"> Effs. %
 </v>
      </c>
      <c r="LY4" s="53" t="str">
        <f t="shared" si="161"/>
        <v xml:space="preserve"> Bonus cond
 </v>
      </c>
      <c r="LZ4" s="53" t="str">
        <f t="shared" si="161"/>
        <v xml:space="preserve"> B Effs[points,%]
 </v>
      </c>
      <c r="MA4" s="44" t="str">
        <f t="shared" si="161"/>
        <v xml:space="preserve"> B Effs%
 </v>
      </c>
      <c r="MB4" s="52" t="str">
        <f t="shared" si="161"/>
        <v xml:space="preserve"> Required 
 </v>
      </c>
      <c r="MC4" s="53" t="str">
        <f t="shared" si="161"/>
        <v xml:space="preserve"> Effects[points,%]
 </v>
      </c>
      <c r="MD4" s="53" t="str">
        <f t="shared" si="161"/>
        <v xml:space="preserve"> Effs. %
 </v>
      </c>
      <c r="ME4" s="53" t="str">
        <f t="shared" si="161"/>
        <v xml:space="preserve"> Bonus cond
 </v>
      </c>
      <c r="MF4" s="53" t="str">
        <f t="shared" si="161"/>
        <v xml:space="preserve"> B Effs[points,%]
 </v>
      </c>
      <c r="MG4" s="44" t="str">
        <f t="shared" si="161"/>
        <v xml:space="preserve"> B Effs%
 </v>
      </c>
      <c r="MH4" s="52" t="str">
        <f t="shared" si="161"/>
        <v xml:space="preserve"> Required 
 </v>
      </c>
      <c r="MI4" s="53" t="str">
        <f t="shared" si="161"/>
        <v xml:space="preserve"> Effects[points,%]
 </v>
      </c>
      <c r="MJ4" s="53" t="str">
        <f t="shared" si="161"/>
        <v xml:space="preserve"> Effs. %
 </v>
      </c>
      <c r="MK4" s="53" t="str">
        <f t="shared" si="161"/>
        <v xml:space="preserve"> Bonus cond
 </v>
      </c>
      <c r="ML4" s="53" t="str">
        <f t="shared" si="161"/>
        <v xml:space="preserve"> B Effs[points,%]
 </v>
      </c>
      <c r="MM4" s="44" t="str">
        <f t="shared" si="161"/>
        <v xml:space="preserve"> B Effs%
 </v>
      </c>
      <c r="MN4" s="52" t="str">
        <f t="shared" si="161"/>
        <v xml:space="preserve"> Required 
 </v>
      </c>
      <c r="MO4" s="53" t="str">
        <f t="shared" si="161"/>
        <v xml:space="preserve"> Effects[points,%]
 </v>
      </c>
      <c r="MP4" s="53" t="str">
        <f t="shared" si="161"/>
        <v xml:space="preserve"> Effs. %
 </v>
      </c>
      <c r="MQ4" s="53" t="str">
        <f t="shared" si="161"/>
        <v xml:space="preserve"> Bonus cond
 </v>
      </c>
      <c r="MR4" s="53" t="str">
        <f t="shared" si="161"/>
        <v xml:space="preserve"> B Effs[points,%]
 </v>
      </c>
      <c r="MS4" s="44" t="str">
        <f t="shared" si="161"/>
        <v xml:space="preserve"> B Effs%
 </v>
      </c>
      <c r="MT4" s="52" t="str">
        <f t="shared" si="161"/>
        <v xml:space="preserve"> Required 
 </v>
      </c>
      <c r="MU4" s="53" t="str">
        <f t="shared" si="161"/>
        <v xml:space="preserve"> Effects[points,%]
 </v>
      </c>
      <c r="MV4" s="53" t="str">
        <f t="shared" si="161"/>
        <v xml:space="preserve"> Effs. %
 </v>
      </c>
      <c r="MW4" s="53" t="str">
        <f t="shared" si="161"/>
        <v xml:space="preserve"> Bonus cond
 </v>
      </c>
      <c r="MX4" s="53" t="str">
        <f t="shared" si="161"/>
        <v xml:space="preserve"> B Effs[points,%]
 </v>
      </c>
      <c r="MY4" s="44" t="str">
        <f t="shared" si="161"/>
        <v xml:space="preserve"> B Effs%
 </v>
      </c>
      <c r="MZ4" s="52" t="str">
        <f t="shared" si="161"/>
        <v xml:space="preserve"> Required 
 </v>
      </c>
      <c r="NA4" s="53" t="str">
        <f t="shared" si="161"/>
        <v xml:space="preserve"> Effects[points,%]
 </v>
      </c>
      <c r="NB4" s="53" t="str">
        <f t="shared" si="161"/>
        <v xml:space="preserve"> Effs. %
 </v>
      </c>
      <c r="NC4" s="53" t="str">
        <f t="shared" si="161"/>
        <v xml:space="preserve"> Bonus cond
 </v>
      </c>
      <c r="ND4" s="53" t="str">
        <f t="shared" si="161"/>
        <v xml:space="preserve"> B Effs[points,%]
 </v>
      </c>
      <c r="NE4" s="44" t="str">
        <f t="shared" si="161"/>
        <v xml:space="preserve"> B Effs%
 </v>
      </c>
      <c r="NF4" s="52" t="str">
        <f t="shared" si="161"/>
        <v xml:space="preserve"> Required 
 </v>
      </c>
      <c r="NG4" s="53" t="str">
        <f t="shared" si="161"/>
        <v xml:space="preserve"> Effects[points,%]
 </v>
      </c>
      <c r="NH4" s="53" t="str">
        <f t="shared" si="161"/>
        <v xml:space="preserve"> Effs. %
 </v>
      </c>
      <c r="NI4" s="53" t="str">
        <f t="shared" si="161"/>
        <v xml:space="preserve"> Bonus cond
 </v>
      </c>
      <c r="NJ4" s="53" t="str">
        <f t="shared" si="161"/>
        <v xml:space="preserve"> B Effs[points,%]
 </v>
      </c>
      <c r="NK4" s="44" t="str">
        <f t="shared" si="161"/>
        <v xml:space="preserve"> B Effs%
 </v>
      </c>
      <c r="NL4" s="52" t="str">
        <f t="shared" si="161"/>
        <v xml:space="preserve"> Required 
 </v>
      </c>
      <c r="NM4" s="53" t="str">
        <f t="shared" si="161"/>
        <v xml:space="preserve"> Effects[points,%]
 </v>
      </c>
    </row>
    <row r="5" spans="1:377" ht="15.75" customHeight="1">
      <c r="B5" s="9" t="s">
        <v>51</v>
      </c>
      <c r="C5" s="9" t="s">
        <v>52</v>
      </c>
      <c r="AF5" s="13"/>
      <c r="AG5" s="11"/>
      <c r="AH5" s="9"/>
      <c r="AI5" s="9"/>
      <c r="AJ5" s="9"/>
      <c r="AK5" s="9"/>
      <c r="AL5" s="9"/>
      <c r="AM5" s="11"/>
      <c r="AN5" s="9"/>
      <c r="AO5" s="9"/>
      <c r="AP5" s="9"/>
      <c r="AQ5" s="9"/>
      <c r="AR5" s="9"/>
      <c r="AS5" s="12"/>
      <c r="AT5" s="13">
        <v>2</v>
      </c>
      <c r="AU5" s="13">
        <v>2</v>
      </c>
      <c r="AV5" s="13"/>
      <c r="AW5" s="13"/>
      <c r="AX5" s="13"/>
      <c r="AY5" s="12"/>
      <c r="AZ5" s="13">
        <v>1</v>
      </c>
      <c r="BA5" s="13">
        <v>1</v>
      </c>
      <c r="BB5" s="13"/>
      <c r="BC5" s="13"/>
      <c r="BD5" s="13"/>
      <c r="BE5" s="12"/>
      <c r="BF5" s="13">
        <v>2</v>
      </c>
      <c r="BG5" s="13">
        <v>2</v>
      </c>
      <c r="BH5" s="13"/>
      <c r="BI5" s="13"/>
      <c r="BJ5" s="13"/>
      <c r="BK5" s="12"/>
      <c r="BL5" s="7">
        <v>1</v>
      </c>
      <c r="BM5" s="7">
        <v>1</v>
      </c>
      <c r="GZ5" s="41"/>
      <c r="HA5" s="41"/>
      <c r="HB5" s="41"/>
      <c r="HC5" s="41"/>
      <c r="HD5" s="41"/>
      <c r="HE5" s="42"/>
      <c r="HF5" s="41"/>
      <c r="HG5" s="41"/>
      <c r="HH5" s="41"/>
      <c r="HI5" s="41"/>
      <c r="HJ5" s="41"/>
      <c r="HK5" s="42"/>
      <c r="HL5" s="41"/>
      <c r="HM5" s="41"/>
      <c r="HN5" s="41"/>
      <c r="HO5" s="41"/>
      <c r="HP5" s="41"/>
      <c r="HQ5" s="42"/>
      <c r="JX5" s="7">
        <v>1</v>
      </c>
      <c r="JY5" s="8">
        <v>6.25</v>
      </c>
    </row>
    <row r="6" spans="1:377" ht="15.75" customHeight="1">
      <c r="B6" s="9">
        <v>0</v>
      </c>
      <c r="C6" s="9" t="s">
        <v>53</v>
      </c>
      <c r="D6" s="19">
        <v>1</v>
      </c>
      <c r="E6" s="7">
        <v>-1</v>
      </c>
      <c r="F6" s="7">
        <v>25</v>
      </c>
      <c r="J6" s="7">
        <v>1</v>
      </c>
      <c r="P6" s="7">
        <v>1</v>
      </c>
      <c r="V6" s="7">
        <v>1</v>
      </c>
      <c r="AB6" s="7">
        <v>1</v>
      </c>
      <c r="AG6" s="11"/>
      <c r="AH6" s="9">
        <v>1</v>
      </c>
      <c r="AI6" s="9"/>
      <c r="AJ6" s="9"/>
      <c r="AK6" s="9"/>
      <c r="AL6" s="9"/>
      <c r="AM6" s="11"/>
      <c r="AN6" s="9">
        <v>1</v>
      </c>
      <c r="AO6" s="9"/>
      <c r="AP6" s="9"/>
      <c r="AQ6" s="9"/>
      <c r="AR6" s="9"/>
      <c r="AS6" s="11"/>
      <c r="AT6" s="9">
        <v>1</v>
      </c>
      <c r="AU6" s="9"/>
      <c r="AV6" s="9"/>
      <c r="AW6" s="9"/>
      <c r="AX6" s="9"/>
      <c r="AY6" s="11"/>
      <c r="AZ6" s="9"/>
      <c r="BA6" s="9"/>
      <c r="BB6" s="9"/>
      <c r="BC6" s="9"/>
      <c r="BD6" s="9"/>
      <c r="BE6" s="11"/>
      <c r="BF6" s="9">
        <v>1</v>
      </c>
      <c r="BG6" s="9">
        <v>1</v>
      </c>
      <c r="BH6" s="9"/>
      <c r="BI6" s="9"/>
      <c r="BJ6" s="9"/>
      <c r="BK6" s="11"/>
      <c r="BX6" s="7">
        <v>1</v>
      </c>
      <c r="CD6" s="7">
        <v>1</v>
      </c>
      <c r="CE6" s="7">
        <v>-1</v>
      </c>
      <c r="CF6" s="7">
        <v>12.5</v>
      </c>
      <c r="CJ6" s="7">
        <v>1</v>
      </c>
      <c r="CK6" s="7">
        <v>-1</v>
      </c>
      <c r="CL6" s="7">
        <v>12.5</v>
      </c>
      <c r="CP6" s="7">
        <v>1</v>
      </c>
      <c r="CQ6" s="7">
        <v>-1</v>
      </c>
      <c r="CR6" s="7">
        <v>12.5</v>
      </c>
      <c r="CV6" s="7">
        <v>1</v>
      </c>
      <c r="CW6" s="7">
        <v>-1</v>
      </c>
      <c r="CX6" s="7">
        <v>12.5</v>
      </c>
      <c r="DB6" s="7">
        <v>1</v>
      </c>
      <c r="DC6" s="7">
        <v>-1</v>
      </c>
      <c r="DD6" s="7">
        <v>12.5</v>
      </c>
      <c r="DH6" s="7">
        <v>1</v>
      </c>
      <c r="DI6" s="7">
        <v>-1</v>
      </c>
      <c r="DJ6" s="7">
        <v>25</v>
      </c>
      <c r="DN6" s="7">
        <v>1</v>
      </c>
      <c r="DO6" s="7">
        <v>-1</v>
      </c>
      <c r="DP6" s="7">
        <v>25</v>
      </c>
      <c r="DR6" s="7">
        <v>1</v>
      </c>
      <c r="DS6" s="8">
        <v>6.25</v>
      </c>
      <c r="DT6" s="7">
        <v>1</v>
      </c>
      <c r="DU6" s="7">
        <v>-1</v>
      </c>
      <c r="DV6" s="7">
        <v>50</v>
      </c>
      <c r="DX6" s="7">
        <v>1</v>
      </c>
      <c r="DY6" s="8">
        <v>6.25</v>
      </c>
      <c r="DZ6" s="7">
        <v>1</v>
      </c>
      <c r="EA6" s="7">
        <v>-1</v>
      </c>
      <c r="EB6" s="7">
        <v>50</v>
      </c>
      <c r="EF6" s="7">
        <v>1</v>
      </c>
      <c r="EG6" s="7">
        <v>-1</v>
      </c>
      <c r="EH6" s="7">
        <v>75</v>
      </c>
      <c r="EL6" s="7">
        <v>1</v>
      </c>
      <c r="EM6" s="7">
        <v>-1</v>
      </c>
      <c r="EN6" s="7">
        <v>75</v>
      </c>
      <c r="ER6" s="7">
        <v>1</v>
      </c>
      <c r="ES6" s="7">
        <v>-1</v>
      </c>
      <c r="ET6" s="7">
        <v>75</v>
      </c>
      <c r="EX6" s="7">
        <v>1</v>
      </c>
      <c r="EY6" s="7">
        <v>-1</v>
      </c>
      <c r="EZ6" s="7">
        <v>75</v>
      </c>
      <c r="FD6" s="7">
        <v>1</v>
      </c>
      <c r="FE6" s="7">
        <v>-1</v>
      </c>
      <c r="FF6" s="7">
        <v>75</v>
      </c>
      <c r="FJ6" s="7">
        <v>1</v>
      </c>
      <c r="FK6" s="7">
        <v>-1</v>
      </c>
      <c r="FL6" s="7">
        <v>100</v>
      </c>
      <c r="FP6" s="7">
        <v>1</v>
      </c>
      <c r="FQ6" s="7">
        <v>-1</v>
      </c>
      <c r="FR6" s="7">
        <v>75</v>
      </c>
      <c r="FV6" s="7">
        <v>1</v>
      </c>
      <c r="FW6" s="7">
        <v>-1</v>
      </c>
      <c r="FX6" s="7">
        <v>100</v>
      </c>
      <c r="GB6" s="7">
        <v>1</v>
      </c>
      <c r="GC6" s="7">
        <v>-1</v>
      </c>
      <c r="GD6" s="7">
        <v>75</v>
      </c>
      <c r="GH6" s="7">
        <v>1</v>
      </c>
      <c r="GI6" s="7">
        <v>-1</v>
      </c>
      <c r="GJ6" s="7">
        <v>75</v>
      </c>
      <c r="GN6" s="7">
        <v>1</v>
      </c>
      <c r="GO6" s="7">
        <v>-1</v>
      </c>
      <c r="GP6" s="7">
        <v>75</v>
      </c>
      <c r="GT6" s="7">
        <v>2</v>
      </c>
      <c r="GU6" s="7">
        <v>-2</v>
      </c>
      <c r="GV6" s="7">
        <v>100</v>
      </c>
      <c r="GX6" s="7">
        <v>1</v>
      </c>
      <c r="GY6" s="8">
        <v>6.25</v>
      </c>
      <c r="GZ6" s="43">
        <v>1</v>
      </c>
      <c r="HA6" s="43">
        <v>-1</v>
      </c>
      <c r="HB6" s="43">
        <v>100</v>
      </c>
      <c r="HC6" s="41"/>
      <c r="HD6" s="41"/>
      <c r="HE6" s="42"/>
      <c r="HF6" s="41">
        <v>1</v>
      </c>
      <c r="HG6" s="41">
        <v>-1</v>
      </c>
      <c r="HH6" s="41">
        <v>100</v>
      </c>
      <c r="HI6" s="41"/>
      <c r="HJ6" s="41"/>
      <c r="HK6" s="42"/>
      <c r="HL6" s="41">
        <v>2</v>
      </c>
      <c r="HM6" s="41">
        <v>-1</v>
      </c>
      <c r="HN6" s="41">
        <v>100</v>
      </c>
      <c r="HO6" s="41"/>
      <c r="HP6" s="41">
        <v>1</v>
      </c>
      <c r="HQ6" s="42">
        <v>6.25</v>
      </c>
      <c r="HR6" s="7">
        <v>2</v>
      </c>
      <c r="HS6" s="7">
        <v>-1</v>
      </c>
      <c r="HT6" s="7">
        <v>100</v>
      </c>
      <c r="HX6" s="7">
        <v>2</v>
      </c>
      <c r="HY6" s="7">
        <v>-1</v>
      </c>
      <c r="HZ6" s="7">
        <v>100</v>
      </c>
      <c r="IB6" s="7">
        <v>1</v>
      </c>
      <c r="IC6" s="8">
        <v>6.25</v>
      </c>
      <c r="ID6" s="7">
        <v>1</v>
      </c>
      <c r="IE6" s="7">
        <v>-1</v>
      </c>
      <c r="IF6" s="7">
        <v>25</v>
      </c>
      <c r="IJ6" s="7">
        <v>1</v>
      </c>
      <c r="IK6" s="7">
        <v>-1</v>
      </c>
      <c r="IL6" s="7">
        <v>25</v>
      </c>
      <c r="IP6" s="48">
        <v>1</v>
      </c>
      <c r="IQ6" s="49">
        <v>-1</v>
      </c>
      <c r="IR6" s="49">
        <v>50</v>
      </c>
      <c r="IV6" s="48">
        <v>1</v>
      </c>
      <c r="IW6" s="49">
        <v>-1</v>
      </c>
      <c r="IX6" s="49">
        <v>50</v>
      </c>
      <c r="JB6" s="7">
        <v>1</v>
      </c>
      <c r="JH6" s="7">
        <v>1</v>
      </c>
      <c r="JI6" s="7">
        <v>-1</v>
      </c>
      <c r="JJ6" s="7">
        <v>25</v>
      </c>
      <c r="JL6" s="7">
        <v>1</v>
      </c>
      <c r="JM6" s="8">
        <v>6.25</v>
      </c>
      <c r="JN6" s="7">
        <v>1</v>
      </c>
      <c r="JO6" s="7">
        <v>-1</v>
      </c>
      <c r="JP6" s="7">
        <v>50</v>
      </c>
      <c r="JR6" s="7">
        <v>1</v>
      </c>
      <c r="JS6" s="8">
        <v>6.25</v>
      </c>
      <c r="JT6" s="7">
        <v>1</v>
      </c>
      <c r="JU6" s="7">
        <v>-1</v>
      </c>
      <c r="JV6" s="7">
        <v>100</v>
      </c>
      <c r="JZ6" s="7">
        <v>1</v>
      </c>
      <c r="KD6" s="7">
        <v>1</v>
      </c>
      <c r="KE6" s="8">
        <v>6.25</v>
      </c>
      <c r="KF6" s="7">
        <v>1</v>
      </c>
    </row>
    <row r="7" spans="1:377" ht="15.75" customHeight="1">
      <c r="B7" s="9">
        <v>0</v>
      </c>
      <c r="C7" s="9" t="s">
        <v>54</v>
      </c>
      <c r="AG7" s="11"/>
      <c r="AH7" s="9"/>
      <c r="AI7" s="9"/>
      <c r="AJ7" s="9"/>
      <c r="AK7" s="9"/>
      <c r="AL7" s="9"/>
      <c r="AM7" s="11"/>
      <c r="AN7" s="9"/>
      <c r="AO7" s="9"/>
      <c r="AP7" s="9"/>
      <c r="AQ7" s="9"/>
      <c r="AR7" s="9"/>
      <c r="AS7" s="11"/>
      <c r="AT7" s="9">
        <v>1</v>
      </c>
      <c r="AU7" s="9"/>
      <c r="AV7" s="9"/>
      <c r="AW7" s="9"/>
      <c r="AX7" s="9"/>
      <c r="AY7" s="11"/>
      <c r="AZ7" s="9">
        <v>0</v>
      </c>
      <c r="BA7" s="9"/>
      <c r="BB7" s="9"/>
      <c r="BC7" s="9"/>
      <c r="BD7" s="9"/>
      <c r="BE7" s="11"/>
      <c r="BF7" s="9">
        <v>1</v>
      </c>
      <c r="BG7" s="9"/>
      <c r="BH7" s="9"/>
      <c r="BI7" s="9"/>
      <c r="BJ7" s="9"/>
      <c r="BK7" s="11"/>
      <c r="BL7" s="7">
        <v>1</v>
      </c>
      <c r="DF7" s="7">
        <v>1</v>
      </c>
      <c r="DG7" s="8">
        <v>6.25</v>
      </c>
      <c r="GZ7" s="41"/>
      <c r="HA7" s="41"/>
      <c r="HB7" s="41"/>
      <c r="HC7" s="41"/>
      <c r="HD7" s="41"/>
      <c r="HE7" s="42"/>
      <c r="HF7" s="41"/>
      <c r="HG7" s="41"/>
      <c r="HH7" s="41"/>
      <c r="HI7" s="41"/>
      <c r="HJ7" s="41"/>
      <c r="HK7" s="42"/>
      <c r="HL7" s="41"/>
      <c r="HM7" s="41"/>
      <c r="HN7" s="41"/>
      <c r="HO7" s="41"/>
      <c r="HP7" s="41"/>
      <c r="HQ7" s="42"/>
    </row>
    <row r="8" spans="1:377" ht="15.75" customHeight="1">
      <c r="B8" s="9">
        <v>0</v>
      </c>
      <c r="C8" s="9" t="s">
        <v>55</v>
      </c>
      <c r="AG8" s="11"/>
      <c r="AH8" s="9"/>
      <c r="AI8" s="9"/>
      <c r="AJ8" s="9"/>
      <c r="AK8" s="9"/>
      <c r="AL8" s="9"/>
      <c r="AM8" s="11"/>
      <c r="AN8" s="9"/>
      <c r="AO8" s="9"/>
      <c r="AP8" s="9"/>
      <c r="AQ8" s="9"/>
      <c r="AR8" s="9"/>
      <c r="AS8" s="11"/>
      <c r="AT8" s="9">
        <v>0</v>
      </c>
      <c r="AU8" s="9"/>
      <c r="AV8" s="9"/>
      <c r="AW8" s="9"/>
      <c r="AX8" s="9"/>
      <c r="AY8" s="11"/>
      <c r="AZ8" s="9">
        <v>0</v>
      </c>
      <c r="BA8" s="9"/>
      <c r="BB8" s="9"/>
      <c r="BC8" s="9"/>
      <c r="BD8" s="9"/>
      <c r="BE8" s="11"/>
      <c r="BF8" s="9">
        <v>0</v>
      </c>
      <c r="BG8" s="9"/>
      <c r="BH8" s="9"/>
      <c r="BI8" s="9"/>
      <c r="BJ8" s="9"/>
      <c r="BK8" s="11"/>
      <c r="BL8" s="7">
        <v>0</v>
      </c>
      <c r="GZ8" s="41"/>
      <c r="HA8" s="41"/>
      <c r="HB8" s="41"/>
      <c r="HC8" s="41"/>
      <c r="HD8" s="41"/>
      <c r="HE8" s="42"/>
      <c r="HF8" s="41"/>
      <c r="HG8" s="41"/>
      <c r="HH8" s="41"/>
      <c r="HI8" s="41"/>
      <c r="HJ8" s="41"/>
      <c r="HK8" s="42"/>
      <c r="HL8" s="41"/>
      <c r="HM8" s="41"/>
      <c r="HN8" s="41"/>
      <c r="HO8" s="41"/>
      <c r="HP8" s="41"/>
      <c r="HQ8" s="42"/>
    </row>
    <row r="9" spans="1:377" ht="15.75" customHeight="1">
      <c r="B9" s="9">
        <v>0</v>
      </c>
      <c r="C9" s="9" t="s">
        <v>56</v>
      </c>
      <c r="AM9" s="11"/>
      <c r="AN9" s="9"/>
      <c r="AO9" s="9"/>
      <c r="AP9" s="9"/>
      <c r="AQ9" s="9"/>
      <c r="AR9" s="9"/>
      <c r="AT9" s="7">
        <v>1</v>
      </c>
      <c r="AW9" s="9"/>
      <c r="AX9" s="9"/>
      <c r="AZ9" s="9"/>
      <c r="BB9" s="9"/>
      <c r="BC9" s="9"/>
      <c r="BD9" s="9"/>
      <c r="BE9" s="11"/>
      <c r="BG9" s="9"/>
      <c r="BH9" s="9"/>
      <c r="BI9" s="9"/>
      <c r="BJ9" s="9"/>
      <c r="GZ9" s="41"/>
      <c r="HA9" s="41"/>
      <c r="HB9" s="41"/>
      <c r="HC9" s="41"/>
      <c r="HD9" s="41"/>
      <c r="HE9" s="42"/>
      <c r="HF9" s="41"/>
      <c r="HG9" s="41"/>
      <c r="HH9" s="41"/>
      <c r="HI9" s="41"/>
      <c r="HJ9" s="41"/>
      <c r="HK9" s="42"/>
      <c r="HL9" s="41"/>
      <c r="HM9" s="41"/>
      <c r="HN9" s="41"/>
      <c r="HO9" s="41"/>
      <c r="HP9" s="41"/>
      <c r="HQ9" s="42"/>
    </row>
    <row r="10" spans="1:377" ht="15.75" customHeight="1">
      <c r="B10" s="9" t="s">
        <v>57</v>
      </c>
      <c r="C10" s="9" t="s">
        <v>58</v>
      </c>
      <c r="D10" s="19">
        <v>1</v>
      </c>
      <c r="G10" s="7">
        <v>2</v>
      </c>
      <c r="CD10" s="7">
        <v>1</v>
      </c>
      <c r="CG10" s="7">
        <v>2</v>
      </c>
      <c r="CJ10" s="7">
        <v>1</v>
      </c>
      <c r="CP10" s="7">
        <v>1</v>
      </c>
      <c r="CS10" s="7">
        <v>2</v>
      </c>
      <c r="CY10" s="7">
        <v>2</v>
      </c>
      <c r="DE10" s="7">
        <v>2</v>
      </c>
      <c r="DH10" s="7">
        <v>1</v>
      </c>
      <c r="DK10" s="7">
        <v>1</v>
      </c>
      <c r="DQ10" s="7">
        <v>1</v>
      </c>
      <c r="ER10" s="7">
        <v>1</v>
      </c>
      <c r="EX10" s="7">
        <v>1</v>
      </c>
      <c r="FD10" s="7">
        <v>1</v>
      </c>
      <c r="FJ10" s="7">
        <v>1</v>
      </c>
      <c r="FP10" s="7">
        <v>1</v>
      </c>
      <c r="FV10" s="7">
        <v>1</v>
      </c>
      <c r="GB10" s="7">
        <v>1</v>
      </c>
      <c r="GH10" s="7">
        <v>1</v>
      </c>
      <c r="GN10" s="7">
        <v>1</v>
      </c>
      <c r="GT10" s="7">
        <v>1</v>
      </c>
      <c r="GU10" s="7">
        <v>1</v>
      </c>
      <c r="GZ10" s="41">
        <v>1</v>
      </c>
      <c r="HA10" s="41"/>
      <c r="HB10" s="41"/>
      <c r="HC10" s="41"/>
      <c r="HD10" s="41"/>
      <c r="HE10" s="42"/>
      <c r="HF10" s="41"/>
      <c r="HG10" s="41"/>
      <c r="HH10" s="41"/>
      <c r="HI10" s="41"/>
      <c r="HJ10" s="41"/>
      <c r="HK10" s="42"/>
      <c r="HL10" s="41"/>
      <c r="HM10" s="41"/>
      <c r="HN10" s="41"/>
      <c r="HO10" s="41"/>
      <c r="HP10" s="41"/>
      <c r="HQ10" s="42"/>
      <c r="HR10" s="7">
        <v>1</v>
      </c>
      <c r="HX10" s="7">
        <v>2</v>
      </c>
      <c r="ID10" s="7">
        <v>2</v>
      </c>
      <c r="JB10" s="7">
        <v>1</v>
      </c>
      <c r="JE10" s="7">
        <v>2</v>
      </c>
    </row>
    <row r="11" spans="1:377" ht="15.75" customHeight="1">
      <c r="B11" s="9">
        <v>0</v>
      </c>
      <c r="C11" s="9" t="s">
        <v>59</v>
      </c>
      <c r="G11" s="7">
        <v>2</v>
      </c>
      <c r="CD11" s="7">
        <v>1</v>
      </c>
      <c r="CG11" s="7">
        <v>2</v>
      </c>
      <c r="CJ11" s="7">
        <v>1</v>
      </c>
      <c r="CP11" s="7">
        <v>1</v>
      </c>
      <c r="CS11" s="7">
        <v>2</v>
      </c>
      <c r="CY11" s="7">
        <v>2</v>
      </c>
      <c r="DE11" s="7">
        <v>2</v>
      </c>
      <c r="DK11" s="7">
        <v>1</v>
      </c>
      <c r="DQ11" s="7">
        <v>1</v>
      </c>
      <c r="ER11" s="7">
        <v>1</v>
      </c>
      <c r="EX11" s="7">
        <v>1</v>
      </c>
      <c r="FD11" s="7">
        <v>1</v>
      </c>
      <c r="FJ11" s="7">
        <v>1</v>
      </c>
      <c r="FP11" s="7">
        <v>1</v>
      </c>
      <c r="FV11" s="7">
        <v>1</v>
      </c>
      <c r="GB11" s="7">
        <v>1</v>
      </c>
      <c r="GH11" s="7">
        <v>1</v>
      </c>
      <c r="GN11" s="7">
        <v>1</v>
      </c>
      <c r="GT11" s="7">
        <v>2</v>
      </c>
      <c r="GZ11" s="41"/>
      <c r="HA11" s="41"/>
      <c r="HB11" s="41"/>
      <c r="HC11" s="41"/>
      <c r="HD11" s="41"/>
      <c r="HE11" s="42"/>
      <c r="HF11" s="41"/>
      <c r="HG11" s="41"/>
      <c r="HH11" s="41"/>
      <c r="HI11" s="41"/>
      <c r="HJ11" s="41"/>
      <c r="HK11" s="42"/>
      <c r="HL11" s="41"/>
      <c r="HM11" s="41"/>
      <c r="HN11" s="41"/>
      <c r="HO11" s="41"/>
      <c r="HP11" s="41"/>
      <c r="HQ11" s="42"/>
      <c r="HR11" s="7">
        <v>1</v>
      </c>
      <c r="HX11" s="7">
        <v>2</v>
      </c>
      <c r="ID11" s="7">
        <v>2</v>
      </c>
      <c r="JB11" s="7">
        <v>1</v>
      </c>
      <c r="JE11" s="7">
        <v>2</v>
      </c>
    </row>
    <row r="12" spans="1:377" ht="15.75" customHeight="1">
      <c r="B12" s="9">
        <v>0</v>
      </c>
      <c r="C12" s="9" t="s">
        <v>60</v>
      </c>
      <c r="G12" s="7">
        <v>2</v>
      </c>
      <c r="CG12" s="7">
        <v>2</v>
      </c>
      <c r="CS12" s="7">
        <v>2</v>
      </c>
      <c r="CY12" s="7">
        <v>2</v>
      </c>
      <c r="DE12" s="7">
        <v>2</v>
      </c>
      <c r="DK12" s="7">
        <v>1</v>
      </c>
      <c r="DQ12" s="7">
        <v>1</v>
      </c>
      <c r="GZ12" s="41"/>
      <c r="HA12" s="41"/>
      <c r="HB12" s="41"/>
      <c r="HC12" s="41"/>
      <c r="HD12" s="41"/>
      <c r="HE12" s="42"/>
      <c r="HF12" s="41"/>
      <c r="HG12" s="41"/>
      <c r="HH12" s="41"/>
      <c r="HI12" s="41"/>
      <c r="HJ12" s="41"/>
      <c r="HK12" s="42"/>
      <c r="HL12" s="41"/>
      <c r="HM12" s="41"/>
      <c r="HN12" s="41"/>
      <c r="HO12" s="41"/>
      <c r="HP12" s="41"/>
      <c r="HQ12" s="42"/>
      <c r="HR12" s="7">
        <v>1</v>
      </c>
      <c r="HX12" s="7">
        <v>2</v>
      </c>
      <c r="JB12" s="7">
        <v>1</v>
      </c>
      <c r="JE12" s="7">
        <v>2</v>
      </c>
    </row>
    <row r="13" spans="1:377" ht="15.75" customHeight="1">
      <c r="B13" s="9">
        <v>0</v>
      </c>
      <c r="C13" s="9" t="s">
        <v>61</v>
      </c>
      <c r="G13" s="7">
        <v>2</v>
      </c>
      <c r="CG13" s="7">
        <v>2</v>
      </c>
      <c r="CS13" s="7">
        <v>2</v>
      </c>
      <c r="CY13" s="7">
        <v>2</v>
      </c>
      <c r="DE13" s="7">
        <v>2</v>
      </c>
      <c r="DK13" s="7">
        <v>1</v>
      </c>
      <c r="DQ13" s="7">
        <v>1</v>
      </c>
      <c r="GZ13" s="41"/>
      <c r="HA13" s="41"/>
      <c r="HB13" s="41"/>
      <c r="HC13" s="41"/>
      <c r="HD13" s="41"/>
      <c r="HE13" s="42"/>
      <c r="HF13" s="41"/>
      <c r="HG13" s="41"/>
      <c r="HH13" s="41"/>
      <c r="HI13" s="41"/>
      <c r="HJ13" s="41"/>
      <c r="HK13" s="42"/>
      <c r="HL13" s="41"/>
      <c r="HM13" s="41"/>
      <c r="HN13" s="41"/>
      <c r="HO13" s="41"/>
      <c r="HP13" s="41"/>
      <c r="HQ13" s="42"/>
      <c r="HR13" s="7">
        <v>1</v>
      </c>
      <c r="IJ13" s="7">
        <v>1</v>
      </c>
      <c r="JB13" s="7">
        <v>1</v>
      </c>
      <c r="JE13" s="7">
        <v>2</v>
      </c>
    </row>
    <row r="14" spans="1:377" ht="15.75" customHeight="1">
      <c r="B14" s="9">
        <v>0</v>
      </c>
      <c r="C14" s="9" t="s">
        <v>62</v>
      </c>
      <c r="G14" s="7">
        <v>2</v>
      </c>
      <c r="CG14" s="7">
        <v>2</v>
      </c>
      <c r="CS14" s="7">
        <v>2</v>
      </c>
      <c r="CY14" s="7">
        <v>2</v>
      </c>
      <c r="DE14" s="7">
        <v>2</v>
      </c>
      <c r="DK14" s="7">
        <v>1</v>
      </c>
      <c r="DQ14" s="7">
        <v>1</v>
      </c>
      <c r="GZ14" s="41">
        <v>1</v>
      </c>
      <c r="HA14" s="41"/>
      <c r="HB14" s="41"/>
      <c r="HC14" s="41"/>
      <c r="HD14" s="41"/>
      <c r="HE14" s="42"/>
      <c r="HF14" s="41"/>
      <c r="HG14" s="41"/>
      <c r="HH14" s="41"/>
      <c r="HI14" s="41"/>
      <c r="HJ14" s="41"/>
      <c r="HK14" s="42"/>
      <c r="HL14" s="41"/>
      <c r="HM14" s="41"/>
      <c r="HN14" s="41"/>
      <c r="HO14" s="41"/>
      <c r="HP14" s="41"/>
      <c r="HQ14" s="42"/>
      <c r="HR14" s="7">
        <v>1</v>
      </c>
      <c r="HX14" s="7">
        <v>2</v>
      </c>
      <c r="JB14" s="7">
        <v>1</v>
      </c>
      <c r="JE14" s="7">
        <v>2</v>
      </c>
    </row>
    <row r="15" spans="1:377" ht="15.75" customHeight="1">
      <c r="B15" s="9">
        <v>0</v>
      </c>
      <c r="C15" s="9" t="s">
        <v>63</v>
      </c>
      <c r="G15" s="7">
        <v>2</v>
      </c>
      <c r="CG15" s="7">
        <v>2</v>
      </c>
      <c r="CS15" s="7">
        <v>2</v>
      </c>
      <c r="CY15" s="7">
        <v>2</v>
      </c>
      <c r="DE15" s="7">
        <v>2</v>
      </c>
      <c r="DK15" s="7">
        <v>1</v>
      </c>
      <c r="DQ15" s="7">
        <v>1</v>
      </c>
      <c r="GW15" s="7">
        <v>1</v>
      </c>
      <c r="GZ15" s="41">
        <v>1</v>
      </c>
      <c r="HA15" s="41"/>
      <c r="HB15" s="41"/>
      <c r="HC15" s="41"/>
      <c r="HD15" s="41"/>
      <c r="HE15" s="42"/>
      <c r="HF15" s="41"/>
      <c r="HG15" s="41"/>
      <c r="HH15" s="41"/>
      <c r="HI15" s="41"/>
      <c r="HJ15" s="41"/>
      <c r="HK15" s="42"/>
      <c r="HL15" s="41"/>
      <c r="HM15" s="41"/>
      <c r="HN15" s="41"/>
      <c r="HO15" s="41"/>
      <c r="HP15" s="41"/>
      <c r="HQ15" s="42"/>
      <c r="HR15" s="7">
        <v>1</v>
      </c>
      <c r="HX15" s="7">
        <v>2</v>
      </c>
      <c r="JB15" s="7">
        <v>1</v>
      </c>
      <c r="JE15" s="7">
        <v>2</v>
      </c>
    </row>
    <row r="16" spans="1:377" ht="15.75" customHeight="1">
      <c r="B16" s="9">
        <v>0</v>
      </c>
      <c r="C16" s="9" t="s">
        <v>64</v>
      </c>
      <c r="G16" s="7">
        <v>2</v>
      </c>
      <c r="CG16" s="7">
        <v>2</v>
      </c>
      <c r="CS16" s="7">
        <v>2</v>
      </c>
      <c r="CY16" s="7">
        <v>2</v>
      </c>
      <c r="DE16" s="7">
        <v>2</v>
      </c>
      <c r="DK16" s="7">
        <v>1</v>
      </c>
      <c r="DQ16" s="7">
        <v>1</v>
      </c>
      <c r="GZ16" s="41">
        <v>1</v>
      </c>
      <c r="HA16" s="41"/>
      <c r="HB16" s="41"/>
      <c r="HC16" s="41"/>
      <c r="HD16" s="41"/>
      <c r="HE16" s="42"/>
      <c r="HF16" s="41"/>
      <c r="HG16" s="41"/>
      <c r="HH16" s="41"/>
      <c r="HI16" s="41"/>
      <c r="HJ16" s="41"/>
      <c r="HK16" s="42"/>
      <c r="HL16" s="41"/>
      <c r="HM16" s="41"/>
      <c r="HN16" s="41"/>
      <c r="HO16" s="41"/>
      <c r="HP16" s="41"/>
      <c r="HQ16" s="42"/>
      <c r="HX16" s="7">
        <v>1</v>
      </c>
      <c r="JB16" s="7">
        <v>1</v>
      </c>
      <c r="JE16" s="7">
        <v>2</v>
      </c>
    </row>
    <row r="17" spans="2:289" ht="15.75" customHeight="1">
      <c r="B17" s="9" t="s">
        <v>65</v>
      </c>
      <c r="C17" s="9" t="s">
        <v>66</v>
      </c>
      <c r="E17" s="7">
        <v>1</v>
      </c>
      <c r="F17" s="7">
        <v>100</v>
      </c>
      <c r="H17" s="7">
        <v>1</v>
      </c>
      <c r="I17" s="38">
        <v>6.25</v>
      </c>
      <c r="N17" s="7">
        <v>1</v>
      </c>
      <c r="O17" s="8">
        <v>6.25</v>
      </c>
      <c r="T17" s="7">
        <v>1</v>
      </c>
      <c r="U17" s="8">
        <v>6.25</v>
      </c>
      <c r="AN17" s="7">
        <v>1</v>
      </c>
      <c r="AT17" s="7">
        <v>1</v>
      </c>
      <c r="AZ17" s="7">
        <v>1</v>
      </c>
      <c r="BF17" s="7">
        <v>1</v>
      </c>
      <c r="BL17" s="7">
        <v>1</v>
      </c>
      <c r="CD17" s="7">
        <v>1</v>
      </c>
      <c r="CH17" s="7">
        <v>1</v>
      </c>
      <c r="CI17" s="8">
        <v>6.25</v>
      </c>
      <c r="CJ17" s="7">
        <v>1</v>
      </c>
      <c r="CP17" s="7">
        <v>1</v>
      </c>
      <c r="CV17" s="7">
        <v>1</v>
      </c>
      <c r="DB17" s="7">
        <v>1</v>
      </c>
      <c r="DH17" s="7">
        <v>1</v>
      </c>
      <c r="DK17" s="7">
        <v>3</v>
      </c>
      <c r="DN17" s="7">
        <v>1</v>
      </c>
      <c r="DQ17" s="7">
        <v>3</v>
      </c>
      <c r="DT17" s="7">
        <v>1</v>
      </c>
      <c r="DW17" s="7">
        <v>3</v>
      </c>
      <c r="DZ17" s="7">
        <v>1</v>
      </c>
      <c r="EC17" s="7">
        <v>3</v>
      </c>
      <c r="EF17" s="7">
        <v>2</v>
      </c>
      <c r="EL17" s="7">
        <v>2</v>
      </c>
      <c r="ER17" s="7">
        <v>2</v>
      </c>
      <c r="EX17" s="7">
        <v>2</v>
      </c>
      <c r="FD17" s="7">
        <v>2</v>
      </c>
      <c r="FJ17" s="7">
        <v>2</v>
      </c>
      <c r="FP17" s="7">
        <v>2</v>
      </c>
      <c r="FV17" s="7">
        <v>2</v>
      </c>
      <c r="GB17" s="7">
        <v>2</v>
      </c>
      <c r="GH17" s="7">
        <v>2</v>
      </c>
      <c r="GN17" s="7">
        <v>2</v>
      </c>
      <c r="GT17" s="7">
        <v>3</v>
      </c>
      <c r="GW17" s="7">
        <v>4</v>
      </c>
      <c r="GX17" s="7">
        <v>1</v>
      </c>
      <c r="GY17" s="8">
        <v>6.25</v>
      </c>
      <c r="GZ17" s="43">
        <v>2</v>
      </c>
      <c r="HA17" s="41"/>
      <c r="HB17" s="41"/>
      <c r="HC17" s="41"/>
      <c r="HD17" s="41">
        <v>1</v>
      </c>
      <c r="HE17" s="42">
        <v>6.25</v>
      </c>
      <c r="HF17" s="41"/>
      <c r="HG17" s="41"/>
      <c r="HH17" s="41"/>
      <c r="HI17" s="41">
        <v>2</v>
      </c>
      <c r="HJ17" s="41">
        <v>1</v>
      </c>
      <c r="HK17" s="42">
        <v>6.25</v>
      </c>
      <c r="HL17" s="43">
        <v>2</v>
      </c>
      <c r="HM17" s="41">
        <v>1</v>
      </c>
      <c r="HN17" s="41">
        <v>25</v>
      </c>
      <c r="HO17" s="41"/>
      <c r="HP17" s="41">
        <v>1</v>
      </c>
      <c r="HQ17" s="42">
        <v>6.25</v>
      </c>
      <c r="HR17" s="7">
        <v>2</v>
      </c>
      <c r="HX17" s="7">
        <v>2</v>
      </c>
      <c r="IB17" s="7">
        <v>1</v>
      </c>
      <c r="IC17" s="8">
        <v>6.25</v>
      </c>
      <c r="ID17" s="7">
        <v>2</v>
      </c>
      <c r="IG17" s="7">
        <v>3</v>
      </c>
      <c r="IJ17" s="7">
        <v>2</v>
      </c>
      <c r="IM17" s="7">
        <v>3</v>
      </c>
      <c r="IP17" s="48">
        <v>2</v>
      </c>
      <c r="IV17" s="48">
        <v>2</v>
      </c>
      <c r="JB17" s="7">
        <v>2</v>
      </c>
      <c r="JE17" s="7">
        <v>3</v>
      </c>
      <c r="JH17" s="7">
        <v>1</v>
      </c>
      <c r="JK17" s="7">
        <v>2</v>
      </c>
      <c r="JN17" s="7">
        <v>2</v>
      </c>
      <c r="JQ17" s="7">
        <v>3</v>
      </c>
      <c r="JZ17" s="7">
        <v>1</v>
      </c>
      <c r="KC17" s="7">
        <v>2</v>
      </c>
    </row>
    <row r="18" spans="2:289" ht="15.75" customHeight="1">
      <c r="B18" s="9">
        <v>0</v>
      </c>
      <c r="C18" s="9" t="s">
        <v>67</v>
      </c>
      <c r="G18" s="7">
        <v>1</v>
      </c>
      <c r="N18" s="7">
        <v>1</v>
      </c>
      <c r="O18" s="8">
        <v>6.25</v>
      </c>
      <c r="T18" s="7">
        <v>1</v>
      </c>
      <c r="U18" s="8">
        <v>6.25</v>
      </c>
      <c r="AN18" s="7">
        <v>1</v>
      </c>
      <c r="AT18" s="7">
        <v>1</v>
      </c>
      <c r="AZ18" s="7">
        <v>1</v>
      </c>
      <c r="BF18" s="7">
        <v>1</v>
      </c>
      <c r="BL18" s="7">
        <v>1</v>
      </c>
      <c r="DH18" s="7">
        <v>1</v>
      </c>
      <c r="DK18" s="7">
        <v>3</v>
      </c>
      <c r="DN18" s="7">
        <v>1</v>
      </c>
      <c r="DQ18" s="7">
        <v>3</v>
      </c>
      <c r="DT18" s="7">
        <v>1</v>
      </c>
      <c r="DW18" s="7">
        <v>2</v>
      </c>
      <c r="DX18" s="7">
        <v>1</v>
      </c>
      <c r="DY18" s="8">
        <v>6.25</v>
      </c>
      <c r="DZ18" s="7">
        <v>1</v>
      </c>
      <c r="EC18" s="7">
        <v>2</v>
      </c>
      <c r="ED18" s="7">
        <v>1</v>
      </c>
      <c r="EE18" s="8">
        <v>6.25</v>
      </c>
      <c r="EF18" s="7">
        <v>2</v>
      </c>
      <c r="EL18" s="7">
        <v>2</v>
      </c>
      <c r="ER18" s="7">
        <v>2</v>
      </c>
      <c r="EX18" s="7">
        <v>2</v>
      </c>
      <c r="FD18" s="7">
        <v>2</v>
      </c>
      <c r="FJ18" s="7">
        <v>2</v>
      </c>
      <c r="FP18" s="7">
        <v>2</v>
      </c>
      <c r="FV18" s="7">
        <v>2</v>
      </c>
      <c r="GB18" s="7">
        <v>2</v>
      </c>
      <c r="GH18" s="7">
        <v>2</v>
      </c>
      <c r="GN18" s="7">
        <v>2</v>
      </c>
      <c r="GX18" s="7">
        <v>1</v>
      </c>
      <c r="GY18" s="8">
        <v>12.5</v>
      </c>
      <c r="GZ18" s="43">
        <v>2</v>
      </c>
      <c r="HA18" s="41"/>
      <c r="HB18" s="41"/>
      <c r="HC18" s="41"/>
      <c r="HD18" s="41">
        <v>1</v>
      </c>
      <c r="HE18" s="42">
        <v>6.25</v>
      </c>
      <c r="HF18" s="41"/>
      <c r="HG18" s="41"/>
      <c r="HH18" s="41"/>
      <c r="HI18" s="41">
        <v>3</v>
      </c>
      <c r="HJ18" s="41">
        <v>1</v>
      </c>
      <c r="HK18" s="42">
        <v>6.25</v>
      </c>
      <c r="HL18" s="41"/>
      <c r="HM18" s="41">
        <v>1</v>
      </c>
      <c r="HN18" s="41">
        <v>25</v>
      </c>
      <c r="HO18" s="41"/>
      <c r="HP18" s="41">
        <v>1</v>
      </c>
      <c r="HQ18" s="42">
        <v>6.25</v>
      </c>
      <c r="HR18" s="7">
        <v>2</v>
      </c>
      <c r="HX18" s="7">
        <v>2</v>
      </c>
      <c r="IB18" s="7">
        <v>1</v>
      </c>
      <c r="IC18" s="8">
        <v>6.25</v>
      </c>
      <c r="ID18" s="7">
        <v>2</v>
      </c>
      <c r="IG18" s="7">
        <v>3</v>
      </c>
      <c r="IJ18" s="7">
        <v>2</v>
      </c>
      <c r="IM18" s="7">
        <v>3</v>
      </c>
      <c r="IP18" s="48">
        <v>2</v>
      </c>
      <c r="IV18" s="48">
        <v>2</v>
      </c>
      <c r="JB18" s="7">
        <v>1</v>
      </c>
      <c r="JE18" s="7">
        <v>3</v>
      </c>
      <c r="JF18" s="7">
        <v>1</v>
      </c>
      <c r="JG18" s="8">
        <v>6.25</v>
      </c>
      <c r="JN18" s="7">
        <v>2</v>
      </c>
      <c r="JQ18" s="7">
        <v>3</v>
      </c>
      <c r="JZ18" s="7">
        <v>1</v>
      </c>
      <c r="KC18" s="7">
        <v>2</v>
      </c>
    </row>
    <row r="19" spans="2:289" ht="15.75" customHeight="1">
      <c r="B19" s="9">
        <v>0</v>
      </c>
      <c r="C19" s="9" t="s">
        <v>68</v>
      </c>
      <c r="CN19" s="7">
        <v>1</v>
      </c>
      <c r="CS19" s="7">
        <v>1</v>
      </c>
      <c r="DE19" s="7">
        <v>1</v>
      </c>
      <c r="DK19" s="7">
        <v>1</v>
      </c>
      <c r="DQ19" s="7">
        <v>1</v>
      </c>
      <c r="DW19" s="7">
        <v>2</v>
      </c>
      <c r="EC19" s="7">
        <v>2</v>
      </c>
      <c r="EI19" s="7">
        <v>2</v>
      </c>
      <c r="EO19" s="7">
        <v>2</v>
      </c>
      <c r="EU19" s="7">
        <v>2</v>
      </c>
      <c r="FA19" s="7">
        <v>2</v>
      </c>
      <c r="FG19" s="7">
        <v>2</v>
      </c>
      <c r="FM19" s="7">
        <v>2</v>
      </c>
      <c r="FS19" s="7">
        <v>2</v>
      </c>
      <c r="FY19" s="7">
        <v>2</v>
      </c>
      <c r="GE19" s="7">
        <v>2</v>
      </c>
      <c r="GK19" s="7">
        <v>2</v>
      </c>
      <c r="GQ19" s="7">
        <v>2</v>
      </c>
      <c r="GW19" s="7">
        <v>2</v>
      </c>
      <c r="GX19" s="7">
        <v>1</v>
      </c>
      <c r="GY19" s="8">
        <v>6.25</v>
      </c>
      <c r="GZ19" s="41"/>
      <c r="HA19" s="41"/>
      <c r="HB19" s="41"/>
      <c r="HC19" s="41"/>
      <c r="HD19" s="41">
        <v>1</v>
      </c>
      <c r="HE19" s="42">
        <v>6.25</v>
      </c>
      <c r="HF19" s="41"/>
      <c r="HG19" s="41"/>
      <c r="HH19" s="41"/>
      <c r="HI19" s="41"/>
      <c r="HJ19" s="41">
        <v>1</v>
      </c>
      <c r="HK19" s="42">
        <v>6.25</v>
      </c>
      <c r="HL19" s="41"/>
      <c r="HM19" s="41"/>
      <c r="HN19" s="41"/>
      <c r="HO19" s="41"/>
      <c r="HP19" s="41"/>
      <c r="HQ19" s="42"/>
      <c r="IG19" s="7">
        <v>2</v>
      </c>
      <c r="IM19" s="7">
        <v>2</v>
      </c>
      <c r="IP19" s="48">
        <v>1</v>
      </c>
      <c r="IS19" s="49">
        <v>2</v>
      </c>
      <c r="IV19" s="48">
        <v>1</v>
      </c>
      <c r="IY19" s="49">
        <v>2</v>
      </c>
      <c r="JE19" s="7">
        <v>2</v>
      </c>
      <c r="JF19" s="7">
        <v>1</v>
      </c>
      <c r="JG19" s="8">
        <v>6.25</v>
      </c>
    </row>
    <row r="20" spans="2:289" ht="15.75" customHeight="1">
      <c r="B20" s="9">
        <v>0</v>
      </c>
      <c r="C20" s="9" t="s">
        <v>69</v>
      </c>
      <c r="AW20" s="7">
        <v>1</v>
      </c>
      <c r="BI20" s="7">
        <v>1</v>
      </c>
      <c r="CE20" s="7">
        <v>1</v>
      </c>
      <c r="DL20" s="7">
        <v>1</v>
      </c>
      <c r="DM20" s="8">
        <v>12.5</v>
      </c>
      <c r="DR20" s="7">
        <v>1</v>
      </c>
      <c r="DS20" s="8">
        <v>12.5</v>
      </c>
      <c r="DW20" s="7">
        <v>2</v>
      </c>
      <c r="DX20" s="7">
        <v>1</v>
      </c>
      <c r="DY20" s="8">
        <v>6.25</v>
      </c>
      <c r="FB20" s="7">
        <v>1</v>
      </c>
      <c r="FC20" s="8">
        <v>6.25</v>
      </c>
      <c r="FH20" s="7">
        <v>1</v>
      </c>
      <c r="FI20" s="8">
        <v>6.25</v>
      </c>
      <c r="FN20" s="7">
        <v>1</v>
      </c>
      <c r="FO20" s="8">
        <v>6.25</v>
      </c>
      <c r="FT20" s="7">
        <v>1</v>
      </c>
      <c r="FU20" s="8">
        <v>6.25</v>
      </c>
      <c r="FZ20" s="7">
        <v>1</v>
      </c>
      <c r="GA20" s="8">
        <v>6.25</v>
      </c>
      <c r="GF20" s="7">
        <v>1</v>
      </c>
      <c r="GG20" s="8">
        <v>6.25</v>
      </c>
      <c r="GL20" s="7">
        <v>1</v>
      </c>
      <c r="GM20" s="8">
        <v>6.25</v>
      </c>
      <c r="GR20" s="7">
        <v>1</v>
      </c>
      <c r="GS20" s="8">
        <v>6.25</v>
      </c>
      <c r="GW20" s="7">
        <v>2</v>
      </c>
      <c r="GX20" s="7">
        <v>1</v>
      </c>
      <c r="GY20" s="8">
        <v>6.25</v>
      </c>
      <c r="GZ20" s="41"/>
      <c r="HA20" s="41"/>
      <c r="HB20" s="41"/>
      <c r="HC20" s="41">
        <v>2</v>
      </c>
      <c r="HD20" s="41">
        <v>1</v>
      </c>
      <c r="HE20" s="42">
        <v>6.25</v>
      </c>
      <c r="HF20" s="41"/>
      <c r="HG20" s="41"/>
      <c r="HH20" s="41"/>
      <c r="HI20" s="41">
        <v>2</v>
      </c>
      <c r="HJ20" s="41"/>
      <c r="HK20" s="42"/>
      <c r="HL20" s="41"/>
      <c r="HM20" s="41"/>
      <c r="HN20" s="41"/>
      <c r="HO20" s="41"/>
      <c r="HP20" s="41"/>
      <c r="HQ20" s="42"/>
      <c r="HX20" s="7">
        <v>2</v>
      </c>
      <c r="IB20" s="7">
        <v>1</v>
      </c>
      <c r="IC20" s="8">
        <v>6.25</v>
      </c>
      <c r="IQ20" s="49">
        <v>1</v>
      </c>
      <c r="IR20" s="49">
        <v>100</v>
      </c>
      <c r="IT20" s="49">
        <v>1</v>
      </c>
      <c r="IU20" s="8">
        <v>6.25</v>
      </c>
      <c r="IW20" s="49">
        <v>1</v>
      </c>
      <c r="IX20" s="49">
        <v>100</v>
      </c>
      <c r="IZ20" s="49">
        <v>1</v>
      </c>
      <c r="JA20" s="8">
        <v>6.25</v>
      </c>
    </row>
    <row r="21" spans="2:289" ht="15.75" customHeight="1">
      <c r="B21" s="9">
        <v>0</v>
      </c>
      <c r="C21" s="9" t="s">
        <v>70</v>
      </c>
      <c r="CN21" s="7">
        <v>1</v>
      </c>
      <c r="CS21" s="7">
        <v>2</v>
      </c>
      <c r="CT21" s="7">
        <v>1</v>
      </c>
      <c r="CU21" s="8">
        <v>6.25</v>
      </c>
      <c r="DX21" s="7">
        <v>1</v>
      </c>
      <c r="DY21" s="8">
        <v>6.25</v>
      </c>
      <c r="EC21" s="7">
        <v>2</v>
      </c>
      <c r="ED21" s="7">
        <v>1</v>
      </c>
      <c r="EE21" s="8">
        <v>6.25</v>
      </c>
      <c r="EJ21" s="7">
        <v>1</v>
      </c>
      <c r="EK21" s="8">
        <v>6.25</v>
      </c>
      <c r="EP21" s="7">
        <v>1</v>
      </c>
      <c r="EQ21" s="8">
        <v>6.25</v>
      </c>
      <c r="EV21" s="7">
        <v>1</v>
      </c>
      <c r="EW21" s="8">
        <v>6.25</v>
      </c>
      <c r="FB21" s="7">
        <v>1</v>
      </c>
      <c r="FC21" s="8">
        <v>6.25</v>
      </c>
      <c r="FH21" s="7">
        <v>1</v>
      </c>
      <c r="FI21" s="8">
        <v>6.25</v>
      </c>
      <c r="FN21" s="7">
        <v>1</v>
      </c>
      <c r="FO21" s="8">
        <v>6.25</v>
      </c>
      <c r="FT21" s="7">
        <v>1</v>
      </c>
      <c r="FU21" s="8">
        <v>6.25</v>
      </c>
      <c r="FZ21" s="7">
        <v>1</v>
      </c>
      <c r="GA21" s="8">
        <v>6.25</v>
      </c>
      <c r="GF21" s="7">
        <v>1</v>
      </c>
      <c r="GG21" s="8">
        <v>6.25</v>
      </c>
      <c r="GL21" s="7">
        <v>1</v>
      </c>
      <c r="GM21" s="8">
        <v>6.25</v>
      </c>
      <c r="GW21" s="7">
        <v>2</v>
      </c>
      <c r="GX21" s="7">
        <v>1</v>
      </c>
      <c r="GY21" s="8">
        <v>6.25</v>
      </c>
      <c r="GZ21" s="41"/>
      <c r="HA21" s="41"/>
      <c r="HB21" s="41"/>
      <c r="HC21" s="41">
        <v>2</v>
      </c>
      <c r="HD21" s="41"/>
      <c r="HE21" s="42"/>
      <c r="HF21" s="41"/>
      <c r="HG21" s="41"/>
      <c r="HH21" s="41"/>
      <c r="HI21" s="41">
        <v>2</v>
      </c>
      <c r="HJ21" s="41"/>
      <c r="HK21" s="42"/>
      <c r="HL21" s="41"/>
      <c r="HM21" s="41"/>
      <c r="HN21" s="41"/>
      <c r="HO21" s="41"/>
      <c r="HP21" s="41"/>
      <c r="HQ21" s="42"/>
      <c r="HR21" s="7">
        <v>2</v>
      </c>
      <c r="HX21" s="7">
        <v>2</v>
      </c>
      <c r="IB21" s="7">
        <v>1</v>
      </c>
      <c r="IC21" s="8">
        <v>6.25</v>
      </c>
      <c r="ID21" s="7">
        <v>1</v>
      </c>
      <c r="IE21" s="7">
        <v>1</v>
      </c>
      <c r="IF21" s="7">
        <v>25</v>
      </c>
      <c r="IH21" s="7">
        <v>1</v>
      </c>
      <c r="II21" s="8">
        <v>6.25</v>
      </c>
      <c r="IJ21" s="7">
        <v>1</v>
      </c>
      <c r="IK21" s="7">
        <v>1</v>
      </c>
      <c r="IL21" s="7">
        <v>25</v>
      </c>
      <c r="IN21" s="7">
        <v>1</v>
      </c>
      <c r="IO21" s="8">
        <v>6.25</v>
      </c>
      <c r="IS21" s="49">
        <v>2</v>
      </c>
      <c r="IY21" s="49">
        <v>2</v>
      </c>
      <c r="JC21" s="7">
        <v>1</v>
      </c>
      <c r="JD21" s="7">
        <v>50</v>
      </c>
      <c r="JE21" s="7">
        <v>2</v>
      </c>
      <c r="JF21" s="7">
        <v>1</v>
      </c>
      <c r="JG21" s="8">
        <v>6.25</v>
      </c>
    </row>
    <row r="22" spans="2:289" ht="15.75" customHeight="1">
      <c r="B22" s="9">
        <v>0</v>
      </c>
      <c r="C22" s="9" t="s">
        <v>71</v>
      </c>
      <c r="DL22" s="7">
        <v>1</v>
      </c>
      <c r="DM22" s="8">
        <v>12.5</v>
      </c>
      <c r="DR22" s="7">
        <v>1</v>
      </c>
      <c r="DS22" s="8">
        <v>12.5</v>
      </c>
      <c r="GW22" s="7">
        <v>2</v>
      </c>
      <c r="GX22" s="7">
        <v>1</v>
      </c>
      <c r="GY22" s="8">
        <v>6.25</v>
      </c>
      <c r="GZ22" s="41"/>
      <c r="HA22" s="41"/>
      <c r="HB22" s="41"/>
      <c r="HC22" s="41">
        <v>2</v>
      </c>
      <c r="HD22" s="41"/>
      <c r="HE22" s="42"/>
      <c r="HF22" s="41"/>
      <c r="HG22" s="41"/>
      <c r="HH22" s="41"/>
      <c r="HI22" s="41">
        <v>2</v>
      </c>
      <c r="HJ22" s="41">
        <v>1</v>
      </c>
      <c r="HK22" s="42">
        <v>6.25</v>
      </c>
      <c r="HL22" s="41"/>
      <c r="HM22" s="41">
        <v>1</v>
      </c>
      <c r="HN22" s="41">
        <v>25</v>
      </c>
      <c r="HO22" s="41"/>
      <c r="HP22" s="41"/>
      <c r="HQ22" s="42"/>
      <c r="HU22" s="7">
        <v>2</v>
      </c>
      <c r="IQ22" s="49">
        <v>1</v>
      </c>
      <c r="IR22" s="49">
        <v>25</v>
      </c>
      <c r="IT22" s="49">
        <v>1</v>
      </c>
      <c r="IU22" s="8">
        <v>6.25</v>
      </c>
      <c r="IW22" s="49">
        <v>1</v>
      </c>
      <c r="IX22" s="49">
        <v>25</v>
      </c>
      <c r="IZ22" s="49">
        <v>1</v>
      </c>
      <c r="JA22" s="8">
        <v>6.25</v>
      </c>
      <c r="JE22" s="7">
        <v>2</v>
      </c>
    </row>
    <row r="23" spans="2:289" ht="15.75" customHeight="1">
      <c r="B23" s="9">
        <v>0</v>
      </c>
      <c r="C23" s="9" t="s">
        <v>72</v>
      </c>
      <c r="AN23" s="7">
        <v>1</v>
      </c>
      <c r="DK23" s="7">
        <v>1</v>
      </c>
      <c r="DQ23" s="7">
        <v>1</v>
      </c>
      <c r="GW23" s="7">
        <v>1</v>
      </c>
      <c r="GX23" s="7">
        <v>1</v>
      </c>
      <c r="GY23" s="8">
        <v>6.25</v>
      </c>
      <c r="GZ23" s="41"/>
      <c r="HA23" s="41"/>
      <c r="HB23" s="41"/>
      <c r="HC23" s="41">
        <v>1</v>
      </c>
      <c r="HD23" s="41"/>
      <c r="HE23" s="42"/>
      <c r="HF23" s="41"/>
      <c r="HG23" s="41"/>
      <c r="HH23" s="41"/>
      <c r="HI23" s="41">
        <v>1</v>
      </c>
      <c r="HJ23" s="41"/>
      <c r="HK23" s="42"/>
      <c r="HL23" s="41"/>
      <c r="HM23" s="41"/>
      <c r="HN23" s="41"/>
      <c r="HO23" s="41"/>
      <c r="HP23" s="41"/>
      <c r="HQ23" s="42"/>
      <c r="HU23" s="7">
        <v>1</v>
      </c>
      <c r="IB23" s="7">
        <v>1</v>
      </c>
      <c r="IC23" s="8">
        <v>6.25</v>
      </c>
      <c r="JE23" s="7">
        <v>1</v>
      </c>
      <c r="JQ23" s="7">
        <v>1</v>
      </c>
      <c r="JW23" s="7">
        <v>1</v>
      </c>
      <c r="KC23" s="7">
        <v>1</v>
      </c>
    </row>
    <row r="24" spans="2:289" ht="15.75" customHeight="1">
      <c r="B24" s="9">
        <v>0</v>
      </c>
      <c r="C24" s="9" t="s">
        <v>73</v>
      </c>
      <c r="GW24" s="7">
        <v>1</v>
      </c>
      <c r="GZ24" s="41"/>
      <c r="HA24" s="41"/>
      <c r="HB24" s="41"/>
      <c r="HC24" s="41">
        <v>1</v>
      </c>
      <c r="HD24" s="41"/>
      <c r="HE24" s="42"/>
      <c r="HF24" s="41"/>
      <c r="HG24" s="41"/>
      <c r="HH24" s="41"/>
      <c r="HI24" s="41">
        <v>1</v>
      </c>
      <c r="HJ24" s="41"/>
      <c r="HK24" s="42"/>
      <c r="HL24" s="41"/>
      <c r="HM24" s="41"/>
      <c r="HN24" s="41"/>
      <c r="HO24" s="41"/>
      <c r="HP24" s="41"/>
      <c r="HQ24" s="42"/>
      <c r="HU24" s="7">
        <v>1</v>
      </c>
      <c r="JE24" s="7">
        <v>1</v>
      </c>
    </row>
    <row r="25" spans="2:289" ht="15.75" customHeight="1">
      <c r="B25" s="9">
        <v>0</v>
      </c>
      <c r="C25" s="9" t="s">
        <v>74</v>
      </c>
      <c r="CS25" s="7">
        <v>2</v>
      </c>
      <c r="EI25" s="7">
        <v>1</v>
      </c>
      <c r="EO25" s="7">
        <v>1</v>
      </c>
      <c r="EU25" s="7">
        <v>1</v>
      </c>
      <c r="FA25" s="7">
        <v>1</v>
      </c>
      <c r="FG25" s="7">
        <v>1</v>
      </c>
      <c r="FM25" s="7">
        <v>1</v>
      </c>
      <c r="FS25" s="7">
        <v>1</v>
      </c>
      <c r="FY25" s="7">
        <v>1</v>
      </c>
      <c r="GE25" s="7">
        <v>1</v>
      </c>
      <c r="GK25" s="7">
        <v>1</v>
      </c>
      <c r="GQ25" s="7">
        <v>1</v>
      </c>
      <c r="GW25" s="7">
        <v>1</v>
      </c>
      <c r="GX25" s="7">
        <v>1</v>
      </c>
      <c r="GY25" s="8">
        <v>6.25</v>
      </c>
      <c r="GZ25" s="41"/>
      <c r="HA25" s="41"/>
      <c r="HB25" s="41"/>
      <c r="HC25" s="41">
        <v>1</v>
      </c>
      <c r="HD25" s="41"/>
      <c r="HE25" s="42"/>
      <c r="HF25" s="41"/>
      <c r="HG25" s="41"/>
      <c r="HH25" s="41"/>
      <c r="HI25" s="41"/>
      <c r="HJ25" s="41"/>
      <c r="HK25" s="42"/>
      <c r="HL25" s="41"/>
      <c r="HM25" s="41"/>
      <c r="HN25" s="41"/>
      <c r="HO25" s="41"/>
      <c r="HP25" s="41"/>
      <c r="HQ25" s="42"/>
      <c r="HU25" s="7">
        <v>1</v>
      </c>
      <c r="HV25" s="7">
        <v>1</v>
      </c>
      <c r="HW25" s="8">
        <v>6.25</v>
      </c>
      <c r="IG25" s="7">
        <v>1</v>
      </c>
      <c r="JE25" s="7">
        <v>1</v>
      </c>
      <c r="JQ25" s="7">
        <v>1</v>
      </c>
      <c r="JW25" s="7">
        <v>1</v>
      </c>
    </row>
    <row r="26" spans="2:289" ht="15.75" customHeight="1">
      <c r="B26" s="9">
        <v>0</v>
      </c>
      <c r="C26" s="9" t="s">
        <v>75</v>
      </c>
      <c r="GQ26" s="7">
        <v>1</v>
      </c>
      <c r="GW26" s="7">
        <v>1</v>
      </c>
      <c r="GZ26" s="41"/>
      <c r="HA26" s="41"/>
      <c r="HB26" s="41"/>
      <c r="HC26" s="41">
        <v>1</v>
      </c>
      <c r="HD26" s="41"/>
      <c r="HE26" s="42"/>
      <c r="HF26" s="41"/>
      <c r="HG26" s="41"/>
      <c r="HH26" s="41"/>
      <c r="HI26" s="41">
        <v>1</v>
      </c>
      <c r="HJ26" s="41"/>
      <c r="HK26" s="42"/>
      <c r="HL26" s="41"/>
      <c r="HM26" s="41"/>
      <c r="HN26" s="41"/>
      <c r="HO26" s="41"/>
      <c r="HP26" s="41"/>
      <c r="HQ26" s="42"/>
      <c r="HU26" s="7">
        <v>1</v>
      </c>
      <c r="HX26" s="7">
        <v>1</v>
      </c>
      <c r="IB26" s="7">
        <v>1</v>
      </c>
      <c r="IC26" s="8">
        <v>6.25</v>
      </c>
      <c r="JE26" s="7">
        <v>1</v>
      </c>
      <c r="JQ26" s="7">
        <v>1</v>
      </c>
      <c r="JW26" s="7">
        <v>1</v>
      </c>
      <c r="KC26" s="7">
        <v>1</v>
      </c>
    </row>
    <row r="27" spans="2:289" ht="15.75" customHeight="1">
      <c r="B27" s="9">
        <v>0</v>
      </c>
      <c r="C27" s="9" t="s">
        <v>76</v>
      </c>
      <c r="DE27" s="7">
        <v>1</v>
      </c>
      <c r="DQ27" s="7">
        <v>1</v>
      </c>
      <c r="GW27" s="7">
        <v>1</v>
      </c>
      <c r="GZ27" s="41"/>
      <c r="HA27" s="41"/>
      <c r="HB27" s="41"/>
      <c r="HC27" s="41"/>
      <c r="HD27" s="41"/>
      <c r="HE27" s="42"/>
      <c r="HF27" s="41"/>
      <c r="HG27" s="41"/>
      <c r="HH27" s="41"/>
      <c r="HI27" s="41"/>
      <c r="HJ27" s="41"/>
      <c r="HK27" s="42"/>
      <c r="HL27" s="41"/>
      <c r="HM27" s="41"/>
      <c r="HN27" s="41"/>
      <c r="HO27" s="41"/>
      <c r="HP27" s="41"/>
      <c r="HQ27" s="42"/>
      <c r="HU27" s="7">
        <v>1</v>
      </c>
      <c r="IB27" s="7">
        <v>1</v>
      </c>
      <c r="IC27" s="8">
        <v>6.25</v>
      </c>
      <c r="IS27" s="49">
        <v>2</v>
      </c>
      <c r="IY27" s="49">
        <v>2</v>
      </c>
      <c r="JQ27" s="7">
        <v>1</v>
      </c>
      <c r="JW27" s="7">
        <v>1</v>
      </c>
    </row>
    <row r="28" spans="2:289" ht="19.5">
      <c r="B28" s="9" t="s">
        <v>77</v>
      </c>
      <c r="C28" s="9" t="s">
        <v>66</v>
      </c>
      <c r="D28" s="19">
        <v>1</v>
      </c>
      <c r="J28" s="7">
        <v>1</v>
      </c>
      <c r="P28" s="7">
        <v>1</v>
      </c>
      <c r="V28" s="7">
        <v>1</v>
      </c>
      <c r="AB28" s="7">
        <v>1</v>
      </c>
      <c r="AH28" s="7">
        <v>1</v>
      </c>
      <c r="AN28" s="7">
        <v>1</v>
      </c>
      <c r="AT28" s="7">
        <v>2</v>
      </c>
      <c r="AZ28" s="7">
        <v>1</v>
      </c>
      <c r="BF28" s="7">
        <v>2</v>
      </c>
      <c r="BL28" s="7">
        <v>1</v>
      </c>
      <c r="BX28" s="7">
        <v>1</v>
      </c>
      <c r="CA28" s="7">
        <v>2</v>
      </c>
      <c r="CD28" s="7">
        <v>1</v>
      </c>
      <c r="CJ28" s="7">
        <v>1</v>
      </c>
      <c r="CP28" s="7">
        <v>1</v>
      </c>
      <c r="CV28" s="7">
        <v>1</v>
      </c>
      <c r="DH28" s="7">
        <v>1</v>
      </c>
      <c r="DK28" s="7">
        <v>3</v>
      </c>
      <c r="DN28" s="7">
        <v>1</v>
      </c>
      <c r="DQ28" s="7">
        <v>3</v>
      </c>
      <c r="DT28" s="7">
        <v>1</v>
      </c>
      <c r="DW28" s="7">
        <v>2</v>
      </c>
      <c r="DZ28" s="7">
        <v>1</v>
      </c>
      <c r="EC28" s="7">
        <v>2</v>
      </c>
      <c r="EI28" s="7">
        <v>2</v>
      </c>
      <c r="EO28" s="7">
        <v>2</v>
      </c>
      <c r="EU28" s="7">
        <v>2</v>
      </c>
      <c r="FA28" s="7">
        <v>2</v>
      </c>
      <c r="FG28" s="7">
        <v>2</v>
      </c>
      <c r="FM28" s="7">
        <v>2</v>
      </c>
      <c r="FS28" s="7">
        <v>2</v>
      </c>
      <c r="FY28" s="7">
        <v>2</v>
      </c>
      <c r="GE28" s="7">
        <v>2</v>
      </c>
      <c r="GK28" s="7">
        <v>2</v>
      </c>
      <c r="GQ28" s="7">
        <v>2</v>
      </c>
      <c r="GT28" s="7">
        <v>2</v>
      </c>
      <c r="GW28" s="7">
        <v>3</v>
      </c>
      <c r="GZ28" s="41">
        <v>2</v>
      </c>
      <c r="HA28" s="41"/>
      <c r="HB28" s="41"/>
      <c r="HC28" s="41">
        <v>3</v>
      </c>
      <c r="HD28" s="41"/>
      <c r="HE28" s="42"/>
      <c r="HF28" s="41"/>
      <c r="HG28" s="41">
        <v>2</v>
      </c>
      <c r="HH28" s="41"/>
      <c r="HI28" s="41">
        <v>3</v>
      </c>
      <c r="HJ28" s="41"/>
      <c r="HK28" s="42"/>
      <c r="HL28" s="41">
        <v>2</v>
      </c>
      <c r="HM28" s="41">
        <v>1</v>
      </c>
      <c r="HN28" s="41">
        <v>25</v>
      </c>
      <c r="HO28" s="41"/>
      <c r="HP28" s="41"/>
      <c r="HQ28" s="42"/>
      <c r="HR28" s="7">
        <v>2</v>
      </c>
      <c r="HX28" s="7">
        <v>2</v>
      </c>
      <c r="ID28" s="7">
        <v>1</v>
      </c>
      <c r="IG28" s="7">
        <v>2</v>
      </c>
      <c r="IJ28" s="7">
        <v>1</v>
      </c>
      <c r="IM28" s="7">
        <v>2</v>
      </c>
      <c r="IP28" s="48">
        <v>2</v>
      </c>
      <c r="IV28" s="48">
        <v>2</v>
      </c>
      <c r="JB28" s="7">
        <v>1</v>
      </c>
      <c r="JE28" s="7">
        <v>2</v>
      </c>
      <c r="JH28" s="7">
        <v>1</v>
      </c>
      <c r="JK28" s="7">
        <v>2</v>
      </c>
      <c r="JN28" s="7">
        <v>2</v>
      </c>
      <c r="JQ28" s="7">
        <v>3</v>
      </c>
      <c r="JT28" s="7">
        <v>3</v>
      </c>
      <c r="JW28" s="7">
        <v>4</v>
      </c>
      <c r="JZ28" s="7">
        <v>1</v>
      </c>
      <c r="KC28" s="7">
        <v>2</v>
      </c>
    </row>
    <row r="29" spans="2:289" ht="19.5">
      <c r="B29" s="9">
        <v>0</v>
      </c>
      <c r="C29" s="9" t="s">
        <v>67</v>
      </c>
      <c r="G29" s="7">
        <v>2</v>
      </c>
      <c r="Y29" s="7">
        <v>1</v>
      </c>
      <c r="AE29" s="7">
        <v>1</v>
      </c>
      <c r="AK29" s="7">
        <v>1</v>
      </c>
      <c r="AN29" s="7">
        <v>1</v>
      </c>
      <c r="AT29" s="7">
        <v>1</v>
      </c>
      <c r="AW29" s="7">
        <v>3</v>
      </c>
      <c r="AZ29" s="7">
        <v>1</v>
      </c>
      <c r="BF29" s="7">
        <v>1</v>
      </c>
      <c r="BI29" s="7">
        <v>3</v>
      </c>
      <c r="BL29" s="7">
        <v>1</v>
      </c>
      <c r="CA29" s="7">
        <v>1</v>
      </c>
      <c r="CD29" s="7">
        <v>1</v>
      </c>
      <c r="CN29" s="7">
        <v>2</v>
      </c>
      <c r="CS29" s="7">
        <v>1</v>
      </c>
      <c r="DH29" s="7">
        <v>1</v>
      </c>
      <c r="DK29" s="7">
        <v>3</v>
      </c>
      <c r="DN29" s="7">
        <v>1</v>
      </c>
      <c r="DQ29" s="7">
        <v>3</v>
      </c>
      <c r="DT29" s="7">
        <v>1</v>
      </c>
      <c r="DW29" s="7">
        <v>1</v>
      </c>
      <c r="DZ29" s="7">
        <v>1</v>
      </c>
      <c r="EC29" s="7">
        <v>1</v>
      </c>
      <c r="EI29" s="7">
        <v>2</v>
      </c>
      <c r="EO29" s="7">
        <v>2</v>
      </c>
      <c r="EU29" s="7">
        <v>2</v>
      </c>
      <c r="FA29" s="7">
        <v>2</v>
      </c>
      <c r="FG29" s="7">
        <v>2</v>
      </c>
      <c r="FM29" s="7">
        <v>2</v>
      </c>
      <c r="FS29" s="7">
        <v>2</v>
      </c>
      <c r="FY29" s="7">
        <v>2</v>
      </c>
      <c r="GE29" s="7">
        <v>2</v>
      </c>
      <c r="GK29" s="7">
        <v>2</v>
      </c>
      <c r="GQ29" s="7">
        <v>2</v>
      </c>
      <c r="GW29" s="7">
        <v>2</v>
      </c>
      <c r="GX29" s="7">
        <v>1</v>
      </c>
      <c r="GY29" s="8">
        <v>6.25</v>
      </c>
      <c r="GZ29" s="43">
        <v>2</v>
      </c>
      <c r="HA29" s="41"/>
      <c r="HB29" s="41"/>
      <c r="HC29" s="41">
        <v>3</v>
      </c>
      <c r="HD29" s="41">
        <v>1</v>
      </c>
      <c r="HE29" s="42">
        <v>6.25</v>
      </c>
      <c r="HF29" s="41"/>
      <c r="HG29" s="41">
        <v>2</v>
      </c>
      <c r="HH29" s="41"/>
      <c r="HI29" s="41"/>
      <c r="HJ29" s="41">
        <v>1</v>
      </c>
      <c r="HK29" s="42">
        <v>6.25</v>
      </c>
      <c r="HL29" s="41"/>
      <c r="HM29" s="41">
        <v>1</v>
      </c>
      <c r="HN29" s="41">
        <v>25</v>
      </c>
      <c r="HO29" s="41"/>
      <c r="HP29" s="41">
        <v>1</v>
      </c>
      <c r="HQ29" s="42">
        <v>6.25</v>
      </c>
      <c r="HR29" s="7">
        <v>2</v>
      </c>
      <c r="HX29" s="7">
        <v>2</v>
      </c>
      <c r="IB29" s="7">
        <v>1</v>
      </c>
      <c r="IC29" s="8">
        <v>6.25</v>
      </c>
      <c r="IG29" s="7">
        <v>3</v>
      </c>
      <c r="IM29" s="7">
        <v>3</v>
      </c>
      <c r="IS29" s="49">
        <v>2</v>
      </c>
      <c r="IT29" s="49">
        <v>1</v>
      </c>
      <c r="IU29" s="8">
        <v>6.25</v>
      </c>
      <c r="IY29" s="49">
        <v>2</v>
      </c>
      <c r="IZ29" s="49">
        <v>1</v>
      </c>
      <c r="JA29" s="8">
        <v>6.25</v>
      </c>
      <c r="JB29" s="7">
        <v>2</v>
      </c>
      <c r="JE29" s="7">
        <v>3</v>
      </c>
      <c r="JH29" s="7">
        <v>1</v>
      </c>
      <c r="JK29" s="7">
        <v>2</v>
      </c>
      <c r="JN29" s="7">
        <v>2</v>
      </c>
      <c r="JQ29" s="7">
        <v>3</v>
      </c>
      <c r="JT29" s="7">
        <v>3</v>
      </c>
      <c r="JW29" s="7">
        <v>4</v>
      </c>
      <c r="JZ29" s="7">
        <v>2</v>
      </c>
      <c r="KC29" s="7">
        <v>3</v>
      </c>
    </row>
    <row r="30" spans="2:289" ht="19.5">
      <c r="B30" s="9">
        <v>0</v>
      </c>
      <c r="C30" s="9" t="s">
        <v>78</v>
      </c>
      <c r="DW30" s="7">
        <v>1</v>
      </c>
      <c r="EC30" s="7">
        <v>1</v>
      </c>
      <c r="GW30" s="7">
        <v>1</v>
      </c>
      <c r="GZ30" s="41"/>
      <c r="HA30" s="41"/>
      <c r="HB30" s="41"/>
      <c r="HC30" s="41">
        <v>1</v>
      </c>
      <c r="HD30" s="41"/>
      <c r="HE30" s="42"/>
      <c r="HF30" s="41"/>
      <c r="HG30" s="41"/>
      <c r="HH30" s="41"/>
      <c r="HI30" s="41">
        <v>2</v>
      </c>
      <c r="HJ30" s="41"/>
      <c r="HK30" s="42"/>
      <c r="HL30" s="41"/>
      <c r="HM30" s="41"/>
      <c r="HN30" s="41"/>
      <c r="HO30" s="41"/>
      <c r="HP30" s="41"/>
      <c r="HQ30" s="42"/>
      <c r="HU30" s="7">
        <v>2</v>
      </c>
      <c r="IS30" s="49">
        <v>2</v>
      </c>
      <c r="IY30" s="49">
        <v>2</v>
      </c>
      <c r="JK30" s="7">
        <v>2</v>
      </c>
      <c r="JQ30" s="7">
        <v>2</v>
      </c>
    </row>
    <row r="31" spans="2:289" ht="19.5">
      <c r="B31" s="9">
        <v>0</v>
      </c>
      <c r="C31" s="9" t="s">
        <v>79</v>
      </c>
      <c r="AU31" s="7">
        <v>1</v>
      </c>
      <c r="BG31" s="7">
        <v>1</v>
      </c>
      <c r="DK31" s="7">
        <v>3</v>
      </c>
      <c r="DQ31" s="7">
        <v>3</v>
      </c>
      <c r="DX31" s="7">
        <v>1</v>
      </c>
      <c r="DY31" s="8">
        <v>6.25</v>
      </c>
      <c r="ED31" s="7">
        <v>1</v>
      </c>
      <c r="EE31" s="8">
        <v>6.25</v>
      </c>
      <c r="GW31" s="7">
        <v>1</v>
      </c>
      <c r="GZ31" s="41"/>
      <c r="HA31" s="41"/>
      <c r="HB31" s="41"/>
      <c r="HC31" s="41"/>
      <c r="HD31" s="41"/>
      <c r="HE31" s="42"/>
      <c r="HF31" s="41"/>
      <c r="HG31" s="41"/>
      <c r="HH31" s="41"/>
      <c r="HI31" s="41"/>
      <c r="HJ31" s="41"/>
      <c r="HK31" s="42"/>
      <c r="HL31" s="41"/>
      <c r="HM31" s="41">
        <v>1</v>
      </c>
      <c r="HN31" s="41">
        <v>25</v>
      </c>
      <c r="HO31" s="41"/>
      <c r="HP31" s="41"/>
      <c r="HQ31" s="42"/>
      <c r="HU31" s="7">
        <v>2</v>
      </c>
      <c r="HX31" s="7">
        <v>2</v>
      </c>
      <c r="IB31" s="7">
        <v>1</v>
      </c>
      <c r="IC31" s="8">
        <v>6.25</v>
      </c>
      <c r="JK31" s="7">
        <v>2</v>
      </c>
      <c r="JQ31" s="7">
        <v>2</v>
      </c>
      <c r="KC31" s="7">
        <v>2</v>
      </c>
    </row>
    <row r="32" spans="2:289" ht="19.5">
      <c r="B32" s="9">
        <v>0</v>
      </c>
      <c r="C32" s="9" t="s">
        <v>80</v>
      </c>
      <c r="Y32" s="7">
        <v>1</v>
      </c>
      <c r="AE32" s="7">
        <v>1</v>
      </c>
      <c r="AK32" s="7">
        <v>1</v>
      </c>
      <c r="AU32" s="7">
        <v>1</v>
      </c>
      <c r="BG32" s="7">
        <v>1</v>
      </c>
      <c r="CA32" s="7">
        <v>1</v>
      </c>
      <c r="DW32" s="7">
        <v>1</v>
      </c>
      <c r="EC32" s="7">
        <v>1</v>
      </c>
      <c r="GW32" s="7">
        <v>1</v>
      </c>
      <c r="GZ32" s="41"/>
      <c r="HA32" s="41"/>
      <c r="HB32" s="41"/>
      <c r="HC32" s="41">
        <v>2</v>
      </c>
      <c r="HD32" s="41"/>
      <c r="HE32" s="42"/>
      <c r="HF32" s="41"/>
      <c r="HG32" s="41"/>
      <c r="HH32" s="41"/>
      <c r="HI32" s="41">
        <v>2</v>
      </c>
      <c r="HJ32" s="41"/>
      <c r="HK32" s="42"/>
      <c r="HL32" s="41"/>
      <c r="HM32" s="41"/>
      <c r="HN32" s="41"/>
      <c r="HO32" s="41"/>
      <c r="HP32" s="41"/>
      <c r="HQ32" s="42"/>
      <c r="HU32" s="7">
        <v>2</v>
      </c>
      <c r="IG32" s="7">
        <v>2</v>
      </c>
      <c r="IM32" s="7">
        <v>2</v>
      </c>
      <c r="IS32" s="49">
        <v>2</v>
      </c>
      <c r="IY32" s="49">
        <v>2</v>
      </c>
      <c r="JE32" s="7">
        <v>2</v>
      </c>
      <c r="JQ32" s="7">
        <v>2</v>
      </c>
      <c r="KC32" s="7">
        <v>2</v>
      </c>
    </row>
    <row r="33" spans="2:289" ht="19.5">
      <c r="B33" s="9">
        <v>0</v>
      </c>
      <c r="C33" s="9" t="s">
        <v>81</v>
      </c>
      <c r="G33" s="7">
        <v>1</v>
      </c>
      <c r="CG33" s="7">
        <v>1</v>
      </c>
      <c r="DW33" s="7">
        <v>1</v>
      </c>
      <c r="EC33" s="7">
        <v>1</v>
      </c>
      <c r="GW33" s="7">
        <v>1</v>
      </c>
      <c r="GZ33" s="41"/>
      <c r="HA33" s="41"/>
      <c r="HB33" s="41"/>
      <c r="HC33" s="41">
        <v>2</v>
      </c>
      <c r="HD33" s="41"/>
      <c r="HE33" s="42"/>
      <c r="HF33" s="41"/>
      <c r="HG33" s="41"/>
      <c r="HH33" s="41"/>
      <c r="HI33" s="41">
        <v>2</v>
      </c>
      <c r="HJ33" s="41">
        <v>1</v>
      </c>
      <c r="HK33" s="42">
        <v>6.25</v>
      </c>
      <c r="HL33" s="41"/>
      <c r="HM33" s="41">
        <v>1</v>
      </c>
      <c r="HN33" s="41">
        <v>25</v>
      </c>
      <c r="HO33" s="41"/>
      <c r="HP33" s="41">
        <v>1</v>
      </c>
      <c r="HQ33" s="42">
        <v>6.25</v>
      </c>
      <c r="IS33" s="49">
        <v>2</v>
      </c>
      <c r="IT33" s="49">
        <v>1</v>
      </c>
      <c r="IU33" s="8">
        <v>6.25</v>
      </c>
      <c r="IY33" s="49">
        <v>2</v>
      </c>
      <c r="IZ33" s="49">
        <v>1</v>
      </c>
      <c r="JA33" s="8">
        <v>6.25</v>
      </c>
      <c r="JE33" s="7">
        <v>2</v>
      </c>
    </row>
    <row r="34" spans="2:289" ht="19.5">
      <c r="B34" s="9">
        <v>0</v>
      </c>
      <c r="C34" s="9" t="s">
        <v>82</v>
      </c>
      <c r="N34" s="7">
        <v>1</v>
      </c>
      <c r="O34" s="8">
        <v>25</v>
      </c>
      <c r="T34" s="7">
        <v>1</v>
      </c>
      <c r="U34" s="8">
        <v>25</v>
      </c>
      <c r="AF34" s="7">
        <v>1</v>
      </c>
      <c r="AG34" s="8">
        <v>6.25</v>
      </c>
      <c r="AK34" s="7">
        <v>1</v>
      </c>
      <c r="AT34" s="7">
        <v>1</v>
      </c>
      <c r="BF34" s="7">
        <v>1</v>
      </c>
      <c r="CG34" s="7">
        <v>1</v>
      </c>
      <c r="DK34" s="7">
        <v>1</v>
      </c>
      <c r="DW34" s="7">
        <v>1</v>
      </c>
      <c r="EC34" s="7">
        <v>1</v>
      </c>
      <c r="EI34" s="7">
        <v>2</v>
      </c>
      <c r="EO34" s="7">
        <v>2</v>
      </c>
      <c r="EU34" s="7">
        <v>2</v>
      </c>
      <c r="FA34" s="7">
        <v>2</v>
      </c>
      <c r="FG34" s="7">
        <v>2</v>
      </c>
      <c r="FM34" s="7">
        <v>2</v>
      </c>
      <c r="FS34" s="7">
        <v>2</v>
      </c>
      <c r="FY34" s="7">
        <v>2</v>
      </c>
      <c r="GE34" s="7">
        <v>2</v>
      </c>
      <c r="GK34" s="7">
        <v>2</v>
      </c>
      <c r="GQ34" s="7">
        <v>2</v>
      </c>
      <c r="GW34" s="7">
        <v>1</v>
      </c>
      <c r="GZ34" s="41"/>
      <c r="HA34" s="41"/>
      <c r="HB34" s="41"/>
      <c r="HC34" s="41"/>
      <c r="HD34" s="41"/>
      <c r="HE34" s="42"/>
      <c r="HF34" s="41"/>
      <c r="HG34" s="41"/>
      <c r="HH34" s="41"/>
      <c r="HI34" s="41">
        <v>2</v>
      </c>
      <c r="HJ34" s="41">
        <v>1</v>
      </c>
      <c r="HK34" s="42">
        <v>6.25</v>
      </c>
      <c r="HL34" s="41"/>
      <c r="HM34" s="41">
        <v>1</v>
      </c>
      <c r="HN34" s="41">
        <v>25</v>
      </c>
      <c r="HO34" s="41"/>
      <c r="HP34" s="41"/>
      <c r="HQ34" s="42"/>
      <c r="HU34" s="7">
        <v>2</v>
      </c>
      <c r="HX34" s="7">
        <v>2</v>
      </c>
      <c r="IB34" s="7">
        <v>1</v>
      </c>
      <c r="IC34" s="8">
        <v>6.25</v>
      </c>
      <c r="IG34" s="7">
        <v>2</v>
      </c>
      <c r="IM34" s="7">
        <v>2</v>
      </c>
      <c r="IS34" s="49">
        <v>2</v>
      </c>
      <c r="IT34" s="49">
        <v>1</v>
      </c>
      <c r="IU34" s="8">
        <v>6.25</v>
      </c>
      <c r="IY34" s="49">
        <v>2</v>
      </c>
      <c r="IZ34" s="49">
        <v>1</v>
      </c>
      <c r="JA34" s="8">
        <v>6.25</v>
      </c>
      <c r="JQ34" s="7">
        <v>2</v>
      </c>
      <c r="KC34" s="7">
        <v>2</v>
      </c>
    </row>
    <row r="35" spans="2:289" ht="19.5">
      <c r="B35" s="9">
        <v>0</v>
      </c>
      <c r="C35" s="9" t="s">
        <v>83</v>
      </c>
      <c r="DW35" s="7">
        <v>1</v>
      </c>
      <c r="EC35" s="7">
        <v>1</v>
      </c>
      <c r="EI35" s="7">
        <v>1</v>
      </c>
      <c r="EO35" s="7">
        <v>1</v>
      </c>
      <c r="EU35" s="7">
        <v>1</v>
      </c>
      <c r="FA35" s="7">
        <v>1</v>
      </c>
      <c r="FG35" s="7">
        <v>1</v>
      </c>
      <c r="FM35" s="7">
        <v>1</v>
      </c>
      <c r="FS35" s="7">
        <v>1</v>
      </c>
      <c r="FY35" s="7">
        <v>1</v>
      </c>
      <c r="GE35" s="7">
        <v>1</v>
      </c>
      <c r="GK35" s="7">
        <v>1</v>
      </c>
      <c r="GQ35" s="7">
        <v>1</v>
      </c>
      <c r="GW35" s="7">
        <v>1</v>
      </c>
      <c r="GZ35" s="41"/>
      <c r="HA35" s="41"/>
      <c r="HB35" s="41"/>
      <c r="HC35" s="41">
        <v>2</v>
      </c>
      <c r="HD35" s="41"/>
      <c r="HE35" s="42"/>
      <c r="HF35" s="41"/>
      <c r="HG35" s="41"/>
      <c r="HH35" s="41"/>
      <c r="HI35" s="41">
        <v>2</v>
      </c>
      <c r="HJ35" s="41"/>
      <c r="HK35" s="42"/>
      <c r="HL35" s="41"/>
      <c r="HM35" s="41"/>
      <c r="HN35" s="41"/>
      <c r="HO35" s="41"/>
      <c r="HP35" s="41"/>
      <c r="HQ35" s="42"/>
      <c r="IB35" s="7">
        <v>1</v>
      </c>
      <c r="IC35" s="8">
        <v>6.25</v>
      </c>
    </row>
    <row r="36" spans="2:289" ht="19.5">
      <c r="B36" s="9">
        <v>0</v>
      </c>
      <c r="C36" s="9" t="s">
        <v>84</v>
      </c>
      <c r="DW36" s="7">
        <v>1</v>
      </c>
      <c r="EC36" s="7">
        <v>1</v>
      </c>
      <c r="GW36" s="7">
        <v>1</v>
      </c>
      <c r="GZ36" s="41"/>
      <c r="HA36" s="41"/>
      <c r="HB36" s="41"/>
      <c r="HC36" s="41">
        <v>1</v>
      </c>
      <c r="HD36" s="41"/>
      <c r="HE36" s="42"/>
      <c r="HF36" s="41"/>
      <c r="HG36" s="41"/>
      <c r="HH36" s="41"/>
      <c r="HI36" s="41">
        <v>1</v>
      </c>
      <c r="HJ36" s="41"/>
      <c r="HK36" s="42"/>
      <c r="HL36" s="41"/>
      <c r="HM36" s="41"/>
      <c r="HN36" s="41"/>
      <c r="HO36" s="41"/>
      <c r="HP36" s="41"/>
      <c r="HQ36" s="42"/>
      <c r="HU36" s="7">
        <v>1</v>
      </c>
      <c r="HX36" s="7">
        <v>1</v>
      </c>
      <c r="IS36" s="49">
        <v>1</v>
      </c>
      <c r="IY36" s="49">
        <v>1</v>
      </c>
    </row>
    <row r="37" spans="2:289" ht="19.5">
      <c r="B37" s="9">
        <v>0</v>
      </c>
      <c r="C37" s="9" t="s">
        <v>85</v>
      </c>
      <c r="G37" s="7">
        <v>1</v>
      </c>
      <c r="DK37" s="7">
        <v>1</v>
      </c>
      <c r="DQ37" s="7">
        <v>1</v>
      </c>
      <c r="DW37" s="7">
        <v>1</v>
      </c>
      <c r="EC37" s="7">
        <v>1</v>
      </c>
      <c r="EI37" s="7">
        <v>1</v>
      </c>
      <c r="EO37" s="7">
        <v>1</v>
      </c>
      <c r="EU37" s="7">
        <v>1</v>
      </c>
      <c r="FA37" s="7">
        <v>1</v>
      </c>
      <c r="FG37" s="7">
        <v>1</v>
      </c>
      <c r="FM37" s="7">
        <v>1</v>
      </c>
      <c r="FS37" s="7">
        <v>1</v>
      </c>
      <c r="FY37" s="7">
        <v>1</v>
      </c>
      <c r="GE37" s="7">
        <v>1</v>
      </c>
      <c r="GK37" s="7">
        <v>1</v>
      </c>
      <c r="GQ37" s="7">
        <v>1</v>
      </c>
      <c r="GW37" s="7">
        <v>1</v>
      </c>
      <c r="GZ37" s="41"/>
      <c r="HA37" s="41"/>
      <c r="HB37" s="41"/>
      <c r="HC37" s="41">
        <v>1</v>
      </c>
      <c r="HD37" s="41"/>
      <c r="HE37" s="42"/>
      <c r="HF37" s="41"/>
      <c r="HG37" s="41"/>
      <c r="HH37" s="41"/>
      <c r="HI37" s="41">
        <v>1</v>
      </c>
      <c r="HJ37" s="41"/>
      <c r="HK37" s="42"/>
      <c r="HL37" s="41">
        <v>1</v>
      </c>
      <c r="HM37" s="41"/>
      <c r="HN37" s="41"/>
      <c r="HO37" s="41"/>
      <c r="HP37" s="41"/>
      <c r="HQ37" s="42"/>
      <c r="HU37" s="7">
        <v>1</v>
      </c>
      <c r="IA37" s="7">
        <v>1</v>
      </c>
      <c r="IG37" s="7">
        <v>1</v>
      </c>
      <c r="IM37" s="7">
        <v>1</v>
      </c>
      <c r="IS37" s="49">
        <v>1</v>
      </c>
      <c r="IY37" s="49">
        <v>1</v>
      </c>
      <c r="JE37" s="7">
        <v>1</v>
      </c>
      <c r="JQ37" s="7">
        <v>1</v>
      </c>
    </row>
    <row r="38" spans="2:289" ht="19.5">
      <c r="B38" s="9">
        <v>0</v>
      </c>
      <c r="C38" s="9" t="s">
        <v>86</v>
      </c>
      <c r="G38" s="7">
        <v>1</v>
      </c>
      <c r="M38" s="7">
        <v>1</v>
      </c>
      <c r="Y38" s="7">
        <v>1</v>
      </c>
      <c r="AE38" s="7">
        <v>1</v>
      </c>
      <c r="AW38" s="7">
        <v>2</v>
      </c>
      <c r="BI38" s="7">
        <v>2</v>
      </c>
      <c r="DK38" s="7">
        <v>1</v>
      </c>
      <c r="DQ38" s="7">
        <v>1</v>
      </c>
      <c r="DW38" s="7">
        <v>1</v>
      </c>
      <c r="EC38" s="7">
        <v>1</v>
      </c>
      <c r="GW38" s="7">
        <v>1</v>
      </c>
      <c r="GZ38" s="41"/>
      <c r="HA38" s="41"/>
      <c r="HB38" s="41"/>
      <c r="HC38" s="41">
        <v>1</v>
      </c>
      <c r="HD38" s="41"/>
      <c r="HE38" s="42"/>
      <c r="HF38" s="41"/>
      <c r="HG38" s="41"/>
      <c r="HH38" s="41"/>
      <c r="HI38" s="41">
        <v>1</v>
      </c>
      <c r="HJ38" s="41"/>
      <c r="HK38" s="42"/>
      <c r="HL38" s="41">
        <v>1</v>
      </c>
      <c r="HM38" s="41"/>
      <c r="HN38" s="41"/>
      <c r="HO38" s="41"/>
      <c r="HP38" s="41"/>
      <c r="HQ38" s="42"/>
      <c r="HU38" s="7">
        <v>1</v>
      </c>
      <c r="IA38" s="7">
        <v>1</v>
      </c>
      <c r="JE38" s="7">
        <v>1</v>
      </c>
      <c r="JK38" s="7">
        <v>1</v>
      </c>
      <c r="JQ38" s="7">
        <v>1</v>
      </c>
      <c r="JT38" s="7">
        <v>1</v>
      </c>
      <c r="KC38" s="7">
        <v>1</v>
      </c>
    </row>
    <row r="39" spans="2:289" ht="19.5">
      <c r="B39" s="9">
        <v>0</v>
      </c>
      <c r="C39" s="9" t="s">
        <v>87</v>
      </c>
      <c r="GW39" s="7">
        <v>1</v>
      </c>
      <c r="GZ39" s="41"/>
      <c r="HA39" s="41"/>
      <c r="HB39" s="41"/>
      <c r="HC39" s="41">
        <v>1</v>
      </c>
      <c r="HD39" s="41"/>
      <c r="HE39" s="42"/>
      <c r="HF39" s="41"/>
      <c r="HG39" s="41"/>
      <c r="HH39" s="41"/>
      <c r="HI39" s="41">
        <v>1</v>
      </c>
      <c r="HJ39" s="41"/>
      <c r="HK39" s="42"/>
      <c r="HL39" s="41"/>
      <c r="HM39" s="41"/>
      <c r="HN39" s="41"/>
      <c r="HO39" s="41">
        <v>1</v>
      </c>
      <c r="HP39" s="41"/>
      <c r="HQ39" s="42"/>
      <c r="HU39" s="7">
        <v>1</v>
      </c>
      <c r="IA39" s="7">
        <v>1</v>
      </c>
      <c r="IS39" s="49">
        <v>1</v>
      </c>
      <c r="IY39" s="49">
        <v>1</v>
      </c>
      <c r="JK39" s="7">
        <v>1</v>
      </c>
      <c r="JQ39" s="7">
        <v>1</v>
      </c>
    </row>
    <row r="40" spans="2:289" ht="19.5">
      <c r="B40" s="9">
        <v>0</v>
      </c>
      <c r="C40" s="9" t="s">
        <v>88</v>
      </c>
      <c r="AT40" s="7">
        <v>1</v>
      </c>
      <c r="AW40" s="7">
        <v>1</v>
      </c>
      <c r="BF40" s="7">
        <v>1</v>
      </c>
      <c r="BI40" s="7">
        <v>1</v>
      </c>
      <c r="CA40" s="7">
        <v>1</v>
      </c>
      <c r="DK40" s="7">
        <v>1</v>
      </c>
      <c r="DQ40" s="7">
        <v>1</v>
      </c>
      <c r="DW40" s="7">
        <v>1</v>
      </c>
      <c r="EC40" s="7">
        <v>1</v>
      </c>
      <c r="EI40" s="7">
        <v>1</v>
      </c>
      <c r="EO40" s="7">
        <v>1</v>
      </c>
      <c r="EU40" s="7">
        <v>1</v>
      </c>
      <c r="FA40" s="7">
        <v>1</v>
      </c>
      <c r="FG40" s="7">
        <v>1</v>
      </c>
      <c r="FM40" s="7">
        <v>1</v>
      </c>
      <c r="FS40" s="7">
        <v>1</v>
      </c>
      <c r="FY40" s="7">
        <v>1</v>
      </c>
      <c r="GE40" s="7">
        <v>1</v>
      </c>
      <c r="GK40" s="7">
        <v>1</v>
      </c>
      <c r="GQ40" s="7">
        <v>1</v>
      </c>
      <c r="GW40" s="7">
        <v>1</v>
      </c>
      <c r="GZ40" s="41"/>
      <c r="HA40" s="41"/>
      <c r="HB40" s="41"/>
      <c r="HC40" s="41">
        <v>1</v>
      </c>
      <c r="HD40" s="41"/>
      <c r="HE40" s="42"/>
      <c r="HF40" s="41"/>
      <c r="HG40" s="41"/>
      <c r="HH40" s="41"/>
      <c r="HI40" s="41">
        <v>1</v>
      </c>
      <c r="HJ40" s="41"/>
      <c r="HK40" s="42"/>
      <c r="HL40" s="41">
        <v>1</v>
      </c>
      <c r="HM40" s="41"/>
      <c r="HN40" s="41"/>
      <c r="HO40" s="41"/>
      <c r="HP40" s="41"/>
      <c r="HQ40" s="42"/>
      <c r="HU40" s="7">
        <v>1</v>
      </c>
      <c r="IA40" s="7">
        <v>1</v>
      </c>
      <c r="IG40" s="7">
        <v>1</v>
      </c>
      <c r="IM40" s="7">
        <v>1</v>
      </c>
      <c r="IS40" s="49">
        <v>1</v>
      </c>
      <c r="IY40" s="49">
        <v>1</v>
      </c>
      <c r="JE40" s="7">
        <v>1</v>
      </c>
      <c r="JQ40" s="7">
        <v>1</v>
      </c>
      <c r="JT40" s="7">
        <v>1</v>
      </c>
      <c r="KC40" s="7">
        <v>1</v>
      </c>
    </row>
    <row r="41" spans="2:289" ht="19.5">
      <c r="B41" s="9" t="s">
        <v>89</v>
      </c>
      <c r="C41" s="9" t="s">
        <v>67</v>
      </c>
      <c r="EI41" s="7">
        <v>1</v>
      </c>
      <c r="EO41" s="7">
        <v>1</v>
      </c>
      <c r="EU41" s="7">
        <v>1</v>
      </c>
      <c r="FA41" s="7">
        <v>1</v>
      </c>
      <c r="FG41" s="7">
        <v>1</v>
      </c>
      <c r="FM41" s="7">
        <v>1</v>
      </c>
      <c r="FS41" s="7">
        <v>1</v>
      </c>
      <c r="FY41" s="7">
        <v>1</v>
      </c>
      <c r="GE41" s="7">
        <v>1</v>
      </c>
      <c r="GK41" s="7">
        <v>1</v>
      </c>
      <c r="GQ41" s="7">
        <v>1</v>
      </c>
      <c r="GW41" s="7">
        <v>2</v>
      </c>
      <c r="GZ41" s="41"/>
      <c r="HA41" s="41"/>
      <c r="HB41" s="41"/>
      <c r="HC41" s="41"/>
      <c r="HD41" s="41"/>
      <c r="HE41" s="42"/>
      <c r="HF41" s="41"/>
      <c r="HG41" s="41"/>
      <c r="HH41" s="41"/>
      <c r="HI41" s="41"/>
      <c r="HJ41" s="41"/>
      <c r="HK41" s="42"/>
      <c r="HL41" s="41"/>
      <c r="HM41" s="41"/>
      <c r="HN41" s="41"/>
      <c r="HO41" s="41">
        <v>2</v>
      </c>
      <c r="HP41" s="41">
        <v>1</v>
      </c>
      <c r="HQ41" s="42">
        <v>6.25</v>
      </c>
      <c r="HU41" s="7">
        <v>2</v>
      </c>
      <c r="IA41" s="7">
        <v>2</v>
      </c>
      <c r="IS41" s="49">
        <v>3</v>
      </c>
      <c r="IY41" s="49">
        <v>3</v>
      </c>
      <c r="JH41" s="7">
        <v>1</v>
      </c>
      <c r="JK41" s="7">
        <v>2</v>
      </c>
      <c r="JN41" s="7">
        <v>1</v>
      </c>
      <c r="JQ41" s="7">
        <v>2</v>
      </c>
      <c r="JT41" s="7">
        <v>2</v>
      </c>
      <c r="JW41" s="7">
        <v>3</v>
      </c>
      <c r="KC41" s="7">
        <v>2</v>
      </c>
    </row>
    <row r="42" spans="2:289" ht="19.5">
      <c r="B42" s="9">
        <v>0</v>
      </c>
      <c r="C42" s="9" t="s">
        <v>90</v>
      </c>
      <c r="G42" s="7">
        <v>1</v>
      </c>
      <c r="AK42" s="7">
        <v>1</v>
      </c>
      <c r="AO42" s="7">
        <v>1</v>
      </c>
      <c r="DW42" s="7">
        <v>2</v>
      </c>
      <c r="EC42" s="7">
        <v>2</v>
      </c>
      <c r="EI42" s="7">
        <v>1</v>
      </c>
      <c r="EO42" s="7">
        <v>1</v>
      </c>
      <c r="EU42" s="7">
        <v>1</v>
      </c>
      <c r="FA42" s="7">
        <v>1</v>
      </c>
      <c r="FG42" s="7">
        <v>1</v>
      </c>
      <c r="FM42" s="7">
        <v>1</v>
      </c>
      <c r="FS42" s="7">
        <v>1</v>
      </c>
      <c r="FY42" s="7">
        <v>1</v>
      </c>
      <c r="GE42" s="7">
        <v>1</v>
      </c>
      <c r="GK42" s="7">
        <v>1</v>
      </c>
      <c r="GQ42" s="7">
        <v>1</v>
      </c>
      <c r="GW42" s="7">
        <v>1</v>
      </c>
      <c r="GZ42" s="41"/>
      <c r="HA42" s="41"/>
      <c r="HB42" s="41"/>
      <c r="HC42" s="41"/>
      <c r="HD42" s="41"/>
      <c r="HE42" s="42"/>
      <c r="HF42" s="41"/>
      <c r="HG42" s="41"/>
      <c r="HH42" s="41"/>
      <c r="HI42" s="41"/>
      <c r="HJ42" s="41"/>
      <c r="HK42" s="42"/>
      <c r="HL42" s="41"/>
      <c r="HM42" s="41"/>
      <c r="HN42" s="41"/>
      <c r="HO42" s="41">
        <v>2</v>
      </c>
      <c r="HP42" s="41"/>
      <c r="HQ42" s="42"/>
      <c r="JK42" s="7">
        <v>2</v>
      </c>
      <c r="JQ42" s="7">
        <v>2</v>
      </c>
      <c r="JW42" s="7">
        <v>3</v>
      </c>
      <c r="KC42" s="7">
        <v>2</v>
      </c>
    </row>
    <row r="43" spans="2:289" ht="19.5">
      <c r="B43" s="9">
        <v>0</v>
      </c>
      <c r="C43" s="9" t="s">
        <v>91</v>
      </c>
      <c r="G43" s="7">
        <v>2</v>
      </c>
      <c r="Y43" s="7">
        <v>1</v>
      </c>
      <c r="AE43" s="7">
        <v>1</v>
      </c>
      <c r="AK43" s="7">
        <v>1</v>
      </c>
      <c r="AO43" s="7">
        <v>1</v>
      </c>
      <c r="BX43" s="7">
        <v>1</v>
      </c>
      <c r="CD43" s="7">
        <v>1</v>
      </c>
      <c r="CS43" s="7">
        <v>1</v>
      </c>
      <c r="DF43" s="7">
        <v>1</v>
      </c>
      <c r="DH43" s="7">
        <v>1</v>
      </c>
      <c r="DK43" s="7">
        <v>2</v>
      </c>
      <c r="DN43" s="7">
        <v>1</v>
      </c>
      <c r="DQ43" s="7">
        <v>2</v>
      </c>
      <c r="DT43" s="7">
        <v>1</v>
      </c>
      <c r="DW43" s="7">
        <v>2</v>
      </c>
      <c r="DZ43" s="7">
        <v>1</v>
      </c>
      <c r="EC43" s="7">
        <v>2</v>
      </c>
      <c r="EI43" s="7">
        <v>2</v>
      </c>
      <c r="EO43" s="7">
        <v>2</v>
      </c>
      <c r="EU43" s="7">
        <v>2</v>
      </c>
      <c r="FA43" s="7">
        <v>2</v>
      </c>
      <c r="FG43" s="7">
        <v>2</v>
      </c>
      <c r="FM43" s="7">
        <v>2</v>
      </c>
      <c r="FS43" s="7">
        <v>2</v>
      </c>
      <c r="FY43" s="7">
        <v>2</v>
      </c>
      <c r="GE43" s="7">
        <v>2</v>
      </c>
      <c r="GK43" s="7">
        <v>2</v>
      </c>
      <c r="GQ43" s="7">
        <v>2</v>
      </c>
      <c r="GW43" s="7">
        <v>2</v>
      </c>
      <c r="GZ43" s="41">
        <v>1</v>
      </c>
      <c r="HA43" s="41"/>
      <c r="HB43" s="41"/>
      <c r="HC43" s="41">
        <v>2</v>
      </c>
      <c r="HD43" s="41"/>
      <c r="HE43" s="42"/>
      <c r="HF43" s="41"/>
      <c r="HG43" s="41"/>
      <c r="HH43" s="41"/>
      <c r="HI43" s="41">
        <v>2</v>
      </c>
      <c r="HJ43" s="41"/>
      <c r="HK43" s="42"/>
      <c r="HL43" s="41"/>
      <c r="HM43" s="41"/>
      <c r="HN43" s="41"/>
      <c r="HO43" s="41">
        <v>2</v>
      </c>
      <c r="HP43" s="41"/>
      <c r="HQ43" s="42"/>
      <c r="HU43" s="7">
        <v>2</v>
      </c>
      <c r="IA43" s="7">
        <v>2</v>
      </c>
      <c r="IG43" s="7">
        <v>2</v>
      </c>
      <c r="IM43" s="7">
        <v>2</v>
      </c>
      <c r="IS43" s="49">
        <v>2</v>
      </c>
      <c r="IY43" s="49">
        <v>2</v>
      </c>
      <c r="JE43" s="7">
        <v>2</v>
      </c>
      <c r="JK43" s="7">
        <v>2</v>
      </c>
      <c r="JN43" s="7">
        <v>1</v>
      </c>
      <c r="JQ43" s="7">
        <v>2</v>
      </c>
      <c r="JT43" s="7">
        <v>2</v>
      </c>
      <c r="JW43" s="7">
        <v>3</v>
      </c>
      <c r="JZ43" s="7">
        <v>1</v>
      </c>
      <c r="KC43" s="7">
        <v>2</v>
      </c>
    </row>
    <row r="44" spans="2:289" ht="19.5">
      <c r="B44" s="9">
        <v>0</v>
      </c>
      <c r="C44" s="10" t="s">
        <v>92</v>
      </c>
      <c r="EI44" s="7">
        <v>1</v>
      </c>
      <c r="EO44" s="7">
        <v>1</v>
      </c>
      <c r="EU44" s="7">
        <v>1</v>
      </c>
      <c r="FA44" s="7">
        <v>1</v>
      </c>
      <c r="FG44" s="7">
        <v>1</v>
      </c>
      <c r="FM44" s="7">
        <v>1</v>
      </c>
      <c r="FS44" s="7">
        <v>1</v>
      </c>
      <c r="FY44" s="7">
        <v>1</v>
      </c>
      <c r="GE44" s="7">
        <v>1</v>
      </c>
      <c r="GK44" s="7">
        <v>1</v>
      </c>
      <c r="GQ44" s="7">
        <v>1</v>
      </c>
      <c r="GZ44" s="41"/>
      <c r="HA44" s="41"/>
      <c r="HB44" s="41"/>
      <c r="HC44" s="41"/>
      <c r="HD44" s="41"/>
      <c r="HE44" s="42"/>
      <c r="HF44" s="41"/>
      <c r="HG44" s="41"/>
      <c r="HH44" s="41"/>
      <c r="HI44" s="41"/>
      <c r="HJ44" s="41"/>
      <c r="HK44" s="42"/>
      <c r="HL44" s="41"/>
      <c r="HM44" s="41"/>
      <c r="HN44" s="41"/>
      <c r="HO44" s="41">
        <v>2</v>
      </c>
      <c r="HP44" s="41">
        <v>1</v>
      </c>
      <c r="HQ44" s="42">
        <v>6.25</v>
      </c>
      <c r="HU44" s="7">
        <v>2</v>
      </c>
      <c r="IB44" s="7">
        <v>1</v>
      </c>
      <c r="IC44" s="8">
        <v>6.25</v>
      </c>
      <c r="IS44" s="49">
        <v>3</v>
      </c>
      <c r="IY44" s="49">
        <v>3</v>
      </c>
      <c r="JE44" s="7">
        <v>2</v>
      </c>
      <c r="JQ44" s="7">
        <v>2</v>
      </c>
      <c r="JW44" s="7">
        <v>2</v>
      </c>
    </row>
    <row r="45" spans="2:289" ht="19.5">
      <c r="B45" s="9">
        <v>0</v>
      </c>
      <c r="C45" s="10" t="s">
        <v>79</v>
      </c>
      <c r="GW45" s="7">
        <v>1</v>
      </c>
      <c r="GZ45" s="41"/>
      <c r="HA45" s="41"/>
      <c r="HB45" s="41"/>
      <c r="HC45" s="41"/>
      <c r="HD45" s="41"/>
      <c r="HE45" s="42"/>
      <c r="HF45" s="41"/>
      <c r="HG45" s="41"/>
      <c r="HH45" s="41"/>
      <c r="HI45" s="41"/>
      <c r="HJ45" s="41"/>
      <c r="HK45" s="42"/>
      <c r="HL45" s="41"/>
      <c r="HM45" s="41"/>
      <c r="HN45" s="41"/>
      <c r="HO45" s="41"/>
      <c r="HP45" s="41"/>
      <c r="HQ45" s="42"/>
      <c r="IA45" s="7">
        <v>2</v>
      </c>
      <c r="IB45" s="7">
        <v>1</v>
      </c>
      <c r="IC45" s="8">
        <v>6.25</v>
      </c>
      <c r="JK45" s="7">
        <v>2</v>
      </c>
      <c r="JQ45" s="7">
        <v>2</v>
      </c>
      <c r="JW45" s="7">
        <v>2</v>
      </c>
      <c r="KC45" s="7">
        <v>3</v>
      </c>
    </row>
    <row r="46" spans="2:289" ht="19.5">
      <c r="B46" s="9">
        <v>0</v>
      </c>
      <c r="C46" s="10" t="s">
        <v>93</v>
      </c>
      <c r="GZ46" s="41"/>
      <c r="HA46" s="41"/>
      <c r="HB46" s="41"/>
      <c r="HC46" s="41"/>
      <c r="HD46" s="41"/>
      <c r="HE46" s="42"/>
      <c r="HF46" s="41"/>
      <c r="HG46" s="41"/>
      <c r="HH46" s="41"/>
      <c r="HI46" s="41"/>
      <c r="HJ46" s="41"/>
      <c r="HK46" s="42"/>
      <c r="HL46" s="41"/>
      <c r="HM46" s="41"/>
      <c r="HN46" s="41"/>
      <c r="HO46" s="41"/>
      <c r="HP46" s="41"/>
      <c r="HQ46" s="42"/>
      <c r="IA46" s="7">
        <v>2</v>
      </c>
    </row>
    <row r="47" spans="2:289" ht="19.5">
      <c r="B47" s="9" t="s">
        <v>94</v>
      </c>
      <c r="C47" s="9" t="s">
        <v>95</v>
      </c>
      <c r="T47" s="7">
        <v>1</v>
      </c>
      <c r="U47" s="8">
        <v>6.25</v>
      </c>
      <c r="W47" s="7">
        <v>1</v>
      </c>
      <c r="Z47" s="7">
        <v>1</v>
      </c>
      <c r="AA47" s="8">
        <v>6.25</v>
      </c>
      <c r="BF47" s="7">
        <v>2</v>
      </c>
      <c r="BL47" s="7">
        <v>1</v>
      </c>
      <c r="CW47" s="7">
        <v>1</v>
      </c>
      <c r="DF47" s="7">
        <v>1</v>
      </c>
      <c r="DG47" s="8">
        <v>6.25</v>
      </c>
      <c r="DN47" s="7">
        <v>1</v>
      </c>
      <c r="DW47" s="7">
        <v>1</v>
      </c>
      <c r="EC47" s="7">
        <v>2</v>
      </c>
      <c r="GW47" s="7">
        <v>2</v>
      </c>
      <c r="GZ47" s="41"/>
      <c r="HA47" s="41"/>
      <c r="HB47" s="41"/>
      <c r="HC47" s="41"/>
      <c r="HD47" s="41"/>
      <c r="HE47" s="42"/>
      <c r="HF47" s="41"/>
      <c r="HG47" s="41"/>
      <c r="HH47" s="41"/>
      <c r="HI47" s="41"/>
      <c r="HJ47" s="41"/>
      <c r="HK47" s="42"/>
      <c r="HL47" s="41">
        <v>1</v>
      </c>
      <c r="HM47" s="41"/>
      <c r="HN47" s="41"/>
      <c r="HO47" s="41">
        <v>3</v>
      </c>
      <c r="HP47" s="41">
        <v>1</v>
      </c>
      <c r="HQ47" s="42">
        <v>6.25</v>
      </c>
      <c r="HU47" s="7">
        <v>2</v>
      </c>
      <c r="HV47" s="7">
        <v>1</v>
      </c>
      <c r="HW47" s="8">
        <v>6.25</v>
      </c>
      <c r="HX47" s="7">
        <v>2</v>
      </c>
      <c r="IB47" s="7">
        <v>1</v>
      </c>
      <c r="IC47" s="8">
        <v>6.25</v>
      </c>
      <c r="IP47" s="48">
        <v>2</v>
      </c>
      <c r="IQ47" s="49">
        <v>1</v>
      </c>
      <c r="IR47" s="49">
        <v>25</v>
      </c>
      <c r="IS47" s="49">
        <v>3</v>
      </c>
      <c r="IT47" s="49">
        <v>1</v>
      </c>
      <c r="IU47" s="8">
        <v>6.25</v>
      </c>
      <c r="IV47" s="48">
        <v>2</v>
      </c>
      <c r="IW47" s="49">
        <v>1</v>
      </c>
      <c r="IX47" s="49">
        <v>25</v>
      </c>
      <c r="IY47" s="49">
        <v>3</v>
      </c>
      <c r="IZ47" s="49">
        <v>1</v>
      </c>
      <c r="JA47" s="8">
        <v>6.25</v>
      </c>
      <c r="JH47" s="7">
        <v>1</v>
      </c>
      <c r="JK47" s="7">
        <v>2</v>
      </c>
      <c r="JN47" s="7">
        <v>1</v>
      </c>
      <c r="JQ47" s="7">
        <v>2</v>
      </c>
      <c r="JT47" s="7">
        <v>2</v>
      </c>
      <c r="JW47" s="7">
        <v>3</v>
      </c>
      <c r="KC47" s="7">
        <v>3</v>
      </c>
    </row>
    <row r="48" spans="2:289" ht="19.5">
      <c r="B48" s="9">
        <v>0</v>
      </c>
      <c r="C48" s="9" t="s">
        <v>96</v>
      </c>
      <c r="DF48" s="7">
        <v>1</v>
      </c>
      <c r="DG48" s="8">
        <v>6.25</v>
      </c>
      <c r="DQ48" s="7">
        <v>1</v>
      </c>
      <c r="DW48" s="7">
        <v>1</v>
      </c>
      <c r="EC48" s="7">
        <v>1</v>
      </c>
      <c r="GW48" s="7">
        <v>1</v>
      </c>
      <c r="GZ48" s="41"/>
      <c r="HA48" s="41"/>
      <c r="HB48" s="41"/>
      <c r="HC48" s="41"/>
      <c r="HD48" s="41"/>
      <c r="HE48" s="42"/>
      <c r="HF48" s="41"/>
      <c r="HG48" s="41"/>
      <c r="HH48" s="41"/>
      <c r="HI48" s="41"/>
      <c r="HJ48" s="41"/>
      <c r="HK48" s="42"/>
      <c r="HL48" s="41"/>
      <c r="HM48" s="41"/>
      <c r="HN48" s="41"/>
      <c r="HO48" s="41">
        <v>2</v>
      </c>
      <c r="HP48" s="41">
        <v>1</v>
      </c>
      <c r="HQ48" s="42">
        <v>6.25</v>
      </c>
      <c r="HU48" s="7">
        <v>1</v>
      </c>
      <c r="HV48" s="7">
        <v>1</v>
      </c>
      <c r="HW48" s="8">
        <v>6.25</v>
      </c>
      <c r="IB48" s="7">
        <v>1</v>
      </c>
      <c r="IC48" s="8">
        <v>6.25</v>
      </c>
      <c r="IS48" s="49">
        <v>2</v>
      </c>
      <c r="IT48" s="49">
        <v>1</v>
      </c>
      <c r="IU48" s="8">
        <v>6.25</v>
      </c>
      <c r="IY48" s="49">
        <v>2</v>
      </c>
      <c r="IZ48" s="49">
        <v>1</v>
      </c>
      <c r="JA48" s="8">
        <v>6.25</v>
      </c>
      <c r="JK48" s="7">
        <v>1</v>
      </c>
      <c r="JQ48" s="7">
        <v>2</v>
      </c>
      <c r="JT48" s="7">
        <v>1</v>
      </c>
      <c r="JW48" s="7">
        <v>2</v>
      </c>
      <c r="KC48" s="7">
        <v>2</v>
      </c>
    </row>
    <row r="49" spans="2:291" ht="19.5">
      <c r="B49" s="9">
        <v>0</v>
      </c>
      <c r="C49" s="9" t="s">
        <v>97</v>
      </c>
      <c r="AI49" s="7">
        <v>1</v>
      </c>
      <c r="AK49" s="7">
        <v>1</v>
      </c>
      <c r="AL49" s="7">
        <v>1</v>
      </c>
      <c r="AM49" s="8">
        <v>6.25</v>
      </c>
      <c r="DW49" s="7">
        <v>2</v>
      </c>
      <c r="EC49" s="7">
        <v>2</v>
      </c>
      <c r="GZ49" s="41">
        <v>1</v>
      </c>
      <c r="HA49" s="41"/>
      <c r="HB49" s="41"/>
      <c r="HC49" s="41">
        <v>3</v>
      </c>
      <c r="HD49" s="41"/>
      <c r="HE49" s="42"/>
      <c r="HF49" s="41"/>
      <c r="HG49" s="41"/>
      <c r="HH49" s="41"/>
      <c r="HI49" s="41"/>
      <c r="HJ49" s="41">
        <v>1</v>
      </c>
      <c r="HK49" s="42">
        <v>6.25</v>
      </c>
      <c r="HL49" s="41"/>
      <c r="HM49" s="41"/>
      <c r="HN49" s="41"/>
      <c r="HO49" s="41"/>
      <c r="HP49" s="41">
        <v>1</v>
      </c>
      <c r="HQ49" s="42">
        <v>6.25</v>
      </c>
      <c r="HV49" s="7">
        <v>1</v>
      </c>
      <c r="HW49" s="8">
        <v>6.25</v>
      </c>
      <c r="HX49" s="7">
        <v>2</v>
      </c>
      <c r="IB49" s="7">
        <v>1</v>
      </c>
      <c r="IC49" s="8">
        <v>6.25</v>
      </c>
      <c r="IS49" s="49">
        <v>2</v>
      </c>
      <c r="IT49" s="49">
        <v>1</v>
      </c>
      <c r="IU49" s="8">
        <v>6.25</v>
      </c>
      <c r="IY49" s="49">
        <v>2</v>
      </c>
      <c r="IZ49" s="49">
        <v>1</v>
      </c>
      <c r="JA49" s="8">
        <v>6.25</v>
      </c>
      <c r="JT49" s="7">
        <v>2</v>
      </c>
      <c r="JW49" s="7">
        <v>3</v>
      </c>
      <c r="KC49" s="7">
        <v>2</v>
      </c>
    </row>
    <row r="50" spans="2:291" ht="19.5">
      <c r="B50" s="9">
        <v>0</v>
      </c>
      <c r="C50" s="9" t="s">
        <v>98</v>
      </c>
      <c r="T50" s="7">
        <v>1</v>
      </c>
      <c r="U50" s="8">
        <v>6.25</v>
      </c>
      <c r="AO50" s="7">
        <v>1</v>
      </c>
      <c r="AP50" s="7">
        <v>6.25</v>
      </c>
      <c r="AQ50" s="7">
        <v>1</v>
      </c>
      <c r="DF50" s="7">
        <v>1</v>
      </c>
      <c r="DG50" s="8">
        <v>6.25</v>
      </c>
      <c r="DQ50" s="7">
        <v>1</v>
      </c>
      <c r="DW50" s="7">
        <v>1</v>
      </c>
      <c r="EC50" s="7">
        <v>1</v>
      </c>
      <c r="GW50" s="7">
        <v>2</v>
      </c>
      <c r="GZ50" s="41"/>
      <c r="HA50" s="41"/>
      <c r="HB50" s="41"/>
      <c r="HC50" s="41"/>
      <c r="HD50" s="41"/>
      <c r="HE50" s="42"/>
      <c r="HF50" s="41"/>
      <c r="HG50" s="41"/>
      <c r="HH50" s="41"/>
      <c r="HI50" s="41"/>
      <c r="HJ50" s="41"/>
      <c r="HK50" s="42"/>
      <c r="HL50" s="41"/>
      <c r="HM50" s="41"/>
      <c r="HN50" s="41"/>
      <c r="HO50" s="41">
        <v>2</v>
      </c>
      <c r="HP50" s="41">
        <v>1</v>
      </c>
      <c r="HQ50" s="42">
        <v>6.25</v>
      </c>
      <c r="HV50" s="7">
        <v>1</v>
      </c>
      <c r="HW50" s="8">
        <v>6.25</v>
      </c>
      <c r="JK50" s="7">
        <v>2</v>
      </c>
      <c r="JN50" s="7">
        <v>1</v>
      </c>
      <c r="JQ50" s="7">
        <v>2</v>
      </c>
      <c r="JT50" s="7">
        <v>2</v>
      </c>
      <c r="JW50" s="7">
        <v>3</v>
      </c>
      <c r="KC50" s="7">
        <v>2</v>
      </c>
    </row>
    <row r="51" spans="2:291" ht="19.5">
      <c r="B51" s="9">
        <v>0</v>
      </c>
      <c r="C51" s="9" t="s">
        <v>99</v>
      </c>
      <c r="DW51" s="7">
        <v>2</v>
      </c>
      <c r="EC51" s="7">
        <v>1</v>
      </c>
      <c r="GW51" s="7">
        <v>1</v>
      </c>
      <c r="GX51" s="7">
        <v>1</v>
      </c>
      <c r="GY51" s="8">
        <v>6.25</v>
      </c>
      <c r="GZ51" s="41"/>
      <c r="HA51" s="41"/>
      <c r="HB51" s="41"/>
      <c r="HC51" s="41"/>
      <c r="HD51" s="41">
        <v>1</v>
      </c>
      <c r="HE51" s="42">
        <v>6.25</v>
      </c>
      <c r="HF51" s="41"/>
      <c r="HG51" s="41"/>
      <c r="HH51" s="41"/>
      <c r="HI51" s="41"/>
      <c r="HJ51" s="41">
        <v>1</v>
      </c>
      <c r="HK51" s="42">
        <v>6.25</v>
      </c>
      <c r="HL51" s="41"/>
      <c r="HM51" s="41"/>
      <c r="HN51" s="41"/>
      <c r="HO51" s="41"/>
      <c r="HP51" s="41">
        <v>1</v>
      </c>
      <c r="HQ51" s="42">
        <v>6.25</v>
      </c>
      <c r="HU51" s="7">
        <v>2</v>
      </c>
      <c r="HV51" s="7">
        <v>1</v>
      </c>
      <c r="HW51" s="8">
        <v>6.25</v>
      </c>
      <c r="HX51" s="7">
        <v>2</v>
      </c>
      <c r="IB51" s="7">
        <v>1</v>
      </c>
      <c r="IC51" s="8">
        <v>6.25</v>
      </c>
    </row>
    <row r="52" spans="2:291" ht="19.5">
      <c r="B52" s="9">
        <v>0</v>
      </c>
      <c r="C52" s="9" t="s">
        <v>100</v>
      </c>
      <c r="BF52" s="7">
        <v>1</v>
      </c>
      <c r="DF52" s="7">
        <v>1</v>
      </c>
      <c r="DG52" s="8">
        <v>6.25</v>
      </c>
      <c r="DQ52" s="7">
        <v>1</v>
      </c>
      <c r="DW52" s="7">
        <v>1</v>
      </c>
      <c r="EC52" s="7">
        <v>1</v>
      </c>
      <c r="GW52" s="7">
        <v>1</v>
      </c>
      <c r="GX52" s="7">
        <v>1</v>
      </c>
      <c r="GY52" s="8">
        <v>6.25</v>
      </c>
      <c r="GZ52" s="41"/>
      <c r="HA52" s="41"/>
      <c r="HB52" s="41"/>
      <c r="HC52" s="41"/>
      <c r="HD52" s="41"/>
      <c r="HE52" s="42"/>
      <c r="HF52" s="41"/>
      <c r="HG52" s="41"/>
      <c r="HH52" s="41"/>
      <c r="HI52" s="41"/>
      <c r="HJ52" s="41"/>
      <c r="HK52" s="42"/>
      <c r="HL52" s="41">
        <v>1</v>
      </c>
      <c r="HM52" s="41"/>
      <c r="HN52" s="41"/>
      <c r="HO52" s="41">
        <v>3</v>
      </c>
      <c r="HP52" s="41">
        <v>1</v>
      </c>
      <c r="HQ52" s="42">
        <v>6.25</v>
      </c>
      <c r="HU52" s="7">
        <v>2</v>
      </c>
      <c r="HV52" s="7">
        <v>1</v>
      </c>
      <c r="HW52" s="8">
        <v>6.25</v>
      </c>
      <c r="HX52" s="7">
        <v>2</v>
      </c>
      <c r="IB52" s="7">
        <v>1</v>
      </c>
      <c r="IC52" s="8">
        <v>6.25</v>
      </c>
      <c r="IG52" s="7">
        <v>3</v>
      </c>
      <c r="IM52" s="7">
        <v>3</v>
      </c>
      <c r="JK52" s="7">
        <v>2</v>
      </c>
      <c r="JN52" s="7">
        <v>1</v>
      </c>
      <c r="JQ52" s="7">
        <v>2</v>
      </c>
      <c r="JT52" s="7">
        <v>2</v>
      </c>
      <c r="JW52" s="7">
        <v>3</v>
      </c>
      <c r="KC52" s="7">
        <v>2</v>
      </c>
    </row>
    <row r="53" spans="2:291" ht="19.5">
      <c r="B53" s="9">
        <v>0</v>
      </c>
      <c r="C53" s="9" t="s">
        <v>101</v>
      </c>
      <c r="CH53" s="7">
        <v>1</v>
      </c>
      <c r="CI53" s="8">
        <v>6.25</v>
      </c>
      <c r="CQ53" s="7">
        <v>1</v>
      </c>
      <c r="DW53" s="7">
        <v>1</v>
      </c>
      <c r="EC53" s="7">
        <v>1</v>
      </c>
      <c r="EF53" s="7">
        <v>1</v>
      </c>
      <c r="EI53" s="7">
        <v>2</v>
      </c>
      <c r="EJ53" s="7">
        <v>1</v>
      </c>
      <c r="EK53" s="8">
        <v>12.5</v>
      </c>
      <c r="EL53" s="7">
        <v>1</v>
      </c>
      <c r="EO53" s="7">
        <v>2</v>
      </c>
      <c r="EP53" s="7">
        <v>1</v>
      </c>
      <c r="EQ53" s="8">
        <v>12.5</v>
      </c>
      <c r="ER53" s="7">
        <v>1</v>
      </c>
      <c r="EU53" s="7">
        <v>2</v>
      </c>
      <c r="EV53" s="7">
        <v>1</v>
      </c>
      <c r="EW53" s="8">
        <v>12.5</v>
      </c>
      <c r="EX53" s="7">
        <v>1</v>
      </c>
      <c r="FA53" s="7">
        <v>2</v>
      </c>
      <c r="FB53" s="7">
        <v>1</v>
      </c>
      <c r="FC53" s="8">
        <v>12.5</v>
      </c>
      <c r="FD53" s="7">
        <v>1</v>
      </c>
      <c r="FG53" s="7">
        <v>2</v>
      </c>
      <c r="FH53" s="7">
        <v>1</v>
      </c>
      <c r="FI53" s="8">
        <v>12.5</v>
      </c>
      <c r="FJ53" s="7">
        <v>1</v>
      </c>
      <c r="FM53" s="7">
        <v>2</v>
      </c>
      <c r="FN53" s="7">
        <v>1</v>
      </c>
      <c r="FO53" s="8">
        <v>12.5</v>
      </c>
      <c r="FP53" s="7">
        <v>1</v>
      </c>
      <c r="FS53" s="7">
        <v>2</v>
      </c>
      <c r="FT53" s="7">
        <v>1</v>
      </c>
      <c r="FU53" s="8">
        <v>12.5</v>
      </c>
      <c r="FV53" s="7">
        <v>1</v>
      </c>
      <c r="FY53" s="7">
        <v>2</v>
      </c>
      <c r="FZ53" s="7">
        <v>1</v>
      </c>
      <c r="GA53" s="8">
        <v>12.5</v>
      </c>
      <c r="GB53" s="7">
        <v>1</v>
      </c>
      <c r="GE53" s="7">
        <v>2</v>
      </c>
      <c r="GF53" s="7">
        <v>1</v>
      </c>
      <c r="GG53" s="8">
        <v>12.5</v>
      </c>
      <c r="GH53" s="7">
        <v>1</v>
      </c>
      <c r="GK53" s="7">
        <v>2</v>
      </c>
      <c r="GL53" s="7">
        <v>1</v>
      </c>
      <c r="GM53" s="8">
        <v>12.5</v>
      </c>
      <c r="GN53" s="7">
        <v>1</v>
      </c>
      <c r="GQ53" s="7">
        <v>2</v>
      </c>
      <c r="GR53" s="7">
        <v>1</v>
      </c>
      <c r="GS53" s="8">
        <v>12.5</v>
      </c>
      <c r="GW53" s="7">
        <v>1</v>
      </c>
      <c r="GX53" s="7">
        <v>1</v>
      </c>
      <c r="GY53" s="8">
        <v>6.25</v>
      </c>
      <c r="GZ53" s="41"/>
      <c r="HA53" s="41"/>
      <c r="HB53" s="41"/>
      <c r="HC53" s="41"/>
      <c r="HD53" s="41">
        <v>1</v>
      </c>
      <c r="HE53" s="42">
        <v>6.25</v>
      </c>
      <c r="HF53" s="41"/>
      <c r="HG53" s="41"/>
      <c r="HH53" s="41"/>
      <c r="HI53" s="41"/>
      <c r="HJ53" s="41"/>
      <c r="HK53" s="42"/>
      <c r="HL53" s="41"/>
      <c r="HM53" s="41"/>
      <c r="HN53" s="41"/>
      <c r="HO53" s="41"/>
      <c r="HP53" s="41">
        <v>1</v>
      </c>
      <c r="HQ53" s="42">
        <v>6.25</v>
      </c>
      <c r="HU53" s="7">
        <v>2</v>
      </c>
      <c r="HV53" s="7">
        <v>1</v>
      </c>
      <c r="HW53" s="8">
        <v>12.5</v>
      </c>
      <c r="HX53" s="7">
        <v>3</v>
      </c>
      <c r="IB53" s="7">
        <v>1</v>
      </c>
      <c r="IC53" s="8">
        <v>6.25</v>
      </c>
      <c r="ID53" s="7">
        <v>2</v>
      </c>
      <c r="IG53" s="7">
        <v>4</v>
      </c>
      <c r="IH53" s="7">
        <v>1</v>
      </c>
      <c r="II53" s="8">
        <v>6.25</v>
      </c>
      <c r="IJ53" s="7">
        <v>2</v>
      </c>
      <c r="IM53" s="7">
        <v>4</v>
      </c>
      <c r="IN53" s="7">
        <v>1</v>
      </c>
      <c r="IO53" s="8">
        <v>6.25</v>
      </c>
      <c r="JE53" s="7">
        <v>2</v>
      </c>
      <c r="JK53" s="7">
        <v>2</v>
      </c>
      <c r="JN53" s="7">
        <v>1</v>
      </c>
      <c r="JQ53" s="7">
        <v>2</v>
      </c>
      <c r="JT53" s="7">
        <v>2</v>
      </c>
      <c r="JW53" s="7">
        <v>3</v>
      </c>
      <c r="KC53" s="7">
        <v>2</v>
      </c>
    </row>
    <row r="54" spans="2:291" ht="19.5">
      <c r="B54" s="9">
        <v>0</v>
      </c>
      <c r="C54" s="9" t="s">
        <v>102</v>
      </c>
      <c r="CK54" s="7">
        <v>1</v>
      </c>
      <c r="GZ54" s="41"/>
      <c r="HA54" s="41"/>
      <c r="HB54" s="41"/>
      <c r="HC54" s="41"/>
      <c r="HD54" s="41"/>
      <c r="HE54" s="42"/>
      <c r="HF54" s="41"/>
      <c r="HG54" s="41"/>
      <c r="HH54" s="41"/>
      <c r="HI54" s="41"/>
      <c r="HJ54" s="41"/>
      <c r="HK54" s="42"/>
      <c r="HL54" s="41"/>
      <c r="HM54" s="41"/>
      <c r="HN54" s="41"/>
      <c r="HO54" s="41"/>
      <c r="HP54" s="41">
        <v>1</v>
      </c>
      <c r="HQ54" s="42">
        <v>6.25</v>
      </c>
      <c r="HV54" s="7">
        <v>1</v>
      </c>
      <c r="HW54" s="8">
        <v>6.25</v>
      </c>
      <c r="JK54" s="7">
        <v>2</v>
      </c>
    </row>
    <row r="55" spans="2:291" ht="19.5">
      <c r="B55" s="9">
        <v>0</v>
      </c>
      <c r="C55" s="9" t="s">
        <v>103</v>
      </c>
      <c r="N55" s="7">
        <v>1</v>
      </c>
      <c r="O55" s="8">
        <v>12.5</v>
      </c>
      <c r="AC55" s="7">
        <v>1</v>
      </c>
      <c r="AD55" s="7">
        <v>100</v>
      </c>
      <c r="AF55" s="7">
        <v>1</v>
      </c>
      <c r="AG55" s="8">
        <v>6.25</v>
      </c>
      <c r="AT55" s="7">
        <v>2</v>
      </c>
      <c r="AZ55" s="7">
        <v>1</v>
      </c>
      <c r="CE55" s="7">
        <v>1</v>
      </c>
      <c r="CH55" s="7">
        <v>1</v>
      </c>
      <c r="CI55" s="8">
        <v>6.25</v>
      </c>
      <c r="CZ55" s="7">
        <v>1</v>
      </c>
      <c r="DA55" s="8">
        <v>6.25</v>
      </c>
      <c r="DH55" s="7">
        <v>1</v>
      </c>
      <c r="DW55" s="7">
        <v>1</v>
      </c>
      <c r="EC55" s="7">
        <v>2</v>
      </c>
      <c r="GW55" s="7">
        <v>1</v>
      </c>
      <c r="GZ55" s="41">
        <v>1</v>
      </c>
      <c r="HA55" s="41"/>
      <c r="HB55" s="41"/>
      <c r="HC55" s="41">
        <v>3</v>
      </c>
      <c r="HD55" s="41">
        <v>1</v>
      </c>
      <c r="HE55" s="42">
        <v>6.25</v>
      </c>
      <c r="HF55" s="41"/>
      <c r="HG55" s="41"/>
      <c r="HH55" s="41"/>
      <c r="HI55" s="41"/>
      <c r="HJ55" s="41">
        <v>1</v>
      </c>
      <c r="HK55" s="42">
        <v>6.25</v>
      </c>
      <c r="HL55" s="41">
        <v>1</v>
      </c>
      <c r="HM55" s="41"/>
      <c r="HN55" s="41"/>
      <c r="HO55" s="41"/>
      <c r="HP55" s="41">
        <v>1</v>
      </c>
      <c r="HQ55" s="42">
        <v>6.25</v>
      </c>
      <c r="HU55" s="7">
        <v>2</v>
      </c>
      <c r="HV55" s="7">
        <v>1</v>
      </c>
      <c r="HW55" s="8">
        <v>6.25</v>
      </c>
      <c r="HX55" s="7">
        <v>3</v>
      </c>
      <c r="IB55" s="7">
        <v>1</v>
      </c>
      <c r="IC55" s="8">
        <v>6.25</v>
      </c>
      <c r="IS55" s="49">
        <v>2</v>
      </c>
      <c r="IT55" s="49">
        <v>1</v>
      </c>
      <c r="IU55" s="8">
        <v>6.25</v>
      </c>
      <c r="JH55" s="7">
        <v>1</v>
      </c>
      <c r="JK55" s="7">
        <v>1</v>
      </c>
      <c r="JL55" s="7">
        <v>1</v>
      </c>
      <c r="JM55" s="8">
        <v>6.25</v>
      </c>
      <c r="JN55" s="7">
        <v>1</v>
      </c>
      <c r="JQ55" s="7">
        <v>2</v>
      </c>
      <c r="JT55" s="7">
        <v>2</v>
      </c>
      <c r="JW55" s="7">
        <v>3</v>
      </c>
      <c r="JZ55" s="7">
        <v>1</v>
      </c>
      <c r="KA55" s="7">
        <v>1</v>
      </c>
      <c r="KB55" s="7">
        <v>25</v>
      </c>
      <c r="KC55" s="7">
        <v>3</v>
      </c>
      <c r="KD55" s="7">
        <v>1</v>
      </c>
      <c r="KE55" s="8">
        <v>6.25</v>
      </c>
    </row>
    <row r="56" spans="2:291" ht="19.5">
      <c r="B56" s="9" t="s">
        <v>104</v>
      </c>
      <c r="C56" s="9" t="s">
        <v>105</v>
      </c>
      <c r="DK56" s="7">
        <v>1</v>
      </c>
      <c r="DQ56" s="7">
        <v>1</v>
      </c>
      <c r="DW56" s="7">
        <v>1</v>
      </c>
      <c r="EC56" s="7">
        <v>1</v>
      </c>
      <c r="FM56" s="7">
        <v>1</v>
      </c>
      <c r="FS56" s="7">
        <v>1</v>
      </c>
      <c r="FY56" s="7">
        <v>1</v>
      </c>
      <c r="GE56" s="7">
        <v>1</v>
      </c>
      <c r="GK56" s="7">
        <v>1</v>
      </c>
      <c r="GQ56" s="7">
        <v>1</v>
      </c>
      <c r="GW56" s="7">
        <v>1</v>
      </c>
      <c r="GZ56" s="41"/>
      <c r="HA56" s="41"/>
      <c r="HB56" s="41"/>
      <c r="HC56" s="41"/>
      <c r="HD56" s="41"/>
      <c r="HE56" s="42"/>
      <c r="HF56" s="41"/>
      <c r="HG56" s="41"/>
      <c r="HH56" s="41"/>
      <c r="HI56" s="41"/>
      <c r="HJ56" s="41"/>
      <c r="HK56" s="42"/>
      <c r="HL56" s="41"/>
      <c r="HM56" s="41"/>
      <c r="HN56" s="41"/>
      <c r="HO56" s="41">
        <v>2</v>
      </c>
      <c r="HP56" s="41"/>
      <c r="HQ56" s="42"/>
      <c r="IA56" s="7">
        <v>2</v>
      </c>
      <c r="IG56" s="7">
        <v>2</v>
      </c>
      <c r="IM56" s="7">
        <v>2</v>
      </c>
      <c r="JE56" s="7">
        <v>1</v>
      </c>
    </row>
    <row r="57" spans="2:291" ht="19.5">
      <c r="B57" s="9">
        <v>0</v>
      </c>
      <c r="C57" s="9" t="s">
        <v>106</v>
      </c>
      <c r="G57" s="7">
        <v>1</v>
      </c>
      <c r="Y57" s="7">
        <v>1</v>
      </c>
      <c r="AE57" s="7">
        <v>1</v>
      </c>
      <c r="AK57" s="7">
        <v>1</v>
      </c>
      <c r="AQ57" s="7">
        <v>1</v>
      </c>
      <c r="CG57" s="7">
        <v>1</v>
      </c>
      <c r="CY57" s="7">
        <v>1</v>
      </c>
      <c r="DW57" s="7">
        <v>1</v>
      </c>
      <c r="EC57" s="7">
        <v>1</v>
      </c>
      <c r="EI57" s="7">
        <v>1</v>
      </c>
      <c r="EO57" s="7">
        <v>1</v>
      </c>
      <c r="EU57" s="7">
        <v>1</v>
      </c>
      <c r="FA57" s="7">
        <v>1</v>
      </c>
      <c r="FG57" s="7">
        <v>1</v>
      </c>
      <c r="FM57" s="7">
        <v>1</v>
      </c>
      <c r="FS57" s="7">
        <v>1</v>
      </c>
      <c r="FY57" s="7">
        <v>1</v>
      </c>
      <c r="GE57" s="7">
        <v>1</v>
      </c>
      <c r="GK57" s="7">
        <v>1</v>
      </c>
      <c r="GQ57" s="7">
        <v>1</v>
      </c>
      <c r="GT57" s="7">
        <v>1</v>
      </c>
      <c r="GW57" s="7">
        <v>1</v>
      </c>
      <c r="GZ57" s="41"/>
      <c r="HA57" s="41"/>
      <c r="HB57" s="41"/>
      <c r="HC57" s="41"/>
      <c r="HD57" s="41"/>
      <c r="HE57" s="42"/>
      <c r="HF57" s="41"/>
      <c r="HG57" s="41"/>
      <c r="HH57" s="41"/>
      <c r="HI57" s="41"/>
      <c r="HJ57" s="41"/>
      <c r="HK57" s="42"/>
      <c r="HL57" s="41"/>
      <c r="HM57" s="41"/>
      <c r="HN57" s="41"/>
      <c r="HO57" s="41">
        <v>2</v>
      </c>
      <c r="HP57" s="41"/>
      <c r="HQ57" s="42"/>
      <c r="IA57" s="7">
        <v>3</v>
      </c>
      <c r="IG57" s="7">
        <v>2</v>
      </c>
      <c r="IM57" s="7">
        <v>2</v>
      </c>
      <c r="JE57" s="7">
        <v>1</v>
      </c>
      <c r="JQ57" s="7">
        <v>1</v>
      </c>
    </row>
    <row r="58" spans="2:291" ht="19.5">
      <c r="B58" s="9">
        <v>0</v>
      </c>
      <c r="C58" s="9" t="s">
        <v>107</v>
      </c>
      <c r="G58" s="7">
        <v>2</v>
      </c>
      <c r="K58" s="7">
        <v>1</v>
      </c>
      <c r="L58" s="7">
        <v>75</v>
      </c>
      <c r="N58" s="7">
        <v>1</v>
      </c>
      <c r="O58" s="8">
        <v>75</v>
      </c>
      <c r="T58" s="7">
        <v>1</v>
      </c>
      <c r="U58" s="8">
        <v>6.25</v>
      </c>
      <c r="Y58" s="7">
        <v>1</v>
      </c>
      <c r="AE58" s="7">
        <v>1</v>
      </c>
      <c r="AK58" s="7">
        <v>2</v>
      </c>
      <c r="AQ58" s="7">
        <v>1</v>
      </c>
      <c r="AT58" s="7">
        <v>1</v>
      </c>
      <c r="BF58" s="7">
        <v>1</v>
      </c>
      <c r="BL58" s="7">
        <v>1</v>
      </c>
      <c r="CM58" s="7">
        <v>1</v>
      </c>
      <c r="CY58" s="7">
        <v>1</v>
      </c>
      <c r="DH58" s="7">
        <v>1</v>
      </c>
      <c r="DK58" s="7">
        <v>2</v>
      </c>
      <c r="DL58" s="7">
        <v>1</v>
      </c>
      <c r="DM58" s="8">
        <v>6.25</v>
      </c>
      <c r="DN58" s="7">
        <v>1</v>
      </c>
      <c r="DQ58" s="7">
        <v>2</v>
      </c>
      <c r="DR58" s="7">
        <v>1</v>
      </c>
      <c r="DS58" s="8">
        <v>6.25</v>
      </c>
      <c r="DT58" s="7">
        <v>1</v>
      </c>
      <c r="DW58" s="7">
        <v>2</v>
      </c>
      <c r="DX58" s="7">
        <v>1</v>
      </c>
      <c r="DY58" s="8">
        <v>6.25</v>
      </c>
      <c r="DZ58" s="7">
        <v>1</v>
      </c>
      <c r="EC58" s="7">
        <v>2</v>
      </c>
      <c r="ED58" s="7">
        <v>1</v>
      </c>
      <c r="EE58" s="8">
        <v>6.25</v>
      </c>
      <c r="EF58" s="7">
        <v>1</v>
      </c>
      <c r="EI58" s="7">
        <v>2</v>
      </c>
      <c r="EL58" s="7">
        <v>1</v>
      </c>
      <c r="EO58" s="7">
        <v>2</v>
      </c>
      <c r="EU58" s="7">
        <v>2</v>
      </c>
      <c r="FA58" s="7">
        <v>2</v>
      </c>
      <c r="FG58" s="7">
        <v>2</v>
      </c>
      <c r="FM58" s="7">
        <v>2</v>
      </c>
      <c r="FS58" s="7">
        <v>2</v>
      </c>
      <c r="FY58" s="7">
        <v>2</v>
      </c>
      <c r="GE58" s="7">
        <v>2</v>
      </c>
      <c r="GK58" s="7">
        <v>2</v>
      </c>
      <c r="GQ58" s="7">
        <v>2</v>
      </c>
      <c r="GT58" s="7">
        <v>2</v>
      </c>
      <c r="GW58" s="7">
        <v>3</v>
      </c>
      <c r="GZ58" s="41">
        <v>2</v>
      </c>
      <c r="HA58" s="41"/>
      <c r="HB58" s="41"/>
      <c r="HC58" s="41">
        <v>4</v>
      </c>
      <c r="HD58" s="41">
        <v>1</v>
      </c>
      <c r="HE58" s="42">
        <v>6.25</v>
      </c>
      <c r="HF58" s="41"/>
      <c r="HG58" s="41"/>
      <c r="HH58" s="41"/>
      <c r="HI58" s="41"/>
      <c r="HJ58" s="41"/>
      <c r="HK58" s="42"/>
      <c r="HL58" s="41">
        <v>2</v>
      </c>
      <c r="HM58" s="41"/>
      <c r="HN58" s="41"/>
      <c r="HO58" s="41">
        <v>3</v>
      </c>
      <c r="HP58" s="41">
        <v>1</v>
      </c>
      <c r="HQ58" s="42">
        <v>6.25</v>
      </c>
      <c r="HR58" s="7">
        <v>2</v>
      </c>
      <c r="HU58" s="7">
        <v>3</v>
      </c>
      <c r="HV58" s="7">
        <v>1</v>
      </c>
      <c r="HW58" s="8">
        <v>6.25</v>
      </c>
      <c r="HX58" s="7">
        <v>3</v>
      </c>
      <c r="IB58" s="7">
        <v>1</v>
      </c>
      <c r="IC58" s="8">
        <v>6.25</v>
      </c>
      <c r="IG58" s="7">
        <v>3</v>
      </c>
      <c r="IM58" s="7">
        <v>3</v>
      </c>
      <c r="IP58" s="48">
        <v>1</v>
      </c>
      <c r="IS58" s="49">
        <v>3</v>
      </c>
      <c r="IV58" s="48">
        <v>1</v>
      </c>
      <c r="IY58" s="49">
        <v>3</v>
      </c>
      <c r="JE58" s="7">
        <v>3</v>
      </c>
      <c r="JH58" s="7">
        <v>2</v>
      </c>
      <c r="JK58" s="7">
        <v>3</v>
      </c>
      <c r="JN58" s="7">
        <v>2</v>
      </c>
      <c r="JQ58" s="7">
        <v>3</v>
      </c>
      <c r="JT58" s="7">
        <v>2</v>
      </c>
      <c r="JW58" s="7">
        <v>3</v>
      </c>
      <c r="JZ58" s="7">
        <v>2</v>
      </c>
      <c r="KC58" s="7">
        <v>3</v>
      </c>
    </row>
    <row r="59" spans="2:291" ht="19.5">
      <c r="B59" s="9">
        <v>0</v>
      </c>
      <c r="C59" s="9" t="s">
        <v>108</v>
      </c>
      <c r="BY59" s="7">
        <v>1</v>
      </c>
      <c r="CN59" s="7">
        <v>1</v>
      </c>
      <c r="CO59" s="8">
        <v>6.25</v>
      </c>
      <c r="CT59" s="7">
        <v>1</v>
      </c>
      <c r="CU59" s="8">
        <v>6.25</v>
      </c>
      <c r="DK59" s="7">
        <v>2</v>
      </c>
      <c r="DW59" s="7">
        <v>1</v>
      </c>
      <c r="EC59" s="7">
        <v>1</v>
      </c>
      <c r="GW59" s="7">
        <v>2</v>
      </c>
      <c r="GZ59" s="41"/>
      <c r="HA59" s="41"/>
      <c r="HB59" s="41"/>
      <c r="HC59" s="41"/>
      <c r="HD59" s="41"/>
      <c r="HE59" s="42"/>
      <c r="HF59" s="41"/>
      <c r="HG59" s="41"/>
      <c r="HH59" s="41"/>
      <c r="HI59" s="41"/>
      <c r="HJ59" s="41"/>
      <c r="HK59" s="42"/>
      <c r="HL59" s="41"/>
      <c r="HM59" s="41"/>
      <c r="HN59" s="41"/>
      <c r="HO59" s="41">
        <v>2</v>
      </c>
      <c r="HP59" s="41"/>
      <c r="HQ59" s="42"/>
      <c r="HU59" s="7">
        <v>2</v>
      </c>
      <c r="IA59" s="7">
        <v>2</v>
      </c>
      <c r="IG59" s="7">
        <v>2</v>
      </c>
      <c r="IM59" s="7">
        <v>2</v>
      </c>
      <c r="IS59" s="49">
        <v>2</v>
      </c>
      <c r="IY59" s="49">
        <v>2</v>
      </c>
      <c r="JE59" s="7">
        <v>2</v>
      </c>
      <c r="JQ59" s="7">
        <v>1</v>
      </c>
      <c r="JW59" s="7">
        <v>2</v>
      </c>
    </row>
    <row r="60" spans="2:291" ht="19.5">
      <c r="B60" s="9">
        <v>0</v>
      </c>
      <c r="C60" s="9" t="s">
        <v>109</v>
      </c>
      <c r="M60" s="7">
        <v>1</v>
      </c>
      <c r="S60" s="7">
        <v>1</v>
      </c>
      <c r="Y60" s="7">
        <v>1</v>
      </c>
      <c r="AE60" s="7">
        <v>1</v>
      </c>
      <c r="AK60" s="7">
        <v>1</v>
      </c>
      <c r="AQ60" s="7">
        <v>1</v>
      </c>
      <c r="AT60" s="7">
        <v>1</v>
      </c>
      <c r="BF60" s="7">
        <v>1</v>
      </c>
      <c r="BL60" s="7">
        <v>1</v>
      </c>
      <c r="CG60" s="7">
        <v>1</v>
      </c>
      <c r="CS60" s="7">
        <v>1</v>
      </c>
      <c r="CY60" s="7">
        <v>1</v>
      </c>
      <c r="DE60" s="7">
        <v>1</v>
      </c>
      <c r="DK60" s="7">
        <v>1</v>
      </c>
      <c r="DQ60" s="7">
        <v>1</v>
      </c>
      <c r="GZ60" s="41">
        <v>1</v>
      </c>
      <c r="HA60" s="41"/>
      <c r="HB60" s="41"/>
      <c r="HC60" s="41">
        <v>3</v>
      </c>
      <c r="HD60" s="41"/>
      <c r="HE60" s="42"/>
      <c r="HF60" s="41"/>
      <c r="HG60" s="41"/>
      <c r="HH60" s="41"/>
      <c r="HI60" s="41">
        <v>3</v>
      </c>
      <c r="HJ60" s="41"/>
      <c r="HK60" s="42"/>
      <c r="HL60" s="41">
        <v>2</v>
      </c>
      <c r="HM60" s="41"/>
      <c r="HN60" s="41"/>
      <c r="HO60" s="41">
        <v>4</v>
      </c>
      <c r="HP60" s="41"/>
      <c r="HQ60" s="42"/>
      <c r="HR60" s="7">
        <v>2</v>
      </c>
      <c r="HU60" s="7">
        <v>3</v>
      </c>
      <c r="HX60" s="7">
        <v>2</v>
      </c>
      <c r="IA60" s="7">
        <v>4</v>
      </c>
      <c r="IG60" s="7">
        <v>3</v>
      </c>
      <c r="IM60" s="7">
        <v>3</v>
      </c>
      <c r="JK60" s="7">
        <v>2</v>
      </c>
      <c r="JN60" s="7">
        <v>2</v>
      </c>
      <c r="JQ60" s="7">
        <v>3</v>
      </c>
      <c r="JT60" s="7">
        <v>3</v>
      </c>
      <c r="JW60" s="7">
        <v>4</v>
      </c>
      <c r="KC60" s="7">
        <v>1</v>
      </c>
    </row>
    <row r="61" spans="2:291" ht="19.5">
      <c r="B61" s="9">
        <v>0</v>
      </c>
      <c r="C61" s="9" t="s">
        <v>110</v>
      </c>
      <c r="CB61" s="7">
        <v>1</v>
      </c>
      <c r="CC61" s="8">
        <v>50</v>
      </c>
      <c r="CG61" s="7">
        <v>1</v>
      </c>
      <c r="GW61" s="7">
        <v>1</v>
      </c>
      <c r="GZ61" s="41"/>
      <c r="HA61" s="41"/>
      <c r="HB61" s="41"/>
      <c r="HC61" s="41"/>
      <c r="HD61" s="41"/>
      <c r="HE61" s="42"/>
      <c r="HF61" s="41"/>
      <c r="HG61" s="41"/>
      <c r="HH61" s="41"/>
      <c r="HI61" s="41"/>
      <c r="HJ61" s="41"/>
      <c r="HK61" s="42"/>
      <c r="HL61" s="41"/>
      <c r="HM61" s="41"/>
      <c r="HN61" s="41"/>
      <c r="HO61" s="41"/>
      <c r="HP61" s="41"/>
      <c r="HQ61" s="42"/>
    </row>
    <row r="62" spans="2:291" ht="19.5">
      <c r="B62" s="9">
        <v>0</v>
      </c>
      <c r="C62" s="9" t="s">
        <v>111</v>
      </c>
      <c r="AX62" s="7">
        <v>1</v>
      </c>
      <c r="AY62" s="8">
        <v>12.5</v>
      </c>
      <c r="BJ62" s="7">
        <v>1</v>
      </c>
      <c r="BK62" s="8">
        <v>12.5</v>
      </c>
      <c r="CB62" s="7">
        <v>1</v>
      </c>
      <c r="CC62" s="8">
        <v>50</v>
      </c>
      <c r="DW62" s="7">
        <v>1</v>
      </c>
      <c r="EC62" s="7">
        <v>1</v>
      </c>
      <c r="GW62" s="7">
        <v>1</v>
      </c>
      <c r="GZ62" s="41"/>
      <c r="HA62" s="41"/>
      <c r="HB62" s="41"/>
      <c r="HC62" s="41"/>
      <c r="HD62" s="41"/>
      <c r="HE62" s="42"/>
      <c r="HF62" s="41"/>
      <c r="HG62" s="41"/>
      <c r="HH62" s="41"/>
      <c r="HI62" s="41"/>
      <c r="HJ62" s="41"/>
      <c r="HK62" s="42"/>
      <c r="HL62" s="41"/>
      <c r="HM62" s="41"/>
      <c r="HN62" s="41"/>
      <c r="HO62" s="41"/>
      <c r="HP62" s="41"/>
      <c r="HQ62" s="42"/>
      <c r="JQ62" s="7">
        <v>2</v>
      </c>
    </row>
    <row r="63" spans="2:291" ht="19.5">
      <c r="B63" s="9" t="s">
        <v>112</v>
      </c>
      <c r="C63" s="9" t="s">
        <v>113</v>
      </c>
      <c r="EY63" s="7">
        <v>1</v>
      </c>
      <c r="EZ63" s="7">
        <v>50</v>
      </c>
      <c r="FA63" s="7">
        <v>2</v>
      </c>
      <c r="FB63" s="7">
        <v>1</v>
      </c>
      <c r="FC63" s="8">
        <v>6.25</v>
      </c>
      <c r="FE63" s="7">
        <v>1</v>
      </c>
      <c r="FF63" s="7">
        <v>50</v>
      </c>
      <c r="FG63" s="7">
        <v>2</v>
      </c>
      <c r="FH63" s="7">
        <v>1</v>
      </c>
      <c r="FI63" s="8">
        <v>6.25</v>
      </c>
      <c r="GZ63" s="41"/>
      <c r="HA63" s="41"/>
      <c r="HB63" s="41"/>
      <c r="HC63" s="41"/>
      <c r="HD63" s="41"/>
      <c r="HE63" s="42"/>
      <c r="HF63" s="41"/>
      <c r="HG63" s="41"/>
      <c r="HH63" s="41"/>
      <c r="HI63" s="41"/>
      <c r="HJ63" s="41"/>
      <c r="HK63" s="42"/>
      <c r="HL63" s="41"/>
      <c r="HM63" s="41"/>
      <c r="HN63" s="41"/>
      <c r="HO63" s="41"/>
      <c r="HP63" s="41"/>
      <c r="HQ63" s="42"/>
      <c r="JW63" s="7">
        <v>1</v>
      </c>
    </row>
    <row r="64" spans="2:291" ht="19.5">
      <c r="B64" s="9">
        <v>0</v>
      </c>
      <c r="C64" s="9" t="s">
        <v>87</v>
      </c>
      <c r="DQ64" s="7">
        <v>1</v>
      </c>
      <c r="GZ64" s="41"/>
      <c r="HA64" s="41"/>
      <c r="HB64" s="41"/>
      <c r="HC64" s="41"/>
      <c r="HD64" s="41"/>
      <c r="HE64" s="42"/>
      <c r="HF64" s="41"/>
      <c r="HG64" s="41"/>
      <c r="HH64" s="41"/>
      <c r="HI64" s="41"/>
      <c r="HJ64" s="41"/>
      <c r="HK64" s="42"/>
      <c r="HL64" s="41"/>
      <c r="HM64" s="41"/>
      <c r="HN64" s="41"/>
      <c r="HO64" s="41">
        <v>2</v>
      </c>
      <c r="HP64" s="41"/>
      <c r="HQ64" s="42"/>
      <c r="IA64" s="7">
        <v>2</v>
      </c>
      <c r="JW64" s="7">
        <v>1</v>
      </c>
    </row>
    <row r="65" spans="2:289" ht="19.5">
      <c r="B65" s="9">
        <v>0</v>
      </c>
      <c r="C65" s="9" t="s">
        <v>114</v>
      </c>
      <c r="DE65" s="7">
        <v>1</v>
      </c>
      <c r="DQ65" s="7">
        <v>1</v>
      </c>
      <c r="GW65" s="7">
        <v>2</v>
      </c>
      <c r="GZ65" s="41"/>
      <c r="HA65" s="41"/>
      <c r="HB65" s="41"/>
      <c r="HC65" s="41"/>
      <c r="HD65" s="41"/>
      <c r="HE65" s="42"/>
      <c r="HF65" s="41"/>
      <c r="HG65" s="41"/>
      <c r="HH65" s="41"/>
      <c r="HI65" s="41"/>
      <c r="HJ65" s="41"/>
      <c r="HK65" s="42"/>
      <c r="HL65" s="41"/>
      <c r="HM65" s="41"/>
      <c r="HN65" s="41"/>
      <c r="HO65" s="41"/>
      <c r="HP65" s="41"/>
      <c r="HQ65" s="42"/>
      <c r="IA65" s="7">
        <v>2</v>
      </c>
    </row>
    <row r="66" spans="2:289" ht="19.5">
      <c r="B66" s="9">
        <v>0</v>
      </c>
      <c r="C66" s="9" t="s">
        <v>115</v>
      </c>
      <c r="N66" s="7">
        <v>1</v>
      </c>
      <c r="O66" s="8">
        <v>12.5</v>
      </c>
      <c r="DK66" s="7">
        <v>1</v>
      </c>
      <c r="DQ66" s="7">
        <v>1</v>
      </c>
      <c r="DW66" s="7">
        <v>1</v>
      </c>
      <c r="EC66" s="7">
        <v>1</v>
      </c>
      <c r="GW66" s="7">
        <v>1</v>
      </c>
      <c r="GZ66" s="41"/>
      <c r="HA66" s="41"/>
      <c r="HB66" s="41"/>
      <c r="HC66" s="41"/>
      <c r="HD66" s="41"/>
      <c r="HE66" s="42"/>
      <c r="HF66" s="41"/>
      <c r="HG66" s="41"/>
      <c r="HH66" s="41"/>
      <c r="HI66" s="41">
        <v>2</v>
      </c>
      <c r="HJ66" s="41"/>
      <c r="HK66" s="42"/>
      <c r="HL66" s="41"/>
      <c r="HM66" s="41"/>
      <c r="HN66" s="41"/>
      <c r="HO66" s="41">
        <v>2</v>
      </c>
      <c r="HP66" s="41"/>
      <c r="HQ66" s="42"/>
      <c r="IA66" s="7">
        <v>3</v>
      </c>
      <c r="IQ66" s="49">
        <v>1</v>
      </c>
      <c r="IR66" s="49">
        <v>25</v>
      </c>
      <c r="IS66" s="49">
        <v>2</v>
      </c>
      <c r="IT66" s="49">
        <v>1</v>
      </c>
      <c r="IU66" s="8">
        <v>6.25</v>
      </c>
      <c r="IW66" s="49">
        <v>1</v>
      </c>
      <c r="IX66" s="49">
        <v>25</v>
      </c>
      <c r="IY66" s="49">
        <v>2</v>
      </c>
      <c r="IZ66" s="49">
        <v>1</v>
      </c>
      <c r="JA66" s="8">
        <v>6.25</v>
      </c>
      <c r="JW66" s="7">
        <v>1</v>
      </c>
      <c r="KC66" s="7">
        <v>1</v>
      </c>
    </row>
    <row r="67" spans="2:289" ht="19.5">
      <c r="B67" s="9">
        <v>0</v>
      </c>
      <c r="C67" s="9" t="s">
        <v>116</v>
      </c>
      <c r="GW67" s="7">
        <v>1</v>
      </c>
      <c r="GZ67" s="41"/>
      <c r="HA67" s="41"/>
      <c r="HB67" s="41"/>
      <c r="HC67" s="41"/>
      <c r="HD67" s="41"/>
      <c r="HE67" s="42"/>
      <c r="HF67" s="41"/>
      <c r="HG67" s="41"/>
      <c r="HH67" s="41"/>
      <c r="HI67" s="41">
        <v>3</v>
      </c>
      <c r="HJ67" s="41"/>
      <c r="HK67" s="42"/>
      <c r="HL67" s="41"/>
      <c r="HM67" s="41"/>
      <c r="HN67" s="41"/>
      <c r="HO67" s="41"/>
      <c r="HP67" s="41"/>
      <c r="HQ67" s="42"/>
      <c r="IA67" s="7">
        <v>2</v>
      </c>
      <c r="IB67" s="7">
        <v>1</v>
      </c>
      <c r="IC67" s="8">
        <v>6.25</v>
      </c>
      <c r="JW67" s="7">
        <v>1</v>
      </c>
    </row>
    <row r="68" spans="2:289" ht="19.5">
      <c r="B68" s="9">
        <v>0</v>
      </c>
      <c r="C68" s="9" t="s">
        <v>117</v>
      </c>
      <c r="AW68" s="7">
        <v>2</v>
      </c>
      <c r="AX68" s="7">
        <v>1</v>
      </c>
      <c r="AY68" s="8">
        <v>12.5</v>
      </c>
      <c r="BI68" s="7">
        <v>2</v>
      </c>
      <c r="BJ68" s="7">
        <v>1</v>
      </c>
      <c r="BK68" s="8">
        <v>12.5</v>
      </c>
      <c r="EO68" s="7">
        <v>2</v>
      </c>
      <c r="FG68" s="7">
        <v>2</v>
      </c>
      <c r="FL68" s="7">
        <v>2</v>
      </c>
      <c r="FY68" s="7">
        <v>2</v>
      </c>
      <c r="GE68" s="7">
        <v>2</v>
      </c>
      <c r="GK68" s="7">
        <v>2</v>
      </c>
      <c r="GQ68" s="7">
        <v>2</v>
      </c>
      <c r="GW68" s="7">
        <v>1</v>
      </c>
      <c r="GX68" s="7">
        <v>1</v>
      </c>
      <c r="GY68" s="8">
        <v>6.25</v>
      </c>
      <c r="GZ68" s="41"/>
      <c r="HA68" s="41"/>
      <c r="HB68" s="41"/>
      <c r="HC68" s="41"/>
      <c r="HD68" s="41"/>
      <c r="HE68" s="42"/>
      <c r="HF68" s="41"/>
      <c r="HG68" s="41"/>
      <c r="HH68" s="41"/>
      <c r="HI68" s="41">
        <v>2</v>
      </c>
      <c r="HJ68" s="41"/>
      <c r="HK68" s="42"/>
      <c r="HL68" s="41"/>
      <c r="HM68" s="41"/>
      <c r="HN68" s="41"/>
      <c r="HO68" s="41">
        <v>2</v>
      </c>
      <c r="HP68" s="41"/>
      <c r="HQ68" s="42"/>
      <c r="HU68" s="7">
        <v>2</v>
      </c>
      <c r="IA68" s="7">
        <v>2</v>
      </c>
      <c r="JW68" s="7">
        <v>1</v>
      </c>
    </row>
    <row r="69" spans="2:289" ht="19.5">
      <c r="B69" s="9">
        <v>0</v>
      </c>
      <c r="C69" s="9" t="s">
        <v>118</v>
      </c>
      <c r="G69" s="7">
        <v>1</v>
      </c>
      <c r="DE69" s="7">
        <v>1</v>
      </c>
      <c r="DK69" s="7">
        <v>1</v>
      </c>
      <c r="DQ69" s="7">
        <v>1</v>
      </c>
      <c r="DW69" s="7">
        <v>1</v>
      </c>
      <c r="EC69" s="7">
        <v>1</v>
      </c>
      <c r="GW69" s="7">
        <v>1</v>
      </c>
      <c r="GX69" s="7">
        <v>1</v>
      </c>
      <c r="GY69" s="8">
        <v>6.25</v>
      </c>
      <c r="GZ69" s="41"/>
      <c r="HA69" s="41"/>
      <c r="HB69" s="41"/>
      <c r="HC69" s="41">
        <v>2</v>
      </c>
      <c r="HD69" s="41"/>
      <c r="HE69" s="42"/>
      <c r="HF69" s="41"/>
      <c r="HG69" s="41"/>
      <c r="HH69" s="41"/>
      <c r="HI69" s="41"/>
      <c r="HJ69" s="41"/>
      <c r="HK69" s="42"/>
      <c r="HL69" s="41"/>
      <c r="HM69" s="41"/>
      <c r="HN69" s="41"/>
      <c r="HO69" s="41">
        <v>2</v>
      </c>
      <c r="HP69" s="41"/>
      <c r="HQ69" s="42"/>
      <c r="HU69" s="7">
        <v>2</v>
      </c>
      <c r="IA69" s="7">
        <v>3</v>
      </c>
      <c r="JK69" s="7">
        <v>2</v>
      </c>
      <c r="JW69" s="7">
        <v>1</v>
      </c>
    </row>
    <row r="70" spans="2:289" ht="19.5">
      <c r="B70" s="9">
        <v>0</v>
      </c>
      <c r="C70" s="9" t="s">
        <v>119</v>
      </c>
      <c r="CA70" s="7">
        <v>1</v>
      </c>
      <c r="CG70" s="7">
        <v>1</v>
      </c>
      <c r="CM70" s="7">
        <v>1</v>
      </c>
      <c r="CS70" s="7">
        <v>1</v>
      </c>
      <c r="CY70" s="7">
        <v>1</v>
      </c>
      <c r="DK70" s="7">
        <v>1</v>
      </c>
      <c r="DQ70" s="7">
        <v>1</v>
      </c>
      <c r="GZ70" s="41"/>
      <c r="HA70" s="41"/>
      <c r="HB70" s="41"/>
      <c r="HC70" s="41"/>
      <c r="HD70" s="41"/>
      <c r="HE70" s="42"/>
      <c r="HF70" s="41"/>
      <c r="HG70" s="41"/>
      <c r="HH70" s="41"/>
      <c r="HI70" s="41"/>
      <c r="HJ70" s="41"/>
      <c r="HK70" s="42"/>
      <c r="HL70" s="41"/>
      <c r="HM70" s="41"/>
      <c r="HN70" s="41"/>
      <c r="HO70" s="41"/>
      <c r="HP70" s="41"/>
      <c r="HQ70" s="42"/>
      <c r="IA70" s="7">
        <v>3</v>
      </c>
      <c r="JK70" s="7">
        <v>2</v>
      </c>
      <c r="JW70" s="7">
        <v>1</v>
      </c>
    </row>
    <row r="71" spans="2:289" ht="19.5">
      <c r="B71" s="9" t="s">
        <v>58</v>
      </c>
      <c r="C71" s="9" t="s">
        <v>120</v>
      </c>
      <c r="CS71" s="7">
        <v>1</v>
      </c>
      <c r="DE71" s="7">
        <v>2</v>
      </c>
      <c r="DK71" s="7">
        <v>2</v>
      </c>
      <c r="EC71" s="7">
        <v>2</v>
      </c>
      <c r="EG71" s="7">
        <v>1</v>
      </c>
      <c r="EH71" s="7">
        <v>50</v>
      </c>
      <c r="FQ71" s="7">
        <v>1</v>
      </c>
      <c r="FR71" s="7">
        <v>25</v>
      </c>
      <c r="FZ71" s="7">
        <v>1</v>
      </c>
      <c r="GA71" s="8">
        <v>6.25</v>
      </c>
      <c r="GI71" s="7">
        <v>1</v>
      </c>
      <c r="GJ71" s="7">
        <v>25</v>
      </c>
      <c r="GO71" s="7">
        <v>1</v>
      </c>
      <c r="GP71" s="7">
        <v>25</v>
      </c>
      <c r="GT71" s="7">
        <v>1</v>
      </c>
      <c r="GX71" s="7">
        <v>1</v>
      </c>
      <c r="GY71" s="8">
        <v>6.25</v>
      </c>
      <c r="GZ71" s="41"/>
      <c r="HA71" s="41"/>
      <c r="HB71" s="41"/>
      <c r="HC71" s="41">
        <v>2</v>
      </c>
      <c r="HD71" s="41"/>
      <c r="HE71" s="42"/>
      <c r="HF71" s="41"/>
      <c r="HG71" s="41"/>
      <c r="HH71" s="41"/>
      <c r="HI71" s="41"/>
      <c r="HJ71" s="41"/>
      <c r="HK71" s="42"/>
      <c r="HL71" s="41"/>
      <c r="HM71" s="41"/>
      <c r="HN71" s="41"/>
      <c r="HO71" s="41">
        <v>3</v>
      </c>
      <c r="HP71" s="41"/>
      <c r="HQ71" s="42"/>
      <c r="HU71" s="7">
        <v>3</v>
      </c>
      <c r="HX71" s="7">
        <v>1</v>
      </c>
      <c r="IE71" s="7">
        <v>1</v>
      </c>
      <c r="IF71" s="7">
        <v>25</v>
      </c>
      <c r="IG71" s="7">
        <v>2</v>
      </c>
      <c r="IH71" s="7">
        <v>1</v>
      </c>
      <c r="II71" s="8">
        <v>6.25</v>
      </c>
      <c r="JF71" s="7">
        <v>1</v>
      </c>
      <c r="JG71" s="8">
        <v>6.25</v>
      </c>
      <c r="KC71" s="7">
        <v>1</v>
      </c>
    </row>
    <row r="72" spans="2:289" ht="19.5">
      <c r="B72" s="9">
        <v>0</v>
      </c>
      <c r="C72" s="9" t="s">
        <v>121</v>
      </c>
      <c r="CS72" s="7">
        <v>1</v>
      </c>
      <c r="DE72" s="7">
        <v>2</v>
      </c>
      <c r="DK72" s="7">
        <v>2</v>
      </c>
      <c r="DQ72" s="7">
        <v>2</v>
      </c>
      <c r="EC72" s="7">
        <v>2</v>
      </c>
      <c r="EI72" s="7">
        <v>1</v>
      </c>
      <c r="EJ72" s="7">
        <v>1</v>
      </c>
      <c r="EK72" s="8">
        <v>12.5</v>
      </c>
      <c r="EO72" s="7">
        <v>1</v>
      </c>
      <c r="EP72" s="7">
        <v>1</v>
      </c>
      <c r="EQ72" s="8">
        <v>12.5</v>
      </c>
      <c r="GW72" s="7">
        <v>1</v>
      </c>
      <c r="GZ72" s="41"/>
      <c r="HA72" s="41"/>
      <c r="HB72" s="41"/>
      <c r="HC72" s="41"/>
      <c r="HD72" s="41"/>
      <c r="HE72" s="42"/>
      <c r="HF72" s="41"/>
      <c r="HG72" s="41"/>
      <c r="HH72" s="41"/>
      <c r="HI72" s="41"/>
      <c r="HJ72" s="41"/>
      <c r="HK72" s="42"/>
      <c r="HL72" s="41"/>
      <c r="HM72" s="41"/>
      <c r="HN72" s="41"/>
      <c r="HO72" s="41"/>
      <c r="HP72" s="41"/>
      <c r="HQ72" s="42"/>
      <c r="HU72" s="7">
        <v>3</v>
      </c>
      <c r="HX72" s="7">
        <v>1</v>
      </c>
      <c r="JF72" s="7">
        <v>1</v>
      </c>
      <c r="JG72" s="8">
        <v>6.25</v>
      </c>
    </row>
    <row r="73" spans="2:289" ht="19.5">
      <c r="B73" s="9">
        <v>0</v>
      </c>
      <c r="C73" s="9" t="s">
        <v>122</v>
      </c>
      <c r="CS73" s="7">
        <v>1</v>
      </c>
      <c r="DE73" s="7">
        <v>2</v>
      </c>
      <c r="DK73" s="7">
        <v>2</v>
      </c>
      <c r="DQ73" s="7">
        <v>2</v>
      </c>
      <c r="EC73" s="7">
        <v>2</v>
      </c>
      <c r="EI73" s="7">
        <v>1</v>
      </c>
      <c r="EJ73" s="7">
        <v>1</v>
      </c>
      <c r="EK73" s="8">
        <v>12.5</v>
      </c>
      <c r="EO73" s="7">
        <v>1</v>
      </c>
      <c r="EP73" s="7">
        <v>1</v>
      </c>
      <c r="EQ73" s="8">
        <v>12.5</v>
      </c>
      <c r="EU73" s="7">
        <v>1</v>
      </c>
      <c r="EV73" s="7">
        <v>1</v>
      </c>
      <c r="EW73" s="8">
        <v>12.5</v>
      </c>
      <c r="FB73" s="7">
        <v>1</v>
      </c>
      <c r="FC73" s="8">
        <v>12.5</v>
      </c>
      <c r="FH73" s="7">
        <v>1</v>
      </c>
      <c r="FI73" s="8">
        <v>6.25</v>
      </c>
      <c r="FZ73" s="7">
        <v>1</v>
      </c>
      <c r="GA73" s="8">
        <v>6.25</v>
      </c>
      <c r="GF73" s="7">
        <v>1</v>
      </c>
      <c r="GG73" s="8">
        <v>6.25</v>
      </c>
      <c r="GW73" s="7">
        <v>1</v>
      </c>
      <c r="GZ73" s="41"/>
      <c r="HA73" s="41"/>
      <c r="HB73" s="41"/>
      <c r="HC73" s="41"/>
      <c r="HD73" s="41"/>
      <c r="HE73" s="42"/>
      <c r="HF73" s="41"/>
      <c r="HG73" s="41"/>
      <c r="HH73" s="41"/>
      <c r="HI73" s="41"/>
      <c r="HJ73" s="41"/>
      <c r="HK73" s="42"/>
      <c r="HL73" s="41"/>
      <c r="HM73" s="41"/>
      <c r="HN73" s="41"/>
      <c r="HO73" s="41"/>
      <c r="HP73" s="41"/>
      <c r="HQ73" s="42"/>
      <c r="HU73" s="7">
        <v>3</v>
      </c>
      <c r="HX73" s="7">
        <v>2</v>
      </c>
      <c r="IB73" s="7">
        <v>1</v>
      </c>
      <c r="IC73" s="8">
        <v>6.25</v>
      </c>
      <c r="IG73" s="7">
        <v>2</v>
      </c>
      <c r="IH73" s="7">
        <v>1</v>
      </c>
      <c r="II73" s="8">
        <v>6.25</v>
      </c>
      <c r="JF73" s="7">
        <v>1</v>
      </c>
      <c r="JG73" s="8">
        <v>6.25</v>
      </c>
    </row>
    <row r="74" spans="2:289" ht="19.5">
      <c r="B74" s="9">
        <v>0</v>
      </c>
      <c r="C74" s="9" t="s">
        <v>123</v>
      </c>
      <c r="CS74" s="7">
        <v>1</v>
      </c>
      <c r="DE74" s="7">
        <v>2</v>
      </c>
      <c r="DK74" s="7">
        <v>2</v>
      </c>
      <c r="DQ74" s="7">
        <v>2</v>
      </c>
      <c r="EC74" s="7">
        <v>2</v>
      </c>
      <c r="EG74" s="7">
        <v>1</v>
      </c>
      <c r="EH74" s="7">
        <v>50</v>
      </c>
      <c r="FB74" s="7">
        <v>1</v>
      </c>
      <c r="FC74" s="8">
        <v>12.5</v>
      </c>
      <c r="FH74" s="7">
        <v>1</v>
      </c>
      <c r="FI74" s="8">
        <v>6.25</v>
      </c>
      <c r="FQ74" s="7">
        <v>1</v>
      </c>
      <c r="FR74" s="7">
        <v>50</v>
      </c>
      <c r="FW74" s="7">
        <v>1</v>
      </c>
      <c r="FX74" s="7">
        <v>50</v>
      </c>
      <c r="GF74" s="7">
        <v>1</v>
      </c>
      <c r="GG74" s="8">
        <v>6.25</v>
      </c>
      <c r="GI74" s="7">
        <v>1</v>
      </c>
      <c r="GJ74" s="7">
        <v>50</v>
      </c>
      <c r="GO74" s="7">
        <v>1</v>
      </c>
      <c r="GP74" s="7">
        <v>25</v>
      </c>
      <c r="GT74" s="7">
        <v>1</v>
      </c>
      <c r="GX74" s="7">
        <v>1</v>
      </c>
      <c r="GY74" s="8">
        <v>6.25</v>
      </c>
      <c r="GZ74" s="41"/>
      <c r="HA74" s="41"/>
      <c r="HB74" s="41"/>
      <c r="HC74" s="41">
        <v>2</v>
      </c>
      <c r="HD74" s="41"/>
      <c r="HE74" s="42"/>
      <c r="HF74" s="41"/>
      <c r="HG74" s="41"/>
      <c r="HH74" s="41"/>
      <c r="HI74" s="41">
        <v>3</v>
      </c>
      <c r="HJ74" s="41"/>
      <c r="HK74" s="42"/>
      <c r="HL74" s="41"/>
      <c r="HM74" s="41"/>
      <c r="HN74" s="41"/>
      <c r="HO74" s="41">
        <v>2</v>
      </c>
      <c r="HP74" s="41"/>
      <c r="HQ74" s="42"/>
      <c r="HR74" s="7">
        <v>1</v>
      </c>
      <c r="HU74" s="7">
        <v>3</v>
      </c>
      <c r="HX74" s="7">
        <v>1</v>
      </c>
      <c r="IE74" s="7">
        <v>1</v>
      </c>
      <c r="IF74" s="7">
        <v>25</v>
      </c>
      <c r="IG74" s="7">
        <v>2</v>
      </c>
      <c r="IH74" s="7">
        <v>1</v>
      </c>
      <c r="II74" s="8">
        <v>6.25</v>
      </c>
      <c r="JF74" s="7">
        <v>1</v>
      </c>
      <c r="JG74" s="8">
        <v>6.25</v>
      </c>
      <c r="KC74" s="7">
        <v>1</v>
      </c>
    </row>
    <row r="75" spans="2:289" ht="19.5">
      <c r="B75" s="9">
        <v>0</v>
      </c>
      <c r="C75" s="9" t="s">
        <v>124</v>
      </c>
      <c r="CS75" s="7">
        <v>1</v>
      </c>
      <c r="DE75" s="7">
        <v>2</v>
      </c>
      <c r="DK75" s="7">
        <v>2</v>
      </c>
      <c r="DQ75" s="7">
        <v>2</v>
      </c>
      <c r="EC75" s="7">
        <v>2</v>
      </c>
      <c r="EM75" s="7">
        <v>1</v>
      </c>
      <c r="EN75" s="7">
        <v>50</v>
      </c>
      <c r="EU75" s="7">
        <v>1</v>
      </c>
      <c r="EV75" s="7">
        <v>1</v>
      </c>
      <c r="EW75" s="8">
        <v>12.5</v>
      </c>
      <c r="FE75" s="7">
        <v>1</v>
      </c>
      <c r="FF75" s="7">
        <v>50</v>
      </c>
      <c r="FW75" s="7">
        <v>1</v>
      </c>
      <c r="FX75" s="7">
        <v>50</v>
      </c>
      <c r="GC75" s="7">
        <v>1</v>
      </c>
      <c r="GD75" s="7">
        <v>25</v>
      </c>
      <c r="GW75" s="7">
        <v>1</v>
      </c>
      <c r="GZ75" s="41"/>
      <c r="HA75" s="41"/>
      <c r="HB75" s="41"/>
      <c r="HC75" s="41">
        <v>2</v>
      </c>
      <c r="HD75" s="41"/>
      <c r="HE75" s="42"/>
      <c r="HF75" s="41"/>
      <c r="HG75" s="41"/>
      <c r="HH75" s="41"/>
      <c r="HI75" s="41">
        <v>2</v>
      </c>
      <c r="HJ75" s="41"/>
      <c r="HK75" s="42"/>
      <c r="HL75" s="41"/>
      <c r="HM75" s="41"/>
      <c r="HN75" s="41"/>
      <c r="HO75" s="41"/>
      <c r="HP75" s="41"/>
      <c r="HQ75" s="42"/>
      <c r="HR75" s="7">
        <v>1</v>
      </c>
      <c r="HU75" s="7">
        <v>3</v>
      </c>
      <c r="HX75" s="7">
        <v>1</v>
      </c>
      <c r="JF75" s="7">
        <v>1</v>
      </c>
      <c r="JG75" s="8">
        <v>6.25</v>
      </c>
      <c r="KC75" s="7">
        <v>1</v>
      </c>
    </row>
    <row r="76" spans="2:289" ht="19.5">
      <c r="B76" s="9">
        <v>0</v>
      </c>
      <c r="C76" s="9" t="s">
        <v>125</v>
      </c>
      <c r="CS76" s="7">
        <v>1</v>
      </c>
      <c r="DE76" s="7">
        <v>2</v>
      </c>
      <c r="DK76" s="7">
        <v>2</v>
      </c>
      <c r="DQ76" s="7">
        <v>2</v>
      </c>
      <c r="EC76" s="7">
        <v>2</v>
      </c>
      <c r="EY76" s="7">
        <v>1</v>
      </c>
      <c r="EZ76" s="7">
        <v>50</v>
      </c>
      <c r="FB76" s="7">
        <v>1</v>
      </c>
      <c r="FC76" s="8">
        <v>12.5</v>
      </c>
      <c r="FE76" s="7">
        <v>1</v>
      </c>
      <c r="FF76" s="7">
        <v>50</v>
      </c>
      <c r="GW76" s="7">
        <v>1</v>
      </c>
      <c r="GZ76" s="41"/>
      <c r="HA76" s="41"/>
      <c r="HB76" s="41"/>
      <c r="HC76" s="41"/>
      <c r="HD76" s="41"/>
      <c r="HE76" s="42"/>
      <c r="HF76" s="41"/>
      <c r="HG76" s="41"/>
      <c r="HH76" s="41"/>
      <c r="HI76" s="41"/>
      <c r="HJ76" s="41"/>
      <c r="HK76" s="42"/>
      <c r="HL76" s="41"/>
      <c r="HM76" s="41"/>
      <c r="HN76" s="41"/>
      <c r="HO76" s="41"/>
      <c r="HP76" s="41"/>
      <c r="HQ76" s="42"/>
      <c r="IE76" s="7">
        <v>1</v>
      </c>
      <c r="IF76" s="7">
        <v>25</v>
      </c>
      <c r="IG76" s="7">
        <v>2</v>
      </c>
      <c r="IH76" s="7">
        <v>1</v>
      </c>
      <c r="II76" s="8">
        <v>6.25</v>
      </c>
      <c r="JF76" s="7">
        <v>1</v>
      </c>
      <c r="JG76" s="8">
        <v>6.25</v>
      </c>
    </row>
    <row r="77" spans="2:289" ht="19.5">
      <c r="B77" s="9">
        <v>0</v>
      </c>
      <c r="C77" s="9" t="s">
        <v>228</v>
      </c>
      <c r="CS77" s="7">
        <v>1</v>
      </c>
      <c r="DE77" s="7">
        <v>2</v>
      </c>
      <c r="DK77" s="7">
        <v>2</v>
      </c>
      <c r="DQ77" s="7">
        <v>2</v>
      </c>
      <c r="EC77" s="7">
        <v>2</v>
      </c>
      <c r="ES77" s="7">
        <v>1</v>
      </c>
      <c r="ET77" s="7">
        <v>50</v>
      </c>
      <c r="FH77" s="7">
        <v>1</v>
      </c>
      <c r="FI77" s="8">
        <v>6.25</v>
      </c>
      <c r="FZ77" s="7">
        <v>1</v>
      </c>
      <c r="GA77" s="8">
        <v>6.25</v>
      </c>
      <c r="GF77" s="7">
        <v>1</v>
      </c>
      <c r="GG77" s="8">
        <v>6.25</v>
      </c>
      <c r="GW77" s="7">
        <v>1</v>
      </c>
      <c r="GZ77" s="41"/>
      <c r="HA77" s="41"/>
      <c r="HB77" s="41"/>
      <c r="HC77" s="41">
        <v>2</v>
      </c>
      <c r="HD77" s="41"/>
      <c r="HE77" s="42"/>
      <c r="HF77" s="41"/>
      <c r="HG77" s="41"/>
      <c r="HH77" s="41"/>
      <c r="HI77" s="41"/>
      <c r="HJ77" s="41"/>
      <c r="HK77" s="42"/>
      <c r="HL77" s="41"/>
      <c r="HM77" s="41"/>
      <c r="HN77" s="41"/>
      <c r="HO77" s="41"/>
      <c r="HP77" s="41"/>
      <c r="HQ77" s="42"/>
      <c r="HU77" s="7">
        <v>3</v>
      </c>
      <c r="HX77" s="7">
        <v>2</v>
      </c>
      <c r="IB77" s="7">
        <v>1</v>
      </c>
      <c r="IC77" s="8">
        <v>6.25</v>
      </c>
      <c r="IE77" s="7">
        <v>1</v>
      </c>
      <c r="IF77" s="7">
        <v>25</v>
      </c>
      <c r="IG77" s="7">
        <v>2</v>
      </c>
      <c r="IH77" s="7">
        <v>1</v>
      </c>
      <c r="II77" s="8">
        <v>6.25</v>
      </c>
      <c r="JF77" s="7">
        <v>1</v>
      </c>
      <c r="JG77" s="8">
        <v>6.25</v>
      </c>
      <c r="KC77" s="7">
        <v>1</v>
      </c>
    </row>
    <row r="78" spans="2:289" ht="19.5">
      <c r="B78" s="9">
        <v>0</v>
      </c>
      <c r="C78" s="9" t="s">
        <v>126</v>
      </c>
      <c r="CS78" s="7">
        <v>1</v>
      </c>
      <c r="DE78" s="7">
        <v>2</v>
      </c>
      <c r="DK78" s="7">
        <v>2</v>
      </c>
      <c r="DQ78" s="7">
        <v>2</v>
      </c>
      <c r="EC78" s="7">
        <v>2</v>
      </c>
      <c r="EI78" s="7">
        <v>1</v>
      </c>
      <c r="EJ78" s="7">
        <v>1</v>
      </c>
      <c r="EK78" s="8">
        <v>12.5</v>
      </c>
      <c r="EO78" s="7">
        <v>1</v>
      </c>
      <c r="EP78" s="7">
        <v>1</v>
      </c>
      <c r="EQ78" s="8">
        <v>12.5</v>
      </c>
      <c r="EU78" s="7">
        <v>1</v>
      </c>
      <c r="EV78" s="7">
        <v>1</v>
      </c>
      <c r="EW78" s="8">
        <v>12.5</v>
      </c>
      <c r="FB78" s="7">
        <v>1</v>
      </c>
      <c r="FC78" s="8">
        <v>12.5</v>
      </c>
      <c r="FH78" s="7">
        <v>1</v>
      </c>
      <c r="FI78" s="8">
        <v>6.25</v>
      </c>
      <c r="FZ78" s="7">
        <v>1</v>
      </c>
      <c r="GA78" s="8">
        <v>6.25</v>
      </c>
      <c r="GC78" s="7">
        <v>1</v>
      </c>
      <c r="GD78" s="7">
        <v>25</v>
      </c>
      <c r="GT78" s="7">
        <v>1</v>
      </c>
      <c r="GZ78" s="41"/>
      <c r="HA78" s="41"/>
      <c r="HB78" s="41"/>
      <c r="HC78" s="41"/>
      <c r="HD78" s="41"/>
      <c r="HE78" s="42"/>
      <c r="HF78" s="41"/>
      <c r="HG78" s="41"/>
      <c r="HH78" s="41"/>
      <c r="HI78" s="41"/>
      <c r="HJ78" s="41"/>
      <c r="HK78" s="42"/>
      <c r="HL78" s="41"/>
      <c r="HM78" s="41"/>
      <c r="HN78" s="41"/>
      <c r="HO78" s="41"/>
      <c r="HP78" s="41"/>
      <c r="HQ78" s="42"/>
      <c r="HU78" s="7">
        <v>3</v>
      </c>
      <c r="JF78" s="7">
        <v>1</v>
      </c>
      <c r="JG78" s="8">
        <v>6.25</v>
      </c>
    </row>
    <row r="79" spans="2:289" ht="19.5">
      <c r="B79" s="9">
        <v>0</v>
      </c>
      <c r="C79" s="9" t="s">
        <v>127</v>
      </c>
      <c r="CS79" s="7">
        <v>1</v>
      </c>
      <c r="DE79" s="7">
        <v>2</v>
      </c>
      <c r="DK79" s="7">
        <v>2</v>
      </c>
      <c r="DQ79" s="7">
        <v>2</v>
      </c>
      <c r="EC79" s="7">
        <v>2</v>
      </c>
      <c r="GO79" s="7">
        <v>1</v>
      </c>
      <c r="GP79" s="7">
        <v>25</v>
      </c>
      <c r="GZ79" s="41"/>
      <c r="HA79" s="41"/>
      <c r="HB79" s="41"/>
      <c r="HC79" s="41">
        <v>2</v>
      </c>
      <c r="HD79" s="41"/>
      <c r="HE79" s="42"/>
      <c r="HF79" s="41"/>
      <c r="HG79" s="41"/>
      <c r="HH79" s="41"/>
      <c r="HI79" s="41"/>
      <c r="HJ79" s="41"/>
      <c r="HK79" s="42"/>
      <c r="HL79" s="41"/>
      <c r="HM79" s="41"/>
      <c r="HN79" s="41"/>
      <c r="HO79" s="41"/>
      <c r="HP79" s="41"/>
      <c r="HQ79" s="42"/>
      <c r="HU79" s="7">
        <v>3</v>
      </c>
      <c r="HX79" s="7">
        <v>1</v>
      </c>
      <c r="JF79" s="7">
        <v>1</v>
      </c>
      <c r="JG79" s="8">
        <v>6.25</v>
      </c>
    </row>
    <row r="80" spans="2:289" ht="19.5">
      <c r="B80" s="9" t="s">
        <v>128</v>
      </c>
      <c r="C80" s="9" t="s">
        <v>129</v>
      </c>
      <c r="CS80" s="7">
        <v>1</v>
      </c>
      <c r="DE80" s="7">
        <v>2</v>
      </c>
      <c r="DK80" s="7">
        <v>2</v>
      </c>
      <c r="DQ80" s="7">
        <v>2</v>
      </c>
      <c r="EC80" s="7">
        <v>2</v>
      </c>
      <c r="FK80" s="7">
        <v>1</v>
      </c>
      <c r="FL80" s="7">
        <v>25</v>
      </c>
      <c r="FW80" s="7">
        <v>1</v>
      </c>
      <c r="FX80" s="7">
        <v>25</v>
      </c>
      <c r="GZ80" s="41"/>
      <c r="HA80" s="41"/>
      <c r="HB80" s="41"/>
      <c r="HC80" s="41"/>
      <c r="HD80" s="41"/>
      <c r="HE80" s="42"/>
      <c r="HF80" s="41"/>
      <c r="HG80" s="41"/>
      <c r="HH80" s="41"/>
      <c r="HI80" s="41"/>
      <c r="HJ80" s="41"/>
      <c r="HK80" s="42"/>
      <c r="HL80" s="41"/>
      <c r="HM80" s="41"/>
      <c r="HN80" s="41"/>
      <c r="HO80" s="41">
        <v>3</v>
      </c>
      <c r="HP80" s="41"/>
      <c r="HQ80" s="42"/>
      <c r="HR80" s="7">
        <v>1</v>
      </c>
      <c r="HU80" s="7">
        <v>3</v>
      </c>
      <c r="HX80" s="7">
        <v>1</v>
      </c>
      <c r="IK80" s="7">
        <v>1</v>
      </c>
      <c r="IL80" s="7">
        <v>25</v>
      </c>
      <c r="IM80" s="7">
        <v>2</v>
      </c>
      <c r="IN80" s="7">
        <v>1</v>
      </c>
      <c r="IO80" s="8">
        <v>6.25</v>
      </c>
      <c r="JF80" s="7">
        <v>1</v>
      </c>
      <c r="JG80" s="8">
        <v>6.25</v>
      </c>
    </row>
    <row r="81" spans="2:289" ht="19.5">
      <c r="B81" s="9">
        <v>0</v>
      </c>
      <c r="C81" s="9" t="s">
        <v>130</v>
      </c>
      <c r="CS81" s="7">
        <v>1</v>
      </c>
      <c r="DE81" s="7">
        <v>2</v>
      </c>
      <c r="DK81" s="7">
        <v>2</v>
      </c>
      <c r="DQ81" s="7">
        <v>2</v>
      </c>
      <c r="EC81" s="7">
        <v>2</v>
      </c>
      <c r="FK81" s="7">
        <v>1</v>
      </c>
      <c r="FL81" s="7">
        <v>25</v>
      </c>
      <c r="GZ81" s="41"/>
      <c r="HA81" s="41"/>
      <c r="HB81" s="41"/>
      <c r="HC81" s="41"/>
      <c r="HD81" s="41"/>
      <c r="HE81" s="42"/>
      <c r="HF81" s="41"/>
      <c r="HG81" s="41"/>
      <c r="HH81" s="41"/>
      <c r="HI81" s="41"/>
      <c r="HJ81" s="41"/>
      <c r="HK81" s="42"/>
      <c r="HL81" s="41"/>
      <c r="HM81" s="41"/>
      <c r="HN81" s="41"/>
      <c r="HO81" s="41"/>
      <c r="HP81" s="41"/>
      <c r="HQ81" s="42"/>
      <c r="HU81" s="7">
        <v>2</v>
      </c>
      <c r="HX81" s="7">
        <v>1</v>
      </c>
      <c r="IK81" s="7">
        <v>1</v>
      </c>
      <c r="IL81" s="7">
        <v>25</v>
      </c>
      <c r="IM81" s="7">
        <v>2</v>
      </c>
      <c r="IN81" s="7">
        <v>1</v>
      </c>
      <c r="IO81" s="8">
        <v>6.25</v>
      </c>
      <c r="JF81" s="7">
        <v>1</v>
      </c>
      <c r="JG81" s="8">
        <v>6.25</v>
      </c>
    </row>
    <row r="82" spans="2:289" ht="19.5">
      <c r="B82" s="9">
        <v>0</v>
      </c>
      <c r="C82" s="9" t="s">
        <v>131</v>
      </c>
      <c r="CS82" s="7">
        <v>1</v>
      </c>
      <c r="DE82" s="7">
        <v>2</v>
      </c>
      <c r="DK82" s="7">
        <v>2</v>
      </c>
      <c r="DQ82" s="7">
        <v>2</v>
      </c>
      <c r="EC82" s="7">
        <v>2</v>
      </c>
      <c r="FK82" s="7">
        <v>1</v>
      </c>
      <c r="FL82" s="7">
        <v>25</v>
      </c>
      <c r="FW82" s="7">
        <v>1</v>
      </c>
      <c r="FX82" s="7">
        <v>25</v>
      </c>
      <c r="GF82" s="7">
        <v>1</v>
      </c>
      <c r="GG82" s="8">
        <v>6.25</v>
      </c>
      <c r="GZ82" s="41"/>
      <c r="HA82" s="41"/>
      <c r="HB82" s="41"/>
      <c r="HC82" s="41">
        <v>2</v>
      </c>
      <c r="HD82" s="41"/>
      <c r="HE82" s="42"/>
      <c r="HF82" s="41"/>
      <c r="HG82" s="41"/>
      <c r="HH82" s="41"/>
      <c r="HI82" s="41">
        <v>2</v>
      </c>
      <c r="HJ82" s="41"/>
      <c r="HK82" s="42"/>
      <c r="HL82" s="41"/>
      <c r="HM82" s="41"/>
      <c r="HN82" s="41"/>
      <c r="HO82" s="41">
        <v>3</v>
      </c>
      <c r="HP82" s="41"/>
      <c r="HQ82" s="42"/>
      <c r="HU82" s="7">
        <v>2</v>
      </c>
      <c r="HX82" s="7">
        <v>1</v>
      </c>
      <c r="JF82" s="7">
        <v>1</v>
      </c>
      <c r="JG82" s="8">
        <v>6.25</v>
      </c>
    </row>
    <row r="83" spans="2:289" ht="19.5">
      <c r="B83" s="9">
        <v>0</v>
      </c>
      <c r="C83" s="9" t="s">
        <v>63</v>
      </c>
      <c r="CS83" s="7">
        <v>1</v>
      </c>
      <c r="DE83" s="7">
        <v>2</v>
      </c>
      <c r="DK83" s="7">
        <v>2</v>
      </c>
      <c r="DQ83" s="7">
        <v>2</v>
      </c>
      <c r="EC83" s="7">
        <v>2</v>
      </c>
      <c r="EP83" s="7">
        <v>1</v>
      </c>
      <c r="EQ83" s="8">
        <v>6.25</v>
      </c>
      <c r="FW83" s="7">
        <v>1</v>
      </c>
      <c r="FX83" s="7">
        <v>25</v>
      </c>
      <c r="GC83" s="7">
        <v>1</v>
      </c>
      <c r="GD83" s="7">
        <v>50</v>
      </c>
      <c r="GW83" s="7">
        <v>1</v>
      </c>
      <c r="GZ83" s="41"/>
      <c r="HA83" s="41"/>
      <c r="HB83" s="41"/>
      <c r="HC83" s="41">
        <v>2</v>
      </c>
      <c r="HD83" s="41"/>
      <c r="HE83" s="42"/>
      <c r="HF83" s="41"/>
      <c r="HG83" s="41"/>
      <c r="HH83" s="41"/>
      <c r="HI83" s="41">
        <v>2</v>
      </c>
      <c r="HJ83" s="41"/>
      <c r="HK83" s="42"/>
      <c r="HL83" s="41"/>
      <c r="HM83" s="41"/>
      <c r="HN83" s="41"/>
      <c r="HO83" s="41">
        <v>3</v>
      </c>
      <c r="HP83" s="41"/>
      <c r="HQ83" s="42"/>
      <c r="HU83" s="7">
        <v>2</v>
      </c>
      <c r="HX83" s="7">
        <v>1</v>
      </c>
      <c r="IB83" s="7">
        <v>1</v>
      </c>
      <c r="IC83" s="8">
        <v>6.25</v>
      </c>
      <c r="JF83" s="7">
        <v>1</v>
      </c>
      <c r="JG83" s="8">
        <v>6.25</v>
      </c>
      <c r="JQ83" s="7">
        <v>1</v>
      </c>
      <c r="KC83" s="7">
        <v>1</v>
      </c>
    </row>
    <row r="84" spans="2:289" ht="19.5">
      <c r="B84" s="9">
        <v>0</v>
      </c>
      <c r="C84" s="9" t="s">
        <v>64</v>
      </c>
      <c r="CS84" s="7">
        <v>1</v>
      </c>
      <c r="DE84" s="7">
        <v>2</v>
      </c>
      <c r="DK84" s="7">
        <v>2</v>
      </c>
      <c r="DQ84" s="7">
        <v>2</v>
      </c>
      <c r="EC84" s="7">
        <v>2</v>
      </c>
      <c r="FK84" s="7">
        <v>1</v>
      </c>
      <c r="FL84" s="7">
        <v>25</v>
      </c>
      <c r="GZ84" s="41"/>
      <c r="HA84" s="41"/>
      <c r="HB84" s="41"/>
      <c r="HC84" s="41"/>
      <c r="HD84" s="41"/>
      <c r="HE84" s="42"/>
      <c r="HF84" s="41"/>
      <c r="HG84" s="41"/>
      <c r="HH84" s="41"/>
      <c r="HI84" s="41"/>
      <c r="HJ84" s="41"/>
      <c r="HK84" s="42"/>
      <c r="HL84" s="41"/>
      <c r="HM84" s="41"/>
      <c r="HN84" s="41"/>
      <c r="HO84" s="41"/>
      <c r="HP84" s="41"/>
      <c r="HQ84" s="42"/>
      <c r="HU84" s="7">
        <v>2</v>
      </c>
      <c r="JF84" s="7">
        <v>1</v>
      </c>
      <c r="JG84" s="8">
        <v>6.25</v>
      </c>
    </row>
    <row r="85" spans="2:289" ht="19.5">
      <c r="B85" s="9" t="s">
        <v>132</v>
      </c>
      <c r="C85" s="9" t="s">
        <v>133</v>
      </c>
      <c r="DE85" s="7">
        <v>2</v>
      </c>
      <c r="DK85" s="7">
        <v>2</v>
      </c>
      <c r="DQ85" s="7">
        <v>2</v>
      </c>
      <c r="GO85" s="7">
        <v>1</v>
      </c>
      <c r="GP85" s="7">
        <v>25</v>
      </c>
      <c r="GZ85" s="41"/>
      <c r="HA85" s="41"/>
      <c r="HB85" s="41"/>
      <c r="HC85" s="41">
        <v>2</v>
      </c>
      <c r="HD85" s="41"/>
      <c r="HE85" s="42"/>
      <c r="HF85" s="41"/>
      <c r="HG85" s="41"/>
      <c r="HH85" s="41"/>
      <c r="HI85" s="41">
        <v>2</v>
      </c>
      <c r="HJ85" s="41"/>
      <c r="HK85" s="42"/>
      <c r="HL85" s="41"/>
      <c r="HM85" s="41"/>
      <c r="HN85" s="41"/>
      <c r="HO85" s="41">
        <v>2</v>
      </c>
      <c r="HP85" s="41"/>
      <c r="HQ85" s="42"/>
      <c r="HR85" s="7">
        <v>1</v>
      </c>
      <c r="HU85" s="7">
        <v>2</v>
      </c>
      <c r="HX85" s="7">
        <v>1</v>
      </c>
      <c r="JF85" s="7">
        <v>1</v>
      </c>
      <c r="JG85" s="8">
        <v>6.25</v>
      </c>
      <c r="JQ85" s="7">
        <v>1</v>
      </c>
      <c r="KC85" s="7">
        <v>1</v>
      </c>
    </row>
    <row r="86" spans="2:289" ht="19.5">
      <c r="B86" s="9">
        <v>0</v>
      </c>
      <c r="C86" s="9" t="s">
        <v>134</v>
      </c>
      <c r="DE86" s="7">
        <v>2</v>
      </c>
      <c r="DK86" s="7">
        <v>2</v>
      </c>
      <c r="DQ86" s="7">
        <v>2</v>
      </c>
      <c r="FQ86" s="7">
        <v>1</v>
      </c>
      <c r="FR86" s="7">
        <v>25</v>
      </c>
      <c r="FW86" s="7">
        <v>1</v>
      </c>
      <c r="FX86" s="7">
        <v>25</v>
      </c>
      <c r="GC86" s="7">
        <v>1</v>
      </c>
      <c r="GD86" s="7">
        <v>25</v>
      </c>
      <c r="GI86" s="7">
        <v>1</v>
      </c>
      <c r="GJ86" s="7">
        <v>25</v>
      </c>
      <c r="GO86" s="7">
        <v>1</v>
      </c>
      <c r="GP86" s="7">
        <v>25</v>
      </c>
      <c r="GZ86" s="41"/>
      <c r="HA86" s="41"/>
      <c r="HB86" s="41"/>
      <c r="HC86" s="41"/>
      <c r="HD86" s="41"/>
      <c r="HE86" s="42"/>
      <c r="HF86" s="41"/>
      <c r="HG86" s="41"/>
      <c r="HH86" s="41"/>
      <c r="HI86" s="41">
        <v>2</v>
      </c>
      <c r="HJ86" s="41"/>
      <c r="HK86" s="42"/>
      <c r="HL86" s="41"/>
      <c r="HM86" s="41"/>
      <c r="HN86" s="41"/>
      <c r="HO86" s="41"/>
      <c r="HP86" s="41"/>
      <c r="HQ86" s="42"/>
      <c r="HX86" s="7">
        <v>1</v>
      </c>
      <c r="IB86" s="7">
        <v>1</v>
      </c>
      <c r="IC86" s="8">
        <v>6.25</v>
      </c>
      <c r="IK86" s="7">
        <v>1</v>
      </c>
      <c r="IL86" s="7">
        <v>25</v>
      </c>
      <c r="IM86" s="7">
        <v>2</v>
      </c>
      <c r="IN86" s="7">
        <v>1</v>
      </c>
      <c r="IO86" s="8">
        <v>6.25</v>
      </c>
      <c r="JF86" s="7">
        <v>1</v>
      </c>
      <c r="JG86" s="8">
        <v>6.25</v>
      </c>
    </row>
    <row r="87" spans="2:289" ht="19.5">
      <c r="B87" s="9">
        <v>0</v>
      </c>
      <c r="C87" s="9" t="s">
        <v>135</v>
      </c>
      <c r="DE87" s="7">
        <v>2</v>
      </c>
      <c r="DK87" s="7">
        <v>2</v>
      </c>
      <c r="DQ87" s="7">
        <v>2</v>
      </c>
      <c r="FK87" s="7">
        <v>1</v>
      </c>
      <c r="FL87" s="7">
        <v>25</v>
      </c>
      <c r="GC87" s="7">
        <v>1</v>
      </c>
      <c r="GD87" s="7">
        <v>25</v>
      </c>
      <c r="GZ87" s="41"/>
      <c r="HA87" s="41"/>
      <c r="HB87" s="41"/>
      <c r="HC87" s="41"/>
      <c r="HD87" s="41"/>
      <c r="HE87" s="42"/>
      <c r="HF87" s="41"/>
      <c r="HG87" s="41"/>
      <c r="HH87" s="41"/>
      <c r="HI87" s="41"/>
      <c r="HJ87" s="41"/>
      <c r="HK87" s="42"/>
      <c r="HL87" s="41"/>
      <c r="HM87" s="41"/>
      <c r="HN87" s="41"/>
      <c r="HO87" s="41"/>
      <c r="HP87" s="41"/>
      <c r="HQ87" s="42"/>
      <c r="IK87" s="7">
        <v>1</v>
      </c>
      <c r="IL87" s="7">
        <v>25</v>
      </c>
      <c r="IM87" s="7">
        <v>2</v>
      </c>
      <c r="IN87" s="7">
        <v>1</v>
      </c>
      <c r="IO87" s="8">
        <v>6.25</v>
      </c>
      <c r="JF87" s="7">
        <v>1</v>
      </c>
      <c r="JG87" s="8">
        <v>6.25</v>
      </c>
    </row>
    <row r="88" spans="2:289" ht="19.5">
      <c r="B88" s="9">
        <v>0</v>
      </c>
      <c r="C88" s="9" t="s">
        <v>136</v>
      </c>
      <c r="J88" s="7">
        <v>1</v>
      </c>
      <c r="DE88" s="7">
        <v>2</v>
      </c>
      <c r="DK88" s="7">
        <v>2</v>
      </c>
      <c r="DQ88" s="7">
        <v>2</v>
      </c>
      <c r="EG88" s="7">
        <v>1</v>
      </c>
      <c r="EH88" s="7">
        <v>50</v>
      </c>
      <c r="EY88" s="7">
        <v>1</v>
      </c>
      <c r="EZ88" s="7">
        <v>25</v>
      </c>
      <c r="FK88" s="7">
        <v>1</v>
      </c>
      <c r="FL88" s="7">
        <v>25</v>
      </c>
      <c r="FQ88" s="7">
        <v>1</v>
      </c>
      <c r="FR88" s="7">
        <v>25</v>
      </c>
      <c r="FW88" s="7">
        <v>1</v>
      </c>
      <c r="FX88" s="7">
        <v>25</v>
      </c>
      <c r="GF88" s="7">
        <v>1</v>
      </c>
      <c r="GG88" s="8">
        <v>6.25</v>
      </c>
      <c r="GI88" s="7">
        <v>1</v>
      </c>
      <c r="GJ88" s="7">
        <v>25</v>
      </c>
      <c r="GO88" s="7">
        <v>1</v>
      </c>
      <c r="GP88" s="7">
        <v>50</v>
      </c>
      <c r="GZ88" s="41"/>
      <c r="HA88" s="41"/>
      <c r="HB88" s="41"/>
      <c r="HC88" s="41">
        <v>2</v>
      </c>
      <c r="HD88" s="41"/>
      <c r="HE88" s="42"/>
      <c r="HF88" s="41"/>
      <c r="HG88" s="41"/>
      <c r="HH88" s="41"/>
      <c r="HI88" s="41">
        <v>2</v>
      </c>
      <c r="HJ88" s="41"/>
      <c r="HK88" s="42"/>
      <c r="HL88" s="41"/>
      <c r="HM88" s="41"/>
      <c r="HN88" s="41"/>
      <c r="HO88" s="41">
        <v>2</v>
      </c>
      <c r="HP88" s="41"/>
      <c r="HQ88" s="42"/>
      <c r="HU88" s="7">
        <v>2</v>
      </c>
      <c r="HX88" s="7">
        <v>1</v>
      </c>
      <c r="IN88" s="7">
        <v>1</v>
      </c>
      <c r="IO88" s="8">
        <v>6.25</v>
      </c>
      <c r="JF88" s="7">
        <v>1</v>
      </c>
      <c r="JG88" s="8">
        <v>6.25</v>
      </c>
      <c r="JQ88" s="7">
        <v>1</v>
      </c>
    </row>
    <row r="89" spans="2:289" ht="19.5">
      <c r="B89" s="9" t="s">
        <v>137</v>
      </c>
      <c r="C89" s="9" t="s">
        <v>138</v>
      </c>
      <c r="AE89" s="7">
        <v>1</v>
      </c>
      <c r="AK89" s="7">
        <v>1</v>
      </c>
      <c r="AT89" s="7">
        <v>1</v>
      </c>
      <c r="CG89" s="7">
        <v>1</v>
      </c>
      <c r="DH89" s="7">
        <v>1</v>
      </c>
      <c r="DK89" s="7">
        <v>2</v>
      </c>
      <c r="GZ89" s="41"/>
      <c r="HA89" s="41"/>
      <c r="HB89" s="41"/>
      <c r="HC89" s="41"/>
      <c r="HD89" s="41"/>
      <c r="HE89" s="42"/>
      <c r="HF89" s="41"/>
      <c r="HG89" s="41"/>
      <c r="HH89" s="41"/>
      <c r="HI89" s="41"/>
      <c r="HJ89" s="41"/>
      <c r="HK89" s="42"/>
      <c r="HL89" s="41"/>
      <c r="HM89" s="41"/>
      <c r="HN89" s="41"/>
      <c r="HO89" s="41"/>
      <c r="HP89" s="41"/>
      <c r="HQ89" s="42"/>
      <c r="JK89" s="7">
        <v>1</v>
      </c>
      <c r="JQ89" s="7">
        <v>1</v>
      </c>
      <c r="JW89" s="7">
        <v>2</v>
      </c>
      <c r="JZ89" s="7">
        <v>2</v>
      </c>
      <c r="KC89" s="7">
        <v>3</v>
      </c>
    </row>
    <row r="90" spans="2:289" ht="19.5">
      <c r="B90" s="9">
        <v>0</v>
      </c>
      <c r="C90" s="9" t="s">
        <v>139</v>
      </c>
      <c r="M90" s="7">
        <v>1</v>
      </c>
      <c r="AE90" s="7">
        <v>1</v>
      </c>
      <c r="AK90" s="7">
        <v>1</v>
      </c>
      <c r="DK90" s="7">
        <v>1</v>
      </c>
      <c r="GZ90" s="41"/>
      <c r="HA90" s="41"/>
      <c r="HB90" s="41"/>
      <c r="HC90" s="41"/>
      <c r="HD90" s="41"/>
      <c r="HE90" s="42"/>
      <c r="HF90" s="41"/>
      <c r="HG90" s="41"/>
      <c r="HH90" s="41"/>
      <c r="HI90" s="41"/>
      <c r="HJ90" s="41"/>
      <c r="HK90" s="42"/>
      <c r="HL90" s="41"/>
      <c r="HM90" s="41"/>
      <c r="HN90" s="41"/>
      <c r="HO90" s="41"/>
      <c r="HP90" s="41"/>
      <c r="HQ90" s="42"/>
      <c r="JK90" s="7">
        <v>1</v>
      </c>
      <c r="JQ90" s="7">
        <v>1</v>
      </c>
      <c r="JW90" s="7">
        <v>1</v>
      </c>
      <c r="KC90" s="7">
        <v>1</v>
      </c>
    </row>
    <row r="91" spans="2:289" ht="19.5">
      <c r="B91" s="9">
        <v>0</v>
      </c>
      <c r="C91" s="9" t="s">
        <v>140</v>
      </c>
      <c r="M91" s="7">
        <v>1</v>
      </c>
      <c r="AE91" s="7">
        <v>1</v>
      </c>
      <c r="AK91" s="7">
        <v>1</v>
      </c>
      <c r="DK91" s="7">
        <v>1</v>
      </c>
      <c r="GZ91" s="41"/>
      <c r="HA91" s="41"/>
      <c r="HB91" s="41"/>
      <c r="HC91" s="41"/>
      <c r="HD91" s="41"/>
      <c r="HE91" s="42"/>
      <c r="HF91" s="41"/>
      <c r="HG91" s="41"/>
      <c r="HH91" s="41"/>
      <c r="HI91" s="41"/>
      <c r="HJ91" s="41"/>
      <c r="HK91" s="42"/>
      <c r="HL91" s="41"/>
      <c r="HM91" s="41"/>
      <c r="HN91" s="41"/>
      <c r="HO91" s="41"/>
      <c r="HP91" s="41"/>
      <c r="HQ91" s="42"/>
      <c r="JK91" s="7">
        <v>1</v>
      </c>
      <c r="JQ91" s="7">
        <v>1</v>
      </c>
      <c r="JW91" s="7">
        <v>1</v>
      </c>
      <c r="KC91" s="7">
        <v>1</v>
      </c>
    </row>
    <row r="92" spans="2:289" ht="15.75" customHeight="1">
      <c r="B92" s="9" t="s">
        <v>141</v>
      </c>
      <c r="C92" s="9" t="s">
        <v>142</v>
      </c>
      <c r="P92" s="7">
        <v>1</v>
      </c>
      <c r="Y92" s="7">
        <v>1</v>
      </c>
      <c r="BF92" s="7">
        <v>1</v>
      </c>
      <c r="CG92" s="7">
        <v>1</v>
      </c>
      <c r="DE92" s="7">
        <v>1</v>
      </c>
      <c r="DN92" s="7">
        <v>1</v>
      </c>
      <c r="DQ92" s="7">
        <v>2</v>
      </c>
      <c r="GZ92" s="41"/>
      <c r="HA92" s="41"/>
      <c r="HB92" s="41"/>
      <c r="HC92" s="41"/>
      <c r="HD92" s="41"/>
      <c r="HE92" s="42"/>
      <c r="HF92" s="41"/>
      <c r="HG92" s="41"/>
      <c r="HH92" s="41"/>
      <c r="HI92" s="41"/>
      <c r="HJ92" s="41"/>
      <c r="HK92" s="42"/>
      <c r="HL92" s="41"/>
      <c r="HM92" s="41"/>
      <c r="HN92" s="41"/>
      <c r="HO92" s="41"/>
      <c r="HP92" s="41"/>
      <c r="HQ92" s="42"/>
      <c r="JK92" s="7">
        <v>1</v>
      </c>
      <c r="JQ92" s="7">
        <v>1</v>
      </c>
      <c r="JW92" s="7">
        <v>2</v>
      </c>
      <c r="KC92" s="7">
        <v>2</v>
      </c>
    </row>
    <row r="93" spans="2:289" ht="15.75" customHeight="1">
      <c r="B93" s="9">
        <v>0</v>
      </c>
      <c r="C93" s="9" t="s">
        <v>143</v>
      </c>
      <c r="S93" s="7">
        <v>1</v>
      </c>
      <c r="Y93" s="7">
        <v>1</v>
      </c>
      <c r="BL93" s="7">
        <v>1</v>
      </c>
      <c r="DE93" s="7">
        <v>1</v>
      </c>
      <c r="DQ93" s="7">
        <v>1</v>
      </c>
      <c r="GZ93" s="41"/>
      <c r="HA93" s="41"/>
      <c r="HB93" s="41"/>
      <c r="HC93" s="41"/>
      <c r="HD93" s="41"/>
      <c r="HE93" s="42"/>
      <c r="HF93" s="41"/>
      <c r="HG93" s="41"/>
      <c r="HH93" s="41"/>
      <c r="HI93" s="41"/>
      <c r="HJ93" s="41"/>
      <c r="HK93" s="42"/>
      <c r="HL93" s="41"/>
      <c r="HM93" s="41"/>
      <c r="HN93" s="41"/>
      <c r="HO93" s="41"/>
      <c r="HP93" s="41"/>
      <c r="HQ93" s="42"/>
      <c r="HY93" s="7">
        <v>1</v>
      </c>
      <c r="HZ93" s="7">
        <v>100</v>
      </c>
      <c r="JK93" s="7">
        <v>1</v>
      </c>
      <c r="JQ93" s="7">
        <v>1</v>
      </c>
      <c r="JW93" s="7">
        <v>2</v>
      </c>
      <c r="KC93" s="7">
        <v>2</v>
      </c>
    </row>
    <row r="94" spans="2:289" ht="15.75" customHeight="1">
      <c r="B94" s="9">
        <v>0</v>
      </c>
      <c r="C94" s="9" t="s">
        <v>144</v>
      </c>
      <c r="Y94" s="7">
        <v>1</v>
      </c>
      <c r="DE94" s="7">
        <v>1</v>
      </c>
      <c r="DQ94" s="7">
        <v>1</v>
      </c>
      <c r="GZ94" s="41"/>
      <c r="HA94" s="41"/>
      <c r="HB94" s="41"/>
      <c r="HC94" s="41"/>
      <c r="HD94" s="41"/>
      <c r="HE94" s="42"/>
      <c r="HF94" s="41"/>
      <c r="HG94" s="41"/>
      <c r="HH94" s="41"/>
      <c r="HI94" s="41"/>
      <c r="HJ94" s="41"/>
      <c r="HK94" s="42"/>
      <c r="HL94" s="41"/>
      <c r="HM94" s="41"/>
      <c r="HN94" s="41"/>
      <c r="HO94" s="41"/>
      <c r="HP94" s="41"/>
      <c r="HQ94" s="42"/>
      <c r="JK94" s="7">
        <v>1</v>
      </c>
      <c r="JQ94" s="7">
        <v>1</v>
      </c>
      <c r="JW94" s="7">
        <v>1</v>
      </c>
      <c r="KC94" s="7">
        <v>1</v>
      </c>
    </row>
    <row r="95" spans="2:289" ht="15.75" customHeight="1">
      <c r="B95" s="9">
        <v>0</v>
      </c>
      <c r="C95" s="9" t="s">
        <v>145</v>
      </c>
      <c r="S95" s="7">
        <v>1</v>
      </c>
      <c r="Y95" s="7">
        <v>1</v>
      </c>
      <c r="DE95" s="7">
        <v>1</v>
      </c>
      <c r="DQ95" s="7">
        <v>1</v>
      </c>
      <c r="GZ95" s="41"/>
      <c r="HA95" s="41"/>
      <c r="HB95" s="41"/>
      <c r="HC95" s="41"/>
      <c r="HD95" s="41"/>
      <c r="HE95" s="42"/>
      <c r="HF95" s="41"/>
      <c r="HG95" s="41"/>
      <c r="HH95" s="41"/>
      <c r="HI95" s="41"/>
      <c r="HJ95" s="41"/>
      <c r="HK95" s="42"/>
      <c r="HL95" s="41"/>
      <c r="HM95" s="41"/>
      <c r="HN95" s="41"/>
      <c r="HO95" s="41"/>
      <c r="HP95" s="41"/>
      <c r="HQ95" s="42"/>
      <c r="JK95" s="7">
        <v>1</v>
      </c>
      <c r="JQ95" s="7">
        <v>1</v>
      </c>
      <c r="JW95" s="7">
        <v>1</v>
      </c>
      <c r="KC95" s="7">
        <v>1</v>
      </c>
    </row>
    <row r="96" spans="2:289" ht="15.75" customHeight="1">
      <c r="B96" s="9" t="s">
        <v>146</v>
      </c>
      <c r="C96" s="9" t="s">
        <v>146</v>
      </c>
      <c r="S96" s="7">
        <v>1</v>
      </c>
      <c r="AQ96" s="7">
        <v>1</v>
      </c>
      <c r="DE96" s="7">
        <v>1</v>
      </c>
      <c r="DQ96" s="7">
        <v>1</v>
      </c>
      <c r="GZ96" s="41"/>
      <c r="HA96" s="41"/>
      <c r="HB96" s="41"/>
      <c r="HC96" s="41"/>
      <c r="HD96" s="41"/>
      <c r="HE96" s="42"/>
      <c r="HF96" s="41"/>
      <c r="HG96" s="41"/>
      <c r="HH96" s="41"/>
      <c r="HI96" s="41"/>
      <c r="HJ96" s="41"/>
      <c r="HK96" s="42"/>
      <c r="HL96" s="41"/>
      <c r="HM96" s="41"/>
      <c r="HN96" s="41"/>
      <c r="HO96" s="41"/>
      <c r="HP96" s="41"/>
      <c r="HQ96" s="42"/>
      <c r="JK96" s="7">
        <v>1</v>
      </c>
      <c r="JQ96" s="7">
        <v>1</v>
      </c>
      <c r="JW96" s="7">
        <v>2</v>
      </c>
      <c r="KC96" s="7">
        <v>2</v>
      </c>
    </row>
    <row r="97" spans="2:377" ht="15.75" customHeight="1">
      <c r="B97" s="9">
        <v>0</v>
      </c>
      <c r="C97" s="9" t="s">
        <v>147</v>
      </c>
      <c r="AQ97" s="7">
        <v>1</v>
      </c>
      <c r="DE97" s="7">
        <v>1</v>
      </c>
      <c r="DQ97" s="7">
        <v>1</v>
      </c>
      <c r="GZ97" s="41"/>
      <c r="HA97" s="41"/>
      <c r="HB97" s="41"/>
      <c r="HC97" s="41"/>
      <c r="HD97" s="41"/>
      <c r="HE97" s="42"/>
      <c r="HF97" s="41"/>
      <c r="HG97" s="41"/>
      <c r="HH97" s="41"/>
      <c r="HI97" s="41"/>
      <c r="HJ97" s="41"/>
      <c r="HK97" s="42"/>
      <c r="HL97" s="41"/>
      <c r="HM97" s="41"/>
      <c r="HN97" s="41"/>
      <c r="HO97" s="41"/>
      <c r="HP97" s="41"/>
      <c r="HQ97" s="42"/>
      <c r="HU97" s="7">
        <v>1</v>
      </c>
      <c r="JK97" s="7">
        <v>1</v>
      </c>
      <c r="JQ97" s="7">
        <v>1</v>
      </c>
      <c r="JW97" s="7">
        <v>1</v>
      </c>
      <c r="KC97" s="7">
        <v>1</v>
      </c>
    </row>
    <row r="98" spans="2:377" ht="15.75" customHeight="1">
      <c r="B98" s="9">
        <v>0</v>
      </c>
      <c r="C98" s="9" t="s">
        <v>148</v>
      </c>
      <c r="AQ98" s="7">
        <v>1</v>
      </c>
      <c r="DE98" s="7">
        <v>1</v>
      </c>
      <c r="DQ98" s="7">
        <v>1</v>
      </c>
      <c r="GZ98" s="41"/>
      <c r="HA98" s="41"/>
      <c r="HB98" s="41"/>
      <c r="HC98" s="41"/>
      <c r="HD98" s="41">
        <v>1</v>
      </c>
      <c r="HE98" s="42">
        <v>6.25</v>
      </c>
      <c r="HF98" s="41"/>
      <c r="HG98" s="41"/>
      <c r="HH98" s="41"/>
      <c r="HI98" s="41"/>
      <c r="HJ98" s="41">
        <v>1</v>
      </c>
      <c r="HK98" s="42">
        <v>6.25</v>
      </c>
      <c r="HL98" s="41"/>
      <c r="HM98" s="41"/>
      <c r="HN98" s="41"/>
      <c r="HO98" s="41"/>
      <c r="HP98" s="41"/>
      <c r="HQ98" s="42"/>
      <c r="JK98" s="7">
        <v>1</v>
      </c>
      <c r="JQ98" s="7">
        <v>1</v>
      </c>
      <c r="JW98" s="7">
        <v>1</v>
      </c>
      <c r="KC98" s="7">
        <v>1</v>
      </c>
    </row>
    <row r="99" spans="2:377" ht="15.75" customHeight="1">
      <c r="B99" s="9" t="s">
        <v>149</v>
      </c>
      <c r="C99" s="9" t="s">
        <v>150</v>
      </c>
      <c r="CG99" s="7">
        <v>1</v>
      </c>
      <c r="DW99" s="7">
        <v>1</v>
      </c>
      <c r="DX99" s="7">
        <v>1</v>
      </c>
      <c r="DY99" s="8">
        <v>6.25</v>
      </c>
      <c r="EC99" s="7">
        <v>1</v>
      </c>
      <c r="ED99" s="7">
        <v>1</v>
      </c>
      <c r="EE99" s="8">
        <v>6.25</v>
      </c>
      <c r="GZ99" s="41"/>
      <c r="HA99" s="41"/>
      <c r="HB99" s="41"/>
      <c r="HC99" s="41"/>
      <c r="HD99" s="41">
        <v>1</v>
      </c>
      <c r="HE99" s="42">
        <v>6.25</v>
      </c>
      <c r="JK99" s="7">
        <v>1</v>
      </c>
      <c r="JQ99" s="7">
        <v>1</v>
      </c>
      <c r="JW99" s="7">
        <v>2</v>
      </c>
      <c r="KC99" s="7">
        <v>2</v>
      </c>
    </row>
    <row r="100" spans="2:377" ht="15.75" customHeight="1">
      <c r="B100" s="9">
        <v>0</v>
      </c>
      <c r="C100" s="9" t="s">
        <v>151</v>
      </c>
      <c r="CG100" s="7">
        <v>1</v>
      </c>
      <c r="GZ100" s="41"/>
      <c r="HA100" s="41"/>
      <c r="HB100" s="41"/>
      <c r="HC100" s="41"/>
      <c r="HD100" s="41"/>
      <c r="HE100" s="42"/>
      <c r="JK100" s="7">
        <v>1</v>
      </c>
      <c r="JQ100" s="7">
        <v>1</v>
      </c>
      <c r="JW100" s="7">
        <v>1</v>
      </c>
      <c r="KC100" s="7">
        <v>1</v>
      </c>
    </row>
    <row r="101" spans="2:377" ht="15.75" customHeight="1">
      <c r="B101" s="9">
        <v>0</v>
      </c>
      <c r="C101" s="9" t="s">
        <v>152</v>
      </c>
      <c r="CG101" s="7">
        <v>1</v>
      </c>
      <c r="DE101" s="7">
        <v>2</v>
      </c>
      <c r="DQ101" s="7">
        <v>1</v>
      </c>
      <c r="EI101" s="7">
        <v>1</v>
      </c>
      <c r="EJ101" s="7">
        <v>1</v>
      </c>
      <c r="EK101" s="8">
        <v>6.25</v>
      </c>
      <c r="EO101" s="7">
        <v>1</v>
      </c>
      <c r="EP101" s="7">
        <v>1</v>
      </c>
      <c r="EQ101" s="8">
        <v>6.25</v>
      </c>
      <c r="EU101" s="7">
        <v>1</v>
      </c>
      <c r="EV101" s="7">
        <v>1</v>
      </c>
      <c r="EW101" s="8">
        <v>6.25</v>
      </c>
      <c r="FA101" s="7">
        <v>1</v>
      </c>
      <c r="FB101" s="7">
        <v>1</v>
      </c>
      <c r="FC101" s="8">
        <v>6.25</v>
      </c>
      <c r="FG101" s="7">
        <v>1</v>
      </c>
      <c r="FH101" s="7">
        <v>1</v>
      </c>
      <c r="FI101" s="8">
        <v>6.25</v>
      </c>
      <c r="FM101" s="7">
        <v>1</v>
      </c>
      <c r="FN101" s="7">
        <v>1</v>
      </c>
      <c r="FO101" s="8">
        <v>6.25</v>
      </c>
      <c r="FS101" s="7">
        <v>1</v>
      </c>
      <c r="FT101" s="7">
        <v>1</v>
      </c>
      <c r="FU101" s="8">
        <v>6.25</v>
      </c>
      <c r="FY101" s="7">
        <v>1</v>
      </c>
      <c r="FZ101" s="7">
        <v>1</v>
      </c>
      <c r="GA101" s="8">
        <v>6.25</v>
      </c>
      <c r="GE101" s="7">
        <v>1</v>
      </c>
      <c r="GF101" s="7">
        <v>1</v>
      </c>
      <c r="GG101" s="8">
        <v>6.25</v>
      </c>
      <c r="GK101" s="7">
        <v>1</v>
      </c>
      <c r="GL101" s="7">
        <v>1</v>
      </c>
      <c r="GM101" s="8">
        <v>6.25</v>
      </c>
      <c r="GQ101" s="7">
        <v>1</v>
      </c>
      <c r="GR101" s="7">
        <v>1</v>
      </c>
      <c r="GS101" s="8">
        <v>6.25</v>
      </c>
      <c r="GZ101" s="41"/>
      <c r="HA101" s="41"/>
      <c r="HB101" s="41"/>
      <c r="HC101" s="41"/>
      <c r="HD101" s="41"/>
      <c r="HE101" s="42"/>
      <c r="JK101" s="7">
        <v>1</v>
      </c>
      <c r="JQ101" s="7">
        <v>1</v>
      </c>
      <c r="JW101" s="7">
        <v>1</v>
      </c>
      <c r="KC101" s="7">
        <v>1</v>
      </c>
    </row>
    <row r="102" spans="2:377" ht="15.75" customHeight="1">
      <c r="B102" s="9">
        <v>0</v>
      </c>
      <c r="C102" s="9">
        <v>0</v>
      </c>
    </row>
    <row r="103" spans="2:377" ht="15.75" customHeight="1">
      <c r="B103" s="9">
        <v>0</v>
      </c>
      <c r="C103" s="9">
        <v>0</v>
      </c>
    </row>
    <row r="104" spans="2:377" ht="15.75" customHeight="1">
      <c r="B104" s="9">
        <v>0</v>
      </c>
      <c r="C104" s="9">
        <v>0</v>
      </c>
    </row>
    <row r="105" spans="2:377" s="15" customFormat="1" ht="15.75" customHeight="1">
      <c r="D105" s="20"/>
      <c r="I105" s="16"/>
      <c r="O105" s="16"/>
      <c r="U105" s="16"/>
      <c r="AA105" s="16"/>
      <c r="AG105" s="16"/>
      <c r="AM105" s="16"/>
      <c r="AS105" s="16"/>
      <c r="AY105" s="16"/>
      <c r="BE105" s="16"/>
      <c r="BK105" s="16"/>
      <c r="BQ105" s="16"/>
      <c r="BW105" s="16"/>
      <c r="CC105" s="16"/>
      <c r="CI105" s="16"/>
      <c r="CO105" s="16"/>
      <c r="CU105" s="16"/>
      <c r="DA105" s="16"/>
      <c r="DG105" s="16"/>
      <c r="DM105" s="16"/>
      <c r="DS105" s="16"/>
      <c r="DY105" s="16"/>
      <c r="EE105" s="16"/>
      <c r="EK105" s="16"/>
      <c r="EQ105" s="16"/>
      <c r="EW105" s="16"/>
      <c r="FC105" s="16"/>
      <c r="FI105" s="16"/>
      <c r="FO105" s="16"/>
      <c r="FU105" s="16"/>
      <c r="GA105" s="16"/>
      <c r="GG105" s="16"/>
      <c r="GM105" s="16"/>
      <c r="GS105" s="16"/>
      <c r="GY105" s="16"/>
      <c r="HE105" s="16"/>
      <c r="HK105" s="16"/>
      <c r="HQ105" s="16"/>
      <c r="HW105" s="16"/>
      <c r="IC105" s="16"/>
      <c r="II105" s="16"/>
      <c r="IO105" s="16"/>
      <c r="IP105" s="54"/>
      <c r="IU105" s="16"/>
      <c r="IV105" s="54"/>
      <c r="JA105" s="16"/>
      <c r="JG105" s="16"/>
      <c r="JM105" s="16"/>
      <c r="JS105" s="16"/>
      <c r="JY105" s="16"/>
      <c r="KE105" s="16"/>
    </row>
    <row r="106" spans="2:377" s="17" customFormat="1" ht="147.75" customHeight="1">
      <c r="D106" s="22" t="str">
        <f>IF(D3="",D107,$C106&amp;" "&amp;D3&amp;CHAR(10)&amp;D107)</f>
        <v xml:space="preserve"> Required 
disposable money 1
software 1
scale 1
 </v>
      </c>
      <c r="E106" s="22" t="str">
        <f t="shared" ref="E106:J106" si="162">IF(E3="",E107,$C106&amp;" "&amp;E3&amp;CHAR(10)&amp;E107)</f>
        <v xml:space="preserve"> Effects[points,%]
disposable money(-1,25), scale(1,100),  </v>
      </c>
      <c r="F106" s="22" t="str">
        <f t="shared" si="162"/>
        <v xml:space="preserve"> Effs. %
disposable money 25
scale 100
 </v>
      </c>
      <c r="G106" s="22" t="str">
        <f t="shared" si="162"/>
        <v xml:space="preserve"> Bonus cond
software(2), servers(2), wood(2), metal(2), plastic(2), electronics(2), fabric(2), enthusiasm(1), enthusiasm(2), fun-ness(1), community manager(1), PR(1), fame(1), network(2), ease of access(1), reputation(2), social media(1),  </v>
      </c>
      <c r="H106" s="22" t="str">
        <f t="shared" si="162"/>
        <v xml:space="preserve"> B Effs[points,%]
scale(1,6.25),  </v>
      </c>
      <c r="I106" s="22" t="str">
        <f t="shared" si="162"/>
        <v xml:space="preserve"> B Effs%
scale(6.25), </v>
      </c>
      <c r="J106" s="22" t="str">
        <f t="shared" si="162"/>
        <v xml:space="preserve"> Required 
disposable money 1
scale 1
interaction 1
 </v>
      </c>
      <c r="K106" s="22" t="str">
        <f t="shared" ref="K106:BV106" si="163">IF(K3="",K107,$C106&amp;" "&amp;K3&amp;CHAR(10)&amp;K107)</f>
        <v xml:space="preserve"> Effects[points,%]
reputation(1,75),  </v>
      </c>
      <c r="L106" s="22" t="str">
        <f t="shared" si="163"/>
        <v xml:space="preserve"> Effs. %
reputation 75
 </v>
      </c>
      <c r="M106" s="22" t="str">
        <f t="shared" si="163"/>
        <v xml:space="preserve"> Bonus cond
PR(1), portfolio(1), social innovation(1), non-profit biz(1),  </v>
      </c>
      <c r="N106" s="22" t="str">
        <f t="shared" si="163"/>
        <v xml:space="preserve"> B Effs[points,%]
scale(1,6.25), enthusiasm(1,6.25), seriousness(1,25), non-profits(1,12.5), reputation(1,75), marketing(1,12.5),  </v>
      </c>
      <c r="O106" s="22" t="str">
        <f t="shared" si="163"/>
        <v xml:space="preserve"> B Effs%
scale(6.25),enthusiasm(6.25),seriousness(25),non-profits(12.5),reputation(75),marketing(12.5), </v>
      </c>
      <c r="P106" s="22" t="str">
        <f t="shared" si="163"/>
        <v xml:space="preserve"> Required 
disposable money 1
scale 1
biz project 1
 </v>
      </c>
      <c r="Q106" s="22" t="str">
        <f t="shared" si="163"/>
        <v xml:space="preserve"> Effects[points,%]
 </v>
      </c>
      <c r="R106" s="22" t="str">
        <f t="shared" si="163"/>
        <v xml:space="preserve"> Effs. %
 </v>
      </c>
      <c r="S106" s="22" t="str">
        <f t="shared" si="163"/>
        <v xml:space="preserve"> Bonus cond
portfolio(1), biz enhancement(1), business(1), start-up(1),  </v>
      </c>
      <c r="T106" s="22" t="str">
        <f t="shared" si="163"/>
        <v xml:space="preserve"> B Effs[points,%]
scale(1,6.25), enthusiasm(1,6.25), seriousness(1,25), local biz(1,6.25), investors(1,6.25), reputation(1,6.25),  </v>
      </c>
      <c r="U106" s="22" t="str">
        <f t="shared" si="163"/>
        <v xml:space="preserve"> B Effs%
scale(6.25),enthusiasm(6.25),seriousness(25),local biz(6.25),investors(6.25),reputation(6.25), </v>
      </c>
      <c r="V106" s="22" t="str">
        <f t="shared" si="163"/>
        <v xml:space="preserve"> Required 
disposable money 1
scale 1
 </v>
      </c>
      <c r="W106" s="22" t="str">
        <f t="shared" si="163"/>
        <v xml:space="preserve"> Effects[points,%]
local biz(1,),  </v>
      </c>
      <c r="X106" s="22" t="str">
        <f t="shared" si="163"/>
        <v xml:space="preserve"> Effs. %
 </v>
      </c>
      <c r="Y106" s="22" t="str">
        <f t="shared" si="163"/>
        <v xml:space="preserve"> Bonus cond
enthusiasm(1), attention to details(1), PR(1), network(1), ease of access(1), reputation(1), portfolio(1), biz project(1), biz enhancement(1), job creation(1), business(1),  </v>
      </c>
      <c r="Z106" s="22" t="str">
        <f t="shared" si="163"/>
        <v xml:space="preserve"> B Effs[points,%]
local biz(1,6.25),  </v>
      </c>
      <c r="AA106" s="22" t="str">
        <f t="shared" si="163"/>
        <v xml:space="preserve"> B Effs%
local biz(6.25), </v>
      </c>
      <c r="AB106" s="22" t="str">
        <f t="shared" si="163"/>
        <v xml:space="preserve"> Required 
disposable money 1
scale 1
 </v>
      </c>
      <c r="AC106" s="22" t="str">
        <f t="shared" si="163"/>
        <v xml:space="preserve"> Effects[points,%]
non-profits(1,100),  </v>
      </c>
      <c r="AD106" s="22" t="str">
        <f t="shared" si="163"/>
        <v xml:space="preserve"> Effs. %
non-profits 100
 </v>
      </c>
      <c r="AE106" s="22" t="str">
        <f t="shared" si="163"/>
        <v xml:space="preserve"> Bonus cond
enthusiasm(1), attention to details(1), PR(1), network(1), ease of access(1), reputation(1), portfolio(1), social project(1), social innovation(1), non-profit biz(1),  </v>
      </c>
      <c r="AF106" s="22" t="str">
        <f t="shared" si="163"/>
        <v xml:space="preserve"> B Effs[points,%]
seriousness(1,6.25), non-profits(1,6.25),  </v>
      </c>
      <c r="AG106" s="22" t="str">
        <f t="shared" si="163"/>
        <v xml:space="preserve"> B Effs%
seriousness(6.25),non-profits(6.25), </v>
      </c>
      <c r="AH106" s="22" t="str">
        <f t="shared" si="163"/>
        <v xml:space="preserve"> Required 
disposable money 1
scale 1
 </v>
      </c>
      <c r="AI106" s="22" t="str">
        <f t="shared" si="163"/>
        <v xml:space="preserve"> Effects[points,%]
govt(1,),  </v>
      </c>
      <c r="AJ106" s="22" t="str">
        <f t="shared" si="163"/>
        <v xml:space="preserve"> Effs. %
 </v>
      </c>
      <c r="AK106" s="22" t="str">
        <f t="shared" si="163"/>
        <v xml:space="preserve"> Bonus cond
enthusiasm(1), attention to details(1), seriousness(1), fame(1), network(1), govt(1), ease of access(1), reputation(2), portfolio(1), social project(1), social innovation(1), non-profit biz(1),  </v>
      </c>
      <c r="AL106" s="22" t="str">
        <f t="shared" si="163"/>
        <v xml:space="preserve"> B Effs[points,%]
govt(1,6.25),  </v>
      </c>
      <c r="AM106" s="22" t="str">
        <f t="shared" si="163"/>
        <v xml:space="preserve"> B Effs%
govt(6.25), </v>
      </c>
      <c r="AN106" s="22" t="str">
        <f t="shared" si="163"/>
        <v xml:space="preserve"> Required 
disposable money 1
scale 1
enthusiasm 1
gifted leader 1
scale 1
enthusiasm 1
 </v>
      </c>
      <c r="AO106" s="22" t="str">
        <f t="shared" si="163"/>
        <v xml:space="preserve"> Effects[points,%]
fame(1,), network(1,), investors(1,6.25),  </v>
      </c>
      <c r="AP106" s="22" t="str">
        <f t="shared" si="163"/>
        <v xml:space="preserve"> Effs. %
investors 6.25
 </v>
      </c>
      <c r="AQ106" s="22" t="str">
        <f t="shared" si="163"/>
        <v xml:space="preserve"> Bonus cond
investors(1), ease of access(1), reputation(1), portfolio(1), start-up(1), start-up with mvp(1), start-up with customers(1),  </v>
      </c>
      <c r="AR106" s="22" t="str">
        <f t="shared" si="163"/>
        <v xml:space="preserve"> B Effs[points,%]
 </v>
      </c>
      <c r="AS106" s="22" t="str">
        <f t="shared" si="163"/>
        <v xml:space="preserve"> B Effs%
 </v>
      </c>
      <c r="AT106" s="22" t="str">
        <f t="shared" si="163"/>
        <v xml:space="preserve"> Required 
budget 2
disposable money 1
profit-loss 1
asset-debt 0
credit 1
scale 1
enthusiasm 1
scale 2
enthusiasm 1
seriousness 1
administrator 1
non-profits 2
reputation 1
portfolio 1
social project 1
 </v>
      </c>
      <c r="AU106" s="22" t="str">
        <f t="shared" si="163"/>
        <v xml:space="preserve"> Effects[points,%]
budget(2,), ambition(1,), attention to details(1,),  </v>
      </c>
      <c r="AV106" s="22" t="str">
        <f t="shared" si="163"/>
        <v xml:space="preserve"> Effs. %
 </v>
      </c>
      <c r="AW106" s="22" t="str">
        <f t="shared" si="163"/>
        <v xml:space="preserve"> Bonus cond
field knowledge(1), enthusiasm(3), PR(2), administrator(1), project management(2),  </v>
      </c>
      <c r="AX106" s="22" t="str">
        <f t="shared" si="163"/>
        <v xml:space="preserve"> B Effs[points,%]
organizational rules and manuals(1,12.5), project management(1,12.5),  </v>
      </c>
      <c r="AY106" s="22" t="str">
        <f t="shared" si="163"/>
        <v xml:space="preserve"> B Effs%
organizational rules and manuals(12.5),project management(12.5), </v>
      </c>
      <c r="AZ106" s="22" t="str">
        <f t="shared" si="163"/>
        <v xml:space="preserve"> Required 
budget 1
profit-loss 0
asset-debt 0
scale 1
enthusiasm 1
scale 1
enthusiasm 1
non-profits 1
 </v>
      </c>
      <c r="BA106" s="22" t="str">
        <f t="shared" si="163"/>
        <v xml:space="preserve"> Effects[points,%]
budget(1,),  </v>
      </c>
      <c r="BB106" s="22" t="str">
        <f t="shared" si="163"/>
        <v xml:space="preserve"> Effs. %
 </v>
      </c>
      <c r="BC106" s="22" t="str">
        <f t="shared" si="163"/>
        <v xml:space="preserve"> Bonus cond
 </v>
      </c>
      <c r="BD106" s="22" t="str">
        <f t="shared" si="163"/>
        <v xml:space="preserve"> B Effs[points,%]
 </v>
      </c>
      <c r="BE106" s="22" t="str">
        <f t="shared" si="163"/>
        <v xml:space="preserve"> B Effs%
 </v>
      </c>
      <c r="BF106" s="22" t="str">
        <f t="shared" si="163"/>
        <v xml:space="preserve"> Required 
budget 2
disposable money 1
profit-loss 1
asset-debt 0
scale 1
enthusiasm 1
scale 2
enthusiasm 1
seriousness 1
administrator 1
local biz 2
entrepreneurs 1
reputation 1
portfolio 1
biz project 1
 </v>
      </c>
      <c r="BG106" s="22" t="str">
        <f t="shared" si="163"/>
        <v xml:space="preserve"> Effects[points,%]
budget(2,), disposable money(1,), ambition(1,), attention to details(1,),  </v>
      </c>
      <c r="BH106" s="22" t="str">
        <f t="shared" si="163"/>
        <v xml:space="preserve"> Effs. %
 </v>
      </c>
      <c r="BI106" s="22" t="str">
        <f t="shared" si="163"/>
        <v xml:space="preserve"> Bonus cond
field knowledge(1), enthusiasm(3), PR(2), administrator(1), project management(2),  </v>
      </c>
      <c r="BJ106" s="22" t="str">
        <f t="shared" si="163"/>
        <v xml:space="preserve"> B Effs[points,%]
organizational rules and manuals(1,12.5), project management(1,12.5),  </v>
      </c>
      <c r="BK106" s="22" t="str">
        <f t="shared" si="163"/>
        <v xml:space="preserve"> B Effs%
organizational rules and manuals(12.5),project management(12.5), </v>
      </c>
      <c r="BL106" s="22" t="str">
        <f t="shared" si="163"/>
        <v xml:space="preserve"> Required 
budget 1
profit-loss 1
asset-debt 0
scale 1
enthusiasm 1
scale 1
enthusiasm 1
local biz 1
reputation 1
portfolio 1
biz enhancement 1
 </v>
      </c>
      <c r="BM106" s="22" t="str">
        <f t="shared" si="163"/>
        <v xml:space="preserve"> Effects[points,%]
budget(1,),  </v>
      </c>
      <c r="BN106" s="22" t="str">
        <f t="shared" si="163"/>
        <v xml:space="preserve"> Effs. %
 </v>
      </c>
      <c r="BO106" s="22" t="str">
        <f t="shared" si="163"/>
        <v xml:space="preserve"> Bonus cond
 </v>
      </c>
      <c r="BP106" s="22" t="str">
        <f t="shared" si="163"/>
        <v xml:space="preserve"> B Effs[points,%]
 </v>
      </c>
      <c r="BQ106" s="22" t="str">
        <f t="shared" si="163"/>
        <v xml:space="preserve"> B Effs%
 </v>
      </c>
      <c r="BR106" s="22" t="str">
        <f t="shared" si="163"/>
        <v xml:space="preserve"> Required 
 </v>
      </c>
      <c r="BS106" s="22" t="str">
        <f t="shared" si="163"/>
        <v xml:space="preserve"> Effects[points,%]
 </v>
      </c>
      <c r="BT106" s="22" t="str">
        <f t="shared" si="163"/>
        <v xml:space="preserve"> Effs. %
 </v>
      </c>
      <c r="BU106" s="22" t="str">
        <f t="shared" si="163"/>
        <v xml:space="preserve"> Bonus cond
 </v>
      </c>
      <c r="BV106" s="22" t="str">
        <f t="shared" si="163"/>
        <v xml:space="preserve"> B Effs[points,%]
 </v>
      </c>
      <c r="BW106" s="22" t="str">
        <f t="shared" ref="BW106:EH106" si="164">IF(BW3="",BW107,$C106&amp;" "&amp;BW3&amp;CHAR(10)&amp;BW107)</f>
        <v xml:space="preserve"> B Effs%
 </v>
      </c>
      <c r="BX106" s="22" t="str">
        <f t="shared" si="164"/>
        <v xml:space="preserve"> Required 
disposable money 1
scale 1
network 1
 </v>
      </c>
      <c r="BY106" s="22" t="str">
        <f t="shared" si="164"/>
        <v xml:space="preserve"> Effects[points,%]
efficiency(1,),  </v>
      </c>
      <c r="BZ106" s="22" t="str">
        <f t="shared" si="164"/>
        <v xml:space="preserve"> Effs. %
 </v>
      </c>
      <c r="CA106" s="22" t="str">
        <f t="shared" si="164"/>
        <v xml:space="preserve"> Bonus cond
scale(2), enthusiasm(1), attention to details(1), administrator(1), negotiation(1),  </v>
      </c>
      <c r="CB106" s="22" t="str">
        <f t="shared" si="164"/>
        <v xml:space="preserve"> B Effs[points,%]
user rules and manuals(1,50), organizational rules and manuals(1,50),  </v>
      </c>
      <c r="CC106" s="22" t="str">
        <f t="shared" si="164"/>
        <v xml:space="preserve"> B Effs%
user rules and manuals(50),organizational rules and manuals(50), </v>
      </c>
      <c r="CD106" s="22" t="str">
        <f t="shared" si="164"/>
        <v xml:space="preserve"> Required 
disposable money 1
software 1
servers 1
scale 1
scale 1
enthusiasm 1
network 1
 </v>
      </c>
      <c r="CE106" s="22" t="str">
        <f t="shared" si="164"/>
        <v xml:space="preserve"> Effects[points,%]
disposable money(-1,12.5), field knowledge(1,), non-profits(1,),  </v>
      </c>
      <c r="CF106" s="22" t="str">
        <f t="shared" si="164"/>
        <v xml:space="preserve"> Effs. %
disposable money 12.5
 </v>
      </c>
      <c r="CG106" s="22" t="str">
        <f t="shared" si="164"/>
        <v xml:space="preserve"> Bonus cond
software(2), servers(2), wood(2), metal(2), plastic(2), electronics(2), fabric(2), fun-ness(1), seriousness(1), ease of access(1), portfolio(1), user rules and manuals(1), negotiation(1), social project(1), biz project(1), for basic literacy(1), for the elites(1), for entrepreneurs(1),  </v>
      </c>
      <c r="CH106" s="22" t="str">
        <f t="shared" si="164"/>
        <v xml:space="preserve"> B Effs[points,%]
scale(1,6.25), technologists(1,6.25), non-profits(1,6.25),  </v>
      </c>
      <c r="CI106" s="22" t="str">
        <f t="shared" si="164"/>
        <v xml:space="preserve"> B Effs%
scale(6.25),technologists(6.25),non-profits(6.25), </v>
      </c>
      <c r="CJ106" s="22" t="str">
        <f t="shared" si="164"/>
        <v xml:space="preserve"> Required 
disposable money 1
software 1
servers 1
scale 1
scale 1
 </v>
      </c>
      <c r="CK106" s="22" t="str">
        <f t="shared" si="164"/>
        <v xml:space="preserve"> Effects[points,%]
disposable money(-1,12.5), suppliers(1,),  </v>
      </c>
      <c r="CL106" s="22" t="str">
        <f t="shared" si="164"/>
        <v xml:space="preserve"> Effs. %
disposable money 12.5
 </v>
      </c>
      <c r="CM106" s="22" t="str">
        <f t="shared" si="164"/>
        <v xml:space="preserve"> Bonus cond
reputation(1), negotiation(1),  </v>
      </c>
      <c r="CN106" s="22" t="str">
        <f t="shared" si="164"/>
        <v xml:space="preserve"> B Effs[points,%]
learning capacities(1,), engineering knowledge(1,), enthusiasm(2,), efficiency(1,6.25),  </v>
      </c>
      <c r="CO106" s="22" t="str">
        <f t="shared" si="164"/>
        <v xml:space="preserve"> B Effs%
efficiency(6.25), </v>
      </c>
      <c r="CP106" s="22" t="str">
        <f t="shared" si="164"/>
        <v xml:space="preserve"> Required 
disposable money 1
software 1
servers 1
scale 1
scale 1
 </v>
      </c>
      <c r="CQ106" s="22" t="str">
        <f t="shared" si="164"/>
        <v xml:space="preserve"> Effects[points,%]
disposable money(-1,12.5), technologists(1,),  </v>
      </c>
      <c r="CR106" s="22" t="str">
        <f t="shared" si="164"/>
        <v xml:space="preserve"> Effs. %
disposable money 12.5
 </v>
      </c>
      <c r="CS106" s="22" t="str">
        <f t="shared" si="164"/>
        <v xml:space="preserve"> Bonus cond
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06" s="22" t="str">
        <f t="shared" si="164"/>
        <v xml:space="preserve"> B Effs[points,%]
engineering knowledge(1,6.25), efficiency(1,6.25),  </v>
      </c>
      <c r="CU106" s="22" t="str">
        <f t="shared" si="164"/>
        <v xml:space="preserve"> B Effs%
engineering knowledge(6.25),efficiency(6.25), </v>
      </c>
      <c r="CV106" s="22" t="str">
        <f t="shared" si="164"/>
        <v xml:space="preserve"> Required 
disposable money 1
scale 1
scale 1
 </v>
      </c>
      <c r="CW106" s="22" t="str">
        <f t="shared" si="164"/>
        <v xml:space="preserve"> Effects[points,%]
disposable money(-1,12.5), local biz(1,),  </v>
      </c>
      <c r="CX106" s="22" t="str">
        <f t="shared" si="164"/>
        <v xml:space="preserve"> Effs. %
disposable money 12.5
 </v>
      </c>
      <c r="CY106" s="22" t="str">
        <f t="shared" si="164"/>
        <v xml:space="preserve"> Bonus cond
software(2), servers(2), wood(2), metal(2), plastic(2), electronics(2), fabric(2), ease of access(1), reputation(1), portfolio(1), negotiation(1),  </v>
      </c>
      <c r="CZ106" s="22" t="str">
        <f t="shared" si="164"/>
        <v xml:space="preserve"> B Effs[points,%]
non-profits(1,6.25),  </v>
      </c>
      <c r="DA106" s="22" t="str">
        <f t="shared" si="164"/>
        <v xml:space="preserve"> B Effs%
non-profits(6.25), </v>
      </c>
      <c r="DB106" s="22" t="str">
        <f t="shared" si="164"/>
        <v xml:space="preserve"> Required 
disposable money 1
scale 1
 </v>
      </c>
      <c r="DC106" s="22" t="str">
        <f t="shared" si="164"/>
        <v xml:space="preserve"> Effects[points,%]
disposable money(-1,12.5),  </v>
      </c>
      <c r="DD106" s="22" t="str">
        <f t="shared" si="164"/>
        <v xml:space="preserve"> Effs. %
disposable money 12.5
 </v>
      </c>
      <c r="DE106" s="22" t="str">
        <f t="shared" si="164"/>
        <v xml:space="preserve"> Bonus cond
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06" s="22" t="str">
        <f t="shared" si="164"/>
        <v xml:space="preserve"> B Effs[points,%]
profit-loss(1,6.25), network(1,), local biz(1,6.25), biz group(1,6.25), investors(1,6.25), entrepreneurs(1,6.25),  </v>
      </c>
      <c r="DG106" s="22" t="str">
        <f t="shared" si="164"/>
        <v xml:space="preserve"> B Effs%
profit-loss(6.25),local biz(6.25),biz group(6.25),investors(6.25),entrepreneurs(6.25), </v>
      </c>
      <c r="DH106" s="22" t="str">
        <f t="shared" si="164"/>
        <v xml:space="preserve"> Required 
disposable money 1
software 1
scale 1
enthusiasm 1
scale 1
enthusiasm 1
network 1
non-profits 1
reputation 1
social project 1
 </v>
      </c>
      <c r="DI106" s="22" t="str">
        <f t="shared" si="164"/>
        <v xml:space="preserve"> Effects[points,%]
disposable money(-1,25),  </v>
      </c>
      <c r="DJ106" s="22" t="str">
        <f t="shared" si="164"/>
        <v xml:space="preserve"> Effs. %
disposable money 25
 </v>
      </c>
      <c r="DK106" s="22" t="str">
        <f t="shared" si="164"/>
        <v xml:space="preserve"> Bonus cond
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06" s="22" t="str">
        <f t="shared" si="164"/>
        <v xml:space="preserve"> B Effs[points,%]
field knowledge(1,12.5), network among members(1,12.5), reputation(1,6.25),  </v>
      </c>
      <c r="DM106" s="22" t="str">
        <f t="shared" si="164"/>
        <v xml:space="preserve"> B Effs%
field knowledge(12.5),network among members(12.5),reputation(6.25), </v>
      </c>
      <c r="DN106" s="22" t="str">
        <f t="shared" si="164"/>
        <v xml:space="preserve"> Required 
disposable money 1
scale 1
enthusiasm 1
scale 1
enthusiasm 1
network 1
local biz 1
reputation 1
biz project 1
 </v>
      </c>
      <c r="DO106" s="22" t="str">
        <f t="shared" si="164"/>
        <v xml:space="preserve"> Effects[points,%]
disposable money(-1,25),  </v>
      </c>
      <c r="DP106" s="22" t="str">
        <f t="shared" si="164"/>
        <v xml:space="preserve"> Effs. %
disposable money 25
 </v>
      </c>
      <c r="DQ106" s="22" t="str">
        <f t="shared" si="164"/>
        <v xml:space="preserve"> Bonus cond
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06" s="22" t="str">
        <f t="shared" si="164"/>
        <v xml:space="preserve"> B Effs[points,%]
disposable money(1,6.25), field knowledge(1,12.5), network among members(1,12.5), reputation(1,6.25),  </v>
      </c>
      <c r="DS106" s="22" t="str">
        <f t="shared" si="164"/>
        <v xml:space="preserve"> B Effs%
disposable money(6.25),field knowledge(12.5),network among members(12.5),reputation(6.25), </v>
      </c>
      <c r="DT106" s="22" t="str">
        <f t="shared" si="164"/>
        <v xml:space="preserve"> Required 
disposable money 1
scale 1
enthusiasm 1
scale 1
enthusiasm 1
network 1
reputation 1
 </v>
      </c>
      <c r="DU106" s="22" t="str">
        <f t="shared" si="164"/>
        <v xml:space="preserve"> Effects[points,%]
disposable money(-1,50),  </v>
      </c>
      <c r="DV106" s="22" t="str">
        <f t="shared" si="164"/>
        <v xml:space="preserve"> Effs. %
disposable money 50
 </v>
      </c>
      <c r="DW106" s="22" t="str">
        <f t="shared" si="164"/>
        <v xml:space="preserve"> Bonus cond
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06" s="22" t="str">
        <f t="shared" si="164"/>
        <v xml:space="preserve"> B Effs[points,%]
disposable money(1,6.25), enthusiasm(1,6.25), field knowledge(1,6.25), engineering knowledge(1,6.25), ambition(1,6.25), reputation(1,6.25), for basic literacy(1,6.25),  </v>
      </c>
      <c r="DY106" s="22" t="str">
        <f t="shared" si="164"/>
        <v xml:space="preserve"> B Effs%
disposable money(6.25),enthusiasm(6.25),field knowledge(6.25),engineering knowledge(6.25),ambition(6.25),reputation(6.25),for basic literacy(6.25), </v>
      </c>
      <c r="DZ106" s="22" t="str">
        <f t="shared" si="164"/>
        <v xml:space="preserve"> Required 
disposable money 1
scale 1
enthusiasm 1
scale 1
enthusiasm 1
network 1
reputation 1
 </v>
      </c>
      <c r="EA106" s="22" t="str">
        <f t="shared" si="164"/>
        <v xml:space="preserve"> Effects[points,%]
disposable money(-1,50),  </v>
      </c>
      <c r="EB106" s="22" t="str">
        <f t="shared" si="164"/>
        <v xml:space="preserve"> Effs. %
disposable money 50
 </v>
      </c>
      <c r="EC106" s="22" t="str">
        <f t="shared" si="164"/>
        <v xml:space="preserve"> Bonus cond
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06" s="22" t="str">
        <f t="shared" si="164"/>
        <v xml:space="preserve"> B Effs[points,%]
enthusiasm(1,6.25), engineering knowledge(1,6.25), ambition(1,6.25), reputation(1,6.25), for basic literacy(1,6.25),  </v>
      </c>
      <c r="EE106" s="22" t="str">
        <f t="shared" si="164"/>
        <v xml:space="preserve"> B Effs%
enthusiasm(6.25),engineering knowledge(6.25),ambition(6.25),reputation(6.25),for basic literacy(6.25), </v>
      </c>
      <c r="EF106" s="22" t="str">
        <f t="shared" si="164"/>
        <v xml:space="preserve"> Required 
disposable money 1
scale 2
enthusiasm 2
technologists 1
reputation 1
 </v>
      </c>
      <c r="EG106" s="22" t="str">
        <f t="shared" si="164"/>
        <v xml:space="preserve"> Effects[points,%]
disposable money(-1,75), web(1,50), mobile apps(1,50), interaction(1,50),  </v>
      </c>
      <c r="EH106" s="22" t="str">
        <f t="shared" si="164"/>
        <v xml:space="preserve"> Effs. %
disposable money 75
web 50
mobile apps 50
interaction 50
 </v>
      </c>
      <c r="EI106" s="22" t="str">
        <f t="shared" ref="EI106:GT106" si="165">IF(EI3="",EI107,$C106&amp;" "&amp;EI3&amp;CHAR(10)&amp;EI107)</f>
        <v xml:space="preserve"> Bonus cond
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06" s="22" t="str">
        <f t="shared" si="165"/>
        <v xml:space="preserve"> B Effs[points,%]
engineering knowledge(1,6.25), technologists(1,12.5), infrastructrue(1,12.5), database(1,12.5), mobile comm(1,12.5), for entrepreneurs(1,6.25),  </v>
      </c>
      <c r="EK106" s="22" t="str">
        <f t="shared" si="165"/>
        <v xml:space="preserve"> B Effs%
engineering knowledge(6.25),technologists(12.5),infrastructrue(12.5),database(12.5),mobile comm(12.5),for entrepreneurs(6.25), </v>
      </c>
      <c r="EL106" s="22" t="str">
        <f t="shared" si="165"/>
        <v xml:space="preserve"> Required 
disposable money 1
scale 2
enthusiasm 2
technologists 1
reputation 1
 </v>
      </c>
      <c r="EM106" s="22" t="str">
        <f t="shared" si="165"/>
        <v xml:space="preserve"> Effects[points,%]
disposable money(-1,75), sensors(1,50),  </v>
      </c>
      <c r="EN106" s="22" t="str">
        <f t="shared" si="165"/>
        <v xml:space="preserve"> Effs. %
disposable money 75
sensors 50
 </v>
      </c>
      <c r="EO106" s="22" t="str">
        <f t="shared" si="165"/>
        <v xml:space="preserve"> Bonus cond
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06" s="22" t="str">
        <f t="shared" si="165"/>
        <v xml:space="preserve"> B Effs[points,%]
engineering knowledge(1,6.25), technologists(1,12.5), infrastructrue(1,12.5), database(1,12.5), mobile comm(1,12.5), electronics(1,6.25), for entrepreneurs(1,6.25),  </v>
      </c>
      <c r="EQ106" s="22" t="str">
        <f t="shared" si="165"/>
        <v xml:space="preserve"> B Effs%
engineering knowledge(6.25),technologists(12.5),infrastructrue(12.5),database(12.5),mobile comm(12.5),electronics(6.25),for entrepreneurs(6.25), </v>
      </c>
      <c r="ER106" s="22" t="str">
        <f t="shared" si="165"/>
        <v xml:space="preserve"> Required 
disposable money 1
software 1
servers 1
scale 2
enthusiasm 2
technologists 1
 </v>
      </c>
      <c r="ES106" s="22" t="str">
        <f t="shared" si="165"/>
        <v xml:space="preserve"> Effects[points,%]
disposable money(-1,75), AI&amp; data analysis(1,50),  </v>
      </c>
      <c r="ET106" s="22" t="str">
        <f t="shared" si="165"/>
        <v xml:space="preserve"> Effs. %
disposable money 75
AI&amp; data analysis 50
 </v>
      </c>
      <c r="EU106" s="22" t="str">
        <f t="shared" si="165"/>
        <v xml:space="preserve"> Bonus cond
learning capacities(2), gifted programmer(1), scale(2), enthusiasm(2), seriousness(2), initiative(1), community manager(1), administrator(1), enthusiasm(1), fame(1), network(2), level of understanding(1), technologists(2), ease of access(1), reputation(2), database(1), sensors(1), mobile comm(1), for entrepreneurs(1),  </v>
      </c>
      <c r="EV106" s="22" t="str">
        <f t="shared" si="165"/>
        <v xml:space="preserve"> B Effs[points,%]
engineering knowledge(1,6.25), technologists(1,12.5), database(1,12.5), sensors(1,12.5), mobile comm(1,12.5), for entrepreneurs(1,6.25),  </v>
      </c>
      <c r="EW106" s="22" t="str">
        <f t="shared" si="165"/>
        <v xml:space="preserve"> B Effs%
engineering knowledge(6.25),technologists(12.5),database(12.5),sensors(12.5),mobile comm(12.5),for entrepreneurs(6.25), </v>
      </c>
      <c r="EX106" s="22" t="str">
        <f t="shared" si="165"/>
        <v xml:space="preserve"> Required 
disposable money 1
software 1
servers 1
scale 2
enthusiasm 2
technologists 1
 </v>
      </c>
      <c r="EY106" s="22" t="str">
        <f t="shared" si="165"/>
        <v xml:space="preserve"> Effects[points,%]
disposable money(-1,75), law(1,50), security(1,50), interaction(1,25),  </v>
      </c>
      <c r="EZ106" s="22" t="str">
        <f t="shared" si="165"/>
        <v xml:space="preserve"> Effs. %
disposable money 75
law 50
security 50
interaction 25
 </v>
      </c>
      <c r="FA106" s="22" t="str">
        <f t="shared" si="165"/>
        <v xml:space="preserve"> Bonus cond
learning capacities(2), gifted programmer(1), scale(2), enthusiasm(2), seriousness(2), initiative(1), community manager(1), administrator(1), enthusiasm(1), fame(1), network(2), level of understanding(1), technologists(2), ease of access(1), reputation(2), law(2), for entrepreneurs(1),  </v>
      </c>
      <c r="FB106" s="22" t="str">
        <f t="shared" si="165"/>
        <v xml:space="preserve"> B Effs[points,%]
field knowledge(1,6.25), engineering knowledge(1,6.25), technologists(1,12.5), law(1,6.25), database(1,12.5), mobile apps(1,12.5), security(1,12.5), mobile comm(1,12.5), for entrepreneurs(1,6.25),  </v>
      </c>
      <c r="FC106" s="22" t="str">
        <f t="shared" si="165"/>
        <v xml:space="preserve"> B Effs%
field knowledge(6.25),engineering knowledge(6.25),technologists(12.5),law(6.25),database(12.5),mobile apps(12.5),security(12.5),mobile comm(12.5),for entrepreneurs(6.25), </v>
      </c>
      <c r="FD106" s="22" t="str">
        <f t="shared" si="165"/>
        <v xml:space="preserve"> Required 
disposable money 1
software 1
servers 1
scale 2
enthusiasm 2
technologists 1
 </v>
      </c>
      <c r="FE106" s="22" t="str">
        <f t="shared" si="165"/>
        <v xml:space="preserve"> Effects[points,%]
disposable money(-1,75), law(1,50), sensors(1,50), security(1,50),  </v>
      </c>
      <c r="FF106" s="22" t="str">
        <f t="shared" si="165"/>
        <v xml:space="preserve"> Effs. %
disposable money 75
law 50
sensors 50
security 50
 </v>
      </c>
      <c r="FG106" s="22" t="str">
        <f t="shared" si="165"/>
        <v xml:space="preserve"> Bonus cond
learning capacities(2), gifted programmer(1), scale(2), enthusiasm(2), seriousness(2), initiative(1), community manager(1), administrator(1), enthusiasm(1), fame(1), network(2), level of understanding(1), technologists(2), ease of access(1), reputation(2), law(2), project management(2), for entrepreneurs(1),  </v>
      </c>
      <c r="FH106" s="22" t="str">
        <f t="shared" si="165"/>
        <v xml:space="preserve"> B Effs[points,%]
field knowledge(1,6.25), engineering knowledge(1,6.25), technologists(1,12.5), law(1,6.25), database(1,6.25), mobile apps(1,6.25), AI&amp; data analysis(1,6.25), mobile comm(1,6.25), for entrepreneurs(1,6.25),  </v>
      </c>
      <c r="FI106" s="22" t="str">
        <f t="shared" si="165"/>
        <v xml:space="preserve"> B Effs%
field knowledge(6.25),engineering knowledge(6.25),technologists(12.5),law(6.25),database(6.25),mobile apps(6.25),AI&amp; data analysis(6.25),mobile comm(6.25),for entrepreneurs(6.25), </v>
      </c>
      <c r="FJ106" s="22" t="str">
        <f t="shared" si="165"/>
        <v xml:space="preserve"> Required 
disposable money 1
software 1
servers 1
scale 2
enthusiasm 2
technologists 1
 </v>
      </c>
      <c r="FK106" s="22" t="str">
        <f t="shared" si="165"/>
        <v xml:space="preserve"> Effects[points,%]
disposable money(-1,100), wood processing(1,25), metal processing(1,25), plastic processing(1,25), fabric(1,25), safety(1,25), interaction(1,25),  </v>
      </c>
      <c r="FL106" s="22" t="str">
        <f t="shared" si="165"/>
        <v xml:space="preserve"> Effs. %
disposable money 100
project management 2
wood processing 25
metal processing 25
plastic processing 25
fabric 25
safety 25
interaction 25
 </v>
      </c>
      <c r="FM106" s="22" t="str">
        <f t="shared" si="165"/>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FN106" s="22" t="str">
        <f t="shared" si="165"/>
        <v xml:space="preserve"> B Effs[points,%]
field knowledge(1,6.25), engineering knowledge(1,6.25), technologists(1,12.5), for entrepreneurs(1,6.25),  </v>
      </c>
      <c r="FO106" s="22" t="str">
        <f t="shared" si="165"/>
        <v xml:space="preserve"> B Effs%
field knowledge(6.25),engineering knowledge(6.25),technologists(12.5),for entrepreneurs(6.25), </v>
      </c>
      <c r="FP106" s="22" t="str">
        <f t="shared" si="165"/>
        <v xml:space="preserve"> Required 
disposable money 1
software 1
servers 1
scale 2
enthusiasm 2
technologists 1
 </v>
      </c>
      <c r="FQ106" s="22" t="str">
        <f t="shared" si="165"/>
        <v xml:space="preserve"> Effects[points,%]
disposable money(-1,75), web(1,25), mobile apps(1,50), functions(1,25), interaction(1,25),  </v>
      </c>
      <c r="FR106" s="22" t="str">
        <f t="shared" si="165"/>
        <v xml:space="preserve"> Effs. %
disposable money 75
web 25
mobile apps 50
functions 25
interaction 25
 </v>
      </c>
      <c r="FS106" s="22" t="str">
        <f t="shared" si="165"/>
        <v xml:space="preserve"> Bonus cond
learning capacities(2), gifted programmer(1), scale(2), enthusiasm(2), seriousness(2), initiative(1), community manager(1), administrator(1), enthusiasm(1), fame(1), network(2), level of understanding(1), technologists(2), spaciousness(1), ease of access(1), reputation(2), for entrepreneurs(1),  </v>
      </c>
      <c r="FT106" s="22" t="str">
        <f t="shared" si="165"/>
        <v xml:space="preserve"> B Effs[points,%]
field knowledge(1,6.25), engineering knowledge(1,6.25), technologists(1,12.5), for entrepreneurs(1,6.25),  </v>
      </c>
      <c r="FU106" s="22" t="str">
        <f t="shared" si="165"/>
        <v xml:space="preserve"> B Effs%
field knowledge(6.25),engineering knowledge(6.25),technologists(12.5),for entrepreneurs(6.25), </v>
      </c>
      <c r="FV106" s="22" t="str">
        <f t="shared" si="165"/>
        <v xml:space="preserve"> Required 
disposable money 1
software 1
servers 1
scale 2
enthusiasm 2
technologists 1
 </v>
      </c>
      <c r="FW106" s="22" t="str">
        <f t="shared" si="165"/>
        <v xml:space="preserve"> Effects[points,%]
disposable money(-1,100), mobile apps(1,50), sensors(1,50), wood processing(1,25), plastic processing(1,25), electronics(1,25), functions(1,25), interaction(1,25),  </v>
      </c>
      <c r="FX106" s="22" t="str">
        <f t="shared" si="165"/>
        <v xml:space="preserve"> Effs. %
disposable money 100
mobile apps 50
sensors 50
wood processing 25
plastic processing 25
electronics 25
functions 25
interaction 25
 </v>
      </c>
      <c r="FY106" s="22" t="str">
        <f t="shared" si="165"/>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FZ106" s="22" t="str">
        <f t="shared" si="165"/>
        <v xml:space="preserve"> B Effs[points,%]
field knowledge(1,6.25), engineering knowledge(1,6.25), technologists(1,12.5), web(1,6.25), database(1,6.25), AI&amp; data analysis(1,6.25), mobile comm(1,6.25), for entrepreneurs(1,6.25),  </v>
      </c>
      <c r="GA106" s="22" t="str">
        <f t="shared" si="165"/>
        <v xml:space="preserve"> B Effs%
field knowledge(6.25),engineering knowledge(6.25),technologists(12.5),web(6.25),database(6.25),AI&amp; data analysis(6.25),mobile comm(6.25),for entrepreneurs(6.25), </v>
      </c>
      <c r="GB106" s="22" t="str">
        <f t="shared" si="165"/>
        <v xml:space="preserve"> Required 
disposable money 1
software 1
servers 1
scale 2
enthusiasm 2
technologists 1
 </v>
      </c>
      <c r="GC106" s="22" t="str">
        <f t="shared" si="165"/>
        <v xml:space="preserve"> Effects[points,%]
disposable money(-1,75), sensors(1,25), mobile comm(1,25), electronics(1,50), functions(1,25), safety(1,25),  </v>
      </c>
      <c r="GD106" s="22" t="str">
        <f t="shared" si="165"/>
        <v xml:space="preserve"> Effs. %
disposable money 75
sensors 25
mobile comm 25
electronics 50
functions 25
safety 25
 </v>
      </c>
      <c r="GE106" s="22" t="str">
        <f t="shared" si="165"/>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GF106" s="22" t="str">
        <f t="shared" si="165"/>
        <v xml:space="preserve"> B Effs[points,%]
field knowledge(1,6.25), engineering knowledge(1,6.25), technologists(1,12.5), database(1,6.25), mobile apps(1,6.25), AI&amp; data analysis(1,6.25), plastic processing(1,6.25), interaction(1,6.25), for entrepreneurs(1,6.25),  </v>
      </c>
      <c r="GG106" s="22" t="str">
        <f t="shared" si="165"/>
        <v xml:space="preserve"> B Effs%
field knowledge(6.25),engineering knowledge(6.25),technologists(12.5),database(6.25),mobile apps(6.25),AI&amp; data analysis(6.25),plastic processing(6.25),interaction(6.25),for entrepreneurs(6.25), </v>
      </c>
      <c r="GH106" s="22" t="str">
        <f t="shared" si="165"/>
        <v xml:space="preserve"> Required 
disposable money 1
software 1
servers 1
scale 2
enthusiasm 2
technologists 1
 </v>
      </c>
      <c r="GI106" s="22" t="str">
        <f t="shared" si="165"/>
        <v xml:space="preserve"> Effects[points,%]
disposable money(-1,75), web(1,25), mobile apps(1,50), functions(1,25), interaction(1,25),  </v>
      </c>
      <c r="GJ106" s="22" t="str">
        <f t="shared" si="165"/>
        <v xml:space="preserve"> Effs. %
disposable money 75
web 25
mobile apps 50
functions 25
interaction 25
 </v>
      </c>
      <c r="GK106" s="22" t="str">
        <f t="shared" si="165"/>
        <v xml:space="preserve"> Bonus cond
learning capacities(2), gifted programmer(1), scale(2), enthusiasm(2), seriousness(2), initiative(1), community manager(1), administrator(1), enthusiasm(1), fame(1), network(2), level of understanding(1), technologists(2), spaciousness(1), ease of access(1), reputation(2), project management(2), for entrepreneurs(1),  </v>
      </c>
      <c r="GL106" s="22" t="str">
        <f t="shared" si="165"/>
        <v xml:space="preserve"> B Effs[points,%]
field knowledge(1,6.25), engineering knowledge(1,6.25), technologists(1,12.5), for entrepreneurs(1,6.25),  </v>
      </c>
      <c r="GM106" s="22" t="str">
        <f t="shared" si="165"/>
        <v xml:space="preserve"> B Effs%
field knowledge(6.25),engineering knowledge(6.25),technologists(12.5),for entrepreneurs(6.25), </v>
      </c>
      <c r="GN106" s="22" t="str">
        <f t="shared" si="165"/>
        <v xml:space="preserve"> Required 
disposable money 1
software 1
servers 1
scale 2
enthusiasm 2
technologists 1
 </v>
      </c>
      <c r="GO106" s="22" t="str">
        <f t="shared" si="165"/>
        <v xml:space="preserve"> Effects[points,%]
disposable money(-1,75), web(1,25), mobile apps(1,25), VR&amp;AR(1,25), aesthetics(1,25), functions(1,25), interaction(1,50),  </v>
      </c>
      <c r="GP106" s="22" t="str">
        <f t="shared" si="165"/>
        <v xml:space="preserve"> Effs. %
disposable money 75
web 25
mobile apps 25
VR&amp;AR 25
aesthetics 25
functions 25
interaction 50
 </v>
      </c>
      <c r="GQ106" s="22" t="str">
        <f t="shared" si="165"/>
        <v xml:space="preserve"> Bonus cond
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06" s="22" t="str">
        <f t="shared" si="165"/>
        <v xml:space="preserve"> B Effs[points,%]
field knowledge(1,6.25), technologists(1,12.5), for entrepreneurs(1,6.25),  </v>
      </c>
      <c r="GS106" s="22" t="str">
        <f t="shared" si="165"/>
        <v xml:space="preserve"> B Effs%
field knowledge(6.25),technologists(12.5),for entrepreneurs(6.25), </v>
      </c>
      <c r="GT106" s="22" t="str">
        <f t="shared" si="165"/>
        <v xml:space="preserve"> Required 
disposable money 2
software 1
servers 2
scale 3
scale 2
ease of access 1
reputation 2
web 1
mobile apps 1
mobile comm 1
 </v>
      </c>
      <c r="GU106" s="22" t="str">
        <f t="shared" ref="GU106:JF106" si="166">IF(GU3="",GU107,$C106&amp;" "&amp;GU3&amp;CHAR(10)&amp;GU107)</f>
        <v xml:space="preserve"> Effects[points,%]
disposable money(-2,100), software(1,),  </v>
      </c>
      <c r="GV106" s="22" t="str">
        <f t="shared" si="166"/>
        <v xml:space="preserve"> Effs. %
disposable money 100
 </v>
      </c>
      <c r="GW106" s="22" t="str">
        <f t="shared" si="166"/>
        <v xml:space="preserve"> Bonus cond
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06" s="22" t="str">
        <f t="shared" si="166"/>
        <v xml:space="preserve"> B Effs[points,%]
disposable money(1,6.25), 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06" s="22" t="str">
        <f t="shared" si="166"/>
        <v xml:space="preserve"> B Effs%
disposable money(6.25),scale(6.25),enthusiasm(12.5),learning capacities(6.25),field knowledge(6.25),engineering knowledge(6.25),network among members(6.25),gifted leader(6.25),gifted programmer(6.25),enthusiasm(6.25),media(6.25),entrepreneurs(6.25),technologists(6.25),project management(6.25),social media(6.25),web(6.25),mobile apps(6.25), </v>
      </c>
      <c r="GZ106" s="22" t="str">
        <f t="shared" si="166"/>
        <v xml:space="preserve"> Required 
disposable money 1
software 1
plastic 1
electronics 1
fabric 1
scale 2
enthusiasm 2
scale 2
enthusiasm 2
network 1
govt 1
non-profits 1
reputation 2
portfolio 1
 </v>
      </c>
      <c r="HA106" s="22" t="str">
        <f t="shared" si="166"/>
        <v xml:space="preserve"> Effects[points,%]
disposable money(-1,100),  </v>
      </c>
      <c r="HB106" s="22" t="str">
        <f t="shared" si="166"/>
        <v xml:space="preserve"> Effs. %
disposable money 100
 </v>
      </c>
      <c r="HC106" s="22" t="str">
        <f t="shared" si="166"/>
        <v xml:space="preserve"> Bonus cond
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06" s="22" t="str">
        <f t="shared" si="166"/>
        <v xml:space="preserve"> B Effs[points,%]
scale(1,6.25), enthusiasm(1,6.25), learning capacities(1,6.25), field knowledge(1,6.25), enthusiasm(1,6.25), media(1,6.25), technologists(1,6.25), non-profits(1,6.25), reputation(1,6.25), start-up with customers(1,6.25), for basic literacy(1,6.25),  </v>
      </c>
      <c r="HE106" s="22" t="str">
        <f t="shared" si="166"/>
        <v xml:space="preserve"> B Effs%
scale(6.25),enthusiasm(6.25),learning capacities(6.25),field knowledge(6.25),enthusiasm(6.25),media(6.25),technologists(6.25),non-profits(6.25),reputation(6.25),start-up with customers(6.25),for basic literacy(6.25), </v>
      </c>
      <c r="HF106" s="22" t="str">
        <f t="shared" si="166"/>
        <v xml:space="preserve"> Required 
disposable money 1
 </v>
      </c>
      <c r="HG106" s="22" t="str">
        <f t="shared" si="166"/>
        <v xml:space="preserve"> Effects[points,%]
disposable money(-1,100), scale(2,), enthusiasm(2,),  </v>
      </c>
      <c r="HH106" s="22" t="str">
        <f t="shared" si="166"/>
        <v xml:space="preserve"> Effs. %
disposable money 100
 </v>
      </c>
      <c r="HI106" s="22" t="str">
        <f t="shared" si="166"/>
        <v xml:space="preserve"> Bonus cond
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06" s="22" t="str">
        <f t="shared" si="166"/>
        <v xml:space="preserve"> B Effs[points,%]
scale(1,6.25), enthusiasm(1,6.25), learning capacities(1,6.25), network among members(1,6.25), enthusiasm(1,6.25), fun-ness(1,6.25), seriousness(1,6.25), govt(1,6.25), media(1,6.25), non-profits(1,6.25), start-up with customers(1,6.25),  </v>
      </c>
      <c r="HK106" s="22" t="str">
        <f t="shared" si="166"/>
        <v xml:space="preserve"> B Effs%
scale(6.25),enthusiasm(6.25),learning capacities(6.25),network among members(6.25),enthusiasm(6.25),fun-ness(6.25),seriousness(6.25),govt(6.25),media(6.25),non-profits(6.25),start-up with customers(6.25), </v>
      </c>
      <c r="HL106" s="22" t="str">
        <f t="shared" si="166"/>
        <v xml:space="preserve"> Required 
disposable money 2
scale 2
scale 2
community manager 1
PR 1
administrator 1
local biz 1
entrepreneurs 1
non-profits 1
reputation 2
portfolio 2
 </v>
      </c>
      <c r="HM106" s="22" t="str">
        <f t="shared" si="166"/>
        <v xml:space="preserve"> Effects[points,%]
disposable money(-1,100), scale(1,25), enthusiasm(1,25), network among members(1,25), scale(1,25), enthusiasm(1,25), ambition(1,25), fun-ness(1,25), seriousness(1,25),  </v>
      </c>
      <c r="HN106" s="22" t="str">
        <f t="shared" si="166"/>
        <v xml:space="preserve"> Effs. %
disposable money 100
scale 25
enthusiasm 25
network among members 25
scale 25
enthusiasm 25
ambition 25
fun-ness 25
seriousness 25
 </v>
      </c>
      <c r="HO106" s="22" t="str">
        <f t="shared" si="166"/>
        <v xml:space="preserve"> Bonus cond
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06" s="22" t="str">
        <f t="shared" si="166"/>
        <v xml:space="preserve"> B Effs[points,%]
disposable money(1,6.25), scale(1,6.25), enthusiasm(1,6.25), enthusiasm(1,6.25), fun-ness(1,6.25), enthusiasm(1,6.25), level of understanding(1,6.25), local biz(1,6.25), biz group(1,6.25), govt(1,6.25), investors(1,6.25), media(1,6.25), entrepreneurs(1,6.25), technologists(1,6.25), suppliers(1,6.25), non-profits(1,6.25), reputation(1,6.25),  </v>
      </c>
      <c r="HQ106" s="46" t="str">
        <f t="shared" si="166"/>
        <v xml:space="preserve"> B Effs%
disposable money(6.25),scale(6.25),enthusiasm(6.25),enthusiasm(6.25),fun-ness(6.25),enthusiasm(6.25),level of understanding(6.25),local biz(6.25),biz group(6.25),govt(6.25),investors(6.25),media(6.25),entrepreneurs(6.25),technologists(6.25),suppliers(6.25),non-profits(6.25),reputation(6.25), </v>
      </c>
      <c r="HR106" s="22" t="str">
        <f t="shared" si="166"/>
        <v xml:space="preserve"> Required 
disposable money(2),software(1),servers(1),wood(1),metal(1),plastic(1),electronics(1),scale(2),enthusiasm(2),engineering knowledge(2),scale(2),enthusiasm(2),reputation(2),portfolio(2),mobile apps(1),sensors(1),wood processing(1),aesthetics(1), </v>
      </c>
      <c r="HS106" s="22" t="str">
        <f t="shared" si="166"/>
        <v xml:space="preserve"> Effects[points,%]
disposable money(-1), </v>
      </c>
      <c r="HT106" s="22" t="str">
        <f t="shared" si="166"/>
        <v xml:space="preserve"> Effs. %
disposable money(100), </v>
      </c>
      <c r="HU106" s="22" t="str">
        <f t="shared" si="166"/>
        <v xml:space="preserve"> Bonus cond
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06" s="22" t="str">
        <f t="shared" si="166"/>
        <v xml:space="preserve"> B Effs[points,%]
gifted programmer(1),local biz(1),biz group(1),govt(1),investors(1),media(1),entrepreneurs(1),technologists(1),suppliers(1),non-profits(1),reputation(1), </v>
      </c>
      <c r="HW106" s="46" t="str">
        <f t="shared" si="166"/>
        <v xml:space="preserve"> B Effs%
gifted programmer(6.25),local biz(6.25),biz group(6.25),govt(6.25),investors(6.25),media(6.25),entrepreneurs(6.25),technologists(12.5),suppliers(6.25),non-profits(6.25),reputation(6.25), </v>
      </c>
      <c r="HX106" s="22" t="str">
        <f t="shared" si="166"/>
        <v xml:space="preserve"> Required 
disposable money(2),software(2),servers(2),wood(2),plastic(2),electronics(2),fabric(1),scale(2),enthusiasm(2),field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06" s="22" t="str">
        <f t="shared" si="166"/>
        <v xml:space="preserve"> Effects[points,%]
disposable money(-1),biz enhancement(1), </v>
      </c>
      <c r="HZ106" s="22" t="str">
        <f t="shared" si="166"/>
        <v xml:space="preserve"> Effs. %
disposable money(100),biz enhancement(100), </v>
      </c>
      <c r="IA106" s="22" t="str">
        <f t="shared" si="166"/>
        <v xml:space="preserve"> Bonus cond
community manager(1),PR(1),finance(1),administrator(1),enthusiasm(2),network(2),ambition(2),knowledge(2),spaciousness(2),ease of access(3),efficiency(2),portfolio(4),finance(2),business model(2),marketing(3),team building(2),project management(2),social media(3),negotiation(3), </v>
      </c>
      <c r="IB106" s="22" t="str">
        <f t="shared" si="166"/>
        <v xml:space="preserve"> B Effs[points,%]
disposable money(1),scale(1),enthusiasm(1),field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06" s="46" t="str">
        <f t="shared" si="166"/>
        <v xml:space="preserve"> B Effs%
disposable money(6.25),scale(6.25),enthusiasm(6.25),field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06" s="22" t="str">
        <f t="shared" si="166"/>
        <v xml:space="preserve"> Required 
disposable money(1),software(2),servers(2),scale(2),enthusiasm(2),engineering knowledge(1),scale(1),technologists(2), </v>
      </c>
      <c r="IE106" s="22" t="str">
        <f t="shared" si="166"/>
        <v xml:space="preserve"> Effects[points,%]
disposable money(-1),engineering knowledge(1),web(1),mobile apps(1),security(1),AI&amp; data analysis(1), </v>
      </c>
      <c r="IF106" s="22" t="str">
        <f t="shared" si="166"/>
        <v xml:space="preserve"> Effs. %
disposable money(25),engineering knowledge(25),web(25),mobile apps(25),security(25),AI&amp; data analysis(25), </v>
      </c>
      <c r="IG106" s="22" t="str">
        <f t="shared" si="166"/>
        <v xml:space="preserve"> Bonus cond
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06" s="22" t="str">
        <f t="shared" si="166"/>
        <v xml:space="preserve"> B Effs[points,%]
engineering knowledge(1),technologists(1),web(1),database(1),mobile apps(1),security(1),AI&amp; data analysis(1), </v>
      </c>
      <c r="II106" s="46" t="str">
        <f t="shared" si="166"/>
        <v xml:space="preserve"> B Effs%
engineering knowledge(6.25),technologists(6.25),web(6.25),database(6.25),mobile apps(6.25),security(6.25),AI&amp; data analysis(6.25), </v>
      </c>
      <c r="IJ106" s="22" t="str">
        <f t="shared" si="166"/>
        <v xml:space="preserve"> Required 
disposable money(1),metal(1),scale(2),enthusiasm(2),engineering knowledge(1),scale(1),technologists(2), </v>
      </c>
      <c r="IK106" s="22" t="str">
        <f t="shared" si="166"/>
        <v xml:space="preserve"> Effects[points,%]
disposable money(-1),engineering knowledge(1),wood processing(1),metal processing(1),functions(1),safety(1), </v>
      </c>
      <c r="IL106" s="22" t="str">
        <f t="shared" si="166"/>
        <v xml:space="preserve"> Effs. %
disposable money(25),engineering knowledge(25),wood processing(25),metal processing(25),functions(25),safety(25), </v>
      </c>
      <c r="IM106" s="22" t="str">
        <f t="shared" si="166"/>
        <v xml:space="preserve"> Bonus cond
scale(3),enthusiasm(3),learning capacities(2),scale(2),enthusiasm(3),attention to details(2),seriousness(2),community manager(1),administrator(1),network(2),entrepreneurs(3),technologists(4),spaciousness(2),ease of access(2),reputation(3),efficiency(2),portfolio(3),wood processing(2),metal processing(2),functions(2),safety(2), </v>
      </c>
      <c r="IN106" s="22" t="str">
        <f t="shared" si="166"/>
        <v xml:space="preserve"> B Effs[points,%]
engineering knowledge(1),technologists(1),wood processing(1),metal processing(1),functions(1),safety(1),interaction(1), </v>
      </c>
      <c r="IO106" s="46" t="str">
        <f t="shared" si="166"/>
        <v xml:space="preserve"> B Effs%
engineering knowledge(6.25),technologists(6.25),wood processing(6.25),metal processing(6.25),functions(6.25),safety(6.25),interaction(6.25), </v>
      </c>
      <c r="IP106" s="55" t="str">
        <f t="shared" si="166"/>
        <v xml:space="preserve"> Required 
disposable money(1),scale(2),enthusiasm(2),learning capacities(1),scale(2),local biz(2),reputation(1), </v>
      </c>
      <c r="IQ106" s="56" t="str">
        <f t="shared" si="166"/>
        <v xml:space="preserve"> Effects[points,%]
disposable money(-1),field knowledge(1),network among members(1),local biz(1),marketing(1), </v>
      </c>
      <c r="IR106" s="56" t="str">
        <f t="shared" si="166"/>
        <v xml:space="preserve"> Effs. %
disposable money(50),field knowledge(100),network among members(25),local biz(25),marketing(25), </v>
      </c>
      <c r="IS106" s="56" t="str">
        <f t="shared" si="166"/>
        <v xml:space="preserve"> Bonus cond
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06" s="56" t="str">
        <f t="shared" si="166"/>
        <v xml:space="preserve"> B Effs[points,%]
field knowledge(1),network among members(1),enthusiasm(1),fun-ness(1),seriousness(1),local biz(1),biz group(1),govt(1),non-profits(1),marketing(1), </v>
      </c>
      <c r="IU106" s="46" t="str">
        <f t="shared" si="166"/>
        <v xml:space="preserve"> B Effs%
field knowledge(6.25),network among members(6.25),enthusiasm(6.25),fun-ness(6.25),seriousness(6.25),local biz(6.25),biz group(6.25),govt(6.25),non-profits(6.25),marketing(6.25), </v>
      </c>
      <c r="IV106" s="55" t="str">
        <f t="shared" si="166"/>
        <v xml:space="preserve"> Required 
disposable money(1),scale(2),enthusiasm(2),learning capacities(1),scale(2),local biz(2),reputation(1), </v>
      </c>
      <c r="IW106" s="56" t="str">
        <f t="shared" si="166"/>
        <v xml:space="preserve"> Effects[points,%]
disposable money(-1),field knowledge(1),network among members(1),local biz(1),marketing(1), </v>
      </c>
      <c r="IX106" s="56" t="str">
        <f t="shared" si="166"/>
        <v xml:space="preserve"> Effs. %
disposable money(50),field knowledge(100),network among members(25),local biz(25),marketing(25), </v>
      </c>
      <c r="IY106" s="56" t="str">
        <f t="shared" si="166"/>
        <v xml:space="preserve"> Bonus cond
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06" s="56" t="str">
        <f t="shared" si="166"/>
        <v xml:space="preserve"> B Effs[points,%]
field knowledge(1),network among members(1),enthusiasm(1),fun-ness(1),seriousness(1),local biz(1),biz group(1),govt(1),marketing(1), </v>
      </c>
      <c r="JA106" s="46" t="str">
        <f t="shared" si="166"/>
        <v xml:space="preserve"> B Effs%
field knowledge(6.25),network among members(6.25),enthusiasm(6.25),fun-ness(6.25),seriousness(6.25),local biz(6.25),biz group(6.25),govt(6.25),marketing(6.25), </v>
      </c>
      <c r="JB106" s="56" t="str">
        <f t="shared" si="166"/>
        <v xml:space="preserve"> Required 
disposable money(1),software(1),servers(1),wood(1),metal(1),plastic(1),electronics(1),fabric(1),scale(2),enthusiasm(1),scale(1),enthusiasm(2), </v>
      </c>
      <c r="JC106" s="56" t="str">
        <f t="shared" si="166"/>
        <v xml:space="preserve"> Effects[points,%]
engineering knowledge(1), </v>
      </c>
      <c r="JD106" s="56" t="str">
        <f t="shared" si="166"/>
        <v xml:space="preserve"> Effs. %
engineering knowledge(50), </v>
      </c>
      <c r="JE106" s="56" t="str">
        <f t="shared" si="166"/>
        <v xml:space="preserve"> Bonus cond
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06" s="46" t="str">
        <f t="shared" si="166"/>
        <v xml:space="preserve"> B Effs[points,%]
enthusiasm(1),learning capacities(1),engineering knowledge(1),web(1),infrastructrue(1),database(1),mobile apps(1),sensors(1),security(1),AI&amp; data analysis(1),mobile comm(1),VR&amp;AR(1),wood processing(1),metal processing(1),plastic processing(1),electronics(1),fabric(1),aesthetics(1),functions(1),safety(1),interaction(1), </v>
      </c>
      <c r="JG106" s="56" t="str">
        <f t="shared" ref="JG106:LR106" si="167">IF(JG3="",JG107,$C106&amp;" "&amp;JG3&amp;CHAR(10)&amp;JG107)</f>
        <v xml:space="preserve"> B Effs%
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06" s="56" t="str">
        <f t="shared" si="167"/>
        <v xml:space="preserve"> Required 
disposable money(1),scale(1),scale(1),enthusiasm(1),enthusiasm(1),local biz(1),non-profits(1),reputation(2), </v>
      </c>
      <c r="JI106" s="56" t="str">
        <f t="shared" si="167"/>
        <v xml:space="preserve"> Effects[points,%]
disposable money(-1), </v>
      </c>
      <c r="JJ106" s="56" t="str">
        <f t="shared" si="167"/>
        <v xml:space="preserve"> Effs. %
disposable money(25), </v>
      </c>
      <c r="JK106" s="46" t="str">
        <f t="shared" si="167"/>
        <v xml:space="preserve"> Bonus cond
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06" s="56" t="str">
        <f t="shared" si="167"/>
        <v xml:space="preserve"> B Effs[points,%]
disposable money(1),non-profits(1), </v>
      </c>
      <c r="JM106" s="56" t="str">
        <f t="shared" si="167"/>
        <v xml:space="preserve"> B Effs%
disposable money(6.25),non-profits(6.25), </v>
      </c>
      <c r="JN106" s="56" t="str">
        <f t="shared" si="167"/>
        <v xml:space="preserve"> Required 
disposable money(1),scale(2),enthusiasm(2),scale(2),enthusiasm(2),enthusiasm(1),network(1),local biz(1),investors(1),entrepreneurs(1),technologists(1),non-profits(1),reputation(2),portfolio(2), </v>
      </c>
      <c r="JO106" s="56" t="str">
        <f t="shared" si="167"/>
        <v xml:space="preserve"> Effects[points,%]
disposable money(-1), </v>
      </c>
      <c r="JP106" s="46" t="str">
        <f t="shared" si="167"/>
        <v xml:space="preserve"> Effs. %
disposable money(50), </v>
      </c>
      <c r="JQ106" s="56" t="str">
        <f t="shared" si="167"/>
        <v xml:space="preserve"> Bonus cond
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06" s="56" t="str">
        <f t="shared" si="167"/>
        <v xml:space="preserve"> B Effs[points,%]
disposable money(1), </v>
      </c>
      <c r="JS106" s="56" t="str">
        <f t="shared" si="167"/>
        <v xml:space="preserve"> B Effs%
disposable money(6.25), </v>
      </c>
      <c r="JT106" s="56" t="str">
        <f t="shared" si="167"/>
        <v xml:space="preserve"> Required 
disposable money(1),scale(3),enthusiasm(3),PR(1),administrator(1),enthusiasm(2),network(2),local biz(2),biz group(1),govt(2),investors(2),entrepreneurs(2),technologists(2),non-profits(2),reputation(2),portfolio(3), </v>
      </c>
      <c r="JU106" s="46" t="str">
        <f t="shared" si="167"/>
        <v xml:space="preserve"> Effects[points,%]
disposable money(-1), </v>
      </c>
      <c r="JV106" s="56" t="str">
        <f t="shared" si="167"/>
        <v xml:space="preserve"> Effs. %
disposable money(100), </v>
      </c>
      <c r="JW106" s="56" t="str">
        <f t="shared" si="167"/>
        <v xml:space="preserve"> Bonus cond
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06" s="56" t="str">
        <f t="shared" si="167"/>
        <v xml:space="preserve"> B Effs[points,%]
budget(1), </v>
      </c>
      <c r="JY106" s="46" t="str">
        <f t="shared" si="167"/>
        <v xml:space="preserve"> B Effs%
budget(6.25), </v>
      </c>
      <c r="JZ106" s="46" t="str">
        <f t="shared" si="167"/>
        <v xml:space="preserve"> Required 
disposable money(1),scale(1),enthusiasm(1),scale(1),enthusiasm(2),network(1),non-profits(1),reputation(2),social project(2), </v>
      </c>
      <c r="KA106" s="56" t="str">
        <f t="shared" si="167"/>
        <v xml:space="preserve"> Effects[points,%]
non-profits(1), </v>
      </c>
      <c r="KB106" s="56" t="str">
        <f t="shared" si="167"/>
        <v xml:space="preserve"> Effs. %
non-profits(25), </v>
      </c>
      <c r="KC106" s="56" t="str">
        <f t="shared" si="167"/>
        <v xml:space="preserve"> Bonus cond
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06" s="56" t="str">
        <f t="shared" si="167"/>
        <v xml:space="preserve"> B Effs[points,%]
disposable money(1),non-profits(1), </v>
      </c>
      <c r="KE106" s="46" t="str">
        <f t="shared" si="167"/>
        <v xml:space="preserve"> B Effs%
disposable money(6.25),non-profits(6.25), </v>
      </c>
      <c r="KF106" s="56" t="str">
        <f t="shared" si="167"/>
        <v xml:space="preserve"> Required 
disposable money(1), </v>
      </c>
      <c r="KG106" s="56" t="str">
        <f t="shared" si="167"/>
        <v xml:space="preserve"> Effects[points,%]
 </v>
      </c>
      <c r="KH106" s="56" t="str">
        <f t="shared" si="167"/>
        <v xml:space="preserve"> Effs. %
 </v>
      </c>
      <c r="KI106" s="56" t="str">
        <f t="shared" si="167"/>
        <v xml:space="preserve"> Bonus cond
 </v>
      </c>
      <c r="KJ106" s="46" t="str">
        <f t="shared" si="167"/>
        <v xml:space="preserve"> B Effs[points,%]
 </v>
      </c>
      <c r="KK106" s="56" t="str">
        <f t="shared" si="167"/>
        <v xml:space="preserve"> B Effs%
 </v>
      </c>
      <c r="KL106" s="56" t="str">
        <f t="shared" si="167"/>
        <v xml:space="preserve"> Required 
 </v>
      </c>
      <c r="KM106" s="56" t="str">
        <f t="shared" si="167"/>
        <v xml:space="preserve"> Effects[points,%]
 </v>
      </c>
      <c r="KN106" s="56" t="str">
        <f t="shared" si="167"/>
        <v xml:space="preserve"> Effs. %
 </v>
      </c>
      <c r="KO106" s="46" t="str">
        <f t="shared" si="167"/>
        <v xml:space="preserve"> Bonus cond
 </v>
      </c>
      <c r="KP106" s="56" t="str">
        <f t="shared" si="167"/>
        <v xml:space="preserve"> B Effs[points,%]
 </v>
      </c>
      <c r="KQ106" s="56" t="str">
        <f t="shared" si="167"/>
        <v xml:space="preserve"> B Effs%
 </v>
      </c>
      <c r="KR106" s="56" t="str">
        <f t="shared" si="167"/>
        <v xml:space="preserve"> Required 
 </v>
      </c>
      <c r="KS106" s="56" t="str">
        <f t="shared" si="167"/>
        <v xml:space="preserve"> Effects[points,%]
 </v>
      </c>
      <c r="KT106" s="46" t="str">
        <f t="shared" si="167"/>
        <v xml:space="preserve"> Effs. %
 </v>
      </c>
      <c r="KU106" s="56" t="str">
        <f t="shared" si="167"/>
        <v xml:space="preserve"> Bonus cond
 </v>
      </c>
      <c r="KV106" s="56" t="str">
        <f t="shared" si="167"/>
        <v xml:space="preserve"> B Effs[points,%]
 </v>
      </c>
      <c r="KW106" s="56" t="str">
        <f t="shared" si="167"/>
        <v xml:space="preserve"> B Effs%
 </v>
      </c>
      <c r="KX106" s="56" t="str">
        <f t="shared" si="167"/>
        <v xml:space="preserve"> Required 
 </v>
      </c>
      <c r="KY106" s="46" t="str">
        <f t="shared" si="167"/>
        <v xml:space="preserve"> Effects[points,%]
 </v>
      </c>
      <c r="KZ106" s="56" t="str">
        <f t="shared" si="167"/>
        <v xml:space="preserve"> Effs. %
 </v>
      </c>
      <c r="LA106" s="56" t="str">
        <f t="shared" si="167"/>
        <v xml:space="preserve"> Bonus cond
 </v>
      </c>
      <c r="LB106" s="56" t="str">
        <f t="shared" si="167"/>
        <v xml:space="preserve"> B Effs[points,%]
 </v>
      </c>
      <c r="LC106" s="56" t="str">
        <f t="shared" si="167"/>
        <v xml:space="preserve"> B Effs%
 </v>
      </c>
      <c r="LD106" s="46" t="str">
        <f t="shared" si="167"/>
        <v xml:space="preserve"> Required 
 </v>
      </c>
      <c r="LE106" s="56" t="str">
        <f t="shared" si="167"/>
        <v xml:space="preserve"> Effects[points,%]
 </v>
      </c>
      <c r="LF106" s="56" t="str">
        <f t="shared" si="167"/>
        <v xml:space="preserve"> Effs. %
 </v>
      </c>
      <c r="LG106" s="56" t="str">
        <f t="shared" si="167"/>
        <v xml:space="preserve"> Bonus cond
 </v>
      </c>
      <c r="LH106" s="56" t="str">
        <f t="shared" si="167"/>
        <v xml:space="preserve"> B Effs[points,%]
 </v>
      </c>
      <c r="LI106" s="46" t="str">
        <f t="shared" si="167"/>
        <v xml:space="preserve"> B Effs%
 </v>
      </c>
      <c r="LJ106" s="56" t="str">
        <f t="shared" si="167"/>
        <v xml:space="preserve"> Required 
 </v>
      </c>
      <c r="LK106" s="56" t="str">
        <f t="shared" si="167"/>
        <v xml:space="preserve"> Effects[points,%]
 </v>
      </c>
      <c r="LL106" s="56" t="str">
        <f t="shared" si="167"/>
        <v xml:space="preserve"> Effs. %
 </v>
      </c>
      <c r="LM106" s="56" t="str">
        <f t="shared" si="167"/>
        <v xml:space="preserve"> Bonus cond
 </v>
      </c>
      <c r="LN106" s="46" t="str">
        <f t="shared" si="167"/>
        <v xml:space="preserve"> B Effs[points,%]
 </v>
      </c>
      <c r="LO106" s="56" t="str">
        <f t="shared" si="167"/>
        <v xml:space="preserve"> B Effs%
 </v>
      </c>
      <c r="LP106" s="56" t="str">
        <f t="shared" si="167"/>
        <v xml:space="preserve"> Required 
 </v>
      </c>
      <c r="LQ106" s="56" t="str">
        <f t="shared" si="167"/>
        <v xml:space="preserve"> Effects[points,%]
 </v>
      </c>
      <c r="LR106" s="56" t="str">
        <f t="shared" si="167"/>
        <v xml:space="preserve"> Effs. %
 </v>
      </c>
      <c r="LS106" s="46" t="str">
        <f t="shared" ref="LS106:NM106" si="168">IF(LS3="",LS107,$C106&amp;" "&amp;LS3&amp;CHAR(10)&amp;LS107)</f>
        <v xml:space="preserve"> Bonus cond
 </v>
      </c>
      <c r="LT106" s="56" t="str">
        <f t="shared" si="168"/>
        <v xml:space="preserve"> B Effs[points,%]
 </v>
      </c>
      <c r="LU106" s="56" t="str">
        <f t="shared" si="168"/>
        <v xml:space="preserve"> B Effs%
 </v>
      </c>
      <c r="LV106" s="56" t="str">
        <f t="shared" si="168"/>
        <v xml:space="preserve"> Required 
 </v>
      </c>
      <c r="LW106" s="56" t="str">
        <f t="shared" si="168"/>
        <v xml:space="preserve"> Effects[points,%]
 </v>
      </c>
      <c r="LX106" s="46" t="str">
        <f t="shared" si="168"/>
        <v xml:space="preserve"> Effs. %
 </v>
      </c>
      <c r="LY106" s="56" t="str">
        <f t="shared" si="168"/>
        <v xml:space="preserve"> Bonus cond
 </v>
      </c>
      <c r="LZ106" s="56" t="str">
        <f t="shared" si="168"/>
        <v xml:space="preserve"> B Effs[points,%]
 </v>
      </c>
      <c r="MA106" s="56" t="str">
        <f t="shared" si="168"/>
        <v xml:space="preserve"> B Effs%
 </v>
      </c>
      <c r="MB106" s="56" t="str">
        <f t="shared" si="168"/>
        <v xml:space="preserve"> Required 
 </v>
      </c>
      <c r="MC106" s="46" t="str">
        <f t="shared" si="168"/>
        <v xml:space="preserve"> Effects[points,%]
 </v>
      </c>
      <c r="MD106" s="56" t="str">
        <f t="shared" si="168"/>
        <v xml:space="preserve"> Effs. %
 </v>
      </c>
      <c r="ME106" s="56" t="str">
        <f t="shared" si="168"/>
        <v xml:space="preserve"> Bonus cond
 </v>
      </c>
      <c r="MF106" s="56" t="str">
        <f t="shared" si="168"/>
        <v xml:space="preserve"> B Effs[points,%]
 </v>
      </c>
      <c r="MG106" s="56" t="str">
        <f t="shared" si="168"/>
        <v xml:space="preserve"> B Effs%
 </v>
      </c>
      <c r="MH106" s="46" t="str">
        <f t="shared" si="168"/>
        <v xml:space="preserve"> Required 
 </v>
      </c>
      <c r="MI106" s="56" t="str">
        <f t="shared" si="168"/>
        <v xml:space="preserve"> Effects[points,%]
 </v>
      </c>
      <c r="MJ106" s="56" t="str">
        <f t="shared" si="168"/>
        <v xml:space="preserve"> Effs. %
 </v>
      </c>
      <c r="MK106" s="56" t="str">
        <f t="shared" si="168"/>
        <v xml:space="preserve"> Bonus cond
 </v>
      </c>
      <c r="ML106" s="56" t="str">
        <f t="shared" si="168"/>
        <v xml:space="preserve"> B Effs[points,%]
 </v>
      </c>
      <c r="MM106" s="46" t="str">
        <f t="shared" si="168"/>
        <v xml:space="preserve"> B Effs%
 </v>
      </c>
      <c r="MN106" s="56" t="str">
        <f t="shared" si="168"/>
        <v xml:space="preserve"> Required 
 </v>
      </c>
      <c r="MO106" s="56" t="str">
        <f t="shared" si="168"/>
        <v xml:space="preserve"> Effects[points,%]
 </v>
      </c>
      <c r="MP106" s="56" t="str">
        <f t="shared" si="168"/>
        <v xml:space="preserve"> Effs. %
 </v>
      </c>
      <c r="MQ106" s="56" t="str">
        <f t="shared" si="168"/>
        <v xml:space="preserve"> Bonus cond
 </v>
      </c>
      <c r="MR106" s="46" t="str">
        <f t="shared" si="168"/>
        <v xml:space="preserve"> B Effs[points,%]
 </v>
      </c>
      <c r="MS106" s="56" t="str">
        <f t="shared" si="168"/>
        <v xml:space="preserve"> B Effs%
 </v>
      </c>
      <c r="MT106" s="56" t="str">
        <f t="shared" si="168"/>
        <v xml:space="preserve"> Required 
 </v>
      </c>
      <c r="MU106" s="56" t="str">
        <f t="shared" si="168"/>
        <v xml:space="preserve"> Effects[points,%]
 </v>
      </c>
      <c r="MV106" s="56" t="str">
        <f t="shared" si="168"/>
        <v xml:space="preserve"> Effs. %
 </v>
      </c>
      <c r="MW106" s="46" t="str">
        <f t="shared" si="168"/>
        <v xml:space="preserve"> Bonus cond
 </v>
      </c>
      <c r="MX106" s="56" t="str">
        <f t="shared" si="168"/>
        <v xml:space="preserve"> B Effs[points,%]
 </v>
      </c>
      <c r="MY106" s="56" t="str">
        <f t="shared" si="168"/>
        <v xml:space="preserve"> B Effs%
 </v>
      </c>
      <c r="MZ106" s="56" t="str">
        <f t="shared" si="168"/>
        <v xml:space="preserve"> Required 
 </v>
      </c>
      <c r="NA106" s="56" t="str">
        <f t="shared" si="168"/>
        <v xml:space="preserve"> Effects[points,%]
 </v>
      </c>
      <c r="NB106" s="46" t="str">
        <f t="shared" si="168"/>
        <v xml:space="preserve"> Effs. %
 </v>
      </c>
      <c r="NC106" s="56" t="str">
        <f t="shared" si="168"/>
        <v xml:space="preserve"> Bonus cond
 </v>
      </c>
      <c r="ND106" s="56" t="str">
        <f t="shared" si="168"/>
        <v xml:space="preserve"> B Effs[points,%]
 </v>
      </c>
      <c r="NE106" s="56" t="str">
        <f t="shared" si="168"/>
        <v xml:space="preserve"> B Effs%
 </v>
      </c>
      <c r="NF106" s="56" t="str">
        <f t="shared" si="168"/>
        <v xml:space="preserve"> Required 
 </v>
      </c>
      <c r="NG106" s="46" t="str">
        <f t="shared" si="168"/>
        <v xml:space="preserve"> Effects[points,%]
 </v>
      </c>
      <c r="NH106" s="56" t="str">
        <f t="shared" si="168"/>
        <v xml:space="preserve"> Effs. %
 </v>
      </c>
      <c r="NI106" s="56" t="str">
        <f t="shared" si="168"/>
        <v xml:space="preserve"> Bonus cond
 </v>
      </c>
      <c r="NJ106" s="56" t="str">
        <f t="shared" si="168"/>
        <v xml:space="preserve"> B Effs[points,%]
 </v>
      </c>
      <c r="NK106" s="56" t="str">
        <f t="shared" si="168"/>
        <v xml:space="preserve"> B Effs%
 </v>
      </c>
      <c r="NL106" s="46" t="str">
        <f t="shared" si="168"/>
        <v xml:space="preserve"> Required 
 </v>
      </c>
      <c r="NM106" s="56" t="str">
        <f t="shared" si="168"/>
        <v xml:space="preserve"> Effects[points,%]
 </v>
      </c>
    </row>
    <row r="107" spans="2:377" ht="76.5" customHeight="1">
      <c r="C107" s="7" t="str">
        <f>C5</f>
        <v>budget</v>
      </c>
      <c r="D107" s="21" t="str">
        <f t="shared" ref="D107:D170" si="169">IF(D5="",D108,$C107&amp;" "&amp;D5&amp;CHAR(10)&amp;D108)</f>
        <v xml:space="preserve">disposable money 1
software 1
scale 1
 </v>
      </c>
      <c r="E107" s="21" t="str">
        <f>IF(E5="",E108,$C107&amp;"("&amp;E5&amp;","&amp;F5&amp;"), "&amp;E108)</f>
        <v xml:space="preserve">disposable money(-1,25), scale(1,100),  </v>
      </c>
      <c r="F107" s="21" t="str">
        <f t="shared" ref="F107:F170" si="170">IF(F5="",F108,$C107&amp;" "&amp;F5&amp;CHAR(10)&amp;F108)</f>
        <v xml:space="preserve">disposable money 25
scale 100
 </v>
      </c>
      <c r="G107" s="21" t="str">
        <f>IF(G5="",G108,$C107&amp;"("&amp;G5&amp;"), "&amp;G108)</f>
        <v xml:space="preserve">software(2), servers(2), wood(2), metal(2), plastic(2), electronics(2), fabric(2), enthusiasm(1), enthusiasm(2), fun-ness(1), community manager(1), PR(1), fame(1), network(2), ease of access(1), reputation(2), social media(1),  </v>
      </c>
      <c r="H107" s="21" t="str">
        <f>IF(H5="",H108,$C107&amp;"("&amp;H5&amp;","&amp;I5&amp;"), "&amp;H108)</f>
        <v xml:space="preserve">scale(1,6.25),  </v>
      </c>
      <c r="I107" s="21" t="str">
        <f t="shared" ref="I107" si="171">IF(I5="",I108,$C107&amp;"("&amp;I5&amp;"),"&amp;I108)</f>
        <v xml:space="preserve">scale(6.25), </v>
      </c>
      <c r="J107" s="21" t="str">
        <f t="shared" ref="J107:BR122" si="172">IF(J5="",J108,$C107&amp;" "&amp;J5&amp;CHAR(10)&amp;J108)</f>
        <v xml:space="preserve">disposable money 1
scale 1
interaction 1
 </v>
      </c>
      <c r="K107" s="21" t="str">
        <f t="shared" ref="K107:K170" si="173">IF(K5="",K108,$C107&amp;"("&amp;K5&amp;","&amp;L5&amp;"), "&amp;K108)</f>
        <v xml:space="preserve">reputation(1,75),  </v>
      </c>
      <c r="L107" s="21" t="str">
        <f t="shared" ref="L107:BT122" si="174">IF(L5="",L108,$C107&amp;" "&amp;L5&amp;CHAR(10)&amp;L108)</f>
        <v xml:space="preserve">reputation 75
 </v>
      </c>
      <c r="M107" s="21" t="str">
        <f t="shared" ref="M107:M170" si="175">IF(M5="",M108,$C107&amp;"("&amp;M5&amp;"), "&amp;M108)</f>
        <v xml:space="preserve">PR(1), portfolio(1), social innovation(1), non-profit biz(1),  </v>
      </c>
      <c r="N107" s="21" t="str">
        <f t="shared" ref="N107:N170" si="176">IF(N5="",N108,$C107&amp;"("&amp;N5&amp;","&amp;O5&amp;"), "&amp;N108)</f>
        <v xml:space="preserve">scale(1,6.25), enthusiasm(1,6.25), seriousness(1,25), non-profits(1,12.5), reputation(1,75), marketing(1,12.5),  </v>
      </c>
      <c r="O107" s="21" t="str">
        <f t="shared" ref="O107:BW122" si="177">IF(O5="",O108,$C107&amp;"("&amp;O5&amp;"),"&amp;O108)</f>
        <v xml:space="preserve">scale(6.25),enthusiasm(6.25),seriousness(25),non-profits(12.5),reputation(75),marketing(12.5), </v>
      </c>
      <c r="P107" s="21" t="str">
        <f t="shared" si="172"/>
        <v xml:space="preserve">disposable money 1
scale 1
biz project 1
 </v>
      </c>
      <c r="Q107" s="21" t="str">
        <f t="shared" ref="Q107:Q170" si="178">IF(Q5="",Q108,$C107&amp;"("&amp;Q5&amp;","&amp;R5&amp;"), "&amp;Q108)</f>
        <v xml:space="preserve"> </v>
      </c>
      <c r="R107" s="21" t="str">
        <f t="shared" si="174"/>
        <v xml:space="preserve"> </v>
      </c>
      <c r="S107" s="21" t="str">
        <f t="shared" ref="S107:S170" si="179">IF(S5="",S108,$C107&amp;"("&amp;S5&amp;"), "&amp;S108)</f>
        <v xml:space="preserve">portfolio(1), biz enhancement(1), business(1), start-up(1),  </v>
      </c>
      <c r="T107" s="21" t="str">
        <f t="shared" ref="T107:T170" si="180">IF(T5="",T108,$C107&amp;"("&amp;T5&amp;","&amp;U5&amp;"), "&amp;T108)</f>
        <v xml:space="preserve">scale(1,6.25), enthusiasm(1,6.25), seriousness(1,25), local biz(1,6.25), investors(1,6.25), reputation(1,6.25),  </v>
      </c>
      <c r="U107" s="21" t="str">
        <f t="shared" si="177"/>
        <v xml:space="preserve">scale(6.25),enthusiasm(6.25),seriousness(25),local biz(6.25),investors(6.25),reputation(6.25), </v>
      </c>
      <c r="V107" s="21" t="str">
        <f t="shared" si="172"/>
        <v xml:space="preserve">disposable money 1
scale 1
 </v>
      </c>
      <c r="W107" s="21" t="str">
        <f t="shared" ref="W107:W170" si="181">IF(W5="",W108,$C107&amp;"("&amp;W5&amp;","&amp;X5&amp;"), "&amp;W108)</f>
        <v xml:space="preserve">local biz(1,),  </v>
      </c>
      <c r="X107" s="21" t="str">
        <f t="shared" si="174"/>
        <v xml:space="preserve"> </v>
      </c>
      <c r="Y107" s="21" t="str">
        <f t="shared" ref="Y107:Y170" si="182">IF(Y5="",Y108,$C107&amp;"("&amp;Y5&amp;"), "&amp;Y108)</f>
        <v xml:space="preserve">enthusiasm(1), attention to details(1), PR(1), network(1), ease of access(1), reputation(1), portfolio(1), biz project(1), biz enhancement(1), job creation(1), business(1),  </v>
      </c>
      <c r="Z107" s="21" t="str">
        <f t="shared" ref="Z107:Z170" si="183">IF(Z5="",Z108,$C107&amp;"("&amp;Z5&amp;","&amp;AA5&amp;"), "&amp;Z108)</f>
        <v xml:space="preserve">local biz(1,6.25),  </v>
      </c>
      <c r="AA107" s="21" t="str">
        <f t="shared" si="177"/>
        <v xml:space="preserve">local biz(6.25), </v>
      </c>
      <c r="AB107" s="21" t="str">
        <f t="shared" si="172"/>
        <v xml:space="preserve">disposable money 1
scale 1
 </v>
      </c>
      <c r="AC107" s="21" t="str">
        <f t="shared" ref="AC107:AC170" si="184">IF(AC5="",AC108,$C107&amp;"("&amp;AC5&amp;","&amp;AD5&amp;"), "&amp;AC108)</f>
        <v xml:space="preserve">non-profits(1,100),  </v>
      </c>
      <c r="AD107" s="21" t="str">
        <f t="shared" si="174"/>
        <v xml:space="preserve">non-profits 100
 </v>
      </c>
      <c r="AE107" s="21" t="str">
        <f t="shared" ref="AE107:AE170" si="185">IF(AE5="",AE108,$C107&amp;"("&amp;AE5&amp;"), "&amp;AE108)</f>
        <v xml:space="preserve">enthusiasm(1), attention to details(1), PR(1), network(1), ease of access(1), reputation(1), portfolio(1), social project(1), social innovation(1), non-profit biz(1),  </v>
      </c>
      <c r="AF107" s="21" t="str">
        <f t="shared" ref="AF107:AF170" si="186">IF(AF5="",AF108,$C107&amp;"("&amp;AF5&amp;","&amp;AG5&amp;"), "&amp;AF108)</f>
        <v xml:space="preserve">seriousness(1,6.25), non-profits(1,6.25),  </v>
      </c>
      <c r="AG107" s="21" t="str">
        <f t="shared" si="177"/>
        <v xml:space="preserve">seriousness(6.25),non-profits(6.25), </v>
      </c>
      <c r="AH107" s="21" t="str">
        <f t="shared" si="172"/>
        <v xml:space="preserve">disposable money 1
scale 1
 </v>
      </c>
      <c r="AI107" s="21" t="str">
        <f t="shared" ref="AI107:AI170" si="187">IF(AI5="",AI108,$C107&amp;"("&amp;AI5&amp;","&amp;AJ5&amp;"), "&amp;AI108)</f>
        <v xml:space="preserve">govt(1,),  </v>
      </c>
      <c r="AJ107" s="21" t="str">
        <f t="shared" si="174"/>
        <v xml:space="preserve"> </v>
      </c>
      <c r="AK107" s="21" t="str">
        <f t="shared" ref="AK107:AK170" si="188">IF(AK5="",AK108,$C107&amp;"("&amp;AK5&amp;"), "&amp;AK108)</f>
        <v xml:space="preserve">enthusiasm(1), attention to details(1), seriousness(1), fame(1), network(1), govt(1), ease of access(1), reputation(2), portfolio(1), social project(1), social innovation(1), non-profit biz(1),  </v>
      </c>
      <c r="AL107" s="21" t="str">
        <f t="shared" ref="AL107:AL170" si="189">IF(AL5="",AL108,$C107&amp;"("&amp;AL5&amp;","&amp;AM5&amp;"), "&amp;AL108)</f>
        <v xml:space="preserve">govt(1,6.25),  </v>
      </c>
      <c r="AM107" s="21" t="str">
        <f t="shared" si="177"/>
        <v xml:space="preserve">govt(6.25), </v>
      </c>
      <c r="AN107" s="21" t="str">
        <f t="shared" si="172"/>
        <v xml:space="preserve">disposable money 1
scale 1
enthusiasm 1
gifted leader 1
scale 1
enthusiasm 1
 </v>
      </c>
      <c r="AO107" s="21" t="str">
        <f t="shared" ref="AO107:AO170" si="190">IF(AO5="",AO108,$C107&amp;"("&amp;AO5&amp;","&amp;AP5&amp;"), "&amp;AO108)</f>
        <v xml:space="preserve">fame(1,), network(1,), investors(1,6.25),  </v>
      </c>
      <c r="AP107" s="21" t="str">
        <f t="shared" si="174"/>
        <v xml:space="preserve">investors 6.25
 </v>
      </c>
      <c r="AQ107" s="21" t="str">
        <f t="shared" ref="AQ107:AQ170" si="191">IF(AQ5="",AQ108,$C107&amp;"("&amp;AQ5&amp;"), "&amp;AQ108)</f>
        <v xml:space="preserve">investors(1), ease of access(1), reputation(1), portfolio(1), start-up(1), start-up with mvp(1), start-up with customers(1),  </v>
      </c>
      <c r="AR107" s="21" t="str">
        <f t="shared" ref="AR107:AR170" si="192">IF(AR5="",AR108,$C107&amp;"("&amp;AR5&amp;","&amp;AS5&amp;"), "&amp;AR108)</f>
        <v xml:space="preserve"> </v>
      </c>
      <c r="AS107" s="21" t="str">
        <f t="shared" si="177"/>
        <v xml:space="preserve"> </v>
      </c>
      <c r="AT107" s="21" t="str">
        <f t="shared" si="172"/>
        <v xml:space="preserve">budget 2
disposable money 1
profit-loss 1
asset-debt 0
credit 1
scale 1
enthusiasm 1
scale 2
enthusiasm 1
seriousness 1
administrator 1
non-profits 2
reputation 1
portfolio 1
social project 1
 </v>
      </c>
      <c r="AU107" s="21" t="str">
        <f t="shared" ref="AU107:AU170" si="193">IF(AU5="",AU108,$C107&amp;"("&amp;AU5&amp;","&amp;AV5&amp;"), "&amp;AU108)</f>
        <v xml:space="preserve">budget(2,), ambition(1,), attention to details(1,),  </v>
      </c>
      <c r="AV107" s="21" t="str">
        <f t="shared" si="174"/>
        <v xml:space="preserve"> </v>
      </c>
      <c r="AW107" s="21" t="str">
        <f t="shared" ref="AW107:AW170" si="194">IF(AW5="",AW108,$C107&amp;"("&amp;AW5&amp;"), "&amp;AW108)</f>
        <v xml:space="preserve">field knowledge(1), enthusiasm(3), PR(2), administrator(1), project management(2),  </v>
      </c>
      <c r="AX107" s="21" t="str">
        <f t="shared" ref="AX107:AX170" si="195">IF(AX5="",AX108,$C107&amp;"("&amp;AX5&amp;","&amp;AY5&amp;"), "&amp;AX108)</f>
        <v xml:space="preserve">organizational rules and manuals(1,12.5), project management(1,12.5),  </v>
      </c>
      <c r="AY107" s="21" t="str">
        <f t="shared" si="177"/>
        <v xml:space="preserve">organizational rules and manuals(12.5),project management(12.5), </v>
      </c>
      <c r="AZ107" s="21" t="str">
        <f t="shared" si="172"/>
        <v xml:space="preserve">budget 1
profit-loss 0
asset-debt 0
scale 1
enthusiasm 1
scale 1
enthusiasm 1
non-profits 1
 </v>
      </c>
      <c r="BA107" s="21" t="str">
        <f t="shared" ref="BA107:BA170" si="196">IF(BA5="",BA108,$C107&amp;"("&amp;BA5&amp;","&amp;BB5&amp;"), "&amp;BA108)</f>
        <v xml:space="preserve">budget(1,),  </v>
      </c>
      <c r="BB107" s="21" t="str">
        <f t="shared" si="174"/>
        <v xml:space="preserve"> </v>
      </c>
      <c r="BC107" s="21" t="str">
        <f t="shared" ref="BC107:BC170" si="197">IF(BC5="",BC108,$C107&amp;"("&amp;BC5&amp;"), "&amp;BC108)</f>
        <v xml:space="preserve"> </v>
      </c>
      <c r="BD107" s="21" t="str">
        <f t="shared" ref="BD107:BD170" si="198">IF(BD5="",BD108,$C107&amp;"("&amp;BD5&amp;","&amp;BE5&amp;"), "&amp;BD108)</f>
        <v xml:space="preserve"> </v>
      </c>
      <c r="BE107" s="21" t="str">
        <f t="shared" si="177"/>
        <v xml:space="preserve"> </v>
      </c>
      <c r="BF107" s="21" t="str">
        <f t="shared" si="172"/>
        <v xml:space="preserve">budget 2
disposable money 1
profit-loss 1
asset-debt 0
scale 1
enthusiasm 1
scale 2
enthusiasm 1
seriousness 1
administrator 1
local biz 2
entrepreneurs 1
reputation 1
portfolio 1
biz project 1
 </v>
      </c>
      <c r="BG107" s="21" t="str">
        <f t="shared" ref="BG107:BG170" si="199">IF(BG5="",BG108,$C107&amp;"("&amp;BG5&amp;","&amp;BH5&amp;"), "&amp;BG108)</f>
        <v xml:space="preserve">budget(2,), disposable money(1,), ambition(1,), attention to details(1,),  </v>
      </c>
      <c r="BH107" s="21" t="str">
        <f t="shared" si="174"/>
        <v xml:space="preserve"> </v>
      </c>
      <c r="BI107" s="21" t="str">
        <f t="shared" ref="BI107:BI170" si="200">IF(BI5="",BI108,$C107&amp;"("&amp;BI5&amp;"), "&amp;BI108)</f>
        <v xml:space="preserve">field knowledge(1), enthusiasm(3), PR(2), administrator(1), project management(2),  </v>
      </c>
      <c r="BJ107" s="21" t="str">
        <f t="shared" ref="BJ107:BJ170" si="201">IF(BJ5="",BJ108,$C107&amp;"("&amp;BJ5&amp;","&amp;BK5&amp;"), "&amp;BJ108)</f>
        <v xml:space="preserve">organizational rules and manuals(1,12.5), project management(1,12.5),  </v>
      </c>
      <c r="BK107" s="21" t="str">
        <f t="shared" si="177"/>
        <v xml:space="preserve">organizational rules and manuals(12.5),project management(12.5), </v>
      </c>
      <c r="BL107" s="21" t="str">
        <f t="shared" si="172"/>
        <v xml:space="preserve">budget 1
profit-loss 1
asset-debt 0
scale 1
enthusiasm 1
scale 1
enthusiasm 1
local biz 1
reputation 1
portfolio 1
biz enhancement 1
 </v>
      </c>
      <c r="BM107" s="21" t="str">
        <f t="shared" ref="BM107:BM170" si="202">IF(BM5="",BM108,$C107&amp;"("&amp;BM5&amp;","&amp;BN5&amp;"), "&amp;BM108)</f>
        <v xml:space="preserve">budget(1,),  </v>
      </c>
      <c r="BN107" s="21" t="str">
        <f t="shared" si="174"/>
        <v xml:space="preserve"> </v>
      </c>
      <c r="BO107" s="21" t="str">
        <f t="shared" ref="BO107:BO170" si="203">IF(BO5="",BO108,$C107&amp;"("&amp;BO5&amp;"), "&amp;BO108)</f>
        <v xml:space="preserve"> </v>
      </c>
      <c r="BP107" s="21" t="str">
        <f t="shared" ref="BP107:BP170" si="204">IF(BP5="",BP108,$C107&amp;"("&amp;BP5&amp;","&amp;BQ5&amp;"), "&amp;BP108)</f>
        <v xml:space="preserve"> </v>
      </c>
      <c r="BQ107" s="21" t="str">
        <f t="shared" si="177"/>
        <v xml:space="preserve"> </v>
      </c>
      <c r="BR107" s="21" t="str">
        <f t="shared" si="172"/>
        <v xml:space="preserve"> </v>
      </c>
      <c r="BS107" s="21" t="str">
        <f t="shared" ref="BS107:BS170" si="205">IF(BS5="",BS108,$C107&amp;"("&amp;BS5&amp;","&amp;BT5&amp;"), "&amp;BS108)</f>
        <v xml:space="preserve"> </v>
      </c>
      <c r="BT107" s="21" t="str">
        <f t="shared" si="174"/>
        <v xml:space="preserve"> </v>
      </c>
      <c r="BU107" s="21" t="str">
        <f t="shared" ref="BU107:BU170" si="206">IF(BU5="",BU108,$C107&amp;"("&amp;BU5&amp;"), "&amp;BU108)</f>
        <v xml:space="preserve"> </v>
      </c>
      <c r="BV107" s="21" t="str">
        <f t="shared" ref="BV107:BV170" si="207">IF(BV5="",BV108,$C107&amp;"("&amp;BV5&amp;","&amp;BW5&amp;"), "&amp;BV108)</f>
        <v xml:space="preserve"> </v>
      </c>
      <c r="BW107" s="21" t="str">
        <f t="shared" si="177"/>
        <v xml:space="preserve"> </v>
      </c>
      <c r="BX107" s="21" t="str">
        <f t="shared" ref="BX107:EF122" si="208">IF(BX5="",BX108,$C107&amp;" "&amp;BX5&amp;CHAR(10)&amp;BX108)</f>
        <v xml:space="preserve">disposable money 1
scale 1
network 1
 </v>
      </c>
      <c r="BY107" s="21" t="str">
        <f t="shared" ref="BY107:BY170" si="209">IF(BY5="",BY108,$C107&amp;"("&amp;BY5&amp;","&amp;BZ5&amp;"), "&amp;BY108)</f>
        <v xml:space="preserve">efficiency(1,),  </v>
      </c>
      <c r="BZ107" s="21" t="str">
        <f t="shared" ref="BZ107:EH122" si="210">IF(BZ5="",BZ108,$C107&amp;" "&amp;BZ5&amp;CHAR(10)&amp;BZ108)</f>
        <v xml:space="preserve"> </v>
      </c>
      <c r="CA107" s="21" t="str">
        <f t="shared" ref="CA107:CA170" si="211">IF(CA5="",CA108,$C107&amp;"("&amp;CA5&amp;"), "&amp;CA108)</f>
        <v xml:space="preserve">scale(2), enthusiasm(1), attention to details(1), administrator(1), negotiation(1),  </v>
      </c>
      <c r="CB107" s="21" t="str">
        <f t="shared" ref="CB107:CB170" si="212">IF(CB5="",CB108,$C107&amp;"("&amp;CB5&amp;","&amp;CC5&amp;"), "&amp;CB108)</f>
        <v xml:space="preserve">user rules and manuals(1,50), organizational rules and manuals(1,50),  </v>
      </c>
      <c r="CC107" s="21" t="str">
        <f t="shared" ref="CC107:EK122" si="213">IF(CC5="",CC108,$C107&amp;"("&amp;CC5&amp;"),"&amp;CC108)</f>
        <v xml:space="preserve">user rules and manuals(50),organizational rules and manuals(50), </v>
      </c>
      <c r="CD107" s="21" t="str">
        <f t="shared" si="208"/>
        <v xml:space="preserve">disposable money 1
software 1
servers 1
scale 1
scale 1
enthusiasm 1
network 1
 </v>
      </c>
      <c r="CE107" s="21" t="str">
        <f t="shared" ref="CE107:CE170" si="214">IF(CE5="",CE108,$C107&amp;"("&amp;CE5&amp;","&amp;CF5&amp;"), "&amp;CE108)</f>
        <v xml:space="preserve">disposable money(-1,12.5), field knowledge(1,), non-profits(1,),  </v>
      </c>
      <c r="CF107" s="21" t="str">
        <f t="shared" si="210"/>
        <v xml:space="preserve">disposable money 12.5
 </v>
      </c>
      <c r="CG107" s="21" t="str">
        <f t="shared" ref="CG107:CG170" si="215">IF(CG5="",CG108,$C107&amp;"("&amp;CG5&amp;"), "&amp;CG108)</f>
        <v xml:space="preserve">software(2), servers(2), wood(2), metal(2), plastic(2), electronics(2), fabric(2), fun-ness(1), seriousness(1), ease of access(1), portfolio(1), user rules and manuals(1), negotiation(1), social project(1), biz project(1), for basic literacy(1), for the elites(1), for entrepreneurs(1),  </v>
      </c>
      <c r="CH107" s="21" t="str">
        <f t="shared" ref="CH107:CH170" si="216">IF(CH5="",CH108,$C107&amp;"("&amp;CH5&amp;","&amp;CI5&amp;"), "&amp;CH108)</f>
        <v xml:space="preserve">scale(1,6.25), technologists(1,6.25), non-profits(1,6.25),  </v>
      </c>
      <c r="CI107" s="21" t="str">
        <f t="shared" si="213"/>
        <v xml:space="preserve">scale(6.25),technologists(6.25),non-profits(6.25), </v>
      </c>
      <c r="CJ107" s="21" t="str">
        <f t="shared" si="208"/>
        <v xml:space="preserve">disposable money 1
software 1
servers 1
scale 1
scale 1
 </v>
      </c>
      <c r="CK107" s="21" t="str">
        <f t="shared" ref="CK107:CK170" si="217">IF(CK5="",CK108,$C107&amp;"("&amp;CK5&amp;","&amp;CL5&amp;"), "&amp;CK108)</f>
        <v xml:space="preserve">disposable money(-1,12.5), suppliers(1,),  </v>
      </c>
      <c r="CL107" s="21" t="str">
        <f t="shared" si="210"/>
        <v xml:space="preserve">disposable money 12.5
 </v>
      </c>
      <c r="CM107" s="21" t="str">
        <f t="shared" ref="CM107:CM170" si="218">IF(CM5="",CM108,$C107&amp;"("&amp;CM5&amp;"), "&amp;CM108)</f>
        <v xml:space="preserve">reputation(1), negotiation(1),  </v>
      </c>
      <c r="CN107" s="21" t="str">
        <f t="shared" ref="CN107:CN170" si="219">IF(CN5="",CN108,$C107&amp;"("&amp;CN5&amp;","&amp;CO5&amp;"), "&amp;CN108)</f>
        <v xml:space="preserve">learning capacities(1,), engineering knowledge(1,), enthusiasm(2,), efficiency(1,6.25),  </v>
      </c>
      <c r="CO107" s="21" t="str">
        <f t="shared" si="213"/>
        <v xml:space="preserve">efficiency(6.25), </v>
      </c>
      <c r="CP107" s="21" t="str">
        <f t="shared" si="208"/>
        <v xml:space="preserve">disposable money 1
software 1
servers 1
scale 1
scale 1
 </v>
      </c>
      <c r="CQ107" s="21" t="str">
        <f t="shared" ref="CQ107:CQ170" si="220">IF(CQ5="",CQ108,$C107&amp;"("&amp;CQ5&amp;","&amp;CR5&amp;"), "&amp;CQ108)</f>
        <v xml:space="preserve">disposable money(-1,12.5), technologists(1,),  </v>
      </c>
      <c r="CR107" s="21" t="str">
        <f t="shared" si="210"/>
        <v xml:space="preserve">disposable money 12.5
 </v>
      </c>
      <c r="CS107" s="21" t="str">
        <f t="shared" ref="CS107:CS170" si="221">IF(CS5="",CS108,$C107&amp;"("&amp;CS5&amp;"), "&amp;CS108)</f>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07" s="21" t="str">
        <f t="shared" ref="CT107:CT170" si="222">IF(CT5="",CT108,$C107&amp;"("&amp;CT5&amp;","&amp;CU5&amp;"), "&amp;CT108)</f>
        <v xml:space="preserve">engineering knowledge(1,6.25), efficiency(1,6.25),  </v>
      </c>
      <c r="CU107" s="21" t="str">
        <f t="shared" si="213"/>
        <v xml:space="preserve">engineering knowledge(6.25),efficiency(6.25), </v>
      </c>
      <c r="CV107" s="21" t="str">
        <f t="shared" si="208"/>
        <v xml:space="preserve">disposable money 1
scale 1
scale 1
 </v>
      </c>
      <c r="CW107" s="21" t="str">
        <f t="shared" ref="CW107:CW170" si="223">IF(CW5="",CW108,$C107&amp;"("&amp;CW5&amp;","&amp;CX5&amp;"), "&amp;CW108)</f>
        <v xml:space="preserve">disposable money(-1,12.5), local biz(1,),  </v>
      </c>
      <c r="CX107" s="21" t="str">
        <f t="shared" si="210"/>
        <v xml:space="preserve">disposable money 12.5
 </v>
      </c>
      <c r="CY107" s="21" t="str">
        <f t="shared" ref="CY107:CY170" si="224">IF(CY5="",CY108,$C107&amp;"("&amp;CY5&amp;"), "&amp;CY108)</f>
        <v xml:space="preserve">software(2), servers(2), wood(2), metal(2), plastic(2), electronics(2), fabric(2), ease of access(1), reputation(1), portfolio(1), negotiation(1),  </v>
      </c>
      <c r="CZ107" s="21" t="str">
        <f t="shared" ref="CZ107:CZ170" si="225">IF(CZ5="",CZ108,$C107&amp;"("&amp;CZ5&amp;","&amp;DA5&amp;"), "&amp;CZ108)</f>
        <v xml:space="preserve">non-profits(1,6.25),  </v>
      </c>
      <c r="DA107" s="21" t="str">
        <f t="shared" si="213"/>
        <v xml:space="preserve">non-profits(6.25), </v>
      </c>
      <c r="DB107" s="21" t="str">
        <f t="shared" si="208"/>
        <v xml:space="preserve">disposable money 1
scale 1
 </v>
      </c>
      <c r="DC107" s="21" t="str">
        <f t="shared" ref="DC107:DC170" si="226">IF(DC5="",DC108,$C107&amp;"("&amp;DC5&amp;","&amp;DD5&amp;"), "&amp;DC108)</f>
        <v xml:space="preserve">disposable money(-1,12.5),  </v>
      </c>
      <c r="DD107" s="21" t="str">
        <f t="shared" si="210"/>
        <v xml:space="preserve">disposable money 12.5
 </v>
      </c>
      <c r="DE107" s="21" t="str">
        <f t="shared" ref="DE107:DE170" si="227">IF(DE5="",DE108,$C107&amp;"("&amp;DE5&amp;"), "&amp;DE108)</f>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07" s="21" t="str">
        <f t="shared" ref="DF107:DF170" si="228">IF(DF5="",DF108,$C107&amp;"("&amp;DF5&amp;","&amp;DG5&amp;"), "&amp;DF108)</f>
        <v xml:space="preserve">profit-loss(1,6.25), network(1,), local biz(1,6.25), biz group(1,6.25), investors(1,6.25), entrepreneurs(1,6.25),  </v>
      </c>
      <c r="DG107" s="21" t="str">
        <f t="shared" si="213"/>
        <v xml:space="preserve">profit-loss(6.25),local biz(6.25),biz group(6.25),investors(6.25),entrepreneurs(6.25), </v>
      </c>
      <c r="DH107" s="21" t="str">
        <f t="shared" si="208"/>
        <v xml:space="preserve">disposable money 1
software 1
scale 1
enthusiasm 1
scale 1
enthusiasm 1
network 1
non-profits 1
reputation 1
social project 1
 </v>
      </c>
      <c r="DI107" s="21" t="str">
        <f t="shared" ref="DI107:DI170" si="229">IF(DI5="",DI108,$C107&amp;"("&amp;DI5&amp;","&amp;DJ5&amp;"), "&amp;DI108)</f>
        <v xml:space="preserve">disposable money(-1,25),  </v>
      </c>
      <c r="DJ107" s="21" t="str">
        <f t="shared" si="210"/>
        <v xml:space="preserve">disposable money 25
 </v>
      </c>
      <c r="DK107" s="21" t="str">
        <f t="shared" ref="DK107:DK170" si="230">IF(DK5="",DK108,$C107&amp;"("&amp;DK5&amp;"), "&amp;DK108)</f>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07" s="21" t="str">
        <f t="shared" ref="DL107:DL170" si="231">IF(DL5="",DL108,$C107&amp;"("&amp;DL5&amp;","&amp;DM5&amp;"), "&amp;DL108)</f>
        <v xml:space="preserve">field knowledge(1,12.5), network among members(1,12.5), reputation(1,6.25),  </v>
      </c>
      <c r="DM107" s="21" t="str">
        <f t="shared" si="213"/>
        <v xml:space="preserve">field knowledge(12.5),network among members(12.5),reputation(6.25), </v>
      </c>
      <c r="DN107" s="21" t="str">
        <f t="shared" si="208"/>
        <v xml:space="preserve">disposable money 1
scale 1
enthusiasm 1
scale 1
enthusiasm 1
network 1
local biz 1
reputation 1
biz project 1
 </v>
      </c>
      <c r="DO107" s="21" t="str">
        <f t="shared" ref="DO107:DO170" si="232">IF(DO5="",DO108,$C107&amp;"("&amp;DO5&amp;","&amp;DP5&amp;"), "&amp;DO108)</f>
        <v xml:space="preserve">disposable money(-1,25),  </v>
      </c>
      <c r="DP107" s="21" t="str">
        <f t="shared" si="210"/>
        <v xml:space="preserve">disposable money 25
 </v>
      </c>
      <c r="DQ107" s="21" t="str">
        <f t="shared" ref="DQ107:DQ170" si="233">IF(DQ5="",DQ108,$C107&amp;"("&amp;DQ5&amp;"), "&amp;DQ108)</f>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07" s="21" t="str">
        <f t="shared" ref="DR107:DR170" si="234">IF(DR5="",DR108,$C107&amp;"("&amp;DR5&amp;","&amp;DS5&amp;"), "&amp;DR108)</f>
        <v xml:space="preserve">disposable money(1,6.25), field knowledge(1,12.5), network among members(1,12.5), reputation(1,6.25),  </v>
      </c>
      <c r="DS107" s="21" t="str">
        <f t="shared" si="213"/>
        <v xml:space="preserve">disposable money(6.25),field knowledge(12.5),network among members(12.5),reputation(6.25), </v>
      </c>
      <c r="DT107" s="21" t="str">
        <f t="shared" si="208"/>
        <v xml:space="preserve">disposable money 1
scale 1
enthusiasm 1
scale 1
enthusiasm 1
network 1
reputation 1
 </v>
      </c>
      <c r="DU107" s="21" t="str">
        <f t="shared" ref="DU107:DU170" si="235">IF(DU5="",DU108,$C107&amp;"("&amp;DU5&amp;","&amp;DV5&amp;"), "&amp;DU108)</f>
        <v xml:space="preserve">disposable money(-1,50),  </v>
      </c>
      <c r="DV107" s="21" t="str">
        <f t="shared" si="210"/>
        <v xml:space="preserve">disposable money 50
 </v>
      </c>
      <c r="DW107" s="21" t="str">
        <f t="shared" ref="DW107:DW170" si="236">IF(DW5="",DW108,$C107&amp;"("&amp;DW5&amp;"), "&amp;DW108)</f>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07" s="21" t="str">
        <f t="shared" ref="DX107:DX170" si="237">IF(DX5="",DX108,$C107&amp;"("&amp;DX5&amp;","&amp;DY5&amp;"), "&amp;DX108)</f>
        <v xml:space="preserve">disposable money(1,6.25), enthusiasm(1,6.25), field knowledge(1,6.25), engineering knowledge(1,6.25), ambition(1,6.25), reputation(1,6.25), for basic literacy(1,6.25),  </v>
      </c>
      <c r="DY107" s="21" t="str">
        <f t="shared" si="213"/>
        <v xml:space="preserve">disposable money(6.25),enthusiasm(6.25),field knowledge(6.25),engineering knowledge(6.25),ambition(6.25),reputation(6.25),for basic literacy(6.25), </v>
      </c>
      <c r="DZ107" s="21" t="str">
        <f t="shared" si="208"/>
        <v xml:space="preserve">disposable money 1
scale 1
enthusiasm 1
scale 1
enthusiasm 1
network 1
reputation 1
 </v>
      </c>
      <c r="EA107" s="21" t="str">
        <f t="shared" ref="EA107:EA170" si="238">IF(EA5="",EA108,$C107&amp;"("&amp;EA5&amp;","&amp;EB5&amp;"), "&amp;EA108)</f>
        <v xml:space="preserve">disposable money(-1,50),  </v>
      </c>
      <c r="EB107" s="21" t="str">
        <f t="shared" si="210"/>
        <v xml:space="preserve">disposable money 50
 </v>
      </c>
      <c r="EC107" s="21" t="str">
        <f t="shared" ref="EC107:EC170" si="239">IF(EC5="",EC108,$C107&amp;"("&amp;EC5&amp;"), "&amp;EC108)</f>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07" s="21" t="str">
        <f t="shared" ref="ED107:ED170" si="240">IF(ED5="",ED108,$C107&amp;"("&amp;ED5&amp;","&amp;EE5&amp;"), "&amp;ED108)</f>
        <v xml:space="preserve">enthusiasm(1,6.25), engineering knowledge(1,6.25), ambition(1,6.25), reputation(1,6.25), for basic literacy(1,6.25),  </v>
      </c>
      <c r="EE107" s="21" t="str">
        <f t="shared" si="213"/>
        <v xml:space="preserve">enthusiasm(6.25),engineering knowledge(6.25),ambition(6.25),reputation(6.25),for basic literacy(6.25), </v>
      </c>
      <c r="EF107" s="21" t="str">
        <f t="shared" si="208"/>
        <v xml:space="preserve">disposable money 1
scale 2
enthusiasm 2
technologists 1
reputation 1
 </v>
      </c>
      <c r="EG107" s="21" t="str">
        <f t="shared" ref="EG107:EG170" si="241">IF(EG5="",EG108,$C107&amp;"("&amp;EG5&amp;","&amp;EH5&amp;"), "&amp;EG108)</f>
        <v xml:space="preserve">disposable money(-1,75), web(1,50), mobile apps(1,50), interaction(1,50),  </v>
      </c>
      <c r="EH107" s="21" t="str">
        <f t="shared" si="210"/>
        <v xml:space="preserve">disposable money 75
web 50
mobile apps 50
interaction 50
 </v>
      </c>
      <c r="EI107" s="21" t="str">
        <f t="shared" ref="EI107:EI170" si="242">IF(EI5="",EI108,$C107&amp;"("&amp;EI5&amp;"), "&amp;EI108)</f>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07" s="21" t="str">
        <f t="shared" ref="EJ107:EJ170" si="243">IF(EJ5="",EJ108,$C107&amp;"("&amp;EJ5&amp;","&amp;EK5&amp;"), "&amp;EJ108)</f>
        <v xml:space="preserve">engineering knowledge(1,6.25), technologists(1,12.5), infrastructrue(1,12.5), database(1,12.5), mobile comm(1,12.5), for entrepreneurs(1,6.25),  </v>
      </c>
      <c r="EK107" s="21" t="str">
        <f t="shared" si="213"/>
        <v xml:space="preserve">engineering knowledge(6.25),technologists(12.5),infrastructrue(12.5),database(12.5),mobile comm(12.5),for entrepreneurs(6.25), </v>
      </c>
      <c r="EL107" s="21" t="str">
        <f t="shared" ref="EL107:GT122" si="244">IF(EL5="",EL108,$C107&amp;" "&amp;EL5&amp;CHAR(10)&amp;EL108)</f>
        <v xml:space="preserve">disposable money 1
scale 2
enthusiasm 2
technologists 1
reputation 1
 </v>
      </c>
      <c r="EM107" s="21" t="str">
        <f t="shared" ref="EM107:EM170" si="245">IF(EM5="",EM108,$C107&amp;"("&amp;EM5&amp;","&amp;EN5&amp;"), "&amp;EM108)</f>
        <v xml:space="preserve">disposable money(-1,75), sensors(1,50),  </v>
      </c>
      <c r="EN107" s="21" t="str">
        <f t="shared" ref="EN107:GV122" si="246">IF(EN5="",EN108,$C107&amp;" "&amp;EN5&amp;CHAR(10)&amp;EN108)</f>
        <v xml:space="preserve">disposable money 75
sensors 50
 </v>
      </c>
      <c r="EO107" s="21" t="str">
        <f t="shared" ref="EO107:EO170" si="247">IF(EO5="",EO108,$C107&amp;"("&amp;EO5&amp;"), "&amp;EO108)</f>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07" s="21" t="str">
        <f t="shared" ref="EP107:EP170" si="248">IF(EP5="",EP108,$C107&amp;"("&amp;EP5&amp;","&amp;EQ5&amp;"), "&amp;EP108)</f>
        <v xml:space="preserve">engineering knowledge(1,6.25), technologists(1,12.5), infrastructrue(1,12.5), database(1,12.5), mobile comm(1,12.5), electronics(1,6.25), for entrepreneurs(1,6.25),  </v>
      </c>
      <c r="EQ107" s="21" t="str">
        <f t="shared" ref="EQ107:GY122" si="249">IF(EQ5="",EQ108,$C107&amp;"("&amp;EQ5&amp;"),"&amp;EQ108)</f>
        <v xml:space="preserve">engineering knowledge(6.25),technologists(12.5),infrastructrue(12.5),database(12.5),mobile comm(12.5),electronics(6.25),for entrepreneurs(6.25), </v>
      </c>
      <c r="ER107" s="21" t="str">
        <f t="shared" si="244"/>
        <v xml:space="preserve">disposable money 1
software 1
servers 1
scale 2
enthusiasm 2
technologists 1
 </v>
      </c>
      <c r="ES107" s="21" t="str">
        <f t="shared" ref="ES107:ES170" si="250">IF(ES5="",ES108,$C107&amp;"("&amp;ES5&amp;","&amp;ET5&amp;"), "&amp;ES108)</f>
        <v xml:space="preserve">disposable money(-1,75), AI&amp; data analysis(1,50),  </v>
      </c>
      <c r="ET107" s="21" t="str">
        <f t="shared" si="246"/>
        <v xml:space="preserve">disposable money 75
AI&amp; data analysis 50
 </v>
      </c>
      <c r="EU107" s="21" t="str">
        <f t="shared" ref="EU107:EU170" si="251">IF(EU5="",EU108,$C107&amp;"("&amp;EU5&amp;"), "&amp;EU108)</f>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07" s="21" t="str">
        <f t="shared" ref="EV107:EV170" si="252">IF(EV5="",EV108,$C107&amp;"("&amp;EV5&amp;","&amp;EW5&amp;"), "&amp;EV108)</f>
        <v xml:space="preserve">engineering knowledge(1,6.25), technologists(1,12.5), database(1,12.5), sensors(1,12.5), mobile comm(1,12.5), for entrepreneurs(1,6.25),  </v>
      </c>
      <c r="EW107" s="21" t="str">
        <f t="shared" si="249"/>
        <v xml:space="preserve">engineering knowledge(6.25),technologists(12.5),database(12.5),sensors(12.5),mobile comm(12.5),for entrepreneurs(6.25), </v>
      </c>
      <c r="EX107" s="21" t="str">
        <f t="shared" si="244"/>
        <v xml:space="preserve">disposable money 1
software 1
servers 1
scale 2
enthusiasm 2
technologists 1
 </v>
      </c>
      <c r="EY107" s="21" t="str">
        <f t="shared" ref="EY107:EY170" si="253">IF(EY5="",EY108,$C107&amp;"("&amp;EY5&amp;","&amp;EZ5&amp;"), "&amp;EY108)</f>
        <v xml:space="preserve">disposable money(-1,75), law(1,50), security(1,50), interaction(1,25),  </v>
      </c>
      <c r="EZ107" s="21" t="str">
        <f t="shared" si="246"/>
        <v xml:space="preserve">disposable money 75
law 50
security 50
interaction 25
 </v>
      </c>
      <c r="FA107" s="21" t="str">
        <f t="shared" ref="FA107:FA170" si="254">IF(FA5="",FA108,$C107&amp;"("&amp;FA5&amp;"), "&amp;FA108)</f>
        <v xml:space="preserve">learning capacities(2), gifted programmer(1), scale(2), enthusiasm(2), seriousness(2), initiative(1), community manager(1), administrator(1), enthusiasm(1), fame(1), network(2), level of understanding(1), technologists(2), ease of access(1), reputation(2), law(2), for entrepreneurs(1),  </v>
      </c>
      <c r="FB107" s="21" t="str">
        <f t="shared" ref="FB107:FB170" si="255">IF(FB5="",FB108,$C107&amp;"("&amp;FB5&amp;","&amp;FC5&amp;"), "&amp;FB108)</f>
        <v xml:space="preserve">field knowledge(1,6.25), engineering knowledge(1,6.25), technologists(1,12.5), law(1,6.25), database(1,12.5), mobile apps(1,12.5), security(1,12.5), mobile comm(1,12.5), for entrepreneurs(1,6.25),  </v>
      </c>
      <c r="FC107" s="21" t="str">
        <f t="shared" si="249"/>
        <v xml:space="preserve">field knowledge(6.25),engineering knowledge(6.25),technologists(12.5),law(6.25),database(12.5),mobile apps(12.5),security(12.5),mobile comm(12.5),for entrepreneurs(6.25), </v>
      </c>
      <c r="FD107" s="21" t="str">
        <f t="shared" si="244"/>
        <v xml:space="preserve">disposable money 1
software 1
servers 1
scale 2
enthusiasm 2
technologists 1
 </v>
      </c>
      <c r="FE107" s="21" t="str">
        <f t="shared" ref="FE107:FE170" si="256">IF(FE5="",FE108,$C107&amp;"("&amp;FE5&amp;","&amp;FF5&amp;"), "&amp;FE108)</f>
        <v xml:space="preserve">disposable money(-1,75), law(1,50), sensors(1,50), security(1,50),  </v>
      </c>
      <c r="FF107" s="21" t="str">
        <f t="shared" si="246"/>
        <v xml:space="preserve">disposable money 75
law 50
sensors 50
security 50
 </v>
      </c>
      <c r="FG107" s="21" t="str">
        <f t="shared" ref="FG107:FG170" si="257">IF(FG5="",FG108,$C107&amp;"("&amp;FG5&amp;"), "&amp;FG108)</f>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07" s="21" t="str">
        <f t="shared" ref="FH107:FH170" si="258">IF(FH5="",FH108,$C107&amp;"("&amp;FH5&amp;","&amp;FI5&amp;"), "&amp;FH108)</f>
        <v xml:space="preserve">field knowledge(1,6.25), engineering knowledge(1,6.25), technologists(1,12.5), law(1,6.25), database(1,6.25), mobile apps(1,6.25), AI&amp; data analysis(1,6.25), mobile comm(1,6.25), for entrepreneurs(1,6.25),  </v>
      </c>
      <c r="FI107" s="21" t="str">
        <f t="shared" si="249"/>
        <v xml:space="preserve">field knowledge(6.25),engineering knowledge(6.25),technologists(12.5),law(6.25),database(6.25),mobile apps(6.25),AI&amp; data analysis(6.25),mobile comm(6.25),for entrepreneurs(6.25), </v>
      </c>
      <c r="FJ107" s="21" t="str">
        <f t="shared" si="244"/>
        <v xml:space="preserve">disposable money 1
software 1
servers 1
scale 2
enthusiasm 2
technologists 1
 </v>
      </c>
      <c r="FK107" s="21" t="str">
        <f t="shared" ref="FK107:FK170" si="259">IF(FK5="",FK108,$C107&amp;"("&amp;FK5&amp;","&amp;FL5&amp;"), "&amp;FK108)</f>
        <v xml:space="preserve">disposable money(-1,100), wood processing(1,25), metal processing(1,25), plastic processing(1,25), fabric(1,25), safety(1,25), interaction(1,25),  </v>
      </c>
      <c r="FL107" s="21" t="str">
        <f t="shared" si="246"/>
        <v xml:space="preserve">disposable money 100
project management 2
wood processing 25
metal processing 25
plastic processing 25
fabric 25
safety 25
interaction 25
 </v>
      </c>
      <c r="FM107" s="21" t="str">
        <f t="shared" ref="FM107:FM170" si="260">IF(FM5="",FM108,$C107&amp;"("&amp;FM5&amp;"), "&amp;FM108)</f>
        <v xml:space="preserve">learning capacities(2), gifted programmer(1), scale(2), enthusiasm(2), seriousness(2), initiative(1), community manager(1), administrator(1), enthusiasm(1), fame(1), network(2), level of understanding(1), technologists(2), spaciousness(1), ease of access(1), reputation(2), for entrepreneurs(1),  </v>
      </c>
      <c r="FN107" s="21" t="str">
        <f t="shared" ref="FN107:FN170" si="261">IF(FN5="",FN108,$C107&amp;"("&amp;FN5&amp;","&amp;FO5&amp;"), "&amp;FN108)</f>
        <v xml:space="preserve">field knowledge(1,6.25), engineering knowledge(1,6.25), technologists(1,12.5), for entrepreneurs(1,6.25),  </v>
      </c>
      <c r="FO107" s="21" t="str">
        <f t="shared" si="249"/>
        <v xml:space="preserve">field knowledge(6.25),engineering knowledge(6.25),technologists(12.5),for entrepreneurs(6.25), </v>
      </c>
      <c r="FP107" s="21" t="str">
        <f t="shared" si="244"/>
        <v xml:space="preserve">disposable money 1
software 1
servers 1
scale 2
enthusiasm 2
technologists 1
 </v>
      </c>
      <c r="FQ107" s="21" t="str">
        <f t="shared" ref="FQ107:FQ170" si="262">IF(FQ5="",FQ108,$C107&amp;"("&amp;FQ5&amp;","&amp;FR5&amp;"), "&amp;FQ108)</f>
        <v xml:space="preserve">disposable money(-1,75), web(1,25), mobile apps(1,50), functions(1,25), interaction(1,25),  </v>
      </c>
      <c r="FR107" s="21" t="str">
        <f t="shared" si="246"/>
        <v xml:space="preserve">disposable money 75
web 25
mobile apps 50
functions 25
interaction 25
 </v>
      </c>
      <c r="FS107" s="21" t="str">
        <f t="shared" ref="FS107:FS170" si="263">IF(FS5="",FS108,$C107&amp;"("&amp;FS5&amp;"), "&amp;FS108)</f>
        <v xml:space="preserve">learning capacities(2), gifted programmer(1), scale(2), enthusiasm(2), seriousness(2), initiative(1), community manager(1), administrator(1), enthusiasm(1), fame(1), network(2), level of understanding(1), technologists(2), spaciousness(1), ease of access(1), reputation(2), for entrepreneurs(1),  </v>
      </c>
      <c r="FT107" s="21" t="str">
        <f t="shared" ref="FT107:FT170" si="264">IF(FT5="",FT108,$C107&amp;"("&amp;FT5&amp;","&amp;FU5&amp;"), "&amp;FT108)</f>
        <v xml:space="preserve">field knowledge(1,6.25), engineering knowledge(1,6.25), technologists(1,12.5), for entrepreneurs(1,6.25),  </v>
      </c>
      <c r="FU107" s="21" t="str">
        <f t="shared" si="249"/>
        <v xml:space="preserve">field knowledge(6.25),engineering knowledge(6.25),technologists(12.5),for entrepreneurs(6.25), </v>
      </c>
      <c r="FV107" s="21" t="str">
        <f t="shared" si="244"/>
        <v xml:space="preserve">disposable money 1
software 1
servers 1
scale 2
enthusiasm 2
technologists 1
 </v>
      </c>
      <c r="FW107" s="21" t="str">
        <f t="shared" ref="FW107:FW170" si="265">IF(FW5="",FW108,$C107&amp;"("&amp;FW5&amp;","&amp;FX5&amp;"), "&amp;FW108)</f>
        <v xml:space="preserve">disposable money(-1,100), mobile apps(1,50), sensors(1,50), wood processing(1,25), plastic processing(1,25), electronics(1,25), functions(1,25), interaction(1,25),  </v>
      </c>
      <c r="FX107" s="21" t="str">
        <f t="shared" si="246"/>
        <v xml:space="preserve">disposable money 100
mobile apps 50
sensors 50
wood processing 25
plastic processing 25
electronics 25
functions 25
interaction 25
 </v>
      </c>
      <c r="FY107" s="21" t="str">
        <f t="shared" ref="FY107:FY170" si="266">IF(FY5="",FY108,$C107&amp;"("&amp;FY5&amp;"), "&amp;FY108)</f>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07" s="21" t="str">
        <f t="shared" ref="FZ107:FZ170" si="267">IF(FZ5="",FZ108,$C107&amp;"("&amp;FZ5&amp;","&amp;GA5&amp;"), "&amp;FZ108)</f>
        <v xml:space="preserve">field knowledge(1,6.25), engineering knowledge(1,6.25), technologists(1,12.5), web(1,6.25), database(1,6.25), AI&amp; data analysis(1,6.25), mobile comm(1,6.25), for entrepreneurs(1,6.25),  </v>
      </c>
      <c r="GA107" s="21" t="str">
        <f t="shared" si="249"/>
        <v xml:space="preserve">field knowledge(6.25),engineering knowledge(6.25),technologists(12.5),web(6.25),database(6.25),AI&amp; data analysis(6.25),mobile comm(6.25),for entrepreneurs(6.25), </v>
      </c>
      <c r="GB107" s="21" t="str">
        <f t="shared" si="244"/>
        <v xml:space="preserve">disposable money 1
software 1
servers 1
scale 2
enthusiasm 2
technologists 1
 </v>
      </c>
      <c r="GC107" s="21" t="str">
        <f t="shared" ref="GC107:GC170" si="268">IF(GC5="",GC108,$C107&amp;"("&amp;GC5&amp;","&amp;GD5&amp;"), "&amp;GC108)</f>
        <v xml:space="preserve">disposable money(-1,75), sensors(1,25), mobile comm(1,25), electronics(1,50), functions(1,25), safety(1,25),  </v>
      </c>
      <c r="GD107" s="21" t="str">
        <f t="shared" si="246"/>
        <v xml:space="preserve">disposable money 75
sensors 25
mobile comm 25
electronics 50
functions 25
safety 25
 </v>
      </c>
      <c r="GE107" s="21" t="str">
        <f t="shared" ref="GE107:GE170" si="269">IF(GE5="",GE108,$C107&amp;"("&amp;GE5&amp;"), "&amp;GE108)</f>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07" s="21" t="str">
        <f t="shared" ref="GF107:GF170" si="270">IF(GF5="",GF108,$C107&amp;"("&amp;GF5&amp;","&amp;GG5&amp;"), "&amp;GF108)</f>
        <v xml:space="preserve">field knowledge(1,6.25), engineering knowledge(1,6.25), technologists(1,12.5), database(1,6.25), mobile apps(1,6.25), AI&amp; data analysis(1,6.25), plastic processing(1,6.25), interaction(1,6.25), for entrepreneurs(1,6.25),  </v>
      </c>
      <c r="GG107" s="21" t="str">
        <f t="shared" si="249"/>
        <v xml:space="preserve">field knowledge(6.25),engineering knowledge(6.25),technologists(12.5),database(6.25),mobile apps(6.25),AI&amp; data analysis(6.25),plastic processing(6.25),interaction(6.25),for entrepreneurs(6.25), </v>
      </c>
      <c r="GH107" s="21" t="str">
        <f t="shared" si="244"/>
        <v xml:space="preserve">disposable money 1
software 1
servers 1
scale 2
enthusiasm 2
technologists 1
 </v>
      </c>
      <c r="GI107" s="21" t="str">
        <f t="shared" ref="GI107:GI170" si="271">IF(GI5="",GI108,$C107&amp;"("&amp;GI5&amp;","&amp;GJ5&amp;"), "&amp;GI108)</f>
        <v xml:space="preserve">disposable money(-1,75), web(1,25), mobile apps(1,50), functions(1,25), interaction(1,25),  </v>
      </c>
      <c r="GJ107" s="21" t="str">
        <f t="shared" si="246"/>
        <v xml:space="preserve">disposable money 75
web 25
mobile apps 50
functions 25
interaction 25
 </v>
      </c>
      <c r="GK107" s="21" t="str">
        <f t="shared" ref="GK107:GK170" si="272">IF(GK5="",GK108,$C107&amp;"("&amp;GK5&amp;"), "&amp;GK108)</f>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07" s="21" t="str">
        <f t="shared" ref="GL107:GL170" si="273">IF(GL5="",GL108,$C107&amp;"("&amp;GL5&amp;","&amp;GM5&amp;"), "&amp;GL108)</f>
        <v xml:space="preserve">field knowledge(1,6.25), engineering knowledge(1,6.25), technologists(1,12.5), for entrepreneurs(1,6.25),  </v>
      </c>
      <c r="GM107" s="21" t="str">
        <f t="shared" si="249"/>
        <v xml:space="preserve">field knowledge(6.25),engineering knowledge(6.25),technologists(12.5),for entrepreneurs(6.25), </v>
      </c>
      <c r="GN107" s="21" t="str">
        <f t="shared" si="244"/>
        <v xml:space="preserve">disposable money 1
software 1
servers 1
scale 2
enthusiasm 2
technologists 1
 </v>
      </c>
      <c r="GO107" s="21" t="str">
        <f t="shared" ref="GO107:GO170" si="274">IF(GO5="",GO108,$C107&amp;"("&amp;GO5&amp;","&amp;GP5&amp;"), "&amp;GO108)</f>
        <v xml:space="preserve">disposable money(-1,75), web(1,25), mobile apps(1,25), VR&amp;AR(1,25), aesthetics(1,25), functions(1,25), interaction(1,50),  </v>
      </c>
      <c r="GP107" s="21" t="str">
        <f t="shared" si="246"/>
        <v xml:space="preserve">disposable money 75
web 25
mobile apps 25
VR&amp;AR 25
aesthetics 25
functions 25
interaction 50
 </v>
      </c>
      <c r="GQ107" s="21" t="str">
        <f t="shared" ref="GQ107:GQ170" si="275">IF(GQ5="",GQ108,$C107&amp;"("&amp;GQ5&amp;"), "&amp;GQ108)</f>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07" s="21" t="str">
        <f t="shared" ref="GR107:GR170" si="276">IF(GR5="",GR108,$C107&amp;"("&amp;GR5&amp;","&amp;GS5&amp;"), "&amp;GR108)</f>
        <v xml:space="preserve">field knowledge(1,6.25), technologists(1,12.5), for entrepreneurs(1,6.25),  </v>
      </c>
      <c r="GS107" s="21" t="str">
        <f t="shared" si="249"/>
        <v xml:space="preserve">field knowledge(6.25),technologists(12.5),for entrepreneurs(6.25), </v>
      </c>
      <c r="GT107" s="21" t="str">
        <f t="shared" si="244"/>
        <v xml:space="preserve">disposable money 2
software 1
servers 2
scale 3
scale 2
ease of access 1
reputation 2
web 1
mobile apps 1
mobile comm 1
 </v>
      </c>
      <c r="GU107" s="21" t="str">
        <f t="shared" ref="GU107:GU170" si="277">IF(GU5="",GU108,$C107&amp;"("&amp;GU5&amp;","&amp;GV5&amp;"), "&amp;GU108)</f>
        <v xml:space="preserve">disposable money(-2,100), software(1,),  </v>
      </c>
      <c r="GV107" s="21" t="str">
        <f t="shared" si="246"/>
        <v xml:space="preserve">disposable money 100
 </v>
      </c>
      <c r="GW107" s="21" t="str">
        <f t="shared" ref="GW107:GW170" si="278">IF(GW5="",GW108,$C107&amp;"("&amp;GW5&amp;"), "&amp;GW108)</f>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07" s="21" t="str">
        <f t="shared" ref="GX107:GX170" si="279">IF(GX5="",GX108,$C107&amp;"("&amp;GX5&amp;","&amp;GY5&amp;"), "&amp;GX108)</f>
        <v xml:space="preserve">disposable money(1,6.25), 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07" s="21" t="str">
        <f t="shared" si="249"/>
        <v xml:space="preserve">disposable money(6.25),scale(6.25),enthusiasm(12.5),learning capacities(6.25),field knowledge(6.25),engineering knowledge(6.25),network among members(6.25),gifted leader(6.25),gifted programmer(6.25),enthusiasm(6.25),media(6.25),entrepreneurs(6.25),technologists(6.25),project management(6.25),social media(6.25),web(6.25),mobile apps(6.25), </v>
      </c>
      <c r="GZ107" s="21" t="str">
        <f t="shared" ref="GZ107:HL122" si="280">IF(GZ5="",GZ108,$C107&amp;" "&amp;GZ5&amp;CHAR(10)&amp;GZ108)</f>
        <v xml:space="preserve">disposable money 1
software 1
plastic 1
electronics 1
fabric 1
scale 2
enthusiasm 2
scale 2
enthusiasm 2
network 1
govt 1
non-profits 1
reputation 2
portfolio 1
 </v>
      </c>
      <c r="HA107" s="21" t="str">
        <f t="shared" ref="HA107:HA170" si="281">IF(HA5="",HA108,$C107&amp;"("&amp;HA5&amp;","&amp;HB5&amp;"), "&amp;HA108)</f>
        <v xml:space="preserve">disposable money(-1,100),  </v>
      </c>
      <c r="HB107" s="21" t="str">
        <f t="shared" ref="HB107:HN122" si="282">IF(HB5="",HB108,$C107&amp;" "&amp;HB5&amp;CHAR(10)&amp;HB108)</f>
        <v xml:space="preserve">disposable money 100
 </v>
      </c>
      <c r="HC107" s="21" t="str">
        <f t="shared" ref="HC107:HC170" si="283">IF(HC5="",HC108,$C107&amp;"("&amp;HC5&amp;"), "&amp;HC108)</f>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07" s="21" t="str">
        <f t="shared" ref="HD107:HD170" si="284">IF(HD5="",HD108,$C107&amp;"("&amp;HD5&amp;","&amp;HE5&amp;"), "&amp;HD108)</f>
        <v xml:space="preserve">scale(1,6.25), enthusiasm(1,6.25), learning capacities(1,6.25), field knowledge(1,6.25), enthusiasm(1,6.25), media(1,6.25), technologists(1,6.25), non-profits(1,6.25), reputation(1,6.25), start-up with customers(1,6.25), for basic literacy(1,6.25),  </v>
      </c>
      <c r="HE107" s="21" t="str">
        <f t="shared" ref="HE107:HQ122" si="285">IF(HE5="",HE108,$C107&amp;"("&amp;HE5&amp;"),"&amp;HE108)</f>
        <v xml:space="preserve">scale(6.25),enthusiasm(6.25),learning capacities(6.25),field knowledge(6.25),enthusiasm(6.25),media(6.25),technologists(6.25),non-profits(6.25),reputation(6.25),start-up with customers(6.25),for basic literacy(6.25), </v>
      </c>
      <c r="HF107" s="21" t="str">
        <f t="shared" si="280"/>
        <v xml:space="preserve">disposable money 1
 </v>
      </c>
      <c r="HG107" s="21" t="str">
        <f t="shared" ref="HG107:HG170" si="286">IF(HG5="",HG108,$C107&amp;"("&amp;HG5&amp;","&amp;HH5&amp;"), "&amp;HG108)</f>
        <v xml:space="preserve">disposable money(-1,100), scale(2,), enthusiasm(2,),  </v>
      </c>
      <c r="HH107" s="21" t="str">
        <f t="shared" si="282"/>
        <v xml:space="preserve">disposable money 100
 </v>
      </c>
      <c r="HI107" s="21" t="str">
        <f t="shared" ref="HI107:HI170" si="287">IF(HI5="",HI108,$C107&amp;"("&amp;HI5&amp;"), "&amp;HI108)</f>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07" s="21" t="str">
        <f t="shared" ref="HJ107:HJ170" si="288">IF(HJ5="",HJ108,$C107&amp;"("&amp;HJ5&amp;","&amp;HK5&amp;"), "&amp;HJ108)</f>
        <v xml:space="preserve">scale(1,6.25), enthusiasm(1,6.25), learning capacities(1,6.25), network among members(1,6.25), enthusiasm(1,6.25), fun-ness(1,6.25), seriousness(1,6.25), govt(1,6.25), media(1,6.25), non-profits(1,6.25), start-up with customers(1,6.25),  </v>
      </c>
      <c r="HK107" s="21" t="str">
        <f t="shared" si="285"/>
        <v xml:space="preserve">scale(6.25),enthusiasm(6.25),learning capacities(6.25),network among members(6.25),enthusiasm(6.25),fun-ness(6.25),seriousness(6.25),govt(6.25),media(6.25),non-profits(6.25),start-up with customers(6.25), </v>
      </c>
      <c r="HL107" s="21" t="str">
        <f t="shared" si="280"/>
        <v xml:space="preserve">disposable money 2
scale 2
scale 2
community manager 1
PR 1
administrator 1
local biz 1
entrepreneurs 1
non-profits 1
reputation 2
portfolio 2
 </v>
      </c>
      <c r="HM107" s="21" t="str">
        <f t="shared" ref="HM107:HM170" si="289">IF(HM5="",HM108,$C107&amp;"("&amp;HM5&amp;","&amp;HN5&amp;"), "&amp;HM108)</f>
        <v xml:space="preserve">disposable money(-1,100), scale(1,25), enthusiasm(1,25), network among members(1,25), scale(1,25), enthusiasm(1,25), ambition(1,25), fun-ness(1,25), seriousness(1,25),  </v>
      </c>
      <c r="HN107" s="21" t="str">
        <f t="shared" si="282"/>
        <v xml:space="preserve">disposable money 100
scale 25
enthusiasm 25
network among members 25
scale 25
enthusiasm 25
ambition 25
fun-ness 25
seriousness 25
 </v>
      </c>
      <c r="HO107" s="21" t="str">
        <f t="shared" ref="HO107:HO170" si="290">IF(HO5="",HO108,$C107&amp;"("&amp;HO5&amp;"), "&amp;HO108)</f>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07" s="21" t="str">
        <f t="shared" ref="HP107:HP170" si="291">IF(HP5="",HP108,$C107&amp;"("&amp;HP5&amp;","&amp;HQ5&amp;"), "&amp;HP108)</f>
        <v xml:space="preserve">disposable money(1,6.25), scale(1,6.25), enthusiasm(1,6.25), enthusiasm(1,6.25), fun-ness(1,6.25), enthusiasm(1,6.25), level of understanding(1,6.25), local biz(1,6.25), biz group(1,6.25), govt(1,6.25), investors(1,6.25), media(1,6.25), entrepreneurs(1,6.25), technologists(1,6.25), suppliers(1,6.25), non-profits(1,6.25), reputation(1,6.25),  </v>
      </c>
      <c r="HQ107" s="47" t="str">
        <f t="shared" si="285"/>
        <v xml:space="preserve">disposable money(6.25),scale(6.25),enthusiasm(6.25),enthusiasm(6.25),fun-ness(6.25),enthusiasm(6.25),level of understanding(6.25),local biz(6.25),biz group(6.25),govt(6.25),investors(6.25),media(6.25),entrepreneurs(6.25),technologists(6.25),suppliers(6.25),non-profits(6.25),reputation(6.25), </v>
      </c>
      <c r="HR107" s="47" t="str">
        <f t="shared" ref="HR107:HW107" si="292">IF(HR5="",HR108,$C107&amp;"("&amp;HR5&amp;"),"&amp;HR108)</f>
        <v xml:space="preserve">disposable money(2),software(1),servers(1),wood(1),metal(1),plastic(1),electronics(1),scale(2),enthusiasm(2),engineering knowledge(2),scale(2),enthusiasm(2),reputation(2),portfolio(2),mobile apps(1),sensors(1),wood processing(1),aesthetics(1), </v>
      </c>
      <c r="HS107" s="47" t="str">
        <f t="shared" si="292"/>
        <v xml:space="preserve">disposable money(-1), </v>
      </c>
      <c r="HT107" s="47" t="str">
        <f t="shared" si="292"/>
        <v xml:space="preserve">disposable money(100), </v>
      </c>
      <c r="HU107" s="47" t="str">
        <f t="shared" si="292"/>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07" s="47" t="str">
        <f t="shared" si="292"/>
        <v xml:space="preserve">gifted programmer(1),local biz(1),biz group(1),govt(1),investors(1),media(1),entrepreneurs(1),technologists(1),suppliers(1),non-profits(1),reputation(1), </v>
      </c>
      <c r="HW107" s="47" t="str">
        <f t="shared" si="292"/>
        <v xml:space="preserve">gifted programmer(6.25),local biz(6.25),biz group(6.25),govt(6.25),investors(6.25),media(6.25),entrepreneurs(6.25),technologists(12.5),suppliers(6.25),non-profits(6.25),reputation(6.25), </v>
      </c>
      <c r="HX107" s="47" t="str">
        <f t="shared" ref="HX107:IU107" si="293">IF(HX5="",HX108,$C107&amp;"("&amp;HX5&amp;"),"&amp;HX108)</f>
        <v xml:space="preserve">disposable money(2),software(2),servers(2),wood(2),plastic(2),electronics(2),fabric(1),scale(2),enthusiasm(2),field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07" s="47" t="str">
        <f t="shared" si="293"/>
        <v xml:space="preserve">disposable money(-1),biz enhancement(1), </v>
      </c>
      <c r="HZ107" s="47" t="str">
        <f t="shared" si="293"/>
        <v xml:space="preserve">disposable money(100),biz enhancement(100), </v>
      </c>
      <c r="IA107" s="47" t="str">
        <f t="shared" si="293"/>
        <v xml:space="preserve">community manager(1),PR(1),finance(1),administrator(1),enthusiasm(2),network(2),ambition(2),knowledge(2),spaciousness(2),ease of access(3),efficiency(2),portfolio(4),finance(2),business model(2),marketing(3),team building(2),project management(2),social media(3),negotiation(3), </v>
      </c>
      <c r="IB107" s="47" t="str">
        <f t="shared" si="293"/>
        <v xml:space="preserve">disposable money(1),scale(1),enthusiasm(1),field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07" s="47" t="str">
        <f t="shared" si="293"/>
        <v xml:space="preserve">disposable money(6.25),scale(6.25),enthusiasm(6.25),field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07" s="47" t="str">
        <f t="shared" si="293"/>
        <v xml:space="preserve">disposable money(1),software(2),servers(2),scale(2),enthusiasm(2),engineering knowledge(1),scale(1),technologists(2), </v>
      </c>
      <c r="IE107" s="47" t="str">
        <f t="shared" si="293"/>
        <v xml:space="preserve">disposable money(-1),engineering knowledge(1),web(1),mobile apps(1),security(1),AI&amp; data analysis(1), </v>
      </c>
      <c r="IF107" s="47" t="str">
        <f t="shared" si="293"/>
        <v xml:space="preserve">disposable money(25),engineering knowledge(25),web(25),mobile apps(25),security(25),AI&amp; data analysis(25), </v>
      </c>
      <c r="IG107" s="47" t="str">
        <f t="shared" si="293"/>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07" s="47" t="str">
        <f t="shared" si="293"/>
        <v xml:space="preserve">engineering knowledge(1),technologists(1),web(1),database(1),mobile apps(1),security(1),AI&amp; data analysis(1), </v>
      </c>
      <c r="II107" s="47" t="str">
        <f t="shared" si="293"/>
        <v xml:space="preserve">engineering knowledge(6.25),technologists(6.25),web(6.25),database(6.25),mobile apps(6.25),security(6.25),AI&amp; data analysis(6.25), </v>
      </c>
      <c r="IJ107" s="47" t="str">
        <f t="shared" si="293"/>
        <v xml:space="preserve">disposable money(1),metal(1),scale(2),enthusiasm(2),engineering knowledge(1),scale(1),technologists(2), </v>
      </c>
      <c r="IK107" s="47" t="str">
        <f t="shared" si="293"/>
        <v xml:space="preserve">disposable money(-1),engineering knowledge(1),wood processing(1),metal processing(1),functions(1),safety(1), </v>
      </c>
      <c r="IL107" s="47" t="str">
        <f t="shared" si="293"/>
        <v xml:space="preserve">disposable money(25),engineering knowledge(25),wood processing(25),metal processing(25),functions(25),safety(25), </v>
      </c>
      <c r="IM107" s="47" t="str">
        <f t="shared" si="293"/>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07" s="47" t="str">
        <f t="shared" si="293"/>
        <v xml:space="preserve">engineering knowledge(1),technologists(1),wood processing(1),metal processing(1),functions(1),safety(1),interaction(1), </v>
      </c>
      <c r="IO107" s="47" t="str">
        <f t="shared" si="293"/>
        <v xml:space="preserve">engineering knowledge(6.25),technologists(6.25),wood processing(6.25),metal processing(6.25),functions(6.25),safety(6.25),interaction(6.25), </v>
      </c>
      <c r="IP107" s="57" t="str">
        <f t="shared" si="293"/>
        <v xml:space="preserve">disposable money(1),scale(2),enthusiasm(2),learning capacities(1),scale(2),local biz(2),reputation(1), </v>
      </c>
      <c r="IQ107" s="47" t="str">
        <f t="shared" si="293"/>
        <v xml:space="preserve">disposable money(-1),field knowledge(1),network among members(1),local biz(1),marketing(1), </v>
      </c>
      <c r="IR107" s="47" t="str">
        <f t="shared" si="293"/>
        <v xml:space="preserve">disposable money(50),field knowledge(100),network among members(25),local biz(25),marketing(25), </v>
      </c>
      <c r="IS107" s="47" t="str">
        <f t="shared" si="293"/>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07" s="47" t="str">
        <f t="shared" si="293"/>
        <v xml:space="preserve">field knowledge(1),network among members(1),enthusiasm(1),fun-ness(1),seriousness(1),local biz(1),biz group(1),govt(1),non-profits(1),marketing(1), </v>
      </c>
      <c r="IU107" s="47" t="str">
        <f t="shared" si="293"/>
        <v xml:space="preserve">field knowledge(6.25),network among members(6.25),enthusiasm(6.25),fun-ness(6.25),seriousness(6.25),local biz(6.25),biz group(6.25),govt(6.25),non-profits(6.25),marketing(6.25), </v>
      </c>
      <c r="IV107" s="57" t="str">
        <f t="shared" ref="IV107:LG107" si="294">IF(IV5="",IV108,$C107&amp;"("&amp;IV5&amp;"),"&amp;IV108)</f>
        <v xml:space="preserve">disposable money(1),scale(2),enthusiasm(2),learning capacities(1),scale(2),local biz(2),reputation(1), </v>
      </c>
      <c r="IW107" s="47" t="str">
        <f t="shared" si="294"/>
        <v xml:space="preserve">disposable money(-1),field knowledge(1),network among members(1),local biz(1),marketing(1), </v>
      </c>
      <c r="IX107" s="47" t="str">
        <f t="shared" si="294"/>
        <v xml:space="preserve">disposable money(50),field knowledge(100),network among members(25),local biz(25),marketing(25), </v>
      </c>
      <c r="IY107" s="47" t="str">
        <f t="shared" si="294"/>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07" s="47" t="str">
        <f t="shared" si="294"/>
        <v xml:space="preserve">field knowledge(1),network among members(1),enthusiasm(1),fun-ness(1),seriousness(1),local biz(1),biz group(1),govt(1),marketing(1), </v>
      </c>
      <c r="JA107" s="47" t="str">
        <f t="shared" si="294"/>
        <v xml:space="preserve">field knowledge(6.25),network among members(6.25),enthusiasm(6.25),fun-ness(6.25),seriousness(6.25),local biz(6.25),biz group(6.25),govt(6.25),marketing(6.25), </v>
      </c>
      <c r="JB107" s="47" t="str">
        <f t="shared" si="294"/>
        <v xml:space="preserve">disposable money(1),software(1),servers(1),wood(1),metal(1),plastic(1),electronics(1),fabric(1),scale(2),enthusiasm(1),scale(1),enthusiasm(2), </v>
      </c>
      <c r="JC107" s="47" t="str">
        <f t="shared" si="294"/>
        <v xml:space="preserve">engineering knowledge(1), </v>
      </c>
      <c r="JD107" s="47" t="str">
        <f t="shared" si="294"/>
        <v xml:space="preserve">engineering knowledge(50), </v>
      </c>
      <c r="JE107" s="47" t="str">
        <f t="shared" si="294"/>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07" s="47" t="str">
        <f t="shared" si="294"/>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07" s="47" t="str">
        <f t="shared" si="294"/>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07" s="47" t="str">
        <f t="shared" si="294"/>
        <v xml:space="preserve">disposable money(1),scale(1),scale(1),enthusiasm(1),enthusiasm(1),local biz(1),non-profits(1),reputation(2), </v>
      </c>
      <c r="JI107" s="47" t="str">
        <f t="shared" si="294"/>
        <v xml:space="preserve">disposable money(-1), </v>
      </c>
      <c r="JJ107" s="47" t="str">
        <f t="shared" si="294"/>
        <v xml:space="preserve">disposable money(25), </v>
      </c>
      <c r="JK107" s="47" t="str">
        <f t="shared" si="294"/>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07" s="47" t="str">
        <f t="shared" si="294"/>
        <v xml:space="preserve">disposable money(1),non-profits(1), </v>
      </c>
      <c r="JM107" s="47" t="str">
        <f t="shared" si="294"/>
        <v xml:space="preserve">disposable money(6.25),non-profits(6.25), </v>
      </c>
      <c r="JN107" s="47" t="str">
        <f t="shared" si="294"/>
        <v xml:space="preserve">disposable money(1),scale(2),enthusiasm(2),scale(2),enthusiasm(2),enthusiasm(1),network(1),local biz(1),investors(1),entrepreneurs(1),technologists(1),non-profits(1),reputation(2),portfolio(2), </v>
      </c>
      <c r="JO107" s="47" t="str">
        <f t="shared" si="294"/>
        <v xml:space="preserve">disposable money(-1), </v>
      </c>
      <c r="JP107" s="47" t="str">
        <f t="shared" si="294"/>
        <v xml:space="preserve">disposable money(50), </v>
      </c>
      <c r="JQ107" s="47" t="str">
        <f t="shared" si="294"/>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07" s="47" t="str">
        <f t="shared" si="294"/>
        <v xml:space="preserve">disposable money(1), </v>
      </c>
      <c r="JS107" s="47" t="str">
        <f t="shared" si="294"/>
        <v xml:space="preserve">disposable money(6.25), </v>
      </c>
      <c r="JT107" s="47" t="str">
        <f t="shared" si="294"/>
        <v xml:space="preserve">disposable money(1),scale(3),enthusiasm(3),PR(1),administrator(1),enthusiasm(2),network(2),local biz(2),biz group(1),govt(2),investors(2),entrepreneurs(2),technologists(2),non-profits(2),reputation(2),portfolio(3), </v>
      </c>
      <c r="JU107" s="47" t="str">
        <f t="shared" si="294"/>
        <v xml:space="preserve">disposable money(-1), </v>
      </c>
      <c r="JV107" s="47" t="str">
        <f t="shared" si="294"/>
        <v xml:space="preserve">disposable money(100), </v>
      </c>
      <c r="JW107" s="47" t="str">
        <f t="shared" si="294"/>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07" s="47" t="str">
        <f t="shared" si="294"/>
        <v xml:space="preserve">budget(1), </v>
      </c>
      <c r="JY107" s="47" t="str">
        <f t="shared" si="294"/>
        <v xml:space="preserve">budget(6.25), </v>
      </c>
      <c r="JZ107" s="47" t="str">
        <f t="shared" si="294"/>
        <v xml:space="preserve">disposable money(1),scale(1),enthusiasm(1),scale(1),enthusiasm(2),network(1),non-profits(1),reputation(2),social project(2), </v>
      </c>
      <c r="KA107" s="47" t="str">
        <f t="shared" si="294"/>
        <v xml:space="preserve">non-profits(1), </v>
      </c>
      <c r="KB107" s="47" t="str">
        <f t="shared" si="294"/>
        <v xml:space="preserve">non-profits(25), </v>
      </c>
      <c r="KC107" s="47" t="str">
        <f t="shared" si="294"/>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07" s="47" t="str">
        <f t="shared" si="294"/>
        <v xml:space="preserve">disposable money(1),non-profits(1), </v>
      </c>
      <c r="KE107" s="47" t="str">
        <f t="shared" si="294"/>
        <v xml:space="preserve">disposable money(6.25),non-profits(6.25), </v>
      </c>
      <c r="KF107" s="47" t="str">
        <f t="shared" si="294"/>
        <v xml:space="preserve">disposable money(1), </v>
      </c>
      <c r="KG107" s="47" t="str">
        <f t="shared" si="294"/>
        <v xml:space="preserve"> </v>
      </c>
      <c r="KH107" s="47" t="str">
        <f t="shared" si="294"/>
        <v xml:space="preserve"> </v>
      </c>
      <c r="KI107" s="47" t="str">
        <f t="shared" si="294"/>
        <v xml:space="preserve"> </v>
      </c>
      <c r="KJ107" s="47" t="str">
        <f t="shared" si="294"/>
        <v xml:space="preserve"> </v>
      </c>
      <c r="KK107" s="47" t="str">
        <f t="shared" si="294"/>
        <v xml:space="preserve"> </v>
      </c>
      <c r="KL107" s="57" t="str">
        <f t="shared" si="294"/>
        <v xml:space="preserve"> </v>
      </c>
      <c r="KM107" s="47" t="str">
        <f t="shared" si="294"/>
        <v xml:space="preserve"> </v>
      </c>
      <c r="KN107" s="47" t="str">
        <f t="shared" si="294"/>
        <v xml:space="preserve"> </v>
      </c>
      <c r="KO107" s="47" t="str">
        <f t="shared" si="294"/>
        <v xml:space="preserve"> </v>
      </c>
      <c r="KP107" s="47" t="str">
        <f t="shared" si="294"/>
        <v xml:space="preserve"> </v>
      </c>
      <c r="KQ107" s="47" t="str">
        <f t="shared" si="294"/>
        <v xml:space="preserve"> </v>
      </c>
      <c r="KR107" s="57" t="str">
        <f t="shared" si="294"/>
        <v xml:space="preserve"> </v>
      </c>
      <c r="KS107" s="47" t="str">
        <f t="shared" si="294"/>
        <v xml:space="preserve"> </v>
      </c>
      <c r="KT107" s="47" t="str">
        <f t="shared" si="294"/>
        <v xml:space="preserve"> </v>
      </c>
      <c r="KU107" s="47" t="str">
        <f t="shared" si="294"/>
        <v xml:space="preserve"> </v>
      </c>
      <c r="KV107" s="47" t="str">
        <f t="shared" si="294"/>
        <v xml:space="preserve"> </v>
      </c>
      <c r="KW107" s="47" t="str">
        <f t="shared" si="294"/>
        <v xml:space="preserve"> </v>
      </c>
      <c r="KX107" s="57" t="str">
        <f t="shared" si="294"/>
        <v xml:space="preserve"> </v>
      </c>
      <c r="KY107" s="47" t="str">
        <f t="shared" si="294"/>
        <v xml:space="preserve"> </v>
      </c>
      <c r="KZ107" s="47" t="str">
        <f t="shared" si="294"/>
        <v xml:space="preserve"> </v>
      </c>
      <c r="LA107" s="47" t="str">
        <f t="shared" si="294"/>
        <v xml:space="preserve"> </v>
      </c>
      <c r="LB107" s="47" t="str">
        <f t="shared" si="294"/>
        <v xml:space="preserve"> </v>
      </c>
      <c r="LC107" s="47" t="str">
        <f t="shared" si="294"/>
        <v xml:space="preserve"> </v>
      </c>
      <c r="LD107" s="57" t="str">
        <f t="shared" si="294"/>
        <v xml:space="preserve"> </v>
      </c>
      <c r="LE107" s="47" t="str">
        <f t="shared" si="294"/>
        <v xml:space="preserve"> </v>
      </c>
      <c r="LF107" s="47" t="str">
        <f t="shared" si="294"/>
        <v xml:space="preserve"> </v>
      </c>
      <c r="LG107" s="47" t="str">
        <f t="shared" si="294"/>
        <v xml:space="preserve"> </v>
      </c>
      <c r="LH107" s="47" t="str">
        <f t="shared" ref="LH107:NM107" si="295">IF(LH5="",LH108,$C107&amp;"("&amp;LH5&amp;"),"&amp;LH108)</f>
        <v xml:space="preserve"> </v>
      </c>
      <c r="LI107" s="47" t="str">
        <f t="shared" si="295"/>
        <v xml:space="preserve"> </v>
      </c>
      <c r="LJ107" s="57" t="str">
        <f t="shared" si="295"/>
        <v xml:space="preserve"> </v>
      </c>
      <c r="LK107" s="47" t="str">
        <f t="shared" si="295"/>
        <v xml:space="preserve"> </v>
      </c>
      <c r="LL107" s="47" t="str">
        <f t="shared" si="295"/>
        <v xml:space="preserve"> </v>
      </c>
      <c r="LM107" s="47" t="str">
        <f t="shared" si="295"/>
        <v xml:space="preserve"> </v>
      </c>
      <c r="LN107" s="47" t="str">
        <f t="shared" si="295"/>
        <v xml:space="preserve"> </v>
      </c>
      <c r="LO107" s="47" t="str">
        <f t="shared" si="295"/>
        <v xml:space="preserve"> </v>
      </c>
      <c r="LP107" s="57" t="str">
        <f t="shared" si="295"/>
        <v xml:space="preserve"> </v>
      </c>
      <c r="LQ107" s="47" t="str">
        <f t="shared" si="295"/>
        <v xml:space="preserve"> </v>
      </c>
      <c r="LR107" s="47" t="str">
        <f t="shared" si="295"/>
        <v xml:space="preserve"> </v>
      </c>
      <c r="LS107" s="47" t="str">
        <f t="shared" si="295"/>
        <v xml:space="preserve"> </v>
      </c>
      <c r="LT107" s="47" t="str">
        <f t="shared" si="295"/>
        <v xml:space="preserve"> </v>
      </c>
      <c r="LU107" s="47" t="str">
        <f t="shared" si="295"/>
        <v xml:space="preserve"> </v>
      </c>
      <c r="LV107" s="57" t="str">
        <f t="shared" si="295"/>
        <v xml:space="preserve"> </v>
      </c>
      <c r="LW107" s="47" t="str">
        <f t="shared" si="295"/>
        <v xml:space="preserve"> </v>
      </c>
      <c r="LX107" s="47" t="str">
        <f t="shared" si="295"/>
        <v xml:space="preserve"> </v>
      </c>
      <c r="LY107" s="47" t="str">
        <f t="shared" si="295"/>
        <v xml:space="preserve"> </v>
      </c>
      <c r="LZ107" s="47" t="str">
        <f t="shared" si="295"/>
        <v xml:space="preserve"> </v>
      </c>
      <c r="MA107" s="47" t="str">
        <f t="shared" si="295"/>
        <v xml:space="preserve"> </v>
      </c>
      <c r="MB107" s="57" t="str">
        <f t="shared" si="295"/>
        <v xml:space="preserve"> </v>
      </c>
      <c r="MC107" s="47" t="str">
        <f t="shared" si="295"/>
        <v xml:space="preserve"> </v>
      </c>
      <c r="MD107" s="47" t="str">
        <f t="shared" si="295"/>
        <v xml:space="preserve"> </v>
      </c>
      <c r="ME107" s="47" t="str">
        <f t="shared" si="295"/>
        <v xml:space="preserve"> </v>
      </c>
      <c r="MF107" s="47" t="str">
        <f t="shared" si="295"/>
        <v xml:space="preserve"> </v>
      </c>
      <c r="MG107" s="47" t="str">
        <f t="shared" si="295"/>
        <v xml:space="preserve"> </v>
      </c>
      <c r="MH107" s="57" t="str">
        <f t="shared" si="295"/>
        <v xml:space="preserve"> </v>
      </c>
      <c r="MI107" s="47" t="str">
        <f t="shared" si="295"/>
        <v xml:space="preserve"> </v>
      </c>
      <c r="MJ107" s="47" t="str">
        <f t="shared" si="295"/>
        <v xml:space="preserve"> </v>
      </c>
      <c r="MK107" s="47" t="str">
        <f t="shared" si="295"/>
        <v xml:space="preserve"> </v>
      </c>
      <c r="ML107" s="47" t="str">
        <f t="shared" si="295"/>
        <v xml:space="preserve"> </v>
      </c>
      <c r="MM107" s="47" t="str">
        <f t="shared" si="295"/>
        <v xml:space="preserve"> </v>
      </c>
      <c r="MN107" s="57" t="str">
        <f t="shared" si="295"/>
        <v xml:space="preserve"> </v>
      </c>
      <c r="MO107" s="47" t="str">
        <f t="shared" si="295"/>
        <v xml:space="preserve"> </v>
      </c>
      <c r="MP107" s="47" t="str">
        <f t="shared" si="295"/>
        <v xml:space="preserve"> </v>
      </c>
      <c r="MQ107" s="47" t="str">
        <f t="shared" si="295"/>
        <v xml:space="preserve"> </v>
      </c>
      <c r="MR107" s="47" t="str">
        <f t="shared" si="295"/>
        <v xml:space="preserve"> </v>
      </c>
      <c r="MS107" s="47" t="str">
        <f t="shared" si="295"/>
        <v xml:space="preserve"> </v>
      </c>
      <c r="MT107" s="57" t="str">
        <f t="shared" si="295"/>
        <v xml:space="preserve"> </v>
      </c>
      <c r="MU107" s="47" t="str">
        <f t="shared" si="295"/>
        <v xml:space="preserve"> </v>
      </c>
      <c r="MV107" s="47" t="str">
        <f t="shared" si="295"/>
        <v xml:space="preserve"> </v>
      </c>
      <c r="MW107" s="47" t="str">
        <f t="shared" si="295"/>
        <v xml:space="preserve"> </v>
      </c>
      <c r="MX107" s="47" t="str">
        <f t="shared" si="295"/>
        <v xml:space="preserve"> </v>
      </c>
      <c r="MY107" s="47" t="str">
        <f t="shared" si="295"/>
        <v xml:space="preserve"> </v>
      </c>
      <c r="MZ107" s="57" t="str">
        <f t="shared" si="295"/>
        <v xml:space="preserve"> </v>
      </c>
      <c r="NA107" s="47" t="str">
        <f t="shared" si="295"/>
        <v xml:space="preserve"> </v>
      </c>
      <c r="NB107" s="47" t="str">
        <f t="shared" si="295"/>
        <v xml:space="preserve"> </v>
      </c>
      <c r="NC107" s="47" t="str">
        <f t="shared" si="295"/>
        <v xml:space="preserve"> </v>
      </c>
      <c r="ND107" s="47" t="str">
        <f t="shared" si="295"/>
        <v xml:space="preserve"> </v>
      </c>
      <c r="NE107" s="47" t="str">
        <f t="shared" si="295"/>
        <v xml:space="preserve"> </v>
      </c>
      <c r="NF107" s="57" t="str">
        <f t="shared" si="295"/>
        <v xml:space="preserve"> </v>
      </c>
      <c r="NG107" s="47" t="str">
        <f t="shared" si="295"/>
        <v xml:space="preserve"> </v>
      </c>
      <c r="NH107" s="47" t="str">
        <f t="shared" si="295"/>
        <v xml:space="preserve"> </v>
      </c>
      <c r="NI107" s="47" t="str">
        <f t="shared" si="295"/>
        <v xml:space="preserve"> </v>
      </c>
      <c r="NJ107" s="47" t="str">
        <f t="shared" si="295"/>
        <v xml:space="preserve"> </v>
      </c>
      <c r="NK107" s="47" t="str">
        <f t="shared" si="295"/>
        <v xml:space="preserve"> </v>
      </c>
      <c r="NL107" s="57" t="str">
        <f t="shared" si="295"/>
        <v xml:space="preserve"> </v>
      </c>
      <c r="NM107" s="47" t="str">
        <f t="shared" si="295"/>
        <v xml:space="preserve"> </v>
      </c>
    </row>
    <row r="108" spans="2:377" ht="15.75" customHeight="1">
      <c r="C108" s="7" t="str">
        <f t="shared" ref="C108:C171" si="296">C6</f>
        <v>disposable money</v>
      </c>
      <c r="D108" s="21" t="str">
        <f t="shared" si="169"/>
        <v xml:space="preserve">disposable money 1
software 1
scale 1
 </v>
      </c>
      <c r="E108" s="21" t="str">
        <f t="shared" ref="E108:E171" si="297">IF(E6="",E109,$C108&amp;"("&amp;E6&amp;","&amp;F6&amp;"), "&amp;E109)</f>
        <v xml:space="preserve">disposable money(-1,25), scale(1,100),  </v>
      </c>
      <c r="F108" s="21" t="str">
        <f t="shared" si="170"/>
        <v xml:space="preserve">disposable money 25
scale 100
 </v>
      </c>
      <c r="G108" s="21" t="str">
        <f t="shared" ref="G108:G171" si="298">IF(G6="",G109,$C108&amp;"("&amp;G6&amp;"), "&amp;G109)</f>
        <v xml:space="preserve">software(2), servers(2), wood(2), metal(2), plastic(2), electronics(2), fabric(2), enthusiasm(1), enthusiasm(2), fun-ness(1), community manager(1), PR(1), fame(1), network(2), ease of access(1), reputation(2), social media(1),  </v>
      </c>
      <c r="H108" s="21" t="str">
        <f t="shared" ref="H108:H171" si="299">IF(H6="",H109,$C108&amp;"("&amp;H6&amp;","&amp;I6&amp;"), "&amp;H109)</f>
        <v xml:space="preserve">scale(1,6.25),  </v>
      </c>
      <c r="I108" s="21" t="str">
        <f t="shared" ref="I108" si="300">IF(I6="",I109,$C108&amp;"("&amp;I6&amp;"),"&amp;I109)</f>
        <v xml:space="preserve">scale(6.25), </v>
      </c>
      <c r="J108" s="21" t="str">
        <f t="shared" si="172"/>
        <v xml:space="preserve">disposable money 1
scale 1
interaction 1
 </v>
      </c>
      <c r="K108" s="21" t="str">
        <f t="shared" si="173"/>
        <v xml:space="preserve">reputation(1,75),  </v>
      </c>
      <c r="L108" s="21" t="str">
        <f t="shared" si="174"/>
        <v xml:space="preserve">reputation 75
 </v>
      </c>
      <c r="M108" s="21" t="str">
        <f t="shared" si="175"/>
        <v xml:space="preserve">PR(1), portfolio(1), social innovation(1), non-profit biz(1),  </v>
      </c>
      <c r="N108" s="21" t="str">
        <f t="shared" si="176"/>
        <v xml:space="preserve">scale(1,6.25), enthusiasm(1,6.25), seriousness(1,25), non-profits(1,12.5), reputation(1,75), marketing(1,12.5),  </v>
      </c>
      <c r="O108" s="21" t="str">
        <f t="shared" si="177"/>
        <v xml:space="preserve">scale(6.25),enthusiasm(6.25),seriousness(25),non-profits(12.5),reputation(75),marketing(12.5), </v>
      </c>
      <c r="P108" s="21" t="str">
        <f t="shared" si="172"/>
        <v xml:space="preserve">disposable money 1
scale 1
biz project 1
 </v>
      </c>
      <c r="Q108" s="21" t="str">
        <f t="shared" si="178"/>
        <v xml:space="preserve"> </v>
      </c>
      <c r="R108" s="21" t="str">
        <f t="shared" si="174"/>
        <v xml:space="preserve"> </v>
      </c>
      <c r="S108" s="21" t="str">
        <f t="shared" si="179"/>
        <v xml:space="preserve">portfolio(1), biz enhancement(1), business(1), start-up(1),  </v>
      </c>
      <c r="T108" s="21" t="str">
        <f t="shared" si="180"/>
        <v xml:space="preserve">scale(1,6.25), enthusiasm(1,6.25), seriousness(1,25), local biz(1,6.25), investors(1,6.25), reputation(1,6.25),  </v>
      </c>
      <c r="U108" s="21" t="str">
        <f t="shared" si="177"/>
        <v xml:space="preserve">scale(6.25),enthusiasm(6.25),seriousness(25),local biz(6.25),investors(6.25),reputation(6.25), </v>
      </c>
      <c r="V108" s="21" t="str">
        <f t="shared" si="172"/>
        <v xml:space="preserve">disposable money 1
scale 1
 </v>
      </c>
      <c r="W108" s="21" t="str">
        <f t="shared" si="181"/>
        <v xml:space="preserve">local biz(1,),  </v>
      </c>
      <c r="X108" s="21" t="str">
        <f t="shared" si="174"/>
        <v xml:space="preserve"> </v>
      </c>
      <c r="Y108" s="21" t="str">
        <f t="shared" si="182"/>
        <v xml:space="preserve">enthusiasm(1), attention to details(1), PR(1), network(1), ease of access(1), reputation(1), portfolio(1), biz project(1), biz enhancement(1), job creation(1), business(1),  </v>
      </c>
      <c r="Z108" s="21" t="str">
        <f t="shared" si="183"/>
        <v xml:space="preserve">local biz(1,6.25),  </v>
      </c>
      <c r="AA108" s="21" t="str">
        <f t="shared" si="177"/>
        <v xml:space="preserve">local biz(6.25), </v>
      </c>
      <c r="AB108" s="21" t="str">
        <f t="shared" si="172"/>
        <v xml:space="preserve">disposable money 1
scale 1
 </v>
      </c>
      <c r="AC108" s="21" t="str">
        <f t="shared" si="184"/>
        <v xml:space="preserve">non-profits(1,100),  </v>
      </c>
      <c r="AD108" s="21" t="str">
        <f t="shared" si="174"/>
        <v xml:space="preserve">non-profits 100
 </v>
      </c>
      <c r="AE108" s="21" t="str">
        <f t="shared" si="185"/>
        <v xml:space="preserve">enthusiasm(1), attention to details(1), PR(1), network(1), ease of access(1), reputation(1), portfolio(1), social project(1), social innovation(1), non-profit biz(1),  </v>
      </c>
      <c r="AF108" s="21" t="str">
        <f t="shared" si="186"/>
        <v xml:space="preserve">seriousness(1,6.25), non-profits(1,6.25),  </v>
      </c>
      <c r="AG108" s="21" t="str">
        <f t="shared" si="177"/>
        <v xml:space="preserve">seriousness(6.25),non-profits(6.25), </v>
      </c>
      <c r="AH108" s="21" t="str">
        <f t="shared" si="172"/>
        <v xml:space="preserve">disposable money 1
scale 1
 </v>
      </c>
      <c r="AI108" s="21" t="str">
        <f t="shared" si="187"/>
        <v xml:space="preserve">govt(1,),  </v>
      </c>
      <c r="AJ108" s="21" t="str">
        <f t="shared" si="174"/>
        <v xml:space="preserve"> </v>
      </c>
      <c r="AK108" s="21" t="str">
        <f t="shared" si="188"/>
        <v xml:space="preserve">enthusiasm(1), attention to details(1), seriousness(1), fame(1), network(1), govt(1), ease of access(1), reputation(2), portfolio(1), social project(1), social innovation(1), non-profit biz(1),  </v>
      </c>
      <c r="AL108" s="21" t="str">
        <f t="shared" si="189"/>
        <v xml:space="preserve">govt(1,6.25),  </v>
      </c>
      <c r="AM108" s="21" t="str">
        <f t="shared" si="177"/>
        <v xml:space="preserve">govt(6.25), </v>
      </c>
      <c r="AN108" s="21" t="str">
        <f t="shared" si="172"/>
        <v xml:space="preserve">disposable money 1
scale 1
enthusiasm 1
gifted leader 1
scale 1
enthusiasm 1
 </v>
      </c>
      <c r="AO108" s="21" t="str">
        <f t="shared" si="190"/>
        <v xml:space="preserve">fame(1,), network(1,), investors(1,6.25),  </v>
      </c>
      <c r="AP108" s="21" t="str">
        <f t="shared" si="174"/>
        <v xml:space="preserve">investors 6.25
 </v>
      </c>
      <c r="AQ108" s="21" t="str">
        <f t="shared" si="191"/>
        <v xml:space="preserve">investors(1), ease of access(1), reputation(1), portfolio(1), start-up(1), start-up with mvp(1), start-up with customers(1),  </v>
      </c>
      <c r="AR108" s="21" t="str">
        <f t="shared" si="192"/>
        <v xml:space="preserve"> </v>
      </c>
      <c r="AS108" s="21" t="str">
        <f t="shared" si="177"/>
        <v xml:space="preserve"> </v>
      </c>
      <c r="AT108" s="21" t="str">
        <f t="shared" si="172"/>
        <v xml:space="preserve">disposable money 1
profit-loss 1
asset-debt 0
credit 1
scale 1
enthusiasm 1
scale 2
enthusiasm 1
seriousness 1
administrator 1
non-profits 2
reputation 1
portfolio 1
social project 1
 </v>
      </c>
      <c r="AU108" s="21" t="str">
        <f t="shared" si="193"/>
        <v xml:space="preserve">ambition(1,), attention to details(1,),  </v>
      </c>
      <c r="AV108" s="21" t="str">
        <f t="shared" si="174"/>
        <v xml:space="preserve"> </v>
      </c>
      <c r="AW108" s="21" t="str">
        <f t="shared" si="194"/>
        <v xml:space="preserve">field knowledge(1), enthusiasm(3), PR(2), administrator(1), project management(2),  </v>
      </c>
      <c r="AX108" s="21" t="str">
        <f t="shared" si="195"/>
        <v xml:space="preserve">organizational rules and manuals(1,12.5), project management(1,12.5),  </v>
      </c>
      <c r="AY108" s="21" t="str">
        <f t="shared" si="177"/>
        <v xml:space="preserve">organizational rules and manuals(12.5),project management(12.5), </v>
      </c>
      <c r="AZ108" s="21" t="str">
        <f t="shared" si="172"/>
        <v xml:space="preserve">profit-loss 0
asset-debt 0
scale 1
enthusiasm 1
scale 1
enthusiasm 1
non-profits 1
 </v>
      </c>
      <c r="BA108" s="21" t="str">
        <f t="shared" si="196"/>
        <v xml:space="preserve"> </v>
      </c>
      <c r="BB108" s="21" t="str">
        <f t="shared" si="174"/>
        <v xml:space="preserve"> </v>
      </c>
      <c r="BC108" s="21" t="str">
        <f t="shared" si="197"/>
        <v xml:space="preserve"> </v>
      </c>
      <c r="BD108" s="21" t="str">
        <f t="shared" si="198"/>
        <v xml:space="preserve"> </v>
      </c>
      <c r="BE108" s="21" t="str">
        <f t="shared" si="177"/>
        <v xml:space="preserve"> </v>
      </c>
      <c r="BF108" s="21" t="str">
        <f t="shared" si="172"/>
        <v xml:space="preserve">disposable money 1
profit-loss 1
asset-debt 0
scale 1
enthusiasm 1
scale 2
enthusiasm 1
seriousness 1
administrator 1
local biz 2
entrepreneurs 1
reputation 1
portfolio 1
biz project 1
 </v>
      </c>
      <c r="BG108" s="21" t="str">
        <f t="shared" si="199"/>
        <v xml:space="preserve">disposable money(1,), ambition(1,), attention to details(1,),  </v>
      </c>
      <c r="BH108" s="21" t="str">
        <f t="shared" si="174"/>
        <v xml:space="preserve"> </v>
      </c>
      <c r="BI108" s="21" t="str">
        <f t="shared" si="200"/>
        <v xml:space="preserve">field knowledge(1), enthusiasm(3), PR(2), administrator(1), project management(2),  </v>
      </c>
      <c r="BJ108" s="21" t="str">
        <f t="shared" si="201"/>
        <v xml:space="preserve">organizational rules and manuals(1,12.5), project management(1,12.5),  </v>
      </c>
      <c r="BK108" s="21" t="str">
        <f t="shared" si="177"/>
        <v xml:space="preserve">organizational rules and manuals(12.5),project management(12.5), </v>
      </c>
      <c r="BL108" s="21" t="str">
        <f t="shared" si="172"/>
        <v xml:space="preserve">profit-loss 1
asset-debt 0
scale 1
enthusiasm 1
scale 1
enthusiasm 1
local biz 1
reputation 1
portfolio 1
biz enhancement 1
 </v>
      </c>
      <c r="BM108" s="21" t="str">
        <f t="shared" si="202"/>
        <v xml:space="preserve"> </v>
      </c>
      <c r="BN108" s="21" t="str">
        <f t="shared" si="174"/>
        <v xml:space="preserve"> </v>
      </c>
      <c r="BO108" s="21" t="str">
        <f t="shared" si="203"/>
        <v xml:space="preserve"> </v>
      </c>
      <c r="BP108" s="21" t="str">
        <f t="shared" si="204"/>
        <v xml:space="preserve"> </v>
      </c>
      <c r="BQ108" s="21" t="str">
        <f t="shared" si="177"/>
        <v xml:space="preserve"> </v>
      </c>
      <c r="BR108" s="21" t="str">
        <f t="shared" si="172"/>
        <v xml:space="preserve"> </v>
      </c>
      <c r="BS108" s="21" t="str">
        <f t="shared" si="205"/>
        <v xml:space="preserve"> </v>
      </c>
      <c r="BT108" s="21" t="str">
        <f t="shared" si="174"/>
        <v xml:space="preserve"> </v>
      </c>
      <c r="BU108" s="21" t="str">
        <f t="shared" si="206"/>
        <v xml:space="preserve"> </v>
      </c>
      <c r="BV108" s="21" t="str">
        <f t="shared" si="207"/>
        <v xml:space="preserve"> </v>
      </c>
      <c r="BW108" s="21" t="str">
        <f t="shared" si="177"/>
        <v xml:space="preserve"> </v>
      </c>
      <c r="BX108" s="21" t="str">
        <f t="shared" si="208"/>
        <v xml:space="preserve">disposable money 1
scale 1
network 1
 </v>
      </c>
      <c r="BY108" s="21" t="str">
        <f t="shared" si="209"/>
        <v xml:space="preserve">efficiency(1,),  </v>
      </c>
      <c r="BZ108" s="21" t="str">
        <f t="shared" si="210"/>
        <v xml:space="preserve"> </v>
      </c>
      <c r="CA108" s="21" t="str">
        <f t="shared" si="211"/>
        <v xml:space="preserve">scale(2), enthusiasm(1), attention to details(1), administrator(1), negotiation(1),  </v>
      </c>
      <c r="CB108" s="21" t="str">
        <f t="shared" si="212"/>
        <v xml:space="preserve">user rules and manuals(1,50), organizational rules and manuals(1,50),  </v>
      </c>
      <c r="CC108" s="21" t="str">
        <f t="shared" si="213"/>
        <v xml:space="preserve">user rules and manuals(50),organizational rules and manuals(50), </v>
      </c>
      <c r="CD108" s="21" t="str">
        <f t="shared" si="208"/>
        <v xml:space="preserve">disposable money 1
software 1
servers 1
scale 1
scale 1
enthusiasm 1
network 1
 </v>
      </c>
      <c r="CE108" s="21" t="str">
        <f t="shared" si="214"/>
        <v xml:space="preserve">disposable money(-1,12.5), field knowledge(1,), non-profits(1,),  </v>
      </c>
      <c r="CF108" s="21" t="str">
        <f t="shared" si="210"/>
        <v xml:space="preserve">disposable money 12.5
 </v>
      </c>
      <c r="CG108" s="21" t="str">
        <f t="shared" si="215"/>
        <v xml:space="preserve">software(2), servers(2), wood(2), metal(2), plastic(2), electronics(2), fabric(2), fun-ness(1), seriousness(1), ease of access(1), portfolio(1), user rules and manuals(1), negotiation(1), social project(1), biz project(1), for basic literacy(1), for the elites(1), for entrepreneurs(1),  </v>
      </c>
      <c r="CH108" s="21" t="str">
        <f t="shared" si="216"/>
        <v xml:space="preserve">scale(1,6.25), technologists(1,6.25), non-profits(1,6.25),  </v>
      </c>
      <c r="CI108" s="21" t="str">
        <f t="shared" si="213"/>
        <v xml:space="preserve">scale(6.25),technologists(6.25),non-profits(6.25), </v>
      </c>
      <c r="CJ108" s="21" t="str">
        <f t="shared" si="208"/>
        <v xml:space="preserve">disposable money 1
software 1
servers 1
scale 1
scale 1
 </v>
      </c>
      <c r="CK108" s="21" t="str">
        <f t="shared" si="217"/>
        <v xml:space="preserve">disposable money(-1,12.5), suppliers(1,),  </v>
      </c>
      <c r="CL108" s="21" t="str">
        <f t="shared" si="210"/>
        <v xml:space="preserve">disposable money 12.5
 </v>
      </c>
      <c r="CM108" s="21" t="str">
        <f t="shared" si="218"/>
        <v xml:space="preserve">reputation(1), negotiation(1),  </v>
      </c>
      <c r="CN108" s="21" t="str">
        <f t="shared" si="219"/>
        <v xml:space="preserve">learning capacities(1,), engineering knowledge(1,), enthusiasm(2,), efficiency(1,6.25),  </v>
      </c>
      <c r="CO108" s="21" t="str">
        <f t="shared" si="213"/>
        <v xml:space="preserve">efficiency(6.25), </v>
      </c>
      <c r="CP108" s="21" t="str">
        <f t="shared" si="208"/>
        <v xml:space="preserve">disposable money 1
software 1
servers 1
scale 1
scale 1
 </v>
      </c>
      <c r="CQ108" s="21" t="str">
        <f t="shared" si="220"/>
        <v xml:space="preserve">disposable money(-1,12.5), technologists(1,),  </v>
      </c>
      <c r="CR108" s="21" t="str">
        <f t="shared" si="210"/>
        <v xml:space="preserve">disposable money 12.5
 </v>
      </c>
      <c r="CS108" s="21" t="str">
        <f t="shared" si="221"/>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08" s="21" t="str">
        <f t="shared" si="222"/>
        <v xml:space="preserve">engineering knowledge(1,6.25), efficiency(1,6.25),  </v>
      </c>
      <c r="CU108" s="21" t="str">
        <f t="shared" si="213"/>
        <v xml:space="preserve">engineering knowledge(6.25),efficiency(6.25), </v>
      </c>
      <c r="CV108" s="21" t="str">
        <f t="shared" si="208"/>
        <v xml:space="preserve">disposable money 1
scale 1
scale 1
 </v>
      </c>
      <c r="CW108" s="21" t="str">
        <f t="shared" si="223"/>
        <v xml:space="preserve">disposable money(-1,12.5), local biz(1,),  </v>
      </c>
      <c r="CX108" s="21" t="str">
        <f t="shared" si="210"/>
        <v xml:space="preserve">disposable money 12.5
 </v>
      </c>
      <c r="CY108" s="21" t="str">
        <f t="shared" si="224"/>
        <v xml:space="preserve">software(2), servers(2), wood(2), metal(2), plastic(2), electronics(2), fabric(2), ease of access(1), reputation(1), portfolio(1), negotiation(1),  </v>
      </c>
      <c r="CZ108" s="21" t="str">
        <f t="shared" si="225"/>
        <v xml:space="preserve">non-profits(1,6.25),  </v>
      </c>
      <c r="DA108" s="21" t="str">
        <f t="shared" si="213"/>
        <v xml:space="preserve">non-profits(6.25), </v>
      </c>
      <c r="DB108" s="21" t="str">
        <f t="shared" si="208"/>
        <v xml:space="preserve">disposable money 1
scale 1
 </v>
      </c>
      <c r="DC108" s="21" t="str">
        <f t="shared" si="226"/>
        <v xml:space="preserve">disposable money(-1,12.5),  </v>
      </c>
      <c r="DD108" s="21" t="str">
        <f t="shared" si="210"/>
        <v xml:space="preserve">disposable money 12.5
 </v>
      </c>
      <c r="DE108" s="21" t="str">
        <f t="shared" si="227"/>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08" s="21" t="str">
        <f t="shared" si="228"/>
        <v xml:space="preserve">profit-loss(1,6.25), network(1,), local biz(1,6.25), biz group(1,6.25), investors(1,6.25), entrepreneurs(1,6.25),  </v>
      </c>
      <c r="DG108" s="21" t="str">
        <f t="shared" si="213"/>
        <v xml:space="preserve">profit-loss(6.25),local biz(6.25),biz group(6.25),investors(6.25),entrepreneurs(6.25), </v>
      </c>
      <c r="DH108" s="21" t="str">
        <f t="shared" si="208"/>
        <v xml:space="preserve">disposable money 1
software 1
scale 1
enthusiasm 1
scale 1
enthusiasm 1
network 1
non-profits 1
reputation 1
social project 1
 </v>
      </c>
      <c r="DI108" s="21" t="str">
        <f t="shared" si="229"/>
        <v xml:space="preserve">disposable money(-1,25),  </v>
      </c>
      <c r="DJ108" s="21" t="str">
        <f t="shared" si="210"/>
        <v xml:space="preserve">disposable money 25
 </v>
      </c>
      <c r="DK108" s="21" t="str">
        <f t="shared" si="230"/>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08" s="21" t="str">
        <f t="shared" si="231"/>
        <v xml:space="preserve">field knowledge(1,12.5), network among members(1,12.5), reputation(1,6.25),  </v>
      </c>
      <c r="DM108" s="21" t="str">
        <f t="shared" si="213"/>
        <v xml:space="preserve">field knowledge(12.5),network among members(12.5),reputation(6.25), </v>
      </c>
      <c r="DN108" s="21" t="str">
        <f t="shared" si="208"/>
        <v xml:space="preserve">disposable money 1
scale 1
enthusiasm 1
scale 1
enthusiasm 1
network 1
local biz 1
reputation 1
biz project 1
 </v>
      </c>
      <c r="DO108" s="21" t="str">
        <f t="shared" si="232"/>
        <v xml:space="preserve">disposable money(-1,25),  </v>
      </c>
      <c r="DP108" s="21" t="str">
        <f t="shared" si="210"/>
        <v xml:space="preserve">disposable money 25
 </v>
      </c>
      <c r="DQ108" s="21" t="str">
        <f t="shared" si="233"/>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08" s="21" t="str">
        <f t="shared" si="234"/>
        <v xml:space="preserve">disposable money(1,6.25), field knowledge(1,12.5), network among members(1,12.5), reputation(1,6.25),  </v>
      </c>
      <c r="DS108" s="21" t="str">
        <f t="shared" si="213"/>
        <v xml:space="preserve">disposable money(6.25),field knowledge(12.5),network among members(12.5),reputation(6.25), </v>
      </c>
      <c r="DT108" s="21" t="str">
        <f t="shared" si="208"/>
        <v xml:space="preserve">disposable money 1
scale 1
enthusiasm 1
scale 1
enthusiasm 1
network 1
reputation 1
 </v>
      </c>
      <c r="DU108" s="21" t="str">
        <f t="shared" si="235"/>
        <v xml:space="preserve">disposable money(-1,50),  </v>
      </c>
      <c r="DV108" s="21" t="str">
        <f t="shared" si="210"/>
        <v xml:space="preserve">disposable money 50
 </v>
      </c>
      <c r="DW108"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08" s="21" t="str">
        <f t="shared" si="237"/>
        <v xml:space="preserve">disposable money(1,6.25), enthusiasm(1,6.25), field knowledge(1,6.25), engineering knowledge(1,6.25), ambition(1,6.25), reputation(1,6.25), for basic literacy(1,6.25),  </v>
      </c>
      <c r="DY108" s="21" t="str">
        <f t="shared" si="213"/>
        <v xml:space="preserve">disposable money(6.25),enthusiasm(6.25),field knowledge(6.25),engineering knowledge(6.25),ambition(6.25),reputation(6.25),for basic literacy(6.25), </v>
      </c>
      <c r="DZ108" s="21" t="str">
        <f t="shared" si="208"/>
        <v xml:space="preserve">disposable money 1
scale 1
enthusiasm 1
scale 1
enthusiasm 1
network 1
reputation 1
 </v>
      </c>
      <c r="EA108" s="21" t="str">
        <f t="shared" si="238"/>
        <v xml:space="preserve">disposable money(-1,50),  </v>
      </c>
      <c r="EB108" s="21" t="str">
        <f t="shared" si="210"/>
        <v xml:space="preserve">disposable money 50
 </v>
      </c>
      <c r="EC108"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08" s="21" t="str">
        <f t="shared" si="240"/>
        <v xml:space="preserve">enthusiasm(1,6.25), engineering knowledge(1,6.25), ambition(1,6.25), reputation(1,6.25), for basic literacy(1,6.25),  </v>
      </c>
      <c r="EE108" s="21" t="str">
        <f t="shared" si="213"/>
        <v xml:space="preserve">enthusiasm(6.25),engineering knowledge(6.25),ambition(6.25),reputation(6.25),for basic literacy(6.25), </v>
      </c>
      <c r="EF108" s="21" t="str">
        <f t="shared" si="208"/>
        <v xml:space="preserve">disposable money 1
scale 2
enthusiasm 2
technologists 1
reputation 1
 </v>
      </c>
      <c r="EG108" s="21" t="str">
        <f t="shared" si="241"/>
        <v xml:space="preserve">disposable money(-1,75), web(1,50), mobile apps(1,50), interaction(1,50),  </v>
      </c>
      <c r="EH108" s="21" t="str">
        <f t="shared" si="210"/>
        <v xml:space="preserve">disposable money 75
web 50
mobile apps 50
interaction 50
 </v>
      </c>
      <c r="EI108"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08" s="21" t="str">
        <f t="shared" si="243"/>
        <v xml:space="preserve">engineering knowledge(1,6.25), technologists(1,12.5), infrastructrue(1,12.5), database(1,12.5), mobile comm(1,12.5), for entrepreneurs(1,6.25),  </v>
      </c>
      <c r="EK108" s="21" t="str">
        <f t="shared" si="213"/>
        <v xml:space="preserve">engineering knowledge(6.25),technologists(12.5),infrastructrue(12.5),database(12.5),mobile comm(12.5),for entrepreneurs(6.25), </v>
      </c>
      <c r="EL108" s="21" t="str">
        <f t="shared" si="244"/>
        <v xml:space="preserve">disposable money 1
scale 2
enthusiasm 2
technologists 1
reputation 1
 </v>
      </c>
      <c r="EM108" s="21" t="str">
        <f t="shared" si="245"/>
        <v xml:space="preserve">disposable money(-1,75), sensors(1,50),  </v>
      </c>
      <c r="EN108" s="21" t="str">
        <f t="shared" si="246"/>
        <v xml:space="preserve">disposable money 75
sensors 50
 </v>
      </c>
      <c r="EO108"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08" s="21" t="str">
        <f t="shared" si="248"/>
        <v xml:space="preserve">engineering knowledge(1,6.25), technologists(1,12.5), infrastructrue(1,12.5), database(1,12.5), mobile comm(1,12.5), electronics(1,6.25), for entrepreneurs(1,6.25),  </v>
      </c>
      <c r="EQ108" s="21" t="str">
        <f t="shared" si="249"/>
        <v xml:space="preserve">engineering knowledge(6.25),technologists(12.5),infrastructrue(12.5),database(12.5),mobile comm(12.5),electronics(6.25),for entrepreneurs(6.25), </v>
      </c>
      <c r="ER108" s="21" t="str">
        <f t="shared" si="244"/>
        <v xml:space="preserve">disposable money 1
software 1
servers 1
scale 2
enthusiasm 2
technologists 1
 </v>
      </c>
      <c r="ES108" s="21" t="str">
        <f t="shared" si="250"/>
        <v xml:space="preserve">disposable money(-1,75), AI&amp; data analysis(1,50),  </v>
      </c>
      <c r="ET108" s="21" t="str">
        <f t="shared" si="246"/>
        <v xml:space="preserve">disposable money 75
AI&amp; data analysis 50
 </v>
      </c>
      <c r="EU108"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08" s="21" t="str">
        <f t="shared" si="252"/>
        <v xml:space="preserve">engineering knowledge(1,6.25), technologists(1,12.5), database(1,12.5), sensors(1,12.5), mobile comm(1,12.5), for entrepreneurs(1,6.25),  </v>
      </c>
      <c r="EW108" s="21" t="str">
        <f t="shared" si="249"/>
        <v xml:space="preserve">engineering knowledge(6.25),technologists(12.5),database(12.5),sensors(12.5),mobile comm(12.5),for entrepreneurs(6.25), </v>
      </c>
      <c r="EX108" s="21" t="str">
        <f t="shared" si="244"/>
        <v xml:space="preserve">disposable money 1
software 1
servers 1
scale 2
enthusiasm 2
technologists 1
 </v>
      </c>
      <c r="EY108" s="21" t="str">
        <f t="shared" si="253"/>
        <v xml:space="preserve">disposable money(-1,75), law(1,50), security(1,50), interaction(1,25),  </v>
      </c>
      <c r="EZ108" s="21" t="str">
        <f t="shared" si="246"/>
        <v xml:space="preserve">disposable money 75
law 50
security 50
interaction 25
 </v>
      </c>
      <c r="FA108"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08" s="21" t="str">
        <f t="shared" si="255"/>
        <v xml:space="preserve">field knowledge(1,6.25), engineering knowledge(1,6.25), technologists(1,12.5), law(1,6.25), database(1,12.5), mobile apps(1,12.5), security(1,12.5), mobile comm(1,12.5), for entrepreneurs(1,6.25),  </v>
      </c>
      <c r="FC108" s="21" t="str">
        <f t="shared" si="249"/>
        <v xml:space="preserve">field knowledge(6.25),engineering knowledge(6.25),technologists(12.5),law(6.25),database(12.5),mobile apps(12.5),security(12.5),mobile comm(12.5),for entrepreneurs(6.25), </v>
      </c>
      <c r="FD108" s="21" t="str">
        <f t="shared" si="244"/>
        <v xml:space="preserve">disposable money 1
software 1
servers 1
scale 2
enthusiasm 2
technologists 1
 </v>
      </c>
      <c r="FE108" s="21" t="str">
        <f t="shared" si="256"/>
        <v xml:space="preserve">disposable money(-1,75), law(1,50), sensors(1,50), security(1,50),  </v>
      </c>
      <c r="FF108" s="21" t="str">
        <f t="shared" si="246"/>
        <v xml:space="preserve">disposable money 75
law 50
sensors 50
security 50
 </v>
      </c>
      <c r="FG108"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08" s="21" t="str">
        <f t="shared" si="258"/>
        <v xml:space="preserve">field knowledge(1,6.25), engineering knowledge(1,6.25), technologists(1,12.5), law(1,6.25), database(1,6.25), mobile apps(1,6.25), AI&amp; data analysis(1,6.25), mobile comm(1,6.25), for entrepreneurs(1,6.25),  </v>
      </c>
      <c r="FI108" s="21" t="str">
        <f t="shared" si="249"/>
        <v xml:space="preserve">field knowledge(6.25),engineering knowledge(6.25),technologists(12.5),law(6.25),database(6.25),mobile apps(6.25),AI&amp; data analysis(6.25),mobile comm(6.25),for entrepreneurs(6.25), </v>
      </c>
      <c r="FJ108" s="21" t="str">
        <f t="shared" si="244"/>
        <v xml:space="preserve">disposable money 1
software 1
servers 1
scale 2
enthusiasm 2
technologists 1
 </v>
      </c>
      <c r="FK108" s="21" t="str">
        <f t="shared" si="259"/>
        <v xml:space="preserve">disposable money(-1,100), wood processing(1,25), metal processing(1,25), plastic processing(1,25), fabric(1,25), safety(1,25), interaction(1,25),  </v>
      </c>
      <c r="FL108" s="21" t="str">
        <f t="shared" si="246"/>
        <v xml:space="preserve">disposable money 100
project management 2
wood processing 25
metal processing 25
plastic processing 25
fabric 25
safety 25
interaction 25
 </v>
      </c>
      <c r="FM108"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08" s="21" t="str">
        <f t="shared" si="261"/>
        <v xml:space="preserve">field knowledge(1,6.25), engineering knowledge(1,6.25), technologists(1,12.5), for entrepreneurs(1,6.25),  </v>
      </c>
      <c r="FO108" s="21" t="str">
        <f t="shared" si="249"/>
        <v xml:space="preserve">field knowledge(6.25),engineering knowledge(6.25),technologists(12.5),for entrepreneurs(6.25), </v>
      </c>
      <c r="FP108" s="21" t="str">
        <f t="shared" si="244"/>
        <v xml:space="preserve">disposable money 1
software 1
servers 1
scale 2
enthusiasm 2
technologists 1
 </v>
      </c>
      <c r="FQ108" s="21" t="str">
        <f t="shared" si="262"/>
        <v xml:space="preserve">disposable money(-1,75), web(1,25), mobile apps(1,50), functions(1,25), interaction(1,25),  </v>
      </c>
      <c r="FR108" s="21" t="str">
        <f t="shared" si="246"/>
        <v xml:space="preserve">disposable money 75
web 25
mobile apps 50
functions 25
interaction 25
 </v>
      </c>
      <c r="FS108"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08" s="21" t="str">
        <f t="shared" si="264"/>
        <v xml:space="preserve">field knowledge(1,6.25), engineering knowledge(1,6.25), technologists(1,12.5), for entrepreneurs(1,6.25),  </v>
      </c>
      <c r="FU108" s="21" t="str">
        <f t="shared" si="249"/>
        <v xml:space="preserve">field knowledge(6.25),engineering knowledge(6.25),technologists(12.5),for entrepreneurs(6.25), </v>
      </c>
      <c r="FV108" s="21" t="str">
        <f t="shared" si="244"/>
        <v xml:space="preserve">disposable money 1
software 1
servers 1
scale 2
enthusiasm 2
technologists 1
 </v>
      </c>
      <c r="FW108" s="21" t="str">
        <f t="shared" si="265"/>
        <v xml:space="preserve">disposable money(-1,100), mobile apps(1,50), sensors(1,50), wood processing(1,25), plastic processing(1,25), electronics(1,25), functions(1,25), interaction(1,25),  </v>
      </c>
      <c r="FX108" s="21" t="str">
        <f t="shared" si="246"/>
        <v xml:space="preserve">disposable money 100
mobile apps 50
sensors 50
wood processing 25
plastic processing 25
electronics 25
functions 25
interaction 25
 </v>
      </c>
      <c r="FY108"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08" s="21" t="str">
        <f t="shared" si="267"/>
        <v xml:space="preserve">field knowledge(1,6.25), engineering knowledge(1,6.25), technologists(1,12.5), web(1,6.25), database(1,6.25), AI&amp; data analysis(1,6.25), mobile comm(1,6.25), for entrepreneurs(1,6.25),  </v>
      </c>
      <c r="GA108" s="21" t="str">
        <f t="shared" si="249"/>
        <v xml:space="preserve">field knowledge(6.25),engineering knowledge(6.25),technologists(12.5),web(6.25),database(6.25),AI&amp; data analysis(6.25),mobile comm(6.25),for entrepreneurs(6.25), </v>
      </c>
      <c r="GB108" s="21" t="str">
        <f t="shared" si="244"/>
        <v xml:space="preserve">disposable money 1
software 1
servers 1
scale 2
enthusiasm 2
technologists 1
 </v>
      </c>
      <c r="GC108" s="21" t="str">
        <f t="shared" si="268"/>
        <v xml:space="preserve">disposable money(-1,75), sensors(1,25), mobile comm(1,25), electronics(1,50), functions(1,25), safety(1,25),  </v>
      </c>
      <c r="GD108" s="21" t="str">
        <f t="shared" si="246"/>
        <v xml:space="preserve">disposable money 75
sensors 25
mobile comm 25
electronics 50
functions 25
safety 25
 </v>
      </c>
      <c r="GE108"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08" s="21" t="str">
        <f t="shared" si="270"/>
        <v xml:space="preserve">field knowledge(1,6.25), engineering knowledge(1,6.25), technologists(1,12.5), database(1,6.25), mobile apps(1,6.25), AI&amp; data analysis(1,6.25), plastic processing(1,6.25), interaction(1,6.25), for entrepreneurs(1,6.25),  </v>
      </c>
      <c r="GG108" s="21" t="str">
        <f t="shared" si="249"/>
        <v xml:space="preserve">field knowledge(6.25),engineering knowledge(6.25),technologists(12.5),database(6.25),mobile apps(6.25),AI&amp; data analysis(6.25),plastic processing(6.25),interaction(6.25),for entrepreneurs(6.25), </v>
      </c>
      <c r="GH108" s="21" t="str">
        <f t="shared" si="244"/>
        <v xml:space="preserve">disposable money 1
software 1
servers 1
scale 2
enthusiasm 2
technologists 1
 </v>
      </c>
      <c r="GI108" s="21" t="str">
        <f t="shared" si="271"/>
        <v xml:space="preserve">disposable money(-1,75), web(1,25), mobile apps(1,50), functions(1,25), interaction(1,25),  </v>
      </c>
      <c r="GJ108" s="21" t="str">
        <f t="shared" si="246"/>
        <v xml:space="preserve">disposable money 75
web 25
mobile apps 50
functions 25
interaction 25
 </v>
      </c>
      <c r="GK108"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08" s="21" t="str">
        <f t="shared" si="273"/>
        <v xml:space="preserve">field knowledge(1,6.25), engineering knowledge(1,6.25), technologists(1,12.5), for entrepreneurs(1,6.25),  </v>
      </c>
      <c r="GM108" s="21" t="str">
        <f t="shared" si="249"/>
        <v xml:space="preserve">field knowledge(6.25),engineering knowledge(6.25),technologists(12.5),for entrepreneurs(6.25), </v>
      </c>
      <c r="GN108" s="21" t="str">
        <f t="shared" si="244"/>
        <v xml:space="preserve">disposable money 1
software 1
servers 1
scale 2
enthusiasm 2
technologists 1
 </v>
      </c>
      <c r="GO108" s="21" t="str">
        <f t="shared" si="274"/>
        <v xml:space="preserve">disposable money(-1,75), web(1,25), mobile apps(1,25), VR&amp;AR(1,25), aesthetics(1,25), functions(1,25), interaction(1,50),  </v>
      </c>
      <c r="GP108" s="21" t="str">
        <f t="shared" si="246"/>
        <v xml:space="preserve">disposable money 75
web 25
mobile apps 25
VR&amp;AR 25
aesthetics 25
functions 25
interaction 50
 </v>
      </c>
      <c r="GQ108"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08" s="21" t="str">
        <f t="shared" si="276"/>
        <v xml:space="preserve">field knowledge(1,6.25), technologists(1,12.5), for entrepreneurs(1,6.25),  </v>
      </c>
      <c r="GS108" s="21" t="str">
        <f t="shared" si="249"/>
        <v xml:space="preserve">field knowledge(6.25),technologists(12.5),for entrepreneurs(6.25), </v>
      </c>
      <c r="GT108" s="21" t="str">
        <f t="shared" si="244"/>
        <v xml:space="preserve">disposable money 2
software 1
servers 2
scale 3
scale 2
ease of access 1
reputation 2
web 1
mobile apps 1
mobile comm 1
 </v>
      </c>
      <c r="GU108" s="21" t="str">
        <f t="shared" si="277"/>
        <v xml:space="preserve">disposable money(-2,100), software(1,),  </v>
      </c>
      <c r="GV108" s="21" t="str">
        <f t="shared" si="246"/>
        <v xml:space="preserve">disposable money 100
 </v>
      </c>
      <c r="GW108"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08" s="21" t="str">
        <f t="shared" si="279"/>
        <v xml:space="preserve">disposable money(1,6.25), 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08" s="21" t="str">
        <f t="shared" si="249"/>
        <v xml:space="preserve">disposable money(6.25),scale(6.25),enthusiasm(12.5),learning capacities(6.25),field knowledge(6.25),engineering knowledge(6.25),network among members(6.25),gifted leader(6.25),gifted programmer(6.25),enthusiasm(6.25),media(6.25),entrepreneurs(6.25),technologists(6.25),project management(6.25),social media(6.25),web(6.25),mobile apps(6.25), </v>
      </c>
      <c r="GZ108" s="21" t="str">
        <f t="shared" si="280"/>
        <v xml:space="preserve">disposable money 1
software 1
plastic 1
electronics 1
fabric 1
scale 2
enthusiasm 2
scale 2
enthusiasm 2
network 1
govt 1
non-profits 1
reputation 2
portfolio 1
 </v>
      </c>
      <c r="HA108" s="21" t="str">
        <f t="shared" si="281"/>
        <v xml:space="preserve">disposable money(-1,100),  </v>
      </c>
      <c r="HB108" s="21" t="str">
        <f t="shared" si="282"/>
        <v xml:space="preserve">disposable money 100
 </v>
      </c>
      <c r="HC108"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08" s="21" t="str">
        <f t="shared" si="284"/>
        <v xml:space="preserve">scale(1,6.25), enthusiasm(1,6.25), learning capacities(1,6.25), field knowledge(1,6.25), enthusiasm(1,6.25), media(1,6.25), technologists(1,6.25), non-profits(1,6.25), reputation(1,6.25), start-up with customers(1,6.25), for basic literacy(1,6.25),  </v>
      </c>
      <c r="HE108" s="21" t="str">
        <f t="shared" si="285"/>
        <v xml:space="preserve">scale(6.25),enthusiasm(6.25),learning capacities(6.25),field knowledge(6.25),enthusiasm(6.25),media(6.25),technologists(6.25),non-profits(6.25),reputation(6.25),start-up with customers(6.25),for basic literacy(6.25), </v>
      </c>
      <c r="HF108" s="21" t="str">
        <f t="shared" si="280"/>
        <v xml:space="preserve">disposable money 1
 </v>
      </c>
      <c r="HG108" s="21" t="str">
        <f t="shared" si="286"/>
        <v xml:space="preserve">disposable money(-1,100), scale(2,), enthusiasm(2,),  </v>
      </c>
      <c r="HH108" s="21" t="str">
        <f t="shared" si="282"/>
        <v xml:space="preserve">disposable money 100
 </v>
      </c>
      <c r="HI108"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08" s="21" t="str">
        <f t="shared" si="288"/>
        <v xml:space="preserve">scale(1,6.25), enthusiasm(1,6.25), learning capacities(1,6.25), network among members(1,6.25), enthusiasm(1,6.25), fun-ness(1,6.25), seriousness(1,6.25), govt(1,6.25), media(1,6.25), non-profits(1,6.25), start-up with customers(1,6.25),  </v>
      </c>
      <c r="HK108" s="21" t="str">
        <f t="shared" si="285"/>
        <v xml:space="preserve">scale(6.25),enthusiasm(6.25),learning capacities(6.25),network among members(6.25),enthusiasm(6.25),fun-ness(6.25),seriousness(6.25),govt(6.25),media(6.25),non-profits(6.25),start-up with customers(6.25), </v>
      </c>
      <c r="HL108" s="21" t="str">
        <f t="shared" si="280"/>
        <v xml:space="preserve">disposable money 2
scale 2
scale 2
community manager 1
PR 1
administrator 1
local biz 1
entrepreneurs 1
non-profits 1
reputation 2
portfolio 2
 </v>
      </c>
      <c r="HM108" s="21" t="str">
        <f t="shared" si="289"/>
        <v xml:space="preserve">disposable money(-1,100), scale(1,25), enthusiasm(1,25), network among members(1,25), scale(1,25), enthusiasm(1,25), ambition(1,25), fun-ness(1,25), seriousness(1,25),  </v>
      </c>
      <c r="HN108" s="21" t="str">
        <f t="shared" si="282"/>
        <v xml:space="preserve">disposable money 100
scale 25
enthusiasm 25
network among members 25
scale 25
enthusiasm 25
ambition 25
fun-ness 25
seriousness 25
 </v>
      </c>
      <c r="HO108"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08" s="21" t="str">
        <f t="shared" si="291"/>
        <v xml:space="preserve">disposable money(1,6.25), scale(1,6.25), enthusiasm(1,6.25), enthusiasm(1,6.25), fun-ness(1,6.25), enthusiasm(1,6.25), level of understanding(1,6.25), local biz(1,6.25), biz group(1,6.25), govt(1,6.25), investors(1,6.25), media(1,6.25), entrepreneurs(1,6.25), technologists(1,6.25), suppliers(1,6.25), non-profits(1,6.25), reputation(1,6.25),  </v>
      </c>
      <c r="HQ108" s="47" t="str">
        <f t="shared" si="285"/>
        <v xml:space="preserve">disposable money(6.25),scale(6.25),enthusiasm(6.25),enthusiasm(6.25),fun-ness(6.25),enthusiasm(6.25),level of understanding(6.25),local biz(6.25),biz group(6.25),govt(6.25),investors(6.25),media(6.25),entrepreneurs(6.25),technologists(6.25),suppliers(6.25),non-profits(6.25),reputation(6.25), </v>
      </c>
      <c r="HR108" s="47" t="str">
        <f t="shared" ref="HR108:HW108" si="301">IF(HR6="",HR109,$C108&amp;"("&amp;HR6&amp;"),"&amp;HR109)</f>
        <v xml:space="preserve">disposable money(2),software(1),servers(1),wood(1),metal(1),plastic(1),electronics(1),scale(2),enthusiasm(2),engineering knowledge(2),scale(2),enthusiasm(2),reputation(2),portfolio(2),mobile apps(1),sensors(1),wood processing(1),aesthetics(1), </v>
      </c>
      <c r="HS108" s="47" t="str">
        <f t="shared" si="301"/>
        <v xml:space="preserve">disposable money(-1), </v>
      </c>
      <c r="HT108" s="47" t="str">
        <f t="shared" si="301"/>
        <v xml:space="preserve">disposable money(100), </v>
      </c>
      <c r="HU108" s="47" t="str">
        <f t="shared" si="30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08" s="47" t="str">
        <f t="shared" si="301"/>
        <v xml:space="preserve">gifted programmer(1),local biz(1),biz group(1),govt(1),investors(1),media(1),entrepreneurs(1),technologists(1),suppliers(1),non-profits(1),reputation(1), </v>
      </c>
      <c r="HW108" s="47" t="str">
        <f t="shared" si="301"/>
        <v xml:space="preserve">gifted programmer(6.25),local biz(6.25),biz group(6.25),govt(6.25),investors(6.25),media(6.25),entrepreneurs(6.25),technologists(12.5),suppliers(6.25),non-profits(6.25),reputation(6.25), </v>
      </c>
      <c r="HX108" s="47" t="str">
        <f t="shared" ref="HX108:IU108" si="302">IF(HX6="",HX109,$C108&amp;"("&amp;HX6&amp;"),"&amp;HX109)</f>
        <v xml:space="preserve">disposable money(2),software(2),servers(2),wood(2),plastic(2),electronics(2),fabric(1),scale(2),enthusiasm(2),field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08" s="47" t="str">
        <f t="shared" si="302"/>
        <v xml:space="preserve">disposable money(-1),biz enhancement(1), </v>
      </c>
      <c r="HZ108" s="47" t="str">
        <f t="shared" si="302"/>
        <v xml:space="preserve">disposable money(100),biz enhancement(100), </v>
      </c>
      <c r="IA108" s="47" t="str">
        <f t="shared" si="302"/>
        <v xml:space="preserve">community manager(1),PR(1),finance(1),administrator(1),enthusiasm(2),network(2),ambition(2),knowledge(2),spaciousness(2),ease of access(3),efficiency(2),portfolio(4),finance(2),business model(2),marketing(3),team building(2),project management(2),social media(3),negotiation(3), </v>
      </c>
      <c r="IB108" s="47" t="str">
        <f t="shared" si="302"/>
        <v xml:space="preserve">disposable money(1),scale(1),enthusiasm(1),field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08" s="47" t="str">
        <f t="shared" si="302"/>
        <v xml:space="preserve">disposable money(6.25),scale(6.25),enthusiasm(6.25),field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08" s="47" t="str">
        <f t="shared" si="302"/>
        <v xml:space="preserve">disposable money(1),software(2),servers(2),scale(2),enthusiasm(2),engineering knowledge(1),scale(1),technologists(2), </v>
      </c>
      <c r="IE108" s="47" t="str">
        <f t="shared" si="302"/>
        <v xml:space="preserve">disposable money(-1),engineering knowledge(1),web(1),mobile apps(1),security(1),AI&amp; data analysis(1), </v>
      </c>
      <c r="IF108" s="47" t="str">
        <f t="shared" si="302"/>
        <v xml:space="preserve">disposable money(25),engineering knowledge(25),web(25),mobile apps(25),security(25),AI&amp; data analysis(25), </v>
      </c>
      <c r="IG108" s="47" t="str">
        <f t="shared" si="30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08" s="47" t="str">
        <f t="shared" si="302"/>
        <v xml:space="preserve">engineering knowledge(1),technologists(1),web(1),database(1),mobile apps(1),security(1),AI&amp; data analysis(1), </v>
      </c>
      <c r="II108" s="47" t="str">
        <f t="shared" si="302"/>
        <v xml:space="preserve">engineering knowledge(6.25),technologists(6.25),web(6.25),database(6.25),mobile apps(6.25),security(6.25),AI&amp; data analysis(6.25), </v>
      </c>
      <c r="IJ108" s="47" t="str">
        <f t="shared" si="302"/>
        <v xml:space="preserve">disposable money(1),metal(1),scale(2),enthusiasm(2),engineering knowledge(1),scale(1),technologists(2), </v>
      </c>
      <c r="IK108" s="47" t="str">
        <f t="shared" si="302"/>
        <v xml:space="preserve">disposable money(-1),engineering knowledge(1),wood processing(1),metal processing(1),functions(1),safety(1), </v>
      </c>
      <c r="IL108" s="47" t="str">
        <f t="shared" si="302"/>
        <v xml:space="preserve">disposable money(25),engineering knowledge(25),wood processing(25),metal processing(25),functions(25),safety(25), </v>
      </c>
      <c r="IM108" s="47" t="str">
        <f t="shared" si="30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08" s="47" t="str">
        <f t="shared" si="302"/>
        <v xml:space="preserve">engineering knowledge(1),technologists(1),wood processing(1),metal processing(1),functions(1),safety(1),interaction(1), </v>
      </c>
      <c r="IO108" s="47" t="str">
        <f t="shared" si="302"/>
        <v xml:space="preserve">engineering knowledge(6.25),technologists(6.25),wood processing(6.25),metal processing(6.25),functions(6.25),safety(6.25),interaction(6.25), </v>
      </c>
      <c r="IP108" s="57" t="str">
        <f t="shared" si="302"/>
        <v xml:space="preserve">disposable money(1),scale(2),enthusiasm(2),learning capacities(1),scale(2),local biz(2),reputation(1), </v>
      </c>
      <c r="IQ108" s="47" t="str">
        <f t="shared" si="302"/>
        <v xml:space="preserve">disposable money(-1),field knowledge(1),network among members(1),local biz(1),marketing(1), </v>
      </c>
      <c r="IR108" s="47" t="str">
        <f t="shared" si="302"/>
        <v xml:space="preserve">disposable money(50),field knowledge(100),network among members(25),local biz(25),marketing(25), </v>
      </c>
      <c r="IS108" s="47" t="str">
        <f t="shared" si="30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08" s="47" t="str">
        <f t="shared" si="302"/>
        <v xml:space="preserve">field knowledge(1),network among members(1),enthusiasm(1),fun-ness(1),seriousness(1),local biz(1),biz group(1),govt(1),non-profits(1),marketing(1), </v>
      </c>
      <c r="IU108" s="47" t="str">
        <f t="shared" si="302"/>
        <v xml:space="preserve">field knowledge(6.25),network among members(6.25),enthusiasm(6.25),fun-ness(6.25),seriousness(6.25),local biz(6.25),biz group(6.25),govt(6.25),non-profits(6.25),marketing(6.25), </v>
      </c>
      <c r="IV108" s="57" t="str">
        <f t="shared" ref="IV108:LG108" si="303">IF(IV6="",IV109,$C108&amp;"("&amp;IV6&amp;"),"&amp;IV109)</f>
        <v xml:space="preserve">disposable money(1),scale(2),enthusiasm(2),learning capacities(1),scale(2),local biz(2),reputation(1), </v>
      </c>
      <c r="IW108" s="47" t="str">
        <f t="shared" si="303"/>
        <v xml:space="preserve">disposable money(-1),field knowledge(1),network among members(1),local biz(1),marketing(1), </v>
      </c>
      <c r="IX108" s="47" t="str">
        <f t="shared" si="303"/>
        <v xml:space="preserve">disposable money(50),field knowledge(100),network among members(25),local biz(25),marketing(25), </v>
      </c>
      <c r="IY108" s="47" t="str">
        <f t="shared" si="30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08" s="47" t="str">
        <f t="shared" si="303"/>
        <v xml:space="preserve">field knowledge(1),network among members(1),enthusiasm(1),fun-ness(1),seriousness(1),local biz(1),biz group(1),govt(1),marketing(1), </v>
      </c>
      <c r="JA108" s="47" t="str">
        <f t="shared" si="303"/>
        <v xml:space="preserve">field knowledge(6.25),network among members(6.25),enthusiasm(6.25),fun-ness(6.25),seriousness(6.25),local biz(6.25),biz group(6.25),govt(6.25),marketing(6.25), </v>
      </c>
      <c r="JB108" s="47" t="str">
        <f t="shared" si="303"/>
        <v xml:space="preserve">disposable money(1),software(1),servers(1),wood(1),metal(1),plastic(1),electronics(1),fabric(1),scale(2),enthusiasm(1),scale(1),enthusiasm(2), </v>
      </c>
      <c r="JC108" s="47" t="str">
        <f t="shared" si="303"/>
        <v xml:space="preserve">engineering knowledge(1), </v>
      </c>
      <c r="JD108" s="47" t="str">
        <f t="shared" si="303"/>
        <v xml:space="preserve">engineering knowledge(50), </v>
      </c>
      <c r="JE108" s="47" t="str">
        <f t="shared" si="303"/>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08" s="47" t="str">
        <f t="shared" si="30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08" s="47" t="str">
        <f t="shared" si="30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08" s="47" t="str">
        <f t="shared" si="303"/>
        <v xml:space="preserve">disposable money(1),scale(1),scale(1),enthusiasm(1),enthusiasm(1),local biz(1),non-profits(1),reputation(2), </v>
      </c>
      <c r="JI108" s="47" t="str">
        <f t="shared" si="303"/>
        <v xml:space="preserve">disposable money(-1), </v>
      </c>
      <c r="JJ108" s="47" t="str">
        <f t="shared" si="303"/>
        <v xml:space="preserve">disposable money(25), </v>
      </c>
      <c r="JK108" s="47" t="str">
        <f t="shared" si="30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08" s="47" t="str">
        <f t="shared" si="303"/>
        <v xml:space="preserve">disposable money(1),non-profits(1), </v>
      </c>
      <c r="JM108" s="47" t="str">
        <f t="shared" si="303"/>
        <v xml:space="preserve">disposable money(6.25),non-profits(6.25), </v>
      </c>
      <c r="JN108" s="47" t="str">
        <f t="shared" si="303"/>
        <v xml:space="preserve">disposable money(1),scale(2),enthusiasm(2),scale(2),enthusiasm(2),enthusiasm(1),network(1),local biz(1),investors(1),entrepreneurs(1),technologists(1),non-profits(1),reputation(2),portfolio(2), </v>
      </c>
      <c r="JO108" s="47" t="str">
        <f t="shared" si="303"/>
        <v xml:space="preserve">disposable money(-1), </v>
      </c>
      <c r="JP108" s="47" t="str">
        <f t="shared" si="303"/>
        <v xml:space="preserve">disposable money(50), </v>
      </c>
      <c r="JQ108" s="47" t="str">
        <f t="shared" si="30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08" s="47" t="str">
        <f t="shared" si="303"/>
        <v xml:space="preserve">disposable money(1), </v>
      </c>
      <c r="JS108" s="47" t="str">
        <f t="shared" si="303"/>
        <v xml:space="preserve">disposable money(6.25), </v>
      </c>
      <c r="JT108" s="47" t="str">
        <f t="shared" si="303"/>
        <v xml:space="preserve">disposable money(1),scale(3),enthusiasm(3),PR(1),administrator(1),enthusiasm(2),network(2),local biz(2),biz group(1),govt(2),investors(2),entrepreneurs(2),technologists(2),non-profits(2),reputation(2),portfolio(3), </v>
      </c>
      <c r="JU108" s="47" t="str">
        <f t="shared" si="303"/>
        <v xml:space="preserve">disposable money(-1), </v>
      </c>
      <c r="JV108" s="47" t="str">
        <f t="shared" si="303"/>
        <v xml:space="preserve">disposable money(100), </v>
      </c>
      <c r="JW108" s="47" t="str">
        <f t="shared" si="30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08" s="47" t="str">
        <f t="shared" si="303"/>
        <v xml:space="preserve"> </v>
      </c>
      <c r="JY108" s="47" t="str">
        <f t="shared" si="303"/>
        <v xml:space="preserve"> </v>
      </c>
      <c r="JZ108" s="47" t="str">
        <f t="shared" si="303"/>
        <v xml:space="preserve">disposable money(1),scale(1),enthusiasm(1),scale(1),enthusiasm(2),network(1),non-profits(1),reputation(2),social project(2), </v>
      </c>
      <c r="KA108" s="47" t="str">
        <f t="shared" si="303"/>
        <v xml:space="preserve">non-profits(1), </v>
      </c>
      <c r="KB108" s="47" t="str">
        <f t="shared" si="303"/>
        <v xml:space="preserve">non-profits(25), </v>
      </c>
      <c r="KC108" s="47" t="str">
        <f t="shared" si="30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08" s="47" t="str">
        <f t="shared" si="303"/>
        <v xml:space="preserve">disposable money(1),non-profits(1), </v>
      </c>
      <c r="KE108" s="47" t="str">
        <f t="shared" si="303"/>
        <v xml:space="preserve">disposable money(6.25),non-profits(6.25), </v>
      </c>
      <c r="KF108" s="47" t="str">
        <f t="shared" si="303"/>
        <v xml:space="preserve">disposable money(1), </v>
      </c>
      <c r="KG108" s="47" t="str">
        <f t="shared" si="303"/>
        <v xml:space="preserve"> </v>
      </c>
      <c r="KH108" s="47" t="str">
        <f t="shared" si="303"/>
        <v xml:space="preserve"> </v>
      </c>
      <c r="KI108" s="47" t="str">
        <f t="shared" si="303"/>
        <v xml:space="preserve"> </v>
      </c>
      <c r="KJ108" s="47" t="str">
        <f t="shared" si="303"/>
        <v xml:space="preserve"> </v>
      </c>
      <c r="KK108" s="47" t="str">
        <f t="shared" si="303"/>
        <v xml:space="preserve"> </v>
      </c>
      <c r="KL108" s="57" t="str">
        <f t="shared" si="303"/>
        <v xml:space="preserve"> </v>
      </c>
      <c r="KM108" s="47" t="str">
        <f t="shared" si="303"/>
        <v xml:space="preserve"> </v>
      </c>
      <c r="KN108" s="47" t="str">
        <f t="shared" si="303"/>
        <v xml:space="preserve"> </v>
      </c>
      <c r="KO108" s="47" t="str">
        <f t="shared" si="303"/>
        <v xml:space="preserve"> </v>
      </c>
      <c r="KP108" s="47" t="str">
        <f t="shared" si="303"/>
        <v xml:space="preserve"> </v>
      </c>
      <c r="KQ108" s="47" t="str">
        <f t="shared" si="303"/>
        <v xml:space="preserve"> </v>
      </c>
      <c r="KR108" s="57" t="str">
        <f t="shared" si="303"/>
        <v xml:space="preserve"> </v>
      </c>
      <c r="KS108" s="47" t="str">
        <f t="shared" si="303"/>
        <v xml:space="preserve"> </v>
      </c>
      <c r="KT108" s="47" t="str">
        <f t="shared" si="303"/>
        <v xml:space="preserve"> </v>
      </c>
      <c r="KU108" s="47" t="str">
        <f t="shared" si="303"/>
        <v xml:space="preserve"> </v>
      </c>
      <c r="KV108" s="47" t="str">
        <f t="shared" si="303"/>
        <v xml:space="preserve"> </v>
      </c>
      <c r="KW108" s="47" t="str">
        <f t="shared" si="303"/>
        <v xml:space="preserve"> </v>
      </c>
      <c r="KX108" s="57" t="str">
        <f t="shared" si="303"/>
        <v xml:space="preserve"> </v>
      </c>
      <c r="KY108" s="47" t="str">
        <f t="shared" si="303"/>
        <v xml:space="preserve"> </v>
      </c>
      <c r="KZ108" s="47" t="str">
        <f t="shared" si="303"/>
        <v xml:space="preserve"> </v>
      </c>
      <c r="LA108" s="47" t="str">
        <f t="shared" si="303"/>
        <v xml:space="preserve"> </v>
      </c>
      <c r="LB108" s="47" t="str">
        <f t="shared" si="303"/>
        <v xml:space="preserve"> </v>
      </c>
      <c r="LC108" s="47" t="str">
        <f t="shared" si="303"/>
        <v xml:space="preserve"> </v>
      </c>
      <c r="LD108" s="57" t="str">
        <f t="shared" si="303"/>
        <v xml:space="preserve"> </v>
      </c>
      <c r="LE108" s="47" t="str">
        <f t="shared" si="303"/>
        <v xml:space="preserve"> </v>
      </c>
      <c r="LF108" s="47" t="str">
        <f t="shared" si="303"/>
        <v xml:space="preserve"> </v>
      </c>
      <c r="LG108" s="47" t="str">
        <f t="shared" si="303"/>
        <v xml:space="preserve"> </v>
      </c>
      <c r="LH108" s="47" t="str">
        <f t="shared" ref="LH108:NM108" si="304">IF(LH6="",LH109,$C108&amp;"("&amp;LH6&amp;"),"&amp;LH109)</f>
        <v xml:space="preserve"> </v>
      </c>
      <c r="LI108" s="47" t="str">
        <f t="shared" si="304"/>
        <v xml:space="preserve"> </v>
      </c>
      <c r="LJ108" s="57" t="str">
        <f t="shared" si="304"/>
        <v xml:space="preserve"> </v>
      </c>
      <c r="LK108" s="47" t="str">
        <f t="shared" si="304"/>
        <v xml:space="preserve"> </v>
      </c>
      <c r="LL108" s="47" t="str">
        <f t="shared" si="304"/>
        <v xml:space="preserve"> </v>
      </c>
      <c r="LM108" s="47" t="str">
        <f t="shared" si="304"/>
        <v xml:space="preserve"> </v>
      </c>
      <c r="LN108" s="47" t="str">
        <f t="shared" si="304"/>
        <v xml:space="preserve"> </v>
      </c>
      <c r="LO108" s="47" t="str">
        <f t="shared" si="304"/>
        <v xml:space="preserve"> </v>
      </c>
      <c r="LP108" s="57" t="str">
        <f t="shared" si="304"/>
        <v xml:space="preserve"> </v>
      </c>
      <c r="LQ108" s="47" t="str">
        <f t="shared" si="304"/>
        <v xml:space="preserve"> </v>
      </c>
      <c r="LR108" s="47" t="str">
        <f t="shared" si="304"/>
        <v xml:space="preserve"> </v>
      </c>
      <c r="LS108" s="47" t="str">
        <f t="shared" si="304"/>
        <v xml:space="preserve"> </v>
      </c>
      <c r="LT108" s="47" t="str">
        <f t="shared" si="304"/>
        <v xml:space="preserve"> </v>
      </c>
      <c r="LU108" s="47" t="str">
        <f t="shared" si="304"/>
        <v xml:space="preserve"> </v>
      </c>
      <c r="LV108" s="57" t="str">
        <f t="shared" si="304"/>
        <v xml:space="preserve"> </v>
      </c>
      <c r="LW108" s="47" t="str">
        <f t="shared" si="304"/>
        <v xml:space="preserve"> </v>
      </c>
      <c r="LX108" s="47" t="str">
        <f t="shared" si="304"/>
        <v xml:space="preserve"> </v>
      </c>
      <c r="LY108" s="47" t="str">
        <f t="shared" si="304"/>
        <v xml:space="preserve"> </v>
      </c>
      <c r="LZ108" s="47" t="str">
        <f t="shared" si="304"/>
        <v xml:space="preserve"> </v>
      </c>
      <c r="MA108" s="47" t="str">
        <f t="shared" si="304"/>
        <v xml:space="preserve"> </v>
      </c>
      <c r="MB108" s="57" t="str">
        <f t="shared" si="304"/>
        <v xml:space="preserve"> </v>
      </c>
      <c r="MC108" s="47" t="str">
        <f t="shared" si="304"/>
        <v xml:space="preserve"> </v>
      </c>
      <c r="MD108" s="47" t="str">
        <f t="shared" si="304"/>
        <v xml:space="preserve"> </v>
      </c>
      <c r="ME108" s="47" t="str">
        <f t="shared" si="304"/>
        <v xml:space="preserve"> </v>
      </c>
      <c r="MF108" s="47" t="str">
        <f t="shared" si="304"/>
        <v xml:space="preserve"> </v>
      </c>
      <c r="MG108" s="47" t="str">
        <f t="shared" si="304"/>
        <v xml:space="preserve"> </v>
      </c>
      <c r="MH108" s="57" t="str">
        <f t="shared" si="304"/>
        <v xml:space="preserve"> </v>
      </c>
      <c r="MI108" s="47" t="str">
        <f t="shared" si="304"/>
        <v xml:space="preserve"> </v>
      </c>
      <c r="MJ108" s="47" t="str">
        <f t="shared" si="304"/>
        <v xml:space="preserve"> </v>
      </c>
      <c r="MK108" s="47" t="str">
        <f t="shared" si="304"/>
        <v xml:space="preserve"> </v>
      </c>
      <c r="ML108" s="47" t="str">
        <f t="shared" si="304"/>
        <v xml:space="preserve"> </v>
      </c>
      <c r="MM108" s="47" t="str">
        <f t="shared" si="304"/>
        <v xml:space="preserve"> </v>
      </c>
      <c r="MN108" s="57" t="str">
        <f t="shared" si="304"/>
        <v xml:space="preserve"> </v>
      </c>
      <c r="MO108" s="47" t="str">
        <f t="shared" si="304"/>
        <v xml:space="preserve"> </v>
      </c>
      <c r="MP108" s="47" t="str">
        <f t="shared" si="304"/>
        <v xml:space="preserve"> </v>
      </c>
      <c r="MQ108" s="47" t="str">
        <f t="shared" si="304"/>
        <v xml:space="preserve"> </v>
      </c>
      <c r="MR108" s="47" t="str">
        <f t="shared" si="304"/>
        <v xml:space="preserve"> </v>
      </c>
      <c r="MS108" s="47" t="str">
        <f t="shared" si="304"/>
        <v xml:space="preserve"> </v>
      </c>
      <c r="MT108" s="57" t="str">
        <f t="shared" si="304"/>
        <v xml:space="preserve"> </v>
      </c>
      <c r="MU108" s="47" t="str">
        <f t="shared" si="304"/>
        <v xml:space="preserve"> </v>
      </c>
      <c r="MV108" s="47" t="str">
        <f t="shared" si="304"/>
        <v xml:space="preserve"> </v>
      </c>
      <c r="MW108" s="47" t="str">
        <f t="shared" si="304"/>
        <v xml:space="preserve"> </v>
      </c>
      <c r="MX108" s="47" t="str">
        <f t="shared" si="304"/>
        <v xml:space="preserve"> </v>
      </c>
      <c r="MY108" s="47" t="str">
        <f t="shared" si="304"/>
        <v xml:space="preserve"> </v>
      </c>
      <c r="MZ108" s="57" t="str">
        <f t="shared" si="304"/>
        <v xml:space="preserve"> </v>
      </c>
      <c r="NA108" s="47" t="str">
        <f t="shared" si="304"/>
        <v xml:space="preserve"> </v>
      </c>
      <c r="NB108" s="47" t="str">
        <f t="shared" si="304"/>
        <v xml:space="preserve"> </v>
      </c>
      <c r="NC108" s="47" t="str">
        <f t="shared" si="304"/>
        <v xml:space="preserve"> </v>
      </c>
      <c r="ND108" s="47" t="str">
        <f t="shared" si="304"/>
        <v xml:space="preserve"> </v>
      </c>
      <c r="NE108" s="47" t="str">
        <f t="shared" si="304"/>
        <v xml:space="preserve"> </v>
      </c>
      <c r="NF108" s="57" t="str">
        <f t="shared" si="304"/>
        <v xml:space="preserve"> </v>
      </c>
      <c r="NG108" s="47" t="str">
        <f t="shared" si="304"/>
        <v xml:space="preserve"> </v>
      </c>
      <c r="NH108" s="47" t="str">
        <f t="shared" si="304"/>
        <v xml:space="preserve"> </v>
      </c>
      <c r="NI108" s="47" t="str">
        <f t="shared" si="304"/>
        <v xml:space="preserve"> </v>
      </c>
      <c r="NJ108" s="47" t="str">
        <f t="shared" si="304"/>
        <v xml:space="preserve"> </v>
      </c>
      <c r="NK108" s="47" t="str">
        <f t="shared" si="304"/>
        <v xml:space="preserve"> </v>
      </c>
      <c r="NL108" s="57" t="str">
        <f t="shared" si="304"/>
        <v xml:space="preserve"> </v>
      </c>
      <c r="NM108" s="47" t="str">
        <f t="shared" si="304"/>
        <v xml:space="preserve"> </v>
      </c>
    </row>
    <row r="109" spans="2:377" ht="15.75" customHeight="1">
      <c r="C109" s="7" t="str">
        <f t="shared" si="296"/>
        <v>profit-loss</v>
      </c>
      <c r="D109" s="21" t="str">
        <f t="shared" si="169"/>
        <v xml:space="preserve">software 1
scale 1
 </v>
      </c>
      <c r="E109" s="21" t="str">
        <f t="shared" si="297"/>
        <v xml:space="preserve">scale(1,100),  </v>
      </c>
      <c r="F109" s="21" t="str">
        <f t="shared" si="170"/>
        <v xml:space="preserve">scale 100
 </v>
      </c>
      <c r="G109" s="21" t="str">
        <f t="shared" si="298"/>
        <v xml:space="preserve">software(2), servers(2), wood(2), metal(2), plastic(2), electronics(2), fabric(2), enthusiasm(1), enthusiasm(2), fun-ness(1), community manager(1), PR(1), fame(1), network(2), ease of access(1), reputation(2), social media(1),  </v>
      </c>
      <c r="H109" s="21" t="str">
        <f t="shared" si="299"/>
        <v xml:space="preserve">scale(1,6.25),  </v>
      </c>
      <c r="I109" s="21" t="str">
        <f t="shared" ref="I109" si="305">IF(I7="",I110,$C109&amp;"("&amp;I7&amp;"),"&amp;I110)</f>
        <v xml:space="preserve">scale(6.25), </v>
      </c>
      <c r="J109" s="21" t="str">
        <f t="shared" si="172"/>
        <v xml:space="preserve">scale 1
interaction 1
 </v>
      </c>
      <c r="K109" s="21" t="str">
        <f t="shared" si="173"/>
        <v xml:space="preserve">reputation(1,75),  </v>
      </c>
      <c r="L109" s="21" t="str">
        <f t="shared" si="174"/>
        <v xml:space="preserve">reputation 75
 </v>
      </c>
      <c r="M109" s="21" t="str">
        <f t="shared" si="175"/>
        <v xml:space="preserve">PR(1), portfolio(1), social innovation(1), non-profit biz(1),  </v>
      </c>
      <c r="N109" s="21" t="str">
        <f t="shared" si="176"/>
        <v xml:space="preserve">scale(1,6.25), enthusiasm(1,6.25), seriousness(1,25), non-profits(1,12.5), reputation(1,75), marketing(1,12.5),  </v>
      </c>
      <c r="O109" s="21" t="str">
        <f t="shared" si="177"/>
        <v xml:space="preserve">scale(6.25),enthusiasm(6.25),seriousness(25),non-profits(12.5),reputation(75),marketing(12.5), </v>
      </c>
      <c r="P109" s="21" t="str">
        <f t="shared" si="172"/>
        <v xml:space="preserve">scale 1
biz project 1
 </v>
      </c>
      <c r="Q109" s="21" t="str">
        <f t="shared" si="178"/>
        <v xml:space="preserve"> </v>
      </c>
      <c r="R109" s="21" t="str">
        <f t="shared" si="174"/>
        <v xml:space="preserve"> </v>
      </c>
      <c r="S109" s="21" t="str">
        <f t="shared" si="179"/>
        <v xml:space="preserve">portfolio(1), biz enhancement(1), business(1), start-up(1),  </v>
      </c>
      <c r="T109" s="21" t="str">
        <f t="shared" si="180"/>
        <v xml:space="preserve">scale(1,6.25), enthusiasm(1,6.25), seriousness(1,25), local biz(1,6.25), investors(1,6.25), reputation(1,6.25),  </v>
      </c>
      <c r="U109" s="21" t="str">
        <f t="shared" si="177"/>
        <v xml:space="preserve">scale(6.25),enthusiasm(6.25),seriousness(25),local biz(6.25),investors(6.25),reputation(6.25), </v>
      </c>
      <c r="V109" s="21" t="str">
        <f t="shared" si="172"/>
        <v xml:space="preserve">scale 1
 </v>
      </c>
      <c r="W109" s="21" t="str">
        <f t="shared" si="181"/>
        <v xml:space="preserve">local biz(1,),  </v>
      </c>
      <c r="X109" s="21" t="str">
        <f t="shared" si="174"/>
        <v xml:space="preserve"> </v>
      </c>
      <c r="Y109" s="21" t="str">
        <f t="shared" si="182"/>
        <v xml:space="preserve">enthusiasm(1), attention to details(1), PR(1), network(1), ease of access(1), reputation(1), portfolio(1), biz project(1), biz enhancement(1), job creation(1), business(1),  </v>
      </c>
      <c r="Z109" s="21" t="str">
        <f t="shared" si="183"/>
        <v xml:space="preserve">local biz(1,6.25),  </v>
      </c>
      <c r="AA109" s="21" t="str">
        <f t="shared" si="177"/>
        <v xml:space="preserve">local biz(6.25), </v>
      </c>
      <c r="AB109" s="21" t="str">
        <f t="shared" si="172"/>
        <v xml:space="preserve">scale 1
 </v>
      </c>
      <c r="AC109" s="21" t="str">
        <f t="shared" si="184"/>
        <v xml:space="preserve">non-profits(1,100),  </v>
      </c>
      <c r="AD109" s="21" t="str">
        <f t="shared" si="174"/>
        <v xml:space="preserve">non-profits 100
 </v>
      </c>
      <c r="AE109" s="21" t="str">
        <f t="shared" si="185"/>
        <v xml:space="preserve">enthusiasm(1), attention to details(1), PR(1), network(1), ease of access(1), reputation(1), portfolio(1), social project(1), social innovation(1), non-profit biz(1),  </v>
      </c>
      <c r="AF109" s="21" t="str">
        <f t="shared" si="186"/>
        <v xml:space="preserve">seriousness(1,6.25), non-profits(1,6.25),  </v>
      </c>
      <c r="AG109" s="21" t="str">
        <f t="shared" si="177"/>
        <v xml:space="preserve">seriousness(6.25),non-profits(6.25), </v>
      </c>
      <c r="AH109" s="21" t="str">
        <f t="shared" si="172"/>
        <v xml:space="preserve">scale 1
 </v>
      </c>
      <c r="AI109" s="21" t="str">
        <f t="shared" si="187"/>
        <v xml:space="preserve">govt(1,),  </v>
      </c>
      <c r="AJ109" s="21" t="str">
        <f t="shared" si="174"/>
        <v xml:space="preserve"> </v>
      </c>
      <c r="AK109" s="21" t="str">
        <f t="shared" si="188"/>
        <v xml:space="preserve">enthusiasm(1), attention to details(1), seriousness(1), fame(1), network(1), govt(1), ease of access(1), reputation(2), portfolio(1), social project(1), social innovation(1), non-profit biz(1),  </v>
      </c>
      <c r="AL109" s="21" t="str">
        <f t="shared" si="189"/>
        <v xml:space="preserve">govt(1,6.25),  </v>
      </c>
      <c r="AM109" s="21" t="str">
        <f t="shared" si="177"/>
        <v xml:space="preserve">govt(6.25), </v>
      </c>
      <c r="AN109" s="21" t="str">
        <f t="shared" si="172"/>
        <v xml:space="preserve">scale 1
enthusiasm 1
gifted leader 1
scale 1
enthusiasm 1
 </v>
      </c>
      <c r="AO109" s="21" t="str">
        <f t="shared" si="190"/>
        <v xml:space="preserve">fame(1,), network(1,), investors(1,6.25),  </v>
      </c>
      <c r="AP109" s="21" t="str">
        <f t="shared" si="174"/>
        <v xml:space="preserve">investors 6.25
 </v>
      </c>
      <c r="AQ109" s="21" t="str">
        <f t="shared" si="191"/>
        <v xml:space="preserve">investors(1), ease of access(1), reputation(1), portfolio(1), start-up(1), start-up with mvp(1), start-up with customers(1),  </v>
      </c>
      <c r="AR109" s="21" t="str">
        <f t="shared" si="192"/>
        <v xml:space="preserve"> </v>
      </c>
      <c r="AS109" s="21" t="str">
        <f t="shared" si="177"/>
        <v xml:space="preserve"> </v>
      </c>
      <c r="AT109" s="21" t="str">
        <f t="shared" si="172"/>
        <v xml:space="preserve">profit-loss 1
asset-debt 0
credit 1
scale 1
enthusiasm 1
scale 2
enthusiasm 1
seriousness 1
administrator 1
non-profits 2
reputation 1
portfolio 1
social project 1
 </v>
      </c>
      <c r="AU109" s="21" t="str">
        <f t="shared" si="193"/>
        <v xml:space="preserve">ambition(1,), attention to details(1,),  </v>
      </c>
      <c r="AV109" s="21" t="str">
        <f t="shared" si="174"/>
        <v xml:space="preserve"> </v>
      </c>
      <c r="AW109" s="21" t="str">
        <f t="shared" si="194"/>
        <v xml:space="preserve">field knowledge(1), enthusiasm(3), PR(2), administrator(1), project management(2),  </v>
      </c>
      <c r="AX109" s="21" t="str">
        <f t="shared" si="195"/>
        <v xml:space="preserve">organizational rules and manuals(1,12.5), project management(1,12.5),  </v>
      </c>
      <c r="AY109" s="21" t="str">
        <f t="shared" si="177"/>
        <v xml:space="preserve">organizational rules and manuals(12.5),project management(12.5), </v>
      </c>
      <c r="AZ109" s="21" t="str">
        <f t="shared" si="172"/>
        <v xml:space="preserve">profit-loss 0
asset-debt 0
scale 1
enthusiasm 1
scale 1
enthusiasm 1
non-profits 1
 </v>
      </c>
      <c r="BA109" s="21" t="str">
        <f t="shared" si="196"/>
        <v xml:space="preserve"> </v>
      </c>
      <c r="BB109" s="21" t="str">
        <f t="shared" si="174"/>
        <v xml:space="preserve"> </v>
      </c>
      <c r="BC109" s="21" t="str">
        <f t="shared" si="197"/>
        <v xml:space="preserve"> </v>
      </c>
      <c r="BD109" s="21" t="str">
        <f t="shared" si="198"/>
        <v xml:space="preserve"> </v>
      </c>
      <c r="BE109" s="21" t="str">
        <f t="shared" si="177"/>
        <v xml:space="preserve"> </v>
      </c>
      <c r="BF109" s="21" t="str">
        <f t="shared" si="172"/>
        <v xml:space="preserve">profit-loss 1
asset-debt 0
scale 1
enthusiasm 1
scale 2
enthusiasm 1
seriousness 1
administrator 1
local biz 2
entrepreneurs 1
reputation 1
portfolio 1
biz project 1
 </v>
      </c>
      <c r="BG109" s="21" t="str">
        <f t="shared" si="199"/>
        <v xml:space="preserve">ambition(1,), attention to details(1,),  </v>
      </c>
      <c r="BH109" s="21" t="str">
        <f t="shared" si="174"/>
        <v xml:space="preserve"> </v>
      </c>
      <c r="BI109" s="21" t="str">
        <f t="shared" si="200"/>
        <v xml:space="preserve">field knowledge(1), enthusiasm(3), PR(2), administrator(1), project management(2),  </v>
      </c>
      <c r="BJ109" s="21" t="str">
        <f t="shared" si="201"/>
        <v xml:space="preserve">organizational rules and manuals(1,12.5), project management(1,12.5),  </v>
      </c>
      <c r="BK109" s="21" t="str">
        <f t="shared" si="177"/>
        <v xml:space="preserve">organizational rules and manuals(12.5),project management(12.5), </v>
      </c>
      <c r="BL109" s="21" t="str">
        <f t="shared" si="172"/>
        <v xml:space="preserve">profit-loss 1
asset-debt 0
scale 1
enthusiasm 1
scale 1
enthusiasm 1
local biz 1
reputation 1
portfolio 1
biz enhancement 1
 </v>
      </c>
      <c r="BM109" s="21" t="str">
        <f t="shared" si="202"/>
        <v xml:space="preserve"> </v>
      </c>
      <c r="BN109" s="21" t="str">
        <f t="shared" si="174"/>
        <v xml:space="preserve"> </v>
      </c>
      <c r="BO109" s="21" t="str">
        <f t="shared" si="203"/>
        <v xml:space="preserve"> </v>
      </c>
      <c r="BP109" s="21" t="str">
        <f t="shared" si="204"/>
        <v xml:space="preserve"> </v>
      </c>
      <c r="BQ109" s="21" t="str">
        <f t="shared" si="177"/>
        <v xml:space="preserve"> </v>
      </c>
      <c r="BR109" s="21" t="str">
        <f t="shared" si="172"/>
        <v xml:space="preserve"> </v>
      </c>
      <c r="BS109" s="21" t="str">
        <f t="shared" si="205"/>
        <v xml:space="preserve"> </v>
      </c>
      <c r="BT109" s="21" t="str">
        <f t="shared" si="174"/>
        <v xml:space="preserve"> </v>
      </c>
      <c r="BU109" s="21" t="str">
        <f t="shared" si="206"/>
        <v xml:space="preserve"> </v>
      </c>
      <c r="BV109" s="21" t="str">
        <f t="shared" si="207"/>
        <v xml:space="preserve"> </v>
      </c>
      <c r="BW109" s="21" t="str">
        <f t="shared" si="177"/>
        <v xml:space="preserve"> </v>
      </c>
      <c r="BX109" s="21" t="str">
        <f t="shared" si="208"/>
        <v xml:space="preserve">scale 1
network 1
 </v>
      </c>
      <c r="BY109" s="21" t="str">
        <f t="shared" si="209"/>
        <v xml:space="preserve">efficiency(1,),  </v>
      </c>
      <c r="BZ109" s="21" t="str">
        <f t="shared" si="210"/>
        <v xml:space="preserve"> </v>
      </c>
      <c r="CA109" s="21" t="str">
        <f t="shared" si="211"/>
        <v xml:space="preserve">scale(2), enthusiasm(1), attention to details(1), administrator(1), negotiation(1),  </v>
      </c>
      <c r="CB109" s="21" t="str">
        <f t="shared" si="212"/>
        <v xml:space="preserve">user rules and manuals(1,50), organizational rules and manuals(1,50),  </v>
      </c>
      <c r="CC109" s="21" t="str">
        <f t="shared" si="213"/>
        <v xml:space="preserve">user rules and manuals(50),organizational rules and manuals(50), </v>
      </c>
      <c r="CD109" s="21" t="str">
        <f t="shared" si="208"/>
        <v xml:space="preserve">software 1
servers 1
scale 1
scale 1
enthusiasm 1
network 1
 </v>
      </c>
      <c r="CE109" s="21" t="str">
        <f t="shared" si="214"/>
        <v xml:space="preserve">field knowledge(1,), non-profits(1,),  </v>
      </c>
      <c r="CF109" s="21" t="str">
        <f t="shared" si="210"/>
        <v xml:space="preserve"> </v>
      </c>
      <c r="CG109" s="21" t="str">
        <f t="shared" si="215"/>
        <v xml:space="preserve">software(2), servers(2), wood(2), metal(2), plastic(2), electronics(2), fabric(2), fun-ness(1), seriousness(1), ease of access(1), portfolio(1), user rules and manuals(1), negotiation(1), social project(1), biz project(1), for basic literacy(1), for the elites(1), for entrepreneurs(1),  </v>
      </c>
      <c r="CH109" s="21" t="str">
        <f t="shared" si="216"/>
        <v xml:space="preserve">scale(1,6.25), technologists(1,6.25), non-profits(1,6.25),  </v>
      </c>
      <c r="CI109" s="21" t="str">
        <f t="shared" si="213"/>
        <v xml:space="preserve">scale(6.25),technologists(6.25),non-profits(6.25), </v>
      </c>
      <c r="CJ109" s="21" t="str">
        <f t="shared" si="208"/>
        <v xml:space="preserve">software 1
servers 1
scale 1
scale 1
 </v>
      </c>
      <c r="CK109" s="21" t="str">
        <f t="shared" si="217"/>
        <v xml:space="preserve">suppliers(1,),  </v>
      </c>
      <c r="CL109" s="21" t="str">
        <f t="shared" si="210"/>
        <v xml:space="preserve"> </v>
      </c>
      <c r="CM109" s="21" t="str">
        <f t="shared" si="218"/>
        <v xml:space="preserve">reputation(1), negotiation(1),  </v>
      </c>
      <c r="CN109" s="21" t="str">
        <f t="shared" si="219"/>
        <v xml:space="preserve">learning capacities(1,), engineering knowledge(1,), enthusiasm(2,), efficiency(1,6.25),  </v>
      </c>
      <c r="CO109" s="21" t="str">
        <f t="shared" si="213"/>
        <v xml:space="preserve">efficiency(6.25), </v>
      </c>
      <c r="CP109" s="21" t="str">
        <f t="shared" si="208"/>
        <v xml:space="preserve">software 1
servers 1
scale 1
scale 1
 </v>
      </c>
      <c r="CQ109" s="21" t="str">
        <f t="shared" si="220"/>
        <v xml:space="preserve">technologists(1,),  </v>
      </c>
      <c r="CR109" s="21" t="str">
        <f t="shared" si="210"/>
        <v xml:space="preserve"> </v>
      </c>
      <c r="CS109" s="21" t="str">
        <f t="shared" si="221"/>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09" s="21" t="str">
        <f t="shared" si="222"/>
        <v xml:space="preserve">engineering knowledge(1,6.25), efficiency(1,6.25),  </v>
      </c>
      <c r="CU109" s="21" t="str">
        <f t="shared" si="213"/>
        <v xml:space="preserve">engineering knowledge(6.25),efficiency(6.25), </v>
      </c>
      <c r="CV109" s="21" t="str">
        <f t="shared" si="208"/>
        <v xml:space="preserve">scale 1
scale 1
 </v>
      </c>
      <c r="CW109" s="21" t="str">
        <f t="shared" si="223"/>
        <v xml:space="preserve">local biz(1,),  </v>
      </c>
      <c r="CX109" s="21" t="str">
        <f t="shared" si="210"/>
        <v xml:space="preserve"> </v>
      </c>
      <c r="CY109" s="21" t="str">
        <f t="shared" si="224"/>
        <v xml:space="preserve">software(2), servers(2), wood(2), metal(2), plastic(2), electronics(2), fabric(2), ease of access(1), reputation(1), portfolio(1), negotiation(1),  </v>
      </c>
      <c r="CZ109" s="21" t="str">
        <f t="shared" si="225"/>
        <v xml:space="preserve">non-profits(1,6.25),  </v>
      </c>
      <c r="DA109" s="21" t="str">
        <f t="shared" si="213"/>
        <v xml:space="preserve">non-profits(6.25), </v>
      </c>
      <c r="DB109" s="21" t="str">
        <f t="shared" si="208"/>
        <v xml:space="preserve">scale 1
 </v>
      </c>
      <c r="DC109" s="21" t="str">
        <f t="shared" si="226"/>
        <v xml:space="preserve"> </v>
      </c>
      <c r="DD109" s="21" t="str">
        <f t="shared" si="210"/>
        <v xml:space="preserve"> </v>
      </c>
      <c r="DE109" s="21" t="str">
        <f t="shared" si="227"/>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09" s="21" t="str">
        <f t="shared" si="228"/>
        <v xml:space="preserve">profit-loss(1,6.25), network(1,), local biz(1,6.25), biz group(1,6.25), investors(1,6.25), entrepreneurs(1,6.25),  </v>
      </c>
      <c r="DG109" s="21" t="str">
        <f t="shared" si="213"/>
        <v xml:space="preserve">profit-loss(6.25),local biz(6.25),biz group(6.25),investors(6.25),entrepreneurs(6.25), </v>
      </c>
      <c r="DH109" s="21" t="str">
        <f t="shared" si="208"/>
        <v xml:space="preserve">software 1
scale 1
enthusiasm 1
scale 1
enthusiasm 1
network 1
non-profits 1
reputation 1
social project 1
 </v>
      </c>
      <c r="DI109" s="21" t="str">
        <f t="shared" si="229"/>
        <v xml:space="preserve"> </v>
      </c>
      <c r="DJ109" s="21" t="str">
        <f t="shared" si="210"/>
        <v xml:space="preserve"> </v>
      </c>
      <c r="DK109" s="21" t="str">
        <f t="shared" si="230"/>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09" s="21" t="str">
        <f t="shared" si="231"/>
        <v xml:space="preserve">field knowledge(1,12.5), network among members(1,12.5), reputation(1,6.25),  </v>
      </c>
      <c r="DM109" s="21" t="str">
        <f t="shared" si="213"/>
        <v xml:space="preserve">field knowledge(12.5),network among members(12.5),reputation(6.25), </v>
      </c>
      <c r="DN109" s="21" t="str">
        <f t="shared" si="208"/>
        <v xml:space="preserve">scale 1
enthusiasm 1
scale 1
enthusiasm 1
network 1
local biz 1
reputation 1
biz project 1
 </v>
      </c>
      <c r="DO109" s="21" t="str">
        <f t="shared" si="232"/>
        <v xml:space="preserve"> </v>
      </c>
      <c r="DP109" s="21" t="str">
        <f t="shared" si="210"/>
        <v xml:space="preserve"> </v>
      </c>
      <c r="DQ109" s="21" t="str">
        <f t="shared" si="233"/>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09" s="21" t="str">
        <f t="shared" si="234"/>
        <v xml:space="preserve">field knowledge(1,12.5), network among members(1,12.5), reputation(1,6.25),  </v>
      </c>
      <c r="DS109" s="21" t="str">
        <f t="shared" si="213"/>
        <v xml:space="preserve">field knowledge(12.5),network among members(12.5),reputation(6.25), </v>
      </c>
      <c r="DT109" s="21" t="str">
        <f t="shared" si="208"/>
        <v xml:space="preserve">scale 1
enthusiasm 1
scale 1
enthusiasm 1
network 1
reputation 1
 </v>
      </c>
      <c r="DU109" s="21" t="str">
        <f t="shared" si="235"/>
        <v xml:space="preserve"> </v>
      </c>
      <c r="DV109" s="21" t="str">
        <f t="shared" si="210"/>
        <v xml:space="preserve"> </v>
      </c>
      <c r="DW109"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09" s="21" t="str">
        <f t="shared" si="237"/>
        <v xml:space="preserve">enthusiasm(1,6.25), field knowledge(1,6.25), engineering knowledge(1,6.25), ambition(1,6.25), reputation(1,6.25), for basic literacy(1,6.25),  </v>
      </c>
      <c r="DY109" s="21" t="str">
        <f t="shared" si="213"/>
        <v xml:space="preserve">enthusiasm(6.25),field knowledge(6.25),engineering knowledge(6.25),ambition(6.25),reputation(6.25),for basic literacy(6.25), </v>
      </c>
      <c r="DZ109" s="21" t="str">
        <f t="shared" si="208"/>
        <v xml:space="preserve">scale 1
enthusiasm 1
scale 1
enthusiasm 1
network 1
reputation 1
 </v>
      </c>
      <c r="EA109" s="21" t="str">
        <f t="shared" si="238"/>
        <v xml:space="preserve"> </v>
      </c>
      <c r="EB109" s="21" t="str">
        <f t="shared" si="210"/>
        <v xml:space="preserve"> </v>
      </c>
      <c r="EC109"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09" s="21" t="str">
        <f t="shared" si="240"/>
        <v xml:space="preserve">enthusiasm(1,6.25), engineering knowledge(1,6.25), ambition(1,6.25), reputation(1,6.25), for basic literacy(1,6.25),  </v>
      </c>
      <c r="EE109" s="21" t="str">
        <f t="shared" si="213"/>
        <v xml:space="preserve">enthusiasm(6.25),engineering knowledge(6.25),ambition(6.25),reputation(6.25),for basic literacy(6.25), </v>
      </c>
      <c r="EF109" s="21" t="str">
        <f t="shared" si="208"/>
        <v xml:space="preserve">scale 2
enthusiasm 2
technologists 1
reputation 1
 </v>
      </c>
      <c r="EG109" s="21" t="str">
        <f t="shared" si="241"/>
        <v xml:space="preserve">web(1,50), mobile apps(1,50), interaction(1,50),  </v>
      </c>
      <c r="EH109" s="21" t="str">
        <f t="shared" si="210"/>
        <v xml:space="preserve">web 50
mobile apps 50
interaction 50
 </v>
      </c>
      <c r="EI109"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09" s="21" t="str">
        <f t="shared" si="243"/>
        <v xml:space="preserve">engineering knowledge(1,6.25), technologists(1,12.5), infrastructrue(1,12.5), database(1,12.5), mobile comm(1,12.5), for entrepreneurs(1,6.25),  </v>
      </c>
      <c r="EK109" s="21" t="str">
        <f t="shared" si="213"/>
        <v xml:space="preserve">engineering knowledge(6.25),technologists(12.5),infrastructrue(12.5),database(12.5),mobile comm(12.5),for entrepreneurs(6.25), </v>
      </c>
      <c r="EL109" s="21" t="str">
        <f t="shared" si="244"/>
        <v xml:space="preserve">scale 2
enthusiasm 2
technologists 1
reputation 1
 </v>
      </c>
      <c r="EM109" s="21" t="str">
        <f t="shared" si="245"/>
        <v xml:space="preserve">sensors(1,50),  </v>
      </c>
      <c r="EN109" s="21" t="str">
        <f t="shared" si="246"/>
        <v xml:space="preserve">sensors 50
 </v>
      </c>
      <c r="EO109"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09" s="21" t="str">
        <f t="shared" si="248"/>
        <v xml:space="preserve">engineering knowledge(1,6.25), technologists(1,12.5), infrastructrue(1,12.5), database(1,12.5), mobile comm(1,12.5), electronics(1,6.25), for entrepreneurs(1,6.25),  </v>
      </c>
      <c r="EQ109" s="21" t="str">
        <f t="shared" si="249"/>
        <v xml:space="preserve">engineering knowledge(6.25),technologists(12.5),infrastructrue(12.5),database(12.5),mobile comm(12.5),electronics(6.25),for entrepreneurs(6.25), </v>
      </c>
      <c r="ER109" s="21" t="str">
        <f t="shared" si="244"/>
        <v xml:space="preserve">software 1
servers 1
scale 2
enthusiasm 2
technologists 1
 </v>
      </c>
      <c r="ES109" s="21" t="str">
        <f t="shared" si="250"/>
        <v xml:space="preserve">AI&amp; data analysis(1,50),  </v>
      </c>
      <c r="ET109" s="21" t="str">
        <f t="shared" si="246"/>
        <v xml:space="preserve">AI&amp; data analysis 50
 </v>
      </c>
      <c r="EU109"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09" s="21" t="str">
        <f t="shared" si="252"/>
        <v xml:space="preserve">engineering knowledge(1,6.25), technologists(1,12.5), database(1,12.5), sensors(1,12.5), mobile comm(1,12.5), for entrepreneurs(1,6.25),  </v>
      </c>
      <c r="EW109" s="21" t="str">
        <f t="shared" si="249"/>
        <v xml:space="preserve">engineering knowledge(6.25),technologists(12.5),database(12.5),sensors(12.5),mobile comm(12.5),for entrepreneurs(6.25), </v>
      </c>
      <c r="EX109" s="21" t="str">
        <f t="shared" si="244"/>
        <v xml:space="preserve">software 1
servers 1
scale 2
enthusiasm 2
technologists 1
 </v>
      </c>
      <c r="EY109" s="21" t="str">
        <f t="shared" si="253"/>
        <v xml:space="preserve">law(1,50), security(1,50), interaction(1,25),  </v>
      </c>
      <c r="EZ109" s="21" t="str">
        <f t="shared" si="246"/>
        <v xml:space="preserve">law 50
security 50
interaction 25
 </v>
      </c>
      <c r="FA109"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09" s="21" t="str">
        <f t="shared" si="255"/>
        <v xml:space="preserve">field knowledge(1,6.25), engineering knowledge(1,6.25), technologists(1,12.5), law(1,6.25), database(1,12.5), mobile apps(1,12.5), security(1,12.5), mobile comm(1,12.5), for entrepreneurs(1,6.25),  </v>
      </c>
      <c r="FC109" s="21" t="str">
        <f t="shared" si="249"/>
        <v xml:space="preserve">field knowledge(6.25),engineering knowledge(6.25),technologists(12.5),law(6.25),database(12.5),mobile apps(12.5),security(12.5),mobile comm(12.5),for entrepreneurs(6.25), </v>
      </c>
      <c r="FD109" s="21" t="str">
        <f t="shared" si="244"/>
        <v xml:space="preserve">software 1
servers 1
scale 2
enthusiasm 2
technologists 1
 </v>
      </c>
      <c r="FE109" s="21" t="str">
        <f t="shared" si="256"/>
        <v xml:space="preserve">law(1,50), sensors(1,50), security(1,50),  </v>
      </c>
      <c r="FF109" s="21" t="str">
        <f t="shared" si="246"/>
        <v xml:space="preserve">law 50
sensors 50
security 50
 </v>
      </c>
      <c r="FG109"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09" s="21" t="str">
        <f t="shared" si="258"/>
        <v xml:space="preserve">field knowledge(1,6.25), engineering knowledge(1,6.25), technologists(1,12.5), law(1,6.25), database(1,6.25), mobile apps(1,6.25), AI&amp; data analysis(1,6.25), mobile comm(1,6.25), for entrepreneurs(1,6.25),  </v>
      </c>
      <c r="FI109" s="21" t="str">
        <f t="shared" si="249"/>
        <v xml:space="preserve">field knowledge(6.25),engineering knowledge(6.25),technologists(12.5),law(6.25),database(6.25),mobile apps(6.25),AI&amp; data analysis(6.25),mobile comm(6.25),for entrepreneurs(6.25), </v>
      </c>
      <c r="FJ109" s="21" t="str">
        <f t="shared" si="244"/>
        <v xml:space="preserve">software 1
servers 1
scale 2
enthusiasm 2
technologists 1
 </v>
      </c>
      <c r="FK109" s="21" t="str">
        <f t="shared" si="259"/>
        <v xml:space="preserve">wood processing(1,25), metal processing(1,25), plastic processing(1,25), fabric(1,25), safety(1,25), interaction(1,25),  </v>
      </c>
      <c r="FL109" s="21" t="str">
        <f t="shared" si="246"/>
        <v xml:space="preserve">project management 2
wood processing 25
metal processing 25
plastic processing 25
fabric 25
safety 25
interaction 25
 </v>
      </c>
      <c r="FM109"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09" s="21" t="str">
        <f t="shared" si="261"/>
        <v xml:space="preserve">field knowledge(1,6.25), engineering knowledge(1,6.25), technologists(1,12.5), for entrepreneurs(1,6.25),  </v>
      </c>
      <c r="FO109" s="21" t="str">
        <f t="shared" si="249"/>
        <v xml:space="preserve">field knowledge(6.25),engineering knowledge(6.25),technologists(12.5),for entrepreneurs(6.25), </v>
      </c>
      <c r="FP109" s="21" t="str">
        <f t="shared" si="244"/>
        <v xml:space="preserve">software 1
servers 1
scale 2
enthusiasm 2
technologists 1
 </v>
      </c>
      <c r="FQ109" s="21" t="str">
        <f t="shared" si="262"/>
        <v xml:space="preserve">web(1,25), mobile apps(1,50), functions(1,25), interaction(1,25),  </v>
      </c>
      <c r="FR109" s="21" t="str">
        <f t="shared" si="246"/>
        <v xml:space="preserve">web 25
mobile apps 50
functions 25
interaction 25
 </v>
      </c>
      <c r="FS109"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09" s="21" t="str">
        <f t="shared" si="264"/>
        <v xml:space="preserve">field knowledge(1,6.25), engineering knowledge(1,6.25), technologists(1,12.5), for entrepreneurs(1,6.25),  </v>
      </c>
      <c r="FU109" s="21" t="str">
        <f t="shared" si="249"/>
        <v xml:space="preserve">field knowledge(6.25),engineering knowledge(6.25),technologists(12.5),for entrepreneurs(6.25), </v>
      </c>
      <c r="FV109" s="21" t="str">
        <f t="shared" si="244"/>
        <v xml:space="preserve">software 1
servers 1
scale 2
enthusiasm 2
technologists 1
 </v>
      </c>
      <c r="FW109" s="21" t="str">
        <f t="shared" si="265"/>
        <v xml:space="preserve">mobile apps(1,50), sensors(1,50), wood processing(1,25), plastic processing(1,25), electronics(1,25), functions(1,25), interaction(1,25),  </v>
      </c>
      <c r="FX109" s="21" t="str">
        <f t="shared" si="246"/>
        <v xml:space="preserve">mobile apps 50
sensors 50
wood processing 25
plastic processing 25
electronics 25
functions 25
interaction 25
 </v>
      </c>
      <c r="FY109"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09" s="21" t="str">
        <f t="shared" si="267"/>
        <v xml:space="preserve">field knowledge(1,6.25), engineering knowledge(1,6.25), technologists(1,12.5), web(1,6.25), database(1,6.25), AI&amp; data analysis(1,6.25), mobile comm(1,6.25), for entrepreneurs(1,6.25),  </v>
      </c>
      <c r="GA109" s="21" t="str">
        <f t="shared" si="249"/>
        <v xml:space="preserve">field knowledge(6.25),engineering knowledge(6.25),technologists(12.5),web(6.25),database(6.25),AI&amp; data analysis(6.25),mobile comm(6.25),for entrepreneurs(6.25), </v>
      </c>
      <c r="GB109" s="21" t="str">
        <f t="shared" si="244"/>
        <v xml:space="preserve">software 1
servers 1
scale 2
enthusiasm 2
technologists 1
 </v>
      </c>
      <c r="GC109" s="21" t="str">
        <f t="shared" si="268"/>
        <v xml:space="preserve">sensors(1,25), mobile comm(1,25), electronics(1,50), functions(1,25), safety(1,25),  </v>
      </c>
      <c r="GD109" s="21" t="str">
        <f t="shared" si="246"/>
        <v xml:space="preserve">sensors 25
mobile comm 25
electronics 50
functions 25
safety 25
 </v>
      </c>
      <c r="GE109"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09" s="21" t="str">
        <f t="shared" si="270"/>
        <v xml:space="preserve">field knowledge(1,6.25), engineering knowledge(1,6.25), technologists(1,12.5), database(1,6.25), mobile apps(1,6.25), AI&amp; data analysis(1,6.25), plastic processing(1,6.25), interaction(1,6.25), for entrepreneurs(1,6.25),  </v>
      </c>
      <c r="GG109" s="21" t="str">
        <f t="shared" si="249"/>
        <v xml:space="preserve">field knowledge(6.25),engineering knowledge(6.25),technologists(12.5),database(6.25),mobile apps(6.25),AI&amp; data analysis(6.25),plastic processing(6.25),interaction(6.25),for entrepreneurs(6.25), </v>
      </c>
      <c r="GH109" s="21" t="str">
        <f t="shared" si="244"/>
        <v xml:space="preserve">software 1
servers 1
scale 2
enthusiasm 2
technologists 1
 </v>
      </c>
      <c r="GI109" s="21" t="str">
        <f t="shared" si="271"/>
        <v xml:space="preserve">web(1,25), mobile apps(1,50), functions(1,25), interaction(1,25),  </v>
      </c>
      <c r="GJ109" s="21" t="str">
        <f t="shared" si="246"/>
        <v xml:space="preserve">web 25
mobile apps 50
functions 25
interaction 25
 </v>
      </c>
      <c r="GK109"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09" s="21" t="str">
        <f t="shared" si="273"/>
        <v xml:space="preserve">field knowledge(1,6.25), engineering knowledge(1,6.25), technologists(1,12.5), for entrepreneurs(1,6.25),  </v>
      </c>
      <c r="GM109" s="21" t="str">
        <f t="shared" si="249"/>
        <v xml:space="preserve">field knowledge(6.25),engineering knowledge(6.25),technologists(12.5),for entrepreneurs(6.25), </v>
      </c>
      <c r="GN109" s="21" t="str">
        <f t="shared" si="244"/>
        <v xml:space="preserve">software 1
servers 1
scale 2
enthusiasm 2
technologists 1
 </v>
      </c>
      <c r="GO109" s="21" t="str">
        <f t="shared" si="274"/>
        <v xml:space="preserve">web(1,25), mobile apps(1,25), VR&amp;AR(1,25), aesthetics(1,25), functions(1,25), interaction(1,50),  </v>
      </c>
      <c r="GP109" s="21" t="str">
        <f t="shared" si="246"/>
        <v xml:space="preserve">web 25
mobile apps 25
VR&amp;AR 25
aesthetics 25
functions 25
interaction 50
 </v>
      </c>
      <c r="GQ109"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09" s="21" t="str">
        <f t="shared" si="276"/>
        <v xml:space="preserve">field knowledge(1,6.25), technologists(1,12.5), for entrepreneurs(1,6.25),  </v>
      </c>
      <c r="GS109" s="21" t="str">
        <f t="shared" si="249"/>
        <v xml:space="preserve">field knowledge(6.25),technologists(12.5),for entrepreneurs(6.25), </v>
      </c>
      <c r="GT109" s="21" t="str">
        <f t="shared" si="244"/>
        <v xml:space="preserve">software 1
servers 2
scale 3
scale 2
ease of access 1
reputation 2
web 1
mobile apps 1
mobile comm 1
 </v>
      </c>
      <c r="GU109" s="21" t="str">
        <f t="shared" si="277"/>
        <v xml:space="preserve">software(1,),  </v>
      </c>
      <c r="GV109" s="21" t="str">
        <f t="shared" si="246"/>
        <v xml:space="preserve"> </v>
      </c>
      <c r="GW109"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09"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09"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09" s="21" t="str">
        <f t="shared" si="280"/>
        <v xml:space="preserve">software 1
plastic 1
electronics 1
fabric 1
scale 2
enthusiasm 2
scale 2
enthusiasm 2
network 1
govt 1
non-profits 1
reputation 2
portfolio 1
 </v>
      </c>
      <c r="HA109" s="21" t="str">
        <f t="shared" si="281"/>
        <v xml:space="preserve"> </v>
      </c>
      <c r="HB109" s="21" t="str">
        <f t="shared" si="282"/>
        <v xml:space="preserve"> </v>
      </c>
      <c r="HC109"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09" s="21" t="str">
        <f t="shared" si="284"/>
        <v xml:space="preserve">scale(1,6.25), enthusiasm(1,6.25), learning capacities(1,6.25), field knowledge(1,6.25), enthusiasm(1,6.25), media(1,6.25), technologists(1,6.25), non-profits(1,6.25), reputation(1,6.25), start-up with customers(1,6.25), for basic literacy(1,6.25),  </v>
      </c>
      <c r="HE109" s="21" t="str">
        <f t="shared" si="285"/>
        <v xml:space="preserve">scale(6.25),enthusiasm(6.25),learning capacities(6.25),field knowledge(6.25),enthusiasm(6.25),media(6.25),technologists(6.25),non-profits(6.25),reputation(6.25),start-up with customers(6.25),for basic literacy(6.25), </v>
      </c>
      <c r="HF109" s="21" t="str">
        <f t="shared" si="280"/>
        <v xml:space="preserve"> </v>
      </c>
      <c r="HG109" s="21" t="str">
        <f t="shared" si="286"/>
        <v xml:space="preserve">scale(2,), enthusiasm(2,),  </v>
      </c>
      <c r="HH109" s="21" t="str">
        <f t="shared" si="282"/>
        <v xml:space="preserve"> </v>
      </c>
      <c r="HI109"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09" s="21" t="str">
        <f t="shared" si="288"/>
        <v xml:space="preserve">scale(1,6.25), enthusiasm(1,6.25), learning capacities(1,6.25), network among members(1,6.25), enthusiasm(1,6.25), fun-ness(1,6.25), seriousness(1,6.25), govt(1,6.25), media(1,6.25), non-profits(1,6.25), start-up with customers(1,6.25),  </v>
      </c>
      <c r="HK109" s="21" t="str">
        <f t="shared" si="285"/>
        <v xml:space="preserve">scale(6.25),enthusiasm(6.25),learning capacities(6.25),network among members(6.25),enthusiasm(6.25),fun-ness(6.25),seriousness(6.25),govt(6.25),media(6.25),non-profits(6.25),start-up with customers(6.25), </v>
      </c>
      <c r="HL109" s="21" t="str">
        <f t="shared" si="280"/>
        <v xml:space="preserve">scale 2
scale 2
community manager 1
PR 1
administrator 1
local biz 1
entrepreneurs 1
non-profits 1
reputation 2
portfolio 2
 </v>
      </c>
      <c r="HM109" s="21" t="str">
        <f t="shared" si="289"/>
        <v xml:space="preserve">scale(1,25), enthusiasm(1,25), network among members(1,25), scale(1,25), enthusiasm(1,25), ambition(1,25), fun-ness(1,25), seriousness(1,25),  </v>
      </c>
      <c r="HN109" s="21" t="str">
        <f t="shared" si="282"/>
        <v xml:space="preserve">scale 25
enthusiasm 25
network among members 25
scale 25
enthusiasm 25
ambition 25
fun-ness 25
seriousness 25
 </v>
      </c>
      <c r="HO109"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09"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09" s="47" t="str">
        <f t="shared" si="285"/>
        <v xml:space="preserve">scale(6.25),enthusiasm(6.25),enthusiasm(6.25),fun-ness(6.25),enthusiasm(6.25),level of understanding(6.25),local biz(6.25),biz group(6.25),govt(6.25),investors(6.25),media(6.25),entrepreneurs(6.25),technologists(6.25),suppliers(6.25),non-profits(6.25),reputation(6.25), </v>
      </c>
      <c r="HR109" s="47" t="str">
        <f t="shared" ref="HR109:HW109" si="306">IF(HR7="",HR110,$C109&amp;"("&amp;HR7&amp;"),"&amp;HR110)</f>
        <v xml:space="preserve">software(1),servers(1),wood(1),metal(1),plastic(1),electronics(1),scale(2),enthusiasm(2),engineering knowledge(2),scale(2),enthusiasm(2),reputation(2),portfolio(2),mobile apps(1),sensors(1),wood processing(1),aesthetics(1), </v>
      </c>
      <c r="HS109" s="47" t="str">
        <f t="shared" si="306"/>
        <v xml:space="preserve"> </v>
      </c>
      <c r="HT109" s="47" t="str">
        <f t="shared" si="306"/>
        <v xml:space="preserve"> </v>
      </c>
      <c r="HU109" s="47" t="str">
        <f t="shared" si="30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09" s="47" t="str">
        <f t="shared" si="306"/>
        <v xml:space="preserve">gifted programmer(1),local biz(1),biz group(1),govt(1),investors(1),media(1),entrepreneurs(1),technologists(1),suppliers(1),non-profits(1),reputation(1), </v>
      </c>
      <c r="HW109" s="47" t="str">
        <f t="shared" si="306"/>
        <v xml:space="preserve">gifted programmer(6.25),local biz(6.25),biz group(6.25),govt(6.25),investors(6.25),media(6.25),entrepreneurs(6.25),technologists(12.5),suppliers(6.25),non-profits(6.25),reputation(6.25), </v>
      </c>
      <c r="HX109" s="47" t="str">
        <f t="shared" ref="HX109:IU109" si="307">IF(HX7="",HX110,$C109&amp;"("&amp;HX7&amp;"),"&amp;HX110)</f>
        <v xml:space="preserve">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09" s="47" t="str">
        <f t="shared" si="307"/>
        <v xml:space="preserve">biz enhancement(1), </v>
      </c>
      <c r="HZ109" s="47" t="str">
        <f t="shared" si="307"/>
        <v xml:space="preserve">biz enhancement(100), </v>
      </c>
      <c r="IA109" s="47" t="str">
        <f t="shared" si="307"/>
        <v xml:space="preserve">community manager(1),PR(1),finance(1),administrator(1),enthusiasm(2),network(2),ambition(2),knowledge(2),spaciousness(2),ease of access(3),efficiency(2),portfolio(4),finance(2),business model(2),marketing(3),team building(2),project management(2),social media(3),negotiation(3), </v>
      </c>
      <c r="IB109" s="47" t="str">
        <f t="shared" si="30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09" s="47" t="str">
        <f t="shared" si="30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09" s="47" t="str">
        <f t="shared" si="307"/>
        <v xml:space="preserve">software(2),servers(2),scale(2),enthusiasm(2),engineering knowledge(1),scale(1),technologists(2), </v>
      </c>
      <c r="IE109" s="47" t="str">
        <f t="shared" si="307"/>
        <v xml:space="preserve">engineering knowledge(1),web(1),mobile apps(1),security(1),AI&amp; data analysis(1), </v>
      </c>
      <c r="IF109" s="47" t="str">
        <f t="shared" si="307"/>
        <v xml:space="preserve">engineering knowledge(25),web(25),mobile apps(25),security(25),AI&amp; data analysis(25), </v>
      </c>
      <c r="IG109" s="47" t="str">
        <f t="shared" si="30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09" s="47" t="str">
        <f t="shared" si="307"/>
        <v xml:space="preserve">engineering knowledge(1),technologists(1),web(1),database(1),mobile apps(1),security(1),AI&amp; data analysis(1), </v>
      </c>
      <c r="II109" s="47" t="str">
        <f t="shared" si="307"/>
        <v xml:space="preserve">engineering knowledge(6.25),technologists(6.25),web(6.25),database(6.25),mobile apps(6.25),security(6.25),AI&amp; data analysis(6.25), </v>
      </c>
      <c r="IJ109" s="47" t="str">
        <f t="shared" si="307"/>
        <v xml:space="preserve">metal(1),scale(2),enthusiasm(2),engineering knowledge(1),scale(1),technologists(2), </v>
      </c>
      <c r="IK109" s="47" t="str">
        <f t="shared" si="307"/>
        <v xml:space="preserve">engineering knowledge(1),wood processing(1),metal processing(1),functions(1),safety(1), </v>
      </c>
      <c r="IL109" s="47" t="str">
        <f t="shared" si="307"/>
        <v xml:space="preserve">engineering knowledge(25),wood processing(25),metal processing(25),functions(25),safety(25), </v>
      </c>
      <c r="IM109" s="47" t="str">
        <f t="shared" si="30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09" s="47" t="str">
        <f t="shared" si="307"/>
        <v xml:space="preserve">engineering knowledge(1),technologists(1),wood processing(1),metal processing(1),functions(1),safety(1),interaction(1), </v>
      </c>
      <c r="IO109" s="47" t="str">
        <f t="shared" si="307"/>
        <v xml:space="preserve">engineering knowledge(6.25),technologists(6.25),wood processing(6.25),metal processing(6.25),functions(6.25),safety(6.25),interaction(6.25), </v>
      </c>
      <c r="IP109" s="57" t="str">
        <f t="shared" si="307"/>
        <v xml:space="preserve">scale(2),enthusiasm(2),learning capacities(1),scale(2),local biz(2),reputation(1), </v>
      </c>
      <c r="IQ109" s="47" t="str">
        <f t="shared" si="307"/>
        <v xml:space="preserve">field knowledge(1),network among members(1),local biz(1),marketing(1), </v>
      </c>
      <c r="IR109" s="47" t="str">
        <f t="shared" si="307"/>
        <v xml:space="preserve">field knowledge(100),network among members(25),local biz(25),marketing(25), </v>
      </c>
      <c r="IS109" s="47" t="str">
        <f t="shared" si="30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09" s="47" t="str">
        <f t="shared" si="307"/>
        <v xml:space="preserve">field knowledge(1),network among members(1),enthusiasm(1),fun-ness(1),seriousness(1),local biz(1),biz group(1),govt(1),non-profits(1),marketing(1), </v>
      </c>
      <c r="IU109" s="47" t="str">
        <f t="shared" si="307"/>
        <v xml:space="preserve">field knowledge(6.25),network among members(6.25),enthusiasm(6.25),fun-ness(6.25),seriousness(6.25),local biz(6.25),biz group(6.25),govt(6.25),non-profits(6.25),marketing(6.25), </v>
      </c>
      <c r="IV109" s="57" t="str">
        <f t="shared" ref="IV109:LG109" si="308">IF(IV7="",IV110,$C109&amp;"("&amp;IV7&amp;"),"&amp;IV110)</f>
        <v xml:space="preserve">scale(2),enthusiasm(2),learning capacities(1),scale(2),local biz(2),reputation(1), </v>
      </c>
      <c r="IW109" s="47" t="str">
        <f t="shared" si="308"/>
        <v xml:space="preserve">field knowledge(1),network among members(1),local biz(1),marketing(1), </v>
      </c>
      <c r="IX109" s="47" t="str">
        <f t="shared" si="308"/>
        <v xml:space="preserve">field knowledge(100),network among members(25),local biz(25),marketing(25), </v>
      </c>
      <c r="IY109" s="47" t="str">
        <f t="shared" si="30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09" s="47" t="str">
        <f t="shared" si="308"/>
        <v xml:space="preserve">field knowledge(1),network among members(1),enthusiasm(1),fun-ness(1),seriousness(1),local biz(1),biz group(1),govt(1),marketing(1), </v>
      </c>
      <c r="JA109" s="47" t="str">
        <f t="shared" si="308"/>
        <v xml:space="preserve">field knowledge(6.25),network among members(6.25),enthusiasm(6.25),fun-ness(6.25),seriousness(6.25),local biz(6.25),biz group(6.25),govt(6.25),marketing(6.25), </v>
      </c>
      <c r="JB109" s="47" t="str">
        <f t="shared" si="308"/>
        <v xml:space="preserve">software(1),servers(1),wood(1),metal(1),plastic(1),electronics(1),fabric(1),scale(2),enthusiasm(1),scale(1),enthusiasm(2), </v>
      </c>
      <c r="JC109" s="47" t="str">
        <f t="shared" si="308"/>
        <v xml:space="preserve">engineering knowledge(1), </v>
      </c>
      <c r="JD109" s="47" t="str">
        <f t="shared" si="308"/>
        <v xml:space="preserve">engineering knowledge(50), </v>
      </c>
      <c r="JE109" s="47" t="str">
        <f t="shared" si="308"/>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09" s="47" t="str">
        <f t="shared" si="30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09" s="47" t="str">
        <f t="shared" si="30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09" s="47" t="str">
        <f t="shared" si="308"/>
        <v xml:space="preserve">scale(1),scale(1),enthusiasm(1),enthusiasm(1),local biz(1),non-profits(1),reputation(2), </v>
      </c>
      <c r="JI109" s="47" t="str">
        <f t="shared" si="308"/>
        <v xml:space="preserve"> </v>
      </c>
      <c r="JJ109" s="47" t="str">
        <f t="shared" si="308"/>
        <v xml:space="preserve"> </v>
      </c>
      <c r="JK109" s="47" t="str">
        <f t="shared" si="30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09" s="47" t="str">
        <f t="shared" si="308"/>
        <v xml:space="preserve">non-profits(1), </v>
      </c>
      <c r="JM109" s="47" t="str">
        <f t="shared" si="308"/>
        <v xml:space="preserve">non-profits(6.25), </v>
      </c>
      <c r="JN109" s="47" t="str">
        <f t="shared" si="308"/>
        <v xml:space="preserve">scale(2),enthusiasm(2),scale(2),enthusiasm(2),enthusiasm(1),network(1),local biz(1),investors(1),entrepreneurs(1),technologists(1),non-profits(1),reputation(2),portfolio(2), </v>
      </c>
      <c r="JO109" s="47" t="str">
        <f t="shared" si="308"/>
        <v xml:space="preserve"> </v>
      </c>
      <c r="JP109" s="47" t="str">
        <f t="shared" si="308"/>
        <v xml:space="preserve"> </v>
      </c>
      <c r="JQ109" s="47" t="str">
        <f t="shared" si="30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09" s="47" t="str">
        <f t="shared" si="308"/>
        <v xml:space="preserve"> </v>
      </c>
      <c r="JS109" s="47" t="str">
        <f t="shared" si="308"/>
        <v xml:space="preserve"> </v>
      </c>
      <c r="JT109" s="47" t="str">
        <f t="shared" si="308"/>
        <v xml:space="preserve">scale(3),enthusiasm(3),PR(1),administrator(1),enthusiasm(2),network(2),local biz(2),biz group(1),govt(2),investors(2),entrepreneurs(2),technologists(2),non-profits(2),reputation(2),portfolio(3), </v>
      </c>
      <c r="JU109" s="47" t="str">
        <f t="shared" si="308"/>
        <v xml:space="preserve"> </v>
      </c>
      <c r="JV109" s="47" t="str">
        <f t="shared" si="308"/>
        <v xml:space="preserve"> </v>
      </c>
      <c r="JW109" s="47" t="str">
        <f t="shared" si="30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09" s="47" t="str">
        <f t="shared" si="308"/>
        <v xml:space="preserve"> </v>
      </c>
      <c r="JY109" s="47" t="str">
        <f t="shared" si="308"/>
        <v xml:space="preserve"> </v>
      </c>
      <c r="JZ109" s="47" t="str">
        <f t="shared" si="308"/>
        <v xml:space="preserve">scale(1),enthusiasm(1),scale(1),enthusiasm(2),network(1),non-profits(1),reputation(2),social project(2), </v>
      </c>
      <c r="KA109" s="47" t="str">
        <f t="shared" si="308"/>
        <v xml:space="preserve">non-profits(1), </v>
      </c>
      <c r="KB109" s="47" t="str">
        <f t="shared" si="308"/>
        <v xml:space="preserve">non-profits(25), </v>
      </c>
      <c r="KC109" s="47" t="str">
        <f t="shared" si="30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09" s="47" t="str">
        <f t="shared" si="308"/>
        <v xml:space="preserve">non-profits(1), </v>
      </c>
      <c r="KE109" s="47" t="str">
        <f t="shared" si="308"/>
        <v xml:space="preserve">non-profits(6.25), </v>
      </c>
      <c r="KF109" s="47" t="str">
        <f t="shared" si="308"/>
        <v xml:space="preserve"> </v>
      </c>
      <c r="KG109" s="47" t="str">
        <f t="shared" si="308"/>
        <v xml:space="preserve"> </v>
      </c>
      <c r="KH109" s="47" t="str">
        <f t="shared" si="308"/>
        <v xml:space="preserve"> </v>
      </c>
      <c r="KI109" s="47" t="str">
        <f t="shared" si="308"/>
        <v xml:space="preserve"> </v>
      </c>
      <c r="KJ109" s="47" t="str">
        <f t="shared" si="308"/>
        <v xml:space="preserve"> </v>
      </c>
      <c r="KK109" s="47" t="str">
        <f t="shared" si="308"/>
        <v xml:space="preserve"> </v>
      </c>
      <c r="KL109" s="57" t="str">
        <f t="shared" si="308"/>
        <v xml:space="preserve"> </v>
      </c>
      <c r="KM109" s="47" t="str">
        <f t="shared" si="308"/>
        <v xml:space="preserve"> </v>
      </c>
      <c r="KN109" s="47" t="str">
        <f t="shared" si="308"/>
        <v xml:space="preserve"> </v>
      </c>
      <c r="KO109" s="47" t="str">
        <f t="shared" si="308"/>
        <v xml:space="preserve"> </v>
      </c>
      <c r="KP109" s="47" t="str">
        <f t="shared" si="308"/>
        <v xml:space="preserve"> </v>
      </c>
      <c r="KQ109" s="47" t="str">
        <f t="shared" si="308"/>
        <v xml:space="preserve"> </v>
      </c>
      <c r="KR109" s="57" t="str">
        <f t="shared" si="308"/>
        <v xml:space="preserve"> </v>
      </c>
      <c r="KS109" s="47" t="str">
        <f t="shared" si="308"/>
        <v xml:space="preserve"> </v>
      </c>
      <c r="KT109" s="47" t="str">
        <f t="shared" si="308"/>
        <v xml:space="preserve"> </v>
      </c>
      <c r="KU109" s="47" t="str">
        <f t="shared" si="308"/>
        <v xml:space="preserve"> </v>
      </c>
      <c r="KV109" s="47" t="str">
        <f t="shared" si="308"/>
        <v xml:space="preserve"> </v>
      </c>
      <c r="KW109" s="47" t="str">
        <f t="shared" si="308"/>
        <v xml:space="preserve"> </v>
      </c>
      <c r="KX109" s="57" t="str">
        <f t="shared" si="308"/>
        <v xml:space="preserve"> </v>
      </c>
      <c r="KY109" s="47" t="str">
        <f t="shared" si="308"/>
        <v xml:space="preserve"> </v>
      </c>
      <c r="KZ109" s="47" t="str">
        <f t="shared" si="308"/>
        <v xml:space="preserve"> </v>
      </c>
      <c r="LA109" s="47" t="str">
        <f t="shared" si="308"/>
        <v xml:space="preserve"> </v>
      </c>
      <c r="LB109" s="47" t="str">
        <f t="shared" si="308"/>
        <v xml:space="preserve"> </v>
      </c>
      <c r="LC109" s="47" t="str">
        <f t="shared" si="308"/>
        <v xml:space="preserve"> </v>
      </c>
      <c r="LD109" s="57" t="str">
        <f t="shared" si="308"/>
        <v xml:space="preserve"> </v>
      </c>
      <c r="LE109" s="47" t="str">
        <f t="shared" si="308"/>
        <v xml:space="preserve"> </v>
      </c>
      <c r="LF109" s="47" t="str">
        <f t="shared" si="308"/>
        <v xml:space="preserve"> </v>
      </c>
      <c r="LG109" s="47" t="str">
        <f t="shared" si="308"/>
        <v xml:space="preserve"> </v>
      </c>
      <c r="LH109" s="47" t="str">
        <f t="shared" ref="LH109:NM109" si="309">IF(LH7="",LH110,$C109&amp;"("&amp;LH7&amp;"),"&amp;LH110)</f>
        <v xml:space="preserve"> </v>
      </c>
      <c r="LI109" s="47" t="str">
        <f t="shared" si="309"/>
        <v xml:space="preserve"> </v>
      </c>
      <c r="LJ109" s="57" t="str">
        <f t="shared" si="309"/>
        <v xml:space="preserve"> </v>
      </c>
      <c r="LK109" s="47" t="str">
        <f t="shared" si="309"/>
        <v xml:space="preserve"> </v>
      </c>
      <c r="LL109" s="47" t="str">
        <f t="shared" si="309"/>
        <v xml:space="preserve"> </v>
      </c>
      <c r="LM109" s="47" t="str">
        <f t="shared" si="309"/>
        <v xml:space="preserve"> </v>
      </c>
      <c r="LN109" s="47" t="str">
        <f t="shared" si="309"/>
        <v xml:space="preserve"> </v>
      </c>
      <c r="LO109" s="47" t="str">
        <f t="shared" si="309"/>
        <v xml:space="preserve"> </v>
      </c>
      <c r="LP109" s="57" t="str">
        <f t="shared" si="309"/>
        <v xml:space="preserve"> </v>
      </c>
      <c r="LQ109" s="47" t="str">
        <f t="shared" si="309"/>
        <v xml:space="preserve"> </v>
      </c>
      <c r="LR109" s="47" t="str">
        <f t="shared" si="309"/>
        <v xml:space="preserve"> </v>
      </c>
      <c r="LS109" s="47" t="str">
        <f t="shared" si="309"/>
        <v xml:space="preserve"> </v>
      </c>
      <c r="LT109" s="47" t="str">
        <f t="shared" si="309"/>
        <v xml:space="preserve"> </v>
      </c>
      <c r="LU109" s="47" t="str">
        <f t="shared" si="309"/>
        <v xml:space="preserve"> </v>
      </c>
      <c r="LV109" s="57" t="str">
        <f t="shared" si="309"/>
        <v xml:space="preserve"> </v>
      </c>
      <c r="LW109" s="47" t="str">
        <f t="shared" si="309"/>
        <v xml:space="preserve"> </v>
      </c>
      <c r="LX109" s="47" t="str">
        <f t="shared" si="309"/>
        <v xml:space="preserve"> </v>
      </c>
      <c r="LY109" s="47" t="str">
        <f t="shared" si="309"/>
        <v xml:space="preserve"> </v>
      </c>
      <c r="LZ109" s="47" t="str">
        <f t="shared" si="309"/>
        <v xml:space="preserve"> </v>
      </c>
      <c r="MA109" s="47" t="str">
        <f t="shared" si="309"/>
        <v xml:space="preserve"> </v>
      </c>
      <c r="MB109" s="57" t="str">
        <f t="shared" si="309"/>
        <v xml:space="preserve"> </v>
      </c>
      <c r="MC109" s="47" t="str">
        <f t="shared" si="309"/>
        <v xml:space="preserve"> </v>
      </c>
      <c r="MD109" s="47" t="str">
        <f t="shared" si="309"/>
        <v xml:space="preserve"> </v>
      </c>
      <c r="ME109" s="47" t="str">
        <f t="shared" si="309"/>
        <v xml:space="preserve"> </v>
      </c>
      <c r="MF109" s="47" t="str">
        <f t="shared" si="309"/>
        <v xml:space="preserve"> </v>
      </c>
      <c r="MG109" s="47" t="str">
        <f t="shared" si="309"/>
        <v xml:space="preserve"> </v>
      </c>
      <c r="MH109" s="57" t="str">
        <f t="shared" si="309"/>
        <v xml:space="preserve"> </v>
      </c>
      <c r="MI109" s="47" t="str">
        <f t="shared" si="309"/>
        <v xml:space="preserve"> </v>
      </c>
      <c r="MJ109" s="47" t="str">
        <f t="shared" si="309"/>
        <v xml:space="preserve"> </v>
      </c>
      <c r="MK109" s="47" t="str">
        <f t="shared" si="309"/>
        <v xml:space="preserve"> </v>
      </c>
      <c r="ML109" s="47" t="str">
        <f t="shared" si="309"/>
        <v xml:space="preserve"> </v>
      </c>
      <c r="MM109" s="47" t="str">
        <f t="shared" si="309"/>
        <v xml:space="preserve"> </v>
      </c>
      <c r="MN109" s="57" t="str">
        <f t="shared" si="309"/>
        <v xml:space="preserve"> </v>
      </c>
      <c r="MO109" s="47" t="str">
        <f t="shared" si="309"/>
        <v xml:space="preserve"> </v>
      </c>
      <c r="MP109" s="47" t="str">
        <f t="shared" si="309"/>
        <v xml:space="preserve"> </v>
      </c>
      <c r="MQ109" s="47" t="str">
        <f t="shared" si="309"/>
        <v xml:space="preserve"> </v>
      </c>
      <c r="MR109" s="47" t="str">
        <f t="shared" si="309"/>
        <v xml:space="preserve"> </v>
      </c>
      <c r="MS109" s="47" t="str">
        <f t="shared" si="309"/>
        <v xml:space="preserve"> </v>
      </c>
      <c r="MT109" s="57" t="str">
        <f t="shared" si="309"/>
        <v xml:space="preserve"> </v>
      </c>
      <c r="MU109" s="47" t="str">
        <f t="shared" si="309"/>
        <v xml:space="preserve"> </v>
      </c>
      <c r="MV109" s="47" t="str">
        <f t="shared" si="309"/>
        <v xml:space="preserve"> </v>
      </c>
      <c r="MW109" s="47" t="str">
        <f t="shared" si="309"/>
        <v xml:space="preserve"> </v>
      </c>
      <c r="MX109" s="47" t="str">
        <f t="shared" si="309"/>
        <v xml:space="preserve"> </v>
      </c>
      <c r="MY109" s="47" t="str">
        <f t="shared" si="309"/>
        <v xml:space="preserve"> </v>
      </c>
      <c r="MZ109" s="57" t="str">
        <f t="shared" si="309"/>
        <v xml:space="preserve"> </v>
      </c>
      <c r="NA109" s="47" t="str">
        <f t="shared" si="309"/>
        <v xml:space="preserve"> </v>
      </c>
      <c r="NB109" s="47" t="str">
        <f t="shared" si="309"/>
        <v xml:space="preserve"> </v>
      </c>
      <c r="NC109" s="47" t="str">
        <f t="shared" si="309"/>
        <v xml:space="preserve"> </v>
      </c>
      <c r="ND109" s="47" t="str">
        <f t="shared" si="309"/>
        <v xml:space="preserve"> </v>
      </c>
      <c r="NE109" s="47" t="str">
        <f t="shared" si="309"/>
        <v xml:space="preserve"> </v>
      </c>
      <c r="NF109" s="57" t="str">
        <f t="shared" si="309"/>
        <v xml:space="preserve"> </v>
      </c>
      <c r="NG109" s="47" t="str">
        <f t="shared" si="309"/>
        <v xml:space="preserve"> </v>
      </c>
      <c r="NH109" s="47" t="str">
        <f t="shared" si="309"/>
        <v xml:space="preserve"> </v>
      </c>
      <c r="NI109" s="47" t="str">
        <f t="shared" si="309"/>
        <v xml:space="preserve"> </v>
      </c>
      <c r="NJ109" s="47" t="str">
        <f t="shared" si="309"/>
        <v xml:space="preserve"> </v>
      </c>
      <c r="NK109" s="47" t="str">
        <f t="shared" si="309"/>
        <v xml:space="preserve"> </v>
      </c>
      <c r="NL109" s="57" t="str">
        <f t="shared" si="309"/>
        <v xml:space="preserve"> </v>
      </c>
      <c r="NM109" s="47" t="str">
        <f t="shared" si="309"/>
        <v xml:space="preserve"> </v>
      </c>
    </row>
    <row r="110" spans="2:377" ht="15.75" customHeight="1">
      <c r="C110" s="7" t="str">
        <f t="shared" si="296"/>
        <v>asset-debt</v>
      </c>
      <c r="D110" s="21" t="str">
        <f t="shared" si="169"/>
        <v xml:space="preserve">software 1
scale 1
 </v>
      </c>
      <c r="E110" s="21" t="str">
        <f t="shared" si="297"/>
        <v xml:space="preserve">scale(1,100),  </v>
      </c>
      <c r="F110" s="21" t="str">
        <f t="shared" si="170"/>
        <v xml:space="preserve">scale 100
 </v>
      </c>
      <c r="G110" s="21" t="str">
        <f t="shared" si="298"/>
        <v xml:space="preserve">software(2), servers(2), wood(2), metal(2), plastic(2), electronics(2), fabric(2), enthusiasm(1), enthusiasm(2), fun-ness(1), community manager(1), PR(1), fame(1), network(2), ease of access(1), reputation(2), social media(1),  </v>
      </c>
      <c r="H110" s="21" t="str">
        <f t="shared" si="299"/>
        <v xml:space="preserve">scale(1,6.25),  </v>
      </c>
      <c r="I110" s="21" t="str">
        <f t="shared" ref="I110" si="310">IF(I8="",I111,$C110&amp;"("&amp;I8&amp;"),"&amp;I111)</f>
        <v xml:space="preserve">scale(6.25), </v>
      </c>
      <c r="J110" s="21" t="str">
        <f t="shared" si="172"/>
        <v xml:space="preserve">scale 1
interaction 1
 </v>
      </c>
      <c r="K110" s="21" t="str">
        <f t="shared" si="173"/>
        <v xml:space="preserve">reputation(1,75),  </v>
      </c>
      <c r="L110" s="21" t="str">
        <f t="shared" si="174"/>
        <v xml:space="preserve">reputation 75
 </v>
      </c>
      <c r="M110" s="21" t="str">
        <f t="shared" si="175"/>
        <v xml:space="preserve">PR(1), portfolio(1), social innovation(1), non-profit biz(1),  </v>
      </c>
      <c r="N110" s="21" t="str">
        <f t="shared" si="176"/>
        <v xml:space="preserve">scale(1,6.25), enthusiasm(1,6.25), seriousness(1,25), non-profits(1,12.5), reputation(1,75), marketing(1,12.5),  </v>
      </c>
      <c r="O110" s="21" t="str">
        <f t="shared" si="177"/>
        <v xml:space="preserve">scale(6.25),enthusiasm(6.25),seriousness(25),non-profits(12.5),reputation(75),marketing(12.5), </v>
      </c>
      <c r="P110" s="21" t="str">
        <f t="shared" si="172"/>
        <v xml:space="preserve">scale 1
biz project 1
 </v>
      </c>
      <c r="Q110" s="21" t="str">
        <f t="shared" si="178"/>
        <v xml:space="preserve"> </v>
      </c>
      <c r="R110" s="21" t="str">
        <f t="shared" si="174"/>
        <v xml:space="preserve"> </v>
      </c>
      <c r="S110" s="21" t="str">
        <f t="shared" si="179"/>
        <v xml:space="preserve">portfolio(1), biz enhancement(1), business(1), start-up(1),  </v>
      </c>
      <c r="T110" s="21" t="str">
        <f t="shared" si="180"/>
        <v xml:space="preserve">scale(1,6.25), enthusiasm(1,6.25), seriousness(1,25), local biz(1,6.25), investors(1,6.25), reputation(1,6.25),  </v>
      </c>
      <c r="U110" s="21" t="str">
        <f t="shared" si="177"/>
        <v xml:space="preserve">scale(6.25),enthusiasm(6.25),seriousness(25),local biz(6.25),investors(6.25),reputation(6.25), </v>
      </c>
      <c r="V110" s="21" t="str">
        <f t="shared" si="172"/>
        <v xml:space="preserve">scale 1
 </v>
      </c>
      <c r="W110" s="21" t="str">
        <f t="shared" si="181"/>
        <v xml:space="preserve">local biz(1,),  </v>
      </c>
      <c r="X110" s="21" t="str">
        <f t="shared" si="174"/>
        <v xml:space="preserve"> </v>
      </c>
      <c r="Y110" s="21" t="str">
        <f t="shared" si="182"/>
        <v xml:space="preserve">enthusiasm(1), attention to details(1), PR(1), network(1), ease of access(1), reputation(1), portfolio(1), biz project(1), biz enhancement(1), job creation(1), business(1),  </v>
      </c>
      <c r="Z110" s="21" t="str">
        <f t="shared" si="183"/>
        <v xml:space="preserve">local biz(1,6.25),  </v>
      </c>
      <c r="AA110" s="21" t="str">
        <f t="shared" si="177"/>
        <v xml:space="preserve">local biz(6.25), </v>
      </c>
      <c r="AB110" s="21" t="str">
        <f t="shared" si="172"/>
        <v xml:space="preserve">scale 1
 </v>
      </c>
      <c r="AC110" s="21" t="str">
        <f t="shared" si="184"/>
        <v xml:space="preserve">non-profits(1,100),  </v>
      </c>
      <c r="AD110" s="21" t="str">
        <f t="shared" si="174"/>
        <v xml:space="preserve">non-profits 100
 </v>
      </c>
      <c r="AE110" s="21" t="str">
        <f t="shared" si="185"/>
        <v xml:space="preserve">enthusiasm(1), attention to details(1), PR(1), network(1), ease of access(1), reputation(1), portfolio(1), social project(1), social innovation(1), non-profit biz(1),  </v>
      </c>
      <c r="AF110" s="21" t="str">
        <f t="shared" si="186"/>
        <v xml:space="preserve">seriousness(1,6.25), non-profits(1,6.25),  </v>
      </c>
      <c r="AG110" s="21" t="str">
        <f t="shared" si="177"/>
        <v xml:space="preserve">seriousness(6.25),non-profits(6.25), </v>
      </c>
      <c r="AH110" s="21" t="str">
        <f t="shared" si="172"/>
        <v xml:space="preserve">scale 1
 </v>
      </c>
      <c r="AI110" s="21" t="str">
        <f t="shared" si="187"/>
        <v xml:space="preserve">govt(1,),  </v>
      </c>
      <c r="AJ110" s="21" t="str">
        <f t="shared" si="174"/>
        <v xml:space="preserve"> </v>
      </c>
      <c r="AK110" s="21" t="str">
        <f t="shared" si="188"/>
        <v xml:space="preserve">enthusiasm(1), attention to details(1), seriousness(1), fame(1), network(1), govt(1), ease of access(1), reputation(2), portfolio(1), social project(1), social innovation(1), non-profit biz(1),  </v>
      </c>
      <c r="AL110" s="21" t="str">
        <f t="shared" si="189"/>
        <v xml:space="preserve">govt(1,6.25),  </v>
      </c>
      <c r="AM110" s="21" t="str">
        <f t="shared" si="177"/>
        <v xml:space="preserve">govt(6.25), </v>
      </c>
      <c r="AN110" s="21" t="str">
        <f t="shared" si="172"/>
        <v xml:space="preserve">scale 1
enthusiasm 1
gifted leader 1
scale 1
enthusiasm 1
 </v>
      </c>
      <c r="AO110" s="21" t="str">
        <f t="shared" si="190"/>
        <v xml:space="preserve">fame(1,), network(1,), investors(1,6.25),  </v>
      </c>
      <c r="AP110" s="21" t="str">
        <f t="shared" si="174"/>
        <v xml:space="preserve">investors 6.25
 </v>
      </c>
      <c r="AQ110" s="21" t="str">
        <f t="shared" si="191"/>
        <v xml:space="preserve">investors(1), ease of access(1), reputation(1), portfolio(1), start-up(1), start-up with mvp(1), start-up with customers(1),  </v>
      </c>
      <c r="AR110" s="21" t="str">
        <f t="shared" si="192"/>
        <v xml:space="preserve"> </v>
      </c>
      <c r="AS110" s="21" t="str">
        <f t="shared" si="177"/>
        <v xml:space="preserve"> </v>
      </c>
      <c r="AT110" s="21" t="str">
        <f t="shared" si="172"/>
        <v xml:space="preserve">asset-debt 0
credit 1
scale 1
enthusiasm 1
scale 2
enthusiasm 1
seriousness 1
administrator 1
non-profits 2
reputation 1
portfolio 1
social project 1
 </v>
      </c>
      <c r="AU110" s="21" t="str">
        <f t="shared" si="193"/>
        <v xml:space="preserve">ambition(1,), attention to details(1,),  </v>
      </c>
      <c r="AV110" s="21" t="str">
        <f t="shared" si="174"/>
        <v xml:space="preserve"> </v>
      </c>
      <c r="AW110" s="21" t="str">
        <f t="shared" si="194"/>
        <v xml:space="preserve">field knowledge(1), enthusiasm(3), PR(2), administrator(1), project management(2),  </v>
      </c>
      <c r="AX110" s="21" t="str">
        <f t="shared" si="195"/>
        <v xml:space="preserve">organizational rules and manuals(1,12.5), project management(1,12.5),  </v>
      </c>
      <c r="AY110" s="21" t="str">
        <f t="shared" si="177"/>
        <v xml:space="preserve">organizational rules and manuals(12.5),project management(12.5), </v>
      </c>
      <c r="AZ110" s="21" t="str">
        <f t="shared" si="172"/>
        <v xml:space="preserve">asset-debt 0
scale 1
enthusiasm 1
scale 1
enthusiasm 1
non-profits 1
 </v>
      </c>
      <c r="BA110" s="21" t="str">
        <f t="shared" si="196"/>
        <v xml:space="preserve"> </v>
      </c>
      <c r="BB110" s="21" t="str">
        <f t="shared" si="174"/>
        <v xml:space="preserve"> </v>
      </c>
      <c r="BC110" s="21" t="str">
        <f t="shared" si="197"/>
        <v xml:space="preserve"> </v>
      </c>
      <c r="BD110" s="21" t="str">
        <f t="shared" si="198"/>
        <v xml:space="preserve"> </v>
      </c>
      <c r="BE110" s="21" t="str">
        <f t="shared" si="177"/>
        <v xml:space="preserve"> </v>
      </c>
      <c r="BF110" s="21" t="str">
        <f t="shared" si="172"/>
        <v xml:space="preserve">asset-debt 0
scale 1
enthusiasm 1
scale 2
enthusiasm 1
seriousness 1
administrator 1
local biz 2
entrepreneurs 1
reputation 1
portfolio 1
biz project 1
 </v>
      </c>
      <c r="BG110" s="21" t="str">
        <f t="shared" si="199"/>
        <v xml:space="preserve">ambition(1,), attention to details(1,),  </v>
      </c>
      <c r="BH110" s="21" t="str">
        <f t="shared" si="174"/>
        <v xml:space="preserve"> </v>
      </c>
      <c r="BI110" s="21" t="str">
        <f t="shared" si="200"/>
        <v xml:space="preserve">field knowledge(1), enthusiasm(3), PR(2), administrator(1), project management(2),  </v>
      </c>
      <c r="BJ110" s="21" t="str">
        <f t="shared" si="201"/>
        <v xml:space="preserve">organizational rules and manuals(1,12.5), project management(1,12.5),  </v>
      </c>
      <c r="BK110" s="21" t="str">
        <f t="shared" si="177"/>
        <v xml:space="preserve">organizational rules and manuals(12.5),project management(12.5), </v>
      </c>
      <c r="BL110" s="21" t="str">
        <f t="shared" si="172"/>
        <v xml:space="preserve">asset-debt 0
scale 1
enthusiasm 1
scale 1
enthusiasm 1
local biz 1
reputation 1
portfolio 1
biz enhancement 1
 </v>
      </c>
      <c r="BM110" s="21" t="str">
        <f t="shared" si="202"/>
        <v xml:space="preserve"> </v>
      </c>
      <c r="BN110" s="21" t="str">
        <f t="shared" si="174"/>
        <v xml:space="preserve"> </v>
      </c>
      <c r="BO110" s="21" t="str">
        <f t="shared" si="203"/>
        <v xml:space="preserve"> </v>
      </c>
      <c r="BP110" s="21" t="str">
        <f t="shared" si="204"/>
        <v xml:space="preserve"> </v>
      </c>
      <c r="BQ110" s="21" t="str">
        <f t="shared" si="177"/>
        <v xml:space="preserve"> </v>
      </c>
      <c r="BR110" s="21" t="str">
        <f t="shared" si="172"/>
        <v xml:space="preserve"> </v>
      </c>
      <c r="BS110" s="21" t="str">
        <f t="shared" si="205"/>
        <v xml:space="preserve"> </v>
      </c>
      <c r="BT110" s="21" t="str">
        <f t="shared" si="174"/>
        <v xml:space="preserve"> </v>
      </c>
      <c r="BU110" s="21" t="str">
        <f t="shared" si="206"/>
        <v xml:space="preserve"> </v>
      </c>
      <c r="BV110" s="21" t="str">
        <f t="shared" si="207"/>
        <v xml:space="preserve"> </v>
      </c>
      <c r="BW110" s="21" t="str">
        <f t="shared" si="177"/>
        <v xml:space="preserve"> </v>
      </c>
      <c r="BX110" s="21" t="str">
        <f t="shared" si="208"/>
        <v xml:space="preserve">scale 1
network 1
 </v>
      </c>
      <c r="BY110" s="21" t="str">
        <f t="shared" si="209"/>
        <v xml:space="preserve">efficiency(1,),  </v>
      </c>
      <c r="BZ110" s="21" t="str">
        <f t="shared" si="210"/>
        <v xml:space="preserve"> </v>
      </c>
      <c r="CA110" s="21" t="str">
        <f t="shared" si="211"/>
        <v xml:space="preserve">scale(2), enthusiasm(1), attention to details(1), administrator(1), negotiation(1),  </v>
      </c>
      <c r="CB110" s="21" t="str">
        <f t="shared" si="212"/>
        <v xml:space="preserve">user rules and manuals(1,50), organizational rules and manuals(1,50),  </v>
      </c>
      <c r="CC110" s="21" t="str">
        <f t="shared" si="213"/>
        <v xml:space="preserve">user rules and manuals(50),organizational rules and manuals(50), </v>
      </c>
      <c r="CD110" s="21" t="str">
        <f t="shared" si="208"/>
        <v xml:space="preserve">software 1
servers 1
scale 1
scale 1
enthusiasm 1
network 1
 </v>
      </c>
      <c r="CE110" s="21" t="str">
        <f t="shared" si="214"/>
        <v xml:space="preserve">field knowledge(1,), non-profits(1,),  </v>
      </c>
      <c r="CF110" s="21" t="str">
        <f t="shared" si="210"/>
        <v xml:space="preserve"> </v>
      </c>
      <c r="CG110" s="21" t="str">
        <f t="shared" si="215"/>
        <v xml:space="preserve">software(2), servers(2), wood(2), metal(2), plastic(2), electronics(2), fabric(2), fun-ness(1), seriousness(1), ease of access(1), portfolio(1), user rules and manuals(1), negotiation(1), social project(1), biz project(1), for basic literacy(1), for the elites(1), for entrepreneurs(1),  </v>
      </c>
      <c r="CH110" s="21" t="str">
        <f t="shared" si="216"/>
        <v xml:space="preserve">scale(1,6.25), technologists(1,6.25), non-profits(1,6.25),  </v>
      </c>
      <c r="CI110" s="21" t="str">
        <f t="shared" si="213"/>
        <v xml:space="preserve">scale(6.25),technologists(6.25),non-profits(6.25), </v>
      </c>
      <c r="CJ110" s="21" t="str">
        <f t="shared" si="208"/>
        <v xml:space="preserve">software 1
servers 1
scale 1
scale 1
 </v>
      </c>
      <c r="CK110" s="21" t="str">
        <f t="shared" si="217"/>
        <v xml:space="preserve">suppliers(1,),  </v>
      </c>
      <c r="CL110" s="21" t="str">
        <f t="shared" si="210"/>
        <v xml:space="preserve"> </v>
      </c>
      <c r="CM110" s="21" t="str">
        <f t="shared" si="218"/>
        <v xml:space="preserve">reputation(1), negotiation(1),  </v>
      </c>
      <c r="CN110" s="21" t="str">
        <f t="shared" si="219"/>
        <v xml:space="preserve">learning capacities(1,), engineering knowledge(1,), enthusiasm(2,), efficiency(1,6.25),  </v>
      </c>
      <c r="CO110" s="21" t="str">
        <f t="shared" si="213"/>
        <v xml:space="preserve">efficiency(6.25), </v>
      </c>
      <c r="CP110" s="21" t="str">
        <f t="shared" si="208"/>
        <v xml:space="preserve">software 1
servers 1
scale 1
scale 1
 </v>
      </c>
      <c r="CQ110" s="21" t="str">
        <f t="shared" si="220"/>
        <v xml:space="preserve">technologists(1,),  </v>
      </c>
      <c r="CR110" s="21" t="str">
        <f t="shared" si="210"/>
        <v xml:space="preserve"> </v>
      </c>
      <c r="CS110" s="21" t="str">
        <f t="shared" si="221"/>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0" s="21" t="str">
        <f t="shared" si="222"/>
        <v xml:space="preserve">engineering knowledge(1,6.25), efficiency(1,6.25),  </v>
      </c>
      <c r="CU110" s="21" t="str">
        <f t="shared" si="213"/>
        <v xml:space="preserve">engineering knowledge(6.25),efficiency(6.25), </v>
      </c>
      <c r="CV110" s="21" t="str">
        <f t="shared" si="208"/>
        <v xml:space="preserve">scale 1
scale 1
 </v>
      </c>
      <c r="CW110" s="21" t="str">
        <f t="shared" si="223"/>
        <v xml:space="preserve">local biz(1,),  </v>
      </c>
      <c r="CX110" s="21" t="str">
        <f t="shared" si="210"/>
        <v xml:space="preserve"> </v>
      </c>
      <c r="CY110" s="21" t="str">
        <f t="shared" si="224"/>
        <v xml:space="preserve">software(2), servers(2), wood(2), metal(2), plastic(2), electronics(2), fabric(2), ease of access(1), reputation(1), portfolio(1), negotiation(1),  </v>
      </c>
      <c r="CZ110" s="21" t="str">
        <f t="shared" si="225"/>
        <v xml:space="preserve">non-profits(1,6.25),  </v>
      </c>
      <c r="DA110" s="21" t="str">
        <f t="shared" si="213"/>
        <v xml:space="preserve">non-profits(6.25), </v>
      </c>
      <c r="DB110" s="21" t="str">
        <f t="shared" si="208"/>
        <v xml:space="preserve">scale 1
 </v>
      </c>
      <c r="DC110" s="21" t="str">
        <f t="shared" si="226"/>
        <v xml:space="preserve"> </v>
      </c>
      <c r="DD110" s="21" t="str">
        <f t="shared" si="210"/>
        <v xml:space="preserve"> </v>
      </c>
      <c r="DE110" s="21" t="str">
        <f t="shared" si="227"/>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0" s="21" t="str">
        <f t="shared" si="228"/>
        <v xml:space="preserve">network(1,), local biz(1,6.25), biz group(1,6.25), investors(1,6.25), entrepreneurs(1,6.25),  </v>
      </c>
      <c r="DG110" s="21" t="str">
        <f t="shared" si="213"/>
        <v xml:space="preserve">local biz(6.25),biz group(6.25),investors(6.25),entrepreneurs(6.25), </v>
      </c>
      <c r="DH110" s="21" t="str">
        <f t="shared" si="208"/>
        <v xml:space="preserve">software 1
scale 1
enthusiasm 1
scale 1
enthusiasm 1
network 1
non-profits 1
reputation 1
social project 1
 </v>
      </c>
      <c r="DI110" s="21" t="str">
        <f t="shared" si="229"/>
        <v xml:space="preserve"> </v>
      </c>
      <c r="DJ110" s="21" t="str">
        <f t="shared" si="210"/>
        <v xml:space="preserve"> </v>
      </c>
      <c r="DK110" s="21" t="str">
        <f t="shared" si="230"/>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0" s="21" t="str">
        <f t="shared" si="231"/>
        <v xml:space="preserve">field knowledge(1,12.5), network among members(1,12.5), reputation(1,6.25),  </v>
      </c>
      <c r="DM110" s="21" t="str">
        <f t="shared" si="213"/>
        <v xml:space="preserve">field knowledge(12.5),network among members(12.5),reputation(6.25), </v>
      </c>
      <c r="DN110" s="21" t="str">
        <f t="shared" si="208"/>
        <v xml:space="preserve">scale 1
enthusiasm 1
scale 1
enthusiasm 1
network 1
local biz 1
reputation 1
biz project 1
 </v>
      </c>
      <c r="DO110" s="21" t="str">
        <f t="shared" si="232"/>
        <v xml:space="preserve"> </v>
      </c>
      <c r="DP110" s="21" t="str">
        <f t="shared" si="210"/>
        <v xml:space="preserve"> </v>
      </c>
      <c r="DQ110" s="21" t="str">
        <f t="shared" si="233"/>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0" s="21" t="str">
        <f t="shared" si="234"/>
        <v xml:space="preserve">field knowledge(1,12.5), network among members(1,12.5), reputation(1,6.25),  </v>
      </c>
      <c r="DS110" s="21" t="str">
        <f t="shared" si="213"/>
        <v xml:space="preserve">field knowledge(12.5),network among members(12.5),reputation(6.25), </v>
      </c>
      <c r="DT110" s="21" t="str">
        <f t="shared" si="208"/>
        <v xml:space="preserve">scale 1
enthusiasm 1
scale 1
enthusiasm 1
network 1
reputation 1
 </v>
      </c>
      <c r="DU110" s="21" t="str">
        <f t="shared" si="235"/>
        <v xml:space="preserve"> </v>
      </c>
      <c r="DV110" s="21" t="str">
        <f t="shared" si="210"/>
        <v xml:space="preserve"> </v>
      </c>
      <c r="DW110"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0" s="21" t="str">
        <f t="shared" si="237"/>
        <v xml:space="preserve">enthusiasm(1,6.25), field knowledge(1,6.25), engineering knowledge(1,6.25), ambition(1,6.25), reputation(1,6.25), for basic literacy(1,6.25),  </v>
      </c>
      <c r="DY110" s="21" t="str">
        <f t="shared" si="213"/>
        <v xml:space="preserve">enthusiasm(6.25),field knowledge(6.25),engineering knowledge(6.25),ambition(6.25),reputation(6.25),for basic literacy(6.25), </v>
      </c>
      <c r="DZ110" s="21" t="str">
        <f t="shared" si="208"/>
        <v xml:space="preserve">scale 1
enthusiasm 1
scale 1
enthusiasm 1
network 1
reputation 1
 </v>
      </c>
      <c r="EA110" s="21" t="str">
        <f t="shared" si="238"/>
        <v xml:space="preserve"> </v>
      </c>
      <c r="EB110" s="21" t="str">
        <f t="shared" si="210"/>
        <v xml:space="preserve"> </v>
      </c>
      <c r="EC110"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0" s="21" t="str">
        <f t="shared" si="240"/>
        <v xml:space="preserve">enthusiasm(1,6.25), engineering knowledge(1,6.25), ambition(1,6.25), reputation(1,6.25), for basic literacy(1,6.25),  </v>
      </c>
      <c r="EE110" s="21" t="str">
        <f t="shared" si="213"/>
        <v xml:space="preserve">enthusiasm(6.25),engineering knowledge(6.25),ambition(6.25),reputation(6.25),for basic literacy(6.25), </v>
      </c>
      <c r="EF110" s="21" t="str">
        <f t="shared" si="208"/>
        <v xml:space="preserve">scale 2
enthusiasm 2
technologists 1
reputation 1
 </v>
      </c>
      <c r="EG110" s="21" t="str">
        <f t="shared" si="241"/>
        <v xml:space="preserve">web(1,50), mobile apps(1,50), interaction(1,50),  </v>
      </c>
      <c r="EH110" s="21" t="str">
        <f t="shared" si="210"/>
        <v xml:space="preserve">web 50
mobile apps 50
interaction 50
 </v>
      </c>
      <c r="EI110"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0" s="21" t="str">
        <f t="shared" si="243"/>
        <v xml:space="preserve">engineering knowledge(1,6.25), technologists(1,12.5), infrastructrue(1,12.5), database(1,12.5), mobile comm(1,12.5), for entrepreneurs(1,6.25),  </v>
      </c>
      <c r="EK110" s="21" t="str">
        <f t="shared" si="213"/>
        <v xml:space="preserve">engineering knowledge(6.25),technologists(12.5),infrastructrue(12.5),database(12.5),mobile comm(12.5),for entrepreneurs(6.25), </v>
      </c>
      <c r="EL110" s="21" t="str">
        <f t="shared" si="244"/>
        <v xml:space="preserve">scale 2
enthusiasm 2
technologists 1
reputation 1
 </v>
      </c>
      <c r="EM110" s="21" t="str">
        <f t="shared" si="245"/>
        <v xml:space="preserve">sensors(1,50),  </v>
      </c>
      <c r="EN110" s="21" t="str">
        <f t="shared" si="246"/>
        <v xml:space="preserve">sensors 50
 </v>
      </c>
      <c r="EO110"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0" s="21" t="str">
        <f t="shared" si="248"/>
        <v xml:space="preserve">engineering knowledge(1,6.25), technologists(1,12.5), infrastructrue(1,12.5), database(1,12.5), mobile comm(1,12.5), electronics(1,6.25), for entrepreneurs(1,6.25),  </v>
      </c>
      <c r="EQ110" s="21" t="str">
        <f t="shared" si="249"/>
        <v xml:space="preserve">engineering knowledge(6.25),technologists(12.5),infrastructrue(12.5),database(12.5),mobile comm(12.5),electronics(6.25),for entrepreneurs(6.25), </v>
      </c>
      <c r="ER110" s="21" t="str">
        <f t="shared" si="244"/>
        <v xml:space="preserve">software 1
servers 1
scale 2
enthusiasm 2
technologists 1
 </v>
      </c>
      <c r="ES110" s="21" t="str">
        <f t="shared" si="250"/>
        <v xml:space="preserve">AI&amp; data analysis(1,50),  </v>
      </c>
      <c r="ET110" s="21" t="str">
        <f t="shared" si="246"/>
        <v xml:space="preserve">AI&amp; data analysis 50
 </v>
      </c>
      <c r="EU110"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0" s="21" t="str">
        <f t="shared" si="252"/>
        <v xml:space="preserve">engineering knowledge(1,6.25), technologists(1,12.5), database(1,12.5), sensors(1,12.5), mobile comm(1,12.5), for entrepreneurs(1,6.25),  </v>
      </c>
      <c r="EW110" s="21" t="str">
        <f t="shared" si="249"/>
        <v xml:space="preserve">engineering knowledge(6.25),technologists(12.5),database(12.5),sensors(12.5),mobile comm(12.5),for entrepreneurs(6.25), </v>
      </c>
      <c r="EX110" s="21" t="str">
        <f t="shared" si="244"/>
        <v xml:space="preserve">software 1
servers 1
scale 2
enthusiasm 2
technologists 1
 </v>
      </c>
      <c r="EY110" s="21" t="str">
        <f t="shared" si="253"/>
        <v xml:space="preserve">law(1,50), security(1,50), interaction(1,25),  </v>
      </c>
      <c r="EZ110" s="21" t="str">
        <f t="shared" si="246"/>
        <v xml:space="preserve">law 50
security 50
interaction 25
 </v>
      </c>
      <c r="FA110"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0" s="21" t="str">
        <f t="shared" si="255"/>
        <v xml:space="preserve">field knowledge(1,6.25), engineering knowledge(1,6.25), technologists(1,12.5), law(1,6.25), database(1,12.5), mobile apps(1,12.5), security(1,12.5), mobile comm(1,12.5), for entrepreneurs(1,6.25),  </v>
      </c>
      <c r="FC110" s="21" t="str">
        <f t="shared" si="249"/>
        <v xml:space="preserve">field knowledge(6.25),engineering knowledge(6.25),technologists(12.5),law(6.25),database(12.5),mobile apps(12.5),security(12.5),mobile comm(12.5),for entrepreneurs(6.25), </v>
      </c>
      <c r="FD110" s="21" t="str">
        <f t="shared" si="244"/>
        <v xml:space="preserve">software 1
servers 1
scale 2
enthusiasm 2
technologists 1
 </v>
      </c>
      <c r="FE110" s="21" t="str">
        <f t="shared" si="256"/>
        <v xml:space="preserve">law(1,50), sensors(1,50), security(1,50),  </v>
      </c>
      <c r="FF110" s="21" t="str">
        <f t="shared" si="246"/>
        <v xml:space="preserve">law 50
sensors 50
security 50
 </v>
      </c>
      <c r="FG110"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0" s="21" t="str">
        <f t="shared" si="258"/>
        <v xml:space="preserve">field knowledge(1,6.25), engineering knowledge(1,6.25), technologists(1,12.5), law(1,6.25), database(1,6.25), mobile apps(1,6.25), AI&amp; data analysis(1,6.25), mobile comm(1,6.25), for entrepreneurs(1,6.25),  </v>
      </c>
      <c r="FI110" s="21" t="str">
        <f t="shared" si="249"/>
        <v xml:space="preserve">field knowledge(6.25),engineering knowledge(6.25),technologists(12.5),law(6.25),database(6.25),mobile apps(6.25),AI&amp; data analysis(6.25),mobile comm(6.25),for entrepreneurs(6.25), </v>
      </c>
      <c r="FJ110" s="21" t="str">
        <f t="shared" si="244"/>
        <v xml:space="preserve">software 1
servers 1
scale 2
enthusiasm 2
technologists 1
 </v>
      </c>
      <c r="FK110" s="21" t="str">
        <f t="shared" si="259"/>
        <v xml:space="preserve">wood processing(1,25), metal processing(1,25), plastic processing(1,25), fabric(1,25), safety(1,25), interaction(1,25),  </v>
      </c>
      <c r="FL110" s="21" t="str">
        <f t="shared" si="246"/>
        <v xml:space="preserve">project management 2
wood processing 25
metal processing 25
plastic processing 25
fabric 25
safety 25
interaction 25
 </v>
      </c>
      <c r="FM110"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0" s="21" t="str">
        <f t="shared" si="261"/>
        <v xml:space="preserve">field knowledge(1,6.25), engineering knowledge(1,6.25), technologists(1,12.5), for entrepreneurs(1,6.25),  </v>
      </c>
      <c r="FO110" s="21" t="str">
        <f t="shared" si="249"/>
        <v xml:space="preserve">field knowledge(6.25),engineering knowledge(6.25),technologists(12.5),for entrepreneurs(6.25), </v>
      </c>
      <c r="FP110" s="21" t="str">
        <f t="shared" si="244"/>
        <v xml:space="preserve">software 1
servers 1
scale 2
enthusiasm 2
technologists 1
 </v>
      </c>
      <c r="FQ110" s="21" t="str">
        <f t="shared" si="262"/>
        <v xml:space="preserve">web(1,25), mobile apps(1,50), functions(1,25), interaction(1,25),  </v>
      </c>
      <c r="FR110" s="21" t="str">
        <f t="shared" si="246"/>
        <v xml:space="preserve">web 25
mobile apps 50
functions 25
interaction 25
 </v>
      </c>
      <c r="FS110"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0" s="21" t="str">
        <f t="shared" si="264"/>
        <v xml:space="preserve">field knowledge(1,6.25), engineering knowledge(1,6.25), technologists(1,12.5), for entrepreneurs(1,6.25),  </v>
      </c>
      <c r="FU110" s="21" t="str">
        <f t="shared" si="249"/>
        <v xml:space="preserve">field knowledge(6.25),engineering knowledge(6.25),technologists(12.5),for entrepreneurs(6.25), </v>
      </c>
      <c r="FV110" s="21" t="str">
        <f t="shared" si="244"/>
        <v xml:space="preserve">software 1
servers 1
scale 2
enthusiasm 2
technologists 1
 </v>
      </c>
      <c r="FW110" s="21" t="str">
        <f t="shared" si="265"/>
        <v xml:space="preserve">mobile apps(1,50), sensors(1,50), wood processing(1,25), plastic processing(1,25), electronics(1,25), functions(1,25), interaction(1,25),  </v>
      </c>
      <c r="FX110" s="21" t="str">
        <f t="shared" si="246"/>
        <v xml:space="preserve">mobile apps 50
sensors 50
wood processing 25
plastic processing 25
electronics 25
functions 25
interaction 25
 </v>
      </c>
      <c r="FY110"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0" s="21" t="str">
        <f t="shared" si="267"/>
        <v xml:space="preserve">field knowledge(1,6.25), engineering knowledge(1,6.25), technologists(1,12.5), web(1,6.25), database(1,6.25), AI&amp; data analysis(1,6.25), mobile comm(1,6.25), for entrepreneurs(1,6.25),  </v>
      </c>
      <c r="GA110" s="21" t="str">
        <f t="shared" si="249"/>
        <v xml:space="preserve">field knowledge(6.25),engineering knowledge(6.25),technologists(12.5),web(6.25),database(6.25),AI&amp; data analysis(6.25),mobile comm(6.25),for entrepreneurs(6.25), </v>
      </c>
      <c r="GB110" s="21" t="str">
        <f t="shared" si="244"/>
        <v xml:space="preserve">software 1
servers 1
scale 2
enthusiasm 2
technologists 1
 </v>
      </c>
      <c r="GC110" s="21" t="str">
        <f t="shared" si="268"/>
        <v xml:space="preserve">sensors(1,25), mobile comm(1,25), electronics(1,50), functions(1,25), safety(1,25),  </v>
      </c>
      <c r="GD110" s="21" t="str">
        <f t="shared" si="246"/>
        <v xml:space="preserve">sensors 25
mobile comm 25
electronics 50
functions 25
safety 25
 </v>
      </c>
      <c r="GE110"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0" s="21" t="str">
        <f t="shared" si="270"/>
        <v xml:space="preserve">field knowledge(1,6.25), engineering knowledge(1,6.25), technologists(1,12.5), database(1,6.25), mobile apps(1,6.25), AI&amp; data analysis(1,6.25), plastic processing(1,6.25), interaction(1,6.25), for entrepreneurs(1,6.25),  </v>
      </c>
      <c r="GG110" s="21" t="str">
        <f t="shared" si="249"/>
        <v xml:space="preserve">field knowledge(6.25),engineering knowledge(6.25),technologists(12.5),database(6.25),mobile apps(6.25),AI&amp; data analysis(6.25),plastic processing(6.25),interaction(6.25),for entrepreneurs(6.25), </v>
      </c>
      <c r="GH110" s="21" t="str">
        <f t="shared" si="244"/>
        <v xml:space="preserve">software 1
servers 1
scale 2
enthusiasm 2
technologists 1
 </v>
      </c>
      <c r="GI110" s="21" t="str">
        <f t="shared" si="271"/>
        <v xml:space="preserve">web(1,25), mobile apps(1,50), functions(1,25), interaction(1,25),  </v>
      </c>
      <c r="GJ110" s="21" t="str">
        <f t="shared" si="246"/>
        <v xml:space="preserve">web 25
mobile apps 50
functions 25
interaction 25
 </v>
      </c>
      <c r="GK110"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0" s="21" t="str">
        <f t="shared" si="273"/>
        <v xml:space="preserve">field knowledge(1,6.25), engineering knowledge(1,6.25), technologists(1,12.5), for entrepreneurs(1,6.25),  </v>
      </c>
      <c r="GM110" s="21" t="str">
        <f t="shared" si="249"/>
        <v xml:space="preserve">field knowledge(6.25),engineering knowledge(6.25),technologists(12.5),for entrepreneurs(6.25), </v>
      </c>
      <c r="GN110" s="21" t="str">
        <f t="shared" si="244"/>
        <v xml:space="preserve">software 1
servers 1
scale 2
enthusiasm 2
technologists 1
 </v>
      </c>
      <c r="GO110" s="21" t="str">
        <f t="shared" si="274"/>
        <v xml:space="preserve">web(1,25), mobile apps(1,25), VR&amp;AR(1,25), aesthetics(1,25), functions(1,25), interaction(1,50),  </v>
      </c>
      <c r="GP110" s="21" t="str">
        <f t="shared" si="246"/>
        <v xml:space="preserve">web 25
mobile apps 25
VR&amp;AR 25
aesthetics 25
functions 25
interaction 50
 </v>
      </c>
      <c r="GQ110"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0" s="21" t="str">
        <f t="shared" si="276"/>
        <v xml:space="preserve">field knowledge(1,6.25), technologists(1,12.5), for entrepreneurs(1,6.25),  </v>
      </c>
      <c r="GS110" s="21" t="str">
        <f t="shared" si="249"/>
        <v xml:space="preserve">field knowledge(6.25),technologists(12.5),for entrepreneurs(6.25), </v>
      </c>
      <c r="GT110" s="21" t="str">
        <f t="shared" si="244"/>
        <v xml:space="preserve">software 1
servers 2
scale 3
scale 2
ease of access 1
reputation 2
web 1
mobile apps 1
mobile comm 1
 </v>
      </c>
      <c r="GU110" s="21" t="str">
        <f t="shared" si="277"/>
        <v xml:space="preserve">software(1,),  </v>
      </c>
      <c r="GV110" s="21" t="str">
        <f t="shared" si="246"/>
        <v xml:space="preserve"> </v>
      </c>
      <c r="GW110"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0"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0"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0" s="21" t="str">
        <f t="shared" si="280"/>
        <v xml:space="preserve">software 1
plastic 1
electronics 1
fabric 1
scale 2
enthusiasm 2
scale 2
enthusiasm 2
network 1
govt 1
non-profits 1
reputation 2
portfolio 1
 </v>
      </c>
      <c r="HA110" s="21" t="str">
        <f t="shared" si="281"/>
        <v xml:space="preserve"> </v>
      </c>
      <c r="HB110" s="21" t="str">
        <f t="shared" si="282"/>
        <v xml:space="preserve"> </v>
      </c>
      <c r="HC110"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0" s="21" t="str">
        <f t="shared" si="284"/>
        <v xml:space="preserve">scale(1,6.25), enthusiasm(1,6.25), learning capacities(1,6.25), field knowledge(1,6.25), enthusiasm(1,6.25), media(1,6.25), technologists(1,6.25), non-profits(1,6.25), reputation(1,6.25), start-up with customers(1,6.25), for basic literacy(1,6.25),  </v>
      </c>
      <c r="HE110" s="21" t="str">
        <f t="shared" si="285"/>
        <v xml:space="preserve">scale(6.25),enthusiasm(6.25),learning capacities(6.25),field knowledge(6.25),enthusiasm(6.25),media(6.25),technologists(6.25),non-profits(6.25),reputation(6.25),start-up with customers(6.25),for basic literacy(6.25), </v>
      </c>
      <c r="HF110" s="21" t="str">
        <f t="shared" si="280"/>
        <v xml:space="preserve"> </v>
      </c>
      <c r="HG110" s="21" t="str">
        <f t="shared" si="286"/>
        <v xml:space="preserve">scale(2,), enthusiasm(2,),  </v>
      </c>
      <c r="HH110" s="21" t="str">
        <f t="shared" si="282"/>
        <v xml:space="preserve"> </v>
      </c>
      <c r="HI110"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0" s="21" t="str">
        <f t="shared" si="288"/>
        <v xml:space="preserve">scale(1,6.25), enthusiasm(1,6.25), learning capacities(1,6.25), network among members(1,6.25), enthusiasm(1,6.25), fun-ness(1,6.25), seriousness(1,6.25), govt(1,6.25), media(1,6.25), non-profits(1,6.25), start-up with customers(1,6.25),  </v>
      </c>
      <c r="HK110" s="21" t="str">
        <f t="shared" si="285"/>
        <v xml:space="preserve">scale(6.25),enthusiasm(6.25),learning capacities(6.25),network among members(6.25),enthusiasm(6.25),fun-ness(6.25),seriousness(6.25),govt(6.25),media(6.25),non-profits(6.25),start-up with customers(6.25), </v>
      </c>
      <c r="HL110" s="21" t="str">
        <f t="shared" si="280"/>
        <v xml:space="preserve">scale 2
scale 2
community manager 1
PR 1
administrator 1
local biz 1
entrepreneurs 1
non-profits 1
reputation 2
portfolio 2
 </v>
      </c>
      <c r="HM110" s="21" t="str">
        <f t="shared" si="289"/>
        <v xml:space="preserve">scale(1,25), enthusiasm(1,25), network among members(1,25), scale(1,25), enthusiasm(1,25), ambition(1,25), fun-ness(1,25), seriousness(1,25),  </v>
      </c>
      <c r="HN110" s="21" t="str">
        <f t="shared" si="282"/>
        <v xml:space="preserve">scale 25
enthusiasm 25
network among members 25
scale 25
enthusiasm 25
ambition 25
fun-ness 25
seriousness 25
 </v>
      </c>
      <c r="HO110"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0"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0" s="47" t="str">
        <f t="shared" si="285"/>
        <v xml:space="preserve">scale(6.25),enthusiasm(6.25),enthusiasm(6.25),fun-ness(6.25),enthusiasm(6.25),level of understanding(6.25),local biz(6.25),biz group(6.25),govt(6.25),investors(6.25),media(6.25),entrepreneurs(6.25),technologists(6.25),suppliers(6.25),non-profits(6.25),reputation(6.25), </v>
      </c>
      <c r="HR110" s="47" t="str">
        <f t="shared" ref="HR110:HW110" si="311">IF(HR8="",HR111,$C110&amp;"("&amp;HR8&amp;"),"&amp;HR111)</f>
        <v xml:space="preserve">software(1),servers(1),wood(1),metal(1),plastic(1),electronics(1),scale(2),enthusiasm(2),engineering knowledge(2),scale(2),enthusiasm(2),reputation(2),portfolio(2),mobile apps(1),sensors(1),wood processing(1),aesthetics(1), </v>
      </c>
      <c r="HS110" s="47" t="str">
        <f t="shared" si="311"/>
        <v xml:space="preserve"> </v>
      </c>
      <c r="HT110" s="47" t="str">
        <f t="shared" si="311"/>
        <v xml:space="preserve"> </v>
      </c>
      <c r="HU110" s="47" t="str">
        <f t="shared" si="31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0" s="47" t="str">
        <f t="shared" si="311"/>
        <v xml:space="preserve">gifted programmer(1),local biz(1),biz group(1),govt(1),investors(1),media(1),entrepreneurs(1),technologists(1),suppliers(1),non-profits(1),reputation(1), </v>
      </c>
      <c r="HW110" s="47" t="str">
        <f t="shared" si="311"/>
        <v xml:space="preserve">gifted programmer(6.25),local biz(6.25),biz group(6.25),govt(6.25),investors(6.25),media(6.25),entrepreneurs(6.25),technologists(12.5),suppliers(6.25),non-profits(6.25),reputation(6.25), </v>
      </c>
      <c r="HX110" s="47" t="str">
        <f t="shared" ref="HX110:IU110" si="312">IF(HX8="",HX111,$C110&amp;"("&amp;HX8&amp;"),"&amp;HX111)</f>
        <v xml:space="preserve">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0" s="47" t="str">
        <f t="shared" si="312"/>
        <v xml:space="preserve">biz enhancement(1), </v>
      </c>
      <c r="HZ110" s="47" t="str">
        <f t="shared" si="312"/>
        <v xml:space="preserve">biz enhancement(100), </v>
      </c>
      <c r="IA110" s="47" t="str">
        <f t="shared" si="312"/>
        <v xml:space="preserve">community manager(1),PR(1),finance(1),administrator(1),enthusiasm(2),network(2),ambition(2),knowledge(2),spaciousness(2),ease of access(3),efficiency(2),portfolio(4),finance(2),business model(2),marketing(3),team building(2),project management(2),social media(3),negotiation(3), </v>
      </c>
      <c r="IB110" s="47" t="str">
        <f t="shared" si="312"/>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0" s="47" t="str">
        <f t="shared" si="312"/>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0" s="47" t="str">
        <f t="shared" si="312"/>
        <v xml:space="preserve">software(2),servers(2),scale(2),enthusiasm(2),engineering knowledge(1),scale(1),technologists(2), </v>
      </c>
      <c r="IE110" s="47" t="str">
        <f t="shared" si="312"/>
        <v xml:space="preserve">engineering knowledge(1),web(1),mobile apps(1),security(1),AI&amp; data analysis(1), </v>
      </c>
      <c r="IF110" s="47" t="str">
        <f t="shared" si="312"/>
        <v xml:space="preserve">engineering knowledge(25),web(25),mobile apps(25),security(25),AI&amp; data analysis(25), </v>
      </c>
      <c r="IG110" s="47" t="str">
        <f t="shared" si="31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0" s="47" t="str">
        <f t="shared" si="312"/>
        <v xml:space="preserve">engineering knowledge(1),technologists(1),web(1),database(1),mobile apps(1),security(1),AI&amp; data analysis(1), </v>
      </c>
      <c r="II110" s="47" t="str">
        <f t="shared" si="312"/>
        <v xml:space="preserve">engineering knowledge(6.25),technologists(6.25),web(6.25),database(6.25),mobile apps(6.25),security(6.25),AI&amp; data analysis(6.25), </v>
      </c>
      <c r="IJ110" s="47" t="str">
        <f t="shared" si="312"/>
        <v xml:space="preserve">metal(1),scale(2),enthusiasm(2),engineering knowledge(1),scale(1),technologists(2), </v>
      </c>
      <c r="IK110" s="47" t="str">
        <f t="shared" si="312"/>
        <v xml:space="preserve">engineering knowledge(1),wood processing(1),metal processing(1),functions(1),safety(1), </v>
      </c>
      <c r="IL110" s="47" t="str">
        <f t="shared" si="312"/>
        <v xml:space="preserve">engineering knowledge(25),wood processing(25),metal processing(25),functions(25),safety(25), </v>
      </c>
      <c r="IM110" s="47" t="str">
        <f t="shared" si="31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0" s="47" t="str">
        <f t="shared" si="312"/>
        <v xml:space="preserve">engineering knowledge(1),technologists(1),wood processing(1),metal processing(1),functions(1),safety(1),interaction(1), </v>
      </c>
      <c r="IO110" s="47" t="str">
        <f t="shared" si="312"/>
        <v xml:space="preserve">engineering knowledge(6.25),technologists(6.25),wood processing(6.25),metal processing(6.25),functions(6.25),safety(6.25),interaction(6.25), </v>
      </c>
      <c r="IP110" s="57" t="str">
        <f t="shared" si="312"/>
        <v xml:space="preserve">scale(2),enthusiasm(2),learning capacities(1),scale(2),local biz(2),reputation(1), </v>
      </c>
      <c r="IQ110" s="47" t="str">
        <f t="shared" si="312"/>
        <v xml:space="preserve">field knowledge(1),network among members(1),local biz(1),marketing(1), </v>
      </c>
      <c r="IR110" s="47" t="str">
        <f t="shared" si="312"/>
        <v xml:space="preserve">field knowledge(100),network among members(25),local biz(25),marketing(25), </v>
      </c>
      <c r="IS110" s="47" t="str">
        <f t="shared" si="31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0" s="47" t="str">
        <f t="shared" si="312"/>
        <v xml:space="preserve">field knowledge(1),network among members(1),enthusiasm(1),fun-ness(1),seriousness(1),local biz(1),biz group(1),govt(1),non-profits(1),marketing(1), </v>
      </c>
      <c r="IU110" s="47" t="str">
        <f t="shared" si="312"/>
        <v xml:space="preserve">field knowledge(6.25),network among members(6.25),enthusiasm(6.25),fun-ness(6.25),seriousness(6.25),local biz(6.25),biz group(6.25),govt(6.25),non-profits(6.25),marketing(6.25), </v>
      </c>
      <c r="IV110" s="57" t="str">
        <f t="shared" ref="IV110:LG110" si="313">IF(IV8="",IV111,$C110&amp;"("&amp;IV8&amp;"),"&amp;IV111)</f>
        <v xml:space="preserve">scale(2),enthusiasm(2),learning capacities(1),scale(2),local biz(2),reputation(1), </v>
      </c>
      <c r="IW110" s="47" t="str">
        <f t="shared" si="313"/>
        <v xml:space="preserve">field knowledge(1),network among members(1),local biz(1),marketing(1), </v>
      </c>
      <c r="IX110" s="47" t="str">
        <f t="shared" si="313"/>
        <v xml:space="preserve">field knowledge(100),network among members(25),local biz(25),marketing(25), </v>
      </c>
      <c r="IY110" s="47" t="str">
        <f t="shared" si="31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0" s="47" t="str">
        <f t="shared" si="313"/>
        <v xml:space="preserve">field knowledge(1),network among members(1),enthusiasm(1),fun-ness(1),seriousness(1),local biz(1),biz group(1),govt(1),marketing(1), </v>
      </c>
      <c r="JA110" s="47" t="str">
        <f t="shared" si="313"/>
        <v xml:space="preserve">field knowledge(6.25),network among members(6.25),enthusiasm(6.25),fun-ness(6.25),seriousness(6.25),local biz(6.25),biz group(6.25),govt(6.25),marketing(6.25), </v>
      </c>
      <c r="JB110" s="47" t="str">
        <f t="shared" si="313"/>
        <v xml:space="preserve">software(1),servers(1),wood(1),metal(1),plastic(1),electronics(1),fabric(1),scale(2),enthusiasm(1),scale(1),enthusiasm(2), </v>
      </c>
      <c r="JC110" s="47" t="str">
        <f t="shared" si="313"/>
        <v xml:space="preserve">engineering knowledge(1), </v>
      </c>
      <c r="JD110" s="47" t="str">
        <f t="shared" si="313"/>
        <v xml:space="preserve">engineering knowledge(50), </v>
      </c>
      <c r="JE110" s="47" t="str">
        <f t="shared" si="313"/>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0" s="47" t="str">
        <f t="shared" si="31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0" s="47" t="str">
        <f t="shared" si="31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0" s="47" t="str">
        <f t="shared" si="313"/>
        <v xml:space="preserve">scale(1),scale(1),enthusiasm(1),enthusiasm(1),local biz(1),non-profits(1),reputation(2), </v>
      </c>
      <c r="JI110" s="47" t="str">
        <f t="shared" si="313"/>
        <v xml:space="preserve"> </v>
      </c>
      <c r="JJ110" s="47" t="str">
        <f t="shared" si="313"/>
        <v xml:space="preserve"> </v>
      </c>
      <c r="JK110" s="47" t="str">
        <f t="shared" si="31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0" s="47" t="str">
        <f t="shared" si="313"/>
        <v xml:space="preserve">non-profits(1), </v>
      </c>
      <c r="JM110" s="47" t="str">
        <f t="shared" si="313"/>
        <v xml:space="preserve">non-profits(6.25), </v>
      </c>
      <c r="JN110" s="47" t="str">
        <f t="shared" si="313"/>
        <v xml:space="preserve">scale(2),enthusiasm(2),scale(2),enthusiasm(2),enthusiasm(1),network(1),local biz(1),investors(1),entrepreneurs(1),technologists(1),non-profits(1),reputation(2),portfolio(2), </v>
      </c>
      <c r="JO110" s="47" t="str">
        <f t="shared" si="313"/>
        <v xml:space="preserve"> </v>
      </c>
      <c r="JP110" s="47" t="str">
        <f t="shared" si="313"/>
        <v xml:space="preserve"> </v>
      </c>
      <c r="JQ110" s="47" t="str">
        <f t="shared" si="31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0" s="47" t="str">
        <f t="shared" si="313"/>
        <v xml:space="preserve"> </v>
      </c>
      <c r="JS110" s="47" t="str">
        <f t="shared" si="313"/>
        <v xml:space="preserve"> </v>
      </c>
      <c r="JT110" s="47" t="str">
        <f t="shared" si="313"/>
        <v xml:space="preserve">scale(3),enthusiasm(3),PR(1),administrator(1),enthusiasm(2),network(2),local biz(2),biz group(1),govt(2),investors(2),entrepreneurs(2),technologists(2),non-profits(2),reputation(2),portfolio(3), </v>
      </c>
      <c r="JU110" s="47" t="str">
        <f t="shared" si="313"/>
        <v xml:space="preserve"> </v>
      </c>
      <c r="JV110" s="47" t="str">
        <f t="shared" si="313"/>
        <v xml:space="preserve"> </v>
      </c>
      <c r="JW110" s="47" t="str">
        <f t="shared" si="31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0" s="47" t="str">
        <f t="shared" si="313"/>
        <v xml:space="preserve"> </v>
      </c>
      <c r="JY110" s="47" t="str">
        <f t="shared" si="313"/>
        <v xml:space="preserve"> </v>
      </c>
      <c r="JZ110" s="47" t="str">
        <f t="shared" si="313"/>
        <v xml:space="preserve">scale(1),enthusiasm(1),scale(1),enthusiasm(2),network(1),non-profits(1),reputation(2),social project(2), </v>
      </c>
      <c r="KA110" s="47" t="str">
        <f t="shared" si="313"/>
        <v xml:space="preserve">non-profits(1), </v>
      </c>
      <c r="KB110" s="47" t="str">
        <f t="shared" si="313"/>
        <v xml:space="preserve">non-profits(25), </v>
      </c>
      <c r="KC110" s="47" t="str">
        <f t="shared" si="31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0" s="47" t="str">
        <f t="shared" si="313"/>
        <v xml:space="preserve">non-profits(1), </v>
      </c>
      <c r="KE110" s="47" t="str">
        <f t="shared" si="313"/>
        <v xml:space="preserve">non-profits(6.25), </v>
      </c>
      <c r="KF110" s="47" t="str">
        <f t="shared" si="313"/>
        <v xml:space="preserve"> </v>
      </c>
      <c r="KG110" s="47" t="str">
        <f t="shared" si="313"/>
        <v xml:space="preserve"> </v>
      </c>
      <c r="KH110" s="47" t="str">
        <f t="shared" si="313"/>
        <v xml:space="preserve"> </v>
      </c>
      <c r="KI110" s="47" t="str">
        <f t="shared" si="313"/>
        <v xml:space="preserve"> </v>
      </c>
      <c r="KJ110" s="47" t="str">
        <f t="shared" si="313"/>
        <v xml:space="preserve"> </v>
      </c>
      <c r="KK110" s="47" t="str">
        <f t="shared" si="313"/>
        <v xml:space="preserve"> </v>
      </c>
      <c r="KL110" s="57" t="str">
        <f t="shared" si="313"/>
        <v xml:space="preserve"> </v>
      </c>
      <c r="KM110" s="47" t="str">
        <f t="shared" si="313"/>
        <v xml:space="preserve"> </v>
      </c>
      <c r="KN110" s="47" t="str">
        <f t="shared" si="313"/>
        <v xml:space="preserve"> </v>
      </c>
      <c r="KO110" s="47" t="str">
        <f t="shared" si="313"/>
        <v xml:space="preserve"> </v>
      </c>
      <c r="KP110" s="47" t="str">
        <f t="shared" si="313"/>
        <v xml:space="preserve"> </v>
      </c>
      <c r="KQ110" s="47" t="str">
        <f t="shared" si="313"/>
        <v xml:space="preserve"> </v>
      </c>
      <c r="KR110" s="57" t="str">
        <f t="shared" si="313"/>
        <v xml:space="preserve"> </v>
      </c>
      <c r="KS110" s="47" t="str">
        <f t="shared" si="313"/>
        <v xml:space="preserve"> </v>
      </c>
      <c r="KT110" s="47" t="str">
        <f t="shared" si="313"/>
        <v xml:space="preserve"> </v>
      </c>
      <c r="KU110" s="47" t="str">
        <f t="shared" si="313"/>
        <v xml:space="preserve"> </v>
      </c>
      <c r="KV110" s="47" t="str">
        <f t="shared" si="313"/>
        <v xml:space="preserve"> </v>
      </c>
      <c r="KW110" s="47" t="str">
        <f t="shared" si="313"/>
        <v xml:space="preserve"> </v>
      </c>
      <c r="KX110" s="57" t="str">
        <f t="shared" si="313"/>
        <v xml:space="preserve"> </v>
      </c>
      <c r="KY110" s="47" t="str">
        <f t="shared" si="313"/>
        <v xml:space="preserve"> </v>
      </c>
      <c r="KZ110" s="47" t="str">
        <f t="shared" si="313"/>
        <v xml:space="preserve"> </v>
      </c>
      <c r="LA110" s="47" t="str">
        <f t="shared" si="313"/>
        <v xml:space="preserve"> </v>
      </c>
      <c r="LB110" s="47" t="str">
        <f t="shared" si="313"/>
        <v xml:space="preserve"> </v>
      </c>
      <c r="LC110" s="47" t="str">
        <f t="shared" si="313"/>
        <v xml:space="preserve"> </v>
      </c>
      <c r="LD110" s="57" t="str">
        <f t="shared" si="313"/>
        <v xml:space="preserve"> </v>
      </c>
      <c r="LE110" s="47" t="str">
        <f t="shared" si="313"/>
        <v xml:space="preserve"> </v>
      </c>
      <c r="LF110" s="47" t="str">
        <f t="shared" si="313"/>
        <v xml:space="preserve"> </v>
      </c>
      <c r="LG110" s="47" t="str">
        <f t="shared" si="313"/>
        <v xml:space="preserve"> </v>
      </c>
      <c r="LH110" s="47" t="str">
        <f t="shared" ref="LH110:NM110" si="314">IF(LH8="",LH111,$C110&amp;"("&amp;LH8&amp;"),"&amp;LH111)</f>
        <v xml:space="preserve"> </v>
      </c>
      <c r="LI110" s="47" t="str">
        <f t="shared" si="314"/>
        <v xml:space="preserve"> </v>
      </c>
      <c r="LJ110" s="57" t="str">
        <f t="shared" si="314"/>
        <v xml:space="preserve"> </v>
      </c>
      <c r="LK110" s="47" t="str">
        <f t="shared" si="314"/>
        <v xml:space="preserve"> </v>
      </c>
      <c r="LL110" s="47" t="str">
        <f t="shared" si="314"/>
        <v xml:space="preserve"> </v>
      </c>
      <c r="LM110" s="47" t="str">
        <f t="shared" si="314"/>
        <v xml:space="preserve"> </v>
      </c>
      <c r="LN110" s="47" t="str">
        <f t="shared" si="314"/>
        <v xml:space="preserve"> </v>
      </c>
      <c r="LO110" s="47" t="str">
        <f t="shared" si="314"/>
        <v xml:space="preserve"> </v>
      </c>
      <c r="LP110" s="57" t="str">
        <f t="shared" si="314"/>
        <v xml:space="preserve"> </v>
      </c>
      <c r="LQ110" s="47" t="str">
        <f t="shared" si="314"/>
        <v xml:space="preserve"> </v>
      </c>
      <c r="LR110" s="47" t="str">
        <f t="shared" si="314"/>
        <v xml:space="preserve"> </v>
      </c>
      <c r="LS110" s="47" t="str">
        <f t="shared" si="314"/>
        <v xml:space="preserve"> </v>
      </c>
      <c r="LT110" s="47" t="str">
        <f t="shared" si="314"/>
        <v xml:space="preserve"> </v>
      </c>
      <c r="LU110" s="47" t="str">
        <f t="shared" si="314"/>
        <v xml:space="preserve"> </v>
      </c>
      <c r="LV110" s="57" t="str">
        <f t="shared" si="314"/>
        <v xml:space="preserve"> </v>
      </c>
      <c r="LW110" s="47" t="str">
        <f t="shared" si="314"/>
        <v xml:space="preserve"> </v>
      </c>
      <c r="LX110" s="47" t="str">
        <f t="shared" si="314"/>
        <v xml:space="preserve"> </v>
      </c>
      <c r="LY110" s="47" t="str">
        <f t="shared" si="314"/>
        <v xml:space="preserve"> </v>
      </c>
      <c r="LZ110" s="47" t="str">
        <f t="shared" si="314"/>
        <v xml:space="preserve"> </v>
      </c>
      <c r="MA110" s="47" t="str">
        <f t="shared" si="314"/>
        <v xml:space="preserve"> </v>
      </c>
      <c r="MB110" s="57" t="str">
        <f t="shared" si="314"/>
        <v xml:space="preserve"> </v>
      </c>
      <c r="MC110" s="47" t="str">
        <f t="shared" si="314"/>
        <v xml:space="preserve"> </v>
      </c>
      <c r="MD110" s="47" t="str">
        <f t="shared" si="314"/>
        <v xml:space="preserve"> </v>
      </c>
      <c r="ME110" s="47" t="str">
        <f t="shared" si="314"/>
        <v xml:space="preserve"> </v>
      </c>
      <c r="MF110" s="47" t="str">
        <f t="shared" si="314"/>
        <v xml:space="preserve"> </v>
      </c>
      <c r="MG110" s="47" t="str">
        <f t="shared" si="314"/>
        <v xml:space="preserve"> </v>
      </c>
      <c r="MH110" s="57" t="str">
        <f t="shared" si="314"/>
        <v xml:space="preserve"> </v>
      </c>
      <c r="MI110" s="47" t="str">
        <f t="shared" si="314"/>
        <v xml:space="preserve"> </v>
      </c>
      <c r="MJ110" s="47" t="str">
        <f t="shared" si="314"/>
        <v xml:space="preserve"> </v>
      </c>
      <c r="MK110" s="47" t="str">
        <f t="shared" si="314"/>
        <v xml:space="preserve"> </v>
      </c>
      <c r="ML110" s="47" t="str">
        <f t="shared" si="314"/>
        <v xml:space="preserve"> </v>
      </c>
      <c r="MM110" s="47" t="str">
        <f t="shared" si="314"/>
        <v xml:space="preserve"> </v>
      </c>
      <c r="MN110" s="57" t="str">
        <f t="shared" si="314"/>
        <v xml:space="preserve"> </v>
      </c>
      <c r="MO110" s="47" t="str">
        <f t="shared" si="314"/>
        <v xml:space="preserve"> </v>
      </c>
      <c r="MP110" s="47" t="str">
        <f t="shared" si="314"/>
        <v xml:space="preserve"> </v>
      </c>
      <c r="MQ110" s="47" t="str">
        <f t="shared" si="314"/>
        <v xml:space="preserve"> </v>
      </c>
      <c r="MR110" s="47" t="str">
        <f t="shared" si="314"/>
        <v xml:space="preserve"> </v>
      </c>
      <c r="MS110" s="47" t="str">
        <f t="shared" si="314"/>
        <v xml:space="preserve"> </v>
      </c>
      <c r="MT110" s="57" t="str">
        <f t="shared" si="314"/>
        <v xml:space="preserve"> </v>
      </c>
      <c r="MU110" s="47" t="str">
        <f t="shared" si="314"/>
        <v xml:space="preserve"> </v>
      </c>
      <c r="MV110" s="47" t="str">
        <f t="shared" si="314"/>
        <v xml:space="preserve"> </v>
      </c>
      <c r="MW110" s="47" t="str">
        <f t="shared" si="314"/>
        <v xml:space="preserve"> </v>
      </c>
      <c r="MX110" s="47" t="str">
        <f t="shared" si="314"/>
        <v xml:space="preserve"> </v>
      </c>
      <c r="MY110" s="47" t="str">
        <f t="shared" si="314"/>
        <v xml:space="preserve"> </v>
      </c>
      <c r="MZ110" s="57" t="str">
        <f t="shared" si="314"/>
        <v xml:space="preserve"> </v>
      </c>
      <c r="NA110" s="47" t="str">
        <f t="shared" si="314"/>
        <v xml:space="preserve"> </v>
      </c>
      <c r="NB110" s="47" t="str">
        <f t="shared" si="314"/>
        <v xml:space="preserve"> </v>
      </c>
      <c r="NC110" s="47" t="str">
        <f t="shared" si="314"/>
        <v xml:space="preserve"> </v>
      </c>
      <c r="ND110" s="47" t="str">
        <f t="shared" si="314"/>
        <v xml:space="preserve"> </v>
      </c>
      <c r="NE110" s="47" t="str">
        <f t="shared" si="314"/>
        <v xml:space="preserve"> </v>
      </c>
      <c r="NF110" s="57" t="str">
        <f t="shared" si="314"/>
        <v xml:space="preserve"> </v>
      </c>
      <c r="NG110" s="47" t="str">
        <f t="shared" si="314"/>
        <v xml:space="preserve"> </v>
      </c>
      <c r="NH110" s="47" t="str">
        <f t="shared" si="314"/>
        <v xml:space="preserve"> </v>
      </c>
      <c r="NI110" s="47" t="str">
        <f t="shared" si="314"/>
        <v xml:space="preserve"> </v>
      </c>
      <c r="NJ110" s="47" t="str">
        <f t="shared" si="314"/>
        <v xml:space="preserve"> </v>
      </c>
      <c r="NK110" s="47" t="str">
        <f t="shared" si="314"/>
        <v xml:space="preserve"> </v>
      </c>
      <c r="NL110" s="57" t="str">
        <f t="shared" si="314"/>
        <v xml:space="preserve"> </v>
      </c>
      <c r="NM110" s="47" t="str">
        <f t="shared" si="314"/>
        <v xml:space="preserve"> </v>
      </c>
    </row>
    <row r="111" spans="2:377" ht="15.75" customHeight="1">
      <c r="C111" s="7" t="str">
        <f t="shared" si="296"/>
        <v>credit</v>
      </c>
      <c r="D111" s="21" t="str">
        <f t="shared" si="169"/>
        <v xml:space="preserve">software 1
scale 1
 </v>
      </c>
      <c r="E111" s="21" t="str">
        <f t="shared" si="297"/>
        <v xml:space="preserve">scale(1,100),  </v>
      </c>
      <c r="F111" s="21" t="str">
        <f t="shared" si="170"/>
        <v xml:space="preserve">scale 100
 </v>
      </c>
      <c r="G111" s="21" t="str">
        <f t="shared" si="298"/>
        <v xml:space="preserve">software(2), servers(2), wood(2), metal(2), plastic(2), electronics(2), fabric(2), enthusiasm(1), enthusiasm(2), fun-ness(1), community manager(1), PR(1), fame(1), network(2), ease of access(1), reputation(2), social media(1),  </v>
      </c>
      <c r="H111" s="21" t="str">
        <f t="shared" si="299"/>
        <v xml:space="preserve">scale(1,6.25),  </v>
      </c>
      <c r="I111" s="21" t="str">
        <f t="shared" ref="I111" si="315">IF(I9="",I112,$C111&amp;"("&amp;I9&amp;"),"&amp;I112)</f>
        <v xml:space="preserve">scale(6.25), </v>
      </c>
      <c r="J111" s="21" t="str">
        <f t="shared" si="172"/>
        <v xml:space="preserve">scale 1
interaction 1
 </v>
      </c>
      <c r="K111" s="21" t="str">
        <f t="shared" si="173"/>
        <v xml:space="preserve">reputation(1,75),  </v>
      </c>
      <c r="L111" s="21" t="str">
        <f t="shared" si="174"/>
        <v xml:space="preserve">reputation 75
 </v>
      </c>
      <c r="M111" s="21" t="str">
        <f t="shared" si="175"/>
        <v xml:space="preserve">PR(1), portfolio(1), social innovation(1), non-profit biz(1),  </v>
      </c>
      <c r="N111" s="21" t="str">
        <f t="shared" si="176"/>
        <v xml:space="preserve">scale(1,6.25), enthusiasm(1,6.25), seriousness(1,25), non-profits(1,12.5), reputation(1,75), marketing(1,12.5),  </v>
      </c>
      <c r="O111" s="21" t="str">
        <f t="shared" si="177"/>
        <v xml:space="preserve">scale(6.25),enthusiasm(6.25),seriousness(25),non-profits(12.5),reputation(75),marketing(12.5), </v>
      </c>
      <c r="P111" s="21" t="str">
        <f t="shared" si="172"/>
        <v xml:space="preserve">scale 1
biz project 1
 </v>
      </c>
      <c r="Q111" s="21" t="str">
        <f t="shared" si="178"/>
        <v xml:space="preserve"> </v>
      </c>
      <c r="R111" s="21" t="str">
        <f t="shared" si="174"/>
        <v xml:space="preserve"> </v>
      </c>
      <c r="S111" s="21" t="str">
        <f t="shared" si="179"/>
        <v xml:space="preserve">portfolio(1), biz enhancement(1), business(1), start-up(1),  </v>
      </c>
      <c r="T111" s="21" t="str">
        <f t="shared" si="180"/>
        <v xml:space="preserve">scale(1,6.25), enthusiasm(1,6.25), seriousness(1,25), local biz(1,6.25), investors(1,6.25), reputation(1,6.25),  </v>
      </c>
      <c r="U111" s="21" t="str">
        <f t="shared" si="177"/>
        <v xml:space="preserve">scale(6.25),enthusiasm(6.25),seriousness(25),local biz(6.25),investors(6.25),reputation(6.25), </v>
      </c>
      <c r="V111" s="21" t="str">
        <f t="shared" si="172"/>
        <v xml:space="preserve">scale 1
 </v>
      </c>
      <c r="W111" s="21" t="str">
        <f t="shared" si="181"/>
        <v xml:space="preserve">local biz(1,),  </v>
      </c>
      <c r="X111" s="21" t="str">
        <f t="shared" si="174"/>
        <v xml:space="preserve"> </v>
      </c>
      <c r="Y111" s="21" t="str">
        <f t="shared" si="182"/>
        <v xml:space="preserve">enthusiasm(1), attention to details(1), PR(1), network(1), ease of access(1), reputation(1), portfolio(1), biz project(1), biz enhancement(1), job creation(1), business(1),  </v>
      </c>
      <c r="Z111" s="21" t="str">
        <f t="shared" si="183"/>
        <v xml:space="preserve">local biz(1,6.25),  </v>
      </c>
      <c r="AA111" s="21" t="str">
        <f t="shared" si="177"/>
        <v xml:space="preserve">local biz(6.25), </v>
      </c>
      <c r="AB111" s="21" t="str">
        <f t="shared" si="172"/>
        <v xml:space="preserve">scale 1
 </v>
      </c>
      <c r="AC111" s="21" t="str">
        <f t="shared" si="184"/>
        <v xml:space="preserve">non-profits(1,100),  </v>
      </c>
      <c r="AD111" s="21" t="str">
        <f t="shared" si="174"/>
        <v xml:space="preserve">non-profits 100
 </v>
      </c>
      <c r="AE111" s="21" t="str">
        <f t="shared" si="185"/>
        <v xml:space="preserve">enthusiasm(1), attention to details(1), PR(1), network(1), ease of access(1), reputation(1), portfolio(1), social project(1), social innovation(1), non-profit biz(1),  </v>
      </c>
      <c r="AF111" s="21" t="str">
        <f t="shared" si="186"/>
        <v xml:space="preserve">seriousness(1,6.25), non-profits(1,6.25),  </v>
      </c>
      <c r="AG111" s="21" t="str">
        <f t="shared" si="177"/>
        <v xml:space="preserve">seriousness(6.25),non-profits(6.25), </v>
      </c>
      <c r="AH111" s="21" t="str">
        <f t="shared" si="172"/>
        <v xml:space="preserve">scale 1
 </v>
      </c>
      <c r="AI111" s="21" t="str">
        <f t="shared" si="187"/>
        <v xml:space="preserve">govt(1,),  </v>
      </c>
      <c r="AJ111" s="21" t="str">
        <f t="shared" si="174"/>
        <v xml:space="preserve"> </v>
      </c>
      <c r="AK111" s="21" t="str">
        <f t="shared" si="188"/>
        <v xml:space="preserve">enthusiasm(1), attention to details(1), seriousness(1), fame(1), network(1), govt(1), ease of access(1), reputation(2), portfolio(1), social project(1), social innovation(1), non-profit biz(1),  </v>
      </c>
      <c r="AL111" s="21" t="str">
        <f t="shared" si="189"/>
        <v xml:space="preserve">govt(1,6.25),  </v>
      </c>
      <c r="AM111" s="21" t="str">
        <f t="shared" si="177"/>
        <v xml:space="preserve">govt(6.25), </v>
      </c>
      <c r="AN111" s="21" t="str">
        <f t="shared" si="172"/>
        <v xml:space="preserve">scale 1
enthusiasm 1
gifted leader 1
scale 1
enthusiasm 1
 </v>
      </c>
      <c r="AO111" s="21" t="str">
        <f t="shared" si="190"/>
        <v xml:space="preserve">fame(1,), network(1,), investors(1,6.25),  </v>
      </c>
      <c r="AP111" s="21" t="str">
        <f t="shared" si="174"/>
        <v xml:space="preserve">investors 6.25
 </v>
      </c>
      <c r="AQ111" s="21" t="str">
        <f t="shared" si="191"/>
        <v xml:space="preserve">investors(1), ease of access(1), reputation(1), portfolio(1), start-up(1), start-up with mvp(1), start-up with customers(1),  </v>
      </c>
      <c r="AR111" s="21" t="str">
        <f t="shared" si="192"/>
        <v xml:space="preserve"> </v>
      </c>
      <c r="AS111" s="21" t="str">
        <f t="shared" si="177"/>
        <v xml:space="preserve"> </v>
      </c>
      <c r="AT111" s="21" t="str">
        <f t="shared" si="172"/>
        <v xml:space="preserve">credit 1
scale 1
enthusiasm 1
scale 2
enthusiasm 1
seriousness 1
administrator 1
non-profits 2
reputation 1
portfolio 1
social project 1
 </v>
      </c>
      <c r="AU111" s="21" t="str">
        <f t="shared" si="193"/>
        <v xml:space="preserve">ambition(1,), attention to details(1,),  </v>
      </c>
      <c r="AV111" s="21" t="str">
        <f t="shared" si="174"/>
        <v xml:space="preserve"> </v>
      </c>
      <c r="AW111" s="21" t="str">
        <f t="shared" si="194"/>
        <v xml:space="preserve">field knowledge(1), enthusiasm(3), PR(2), administrator(1), project management(2),  </v>
      </c>
      <c r="AX111" s="21" t="str">
        <f t="shared" si="195"/>
        <v xml:space="preserve">organizational rules and manuals(1,12.5), project management(1,12.5),  </v>
      </c>
      <c r="AY111" s="21" t="str">
        <f t="shared" si="177"/>
        <v xml:space="preserve">organizational rules and manuals(12.5),project management(12.5), </v>
      </c>
      <c r="AZ111" s="21" t="str">
        <f t="shared" si="172"/>
        <v xml:space="preserve">scale 1
enthusiasm 1
scale 1
enthusiasm 1
non-profits 1
 </v>
      </c>
      <c r="BA111" s="21" t="str">
        <f t="shared" si="196"/>
        <v xml:space="preserve"> </v>
      </c>
      <c r="BB111" s="21" t="str">
        <f t="shared" si="174"/>
        <v xml:space="preserve"> </v>
      </c>
      <c r="BC111" s="21" t="str">
        <f t="shared" si="197"/>
        <v xml:space="preserve"> </v>
      </c>
      <c r="BD111" s="21" t="str">
        <f t="shared" si="198"/>
        <v xml:space="preserve"> </v>
      </c>
      <c r="BE111" s="21" t="str">
        <f t="shared" si="177"/>
        <v xml:space="preserve"> </v>
      </c>
      <c r="BF111" s="21" t="str">
        <f t="shared" si="172"/>
        <v xml:space="preserve">scale 1
enthusiasm 1
scale 2
enthusiasm 1
seriousness 1
administrator 1
local biz 2
entrepreneurs 1
reputation 1
portfolio 1
biz project 1
 </v>
      </c>
      <c r="BG111" s="21" t="str">
        <f t="shared" si="199"/>
        <v xml:space="preserve">ambition(1,), attention to details(1,),  </v>
      </c>
      <c r="BH111" s="21" t="str">
        <f t="shared" si="174"/>
        <v xml:space="preserve"> </v>
      </c>
      <c r="BI111" s="21" t="str">
        <f t="shared" si="200"/>
        <v xml:space="preserve">field knowledge(1), enthusiasm(3), PR(2), administrator(1), project management(2),  </v>
      </c>
      <c r="BJ111" s="21" t="str">
        <f t="shared" si="201"/>
        <v xml:space="preserve">organizational rules and manuals(1,12.5), project management(1,12.5),  </v>
      </c>
      <c r="BK111" s="21" t="str">
        <f t="shared" si="177"/>
        <v xml:space="preserve">organizational rules and manuals(12.5),project management(12.5), </v>
      </c>
      <c r="BL111" s="21" t="str">
        <f t="shared" si="172"/>
        <v xml:space="preserve">scale 1
enthusiasm 1
scale 1
enthusiasm 1
local biz 1
reputation 1
portfolio 1
biz enhancement 1
 </v>
      </c>
      <c r="BM111" s="21" t="str">
        <f t="shared" si="202"/>
        <v xml:space="preserve"> </v>
      </c>
      <c r="BN111" s="21" t="str">
        <f t="shared" si="174"/>
        <v xml:space="preserve"> </v>
      </c>
      <c r="BO111" s="21" t="str">
        <f t="shared" si="203"/>
        <v xml:space="preserve"> </v>
      </c>
      <c r="BP111" s="21" t="str">
        <f t="shared" si="204"/>
        <v xml:space="preserve"> </v>
      </c>
      <c r="BQ111" s="21" t="str">
        <f t="shared" si="177"/>
        <v xml:space="preserve"> </v>
      </c>
      <c r="BR111" s="21" t="str">
        <f t="shared" si="172"/>
        <v xml:space="preserve"> </v>
      </c>
      <c r="BS111" s="21" t="str">
        <f t="shared" si="205"/>
        <v xml:space="preserve"> </v>
      </c>
      <c r="BT111" s="21" t="str">
        <f t="shared" si="174"/>
        <v xml:space="preserve"> </v>
      </c>
      <c r="BU111" s="21" t="str">
        <f t="shared" si="206"/>
        <v xml:space="preserve"> </v>
      </c>
      <c r="BV111" s="21" t="str">
        <f t="shared" si="207"/>
        <v xml:space="preserve"> </v>
      </c>
      <c r="BW111" s="21" t="str">
        <f t="shared" si="177"/>
        <v xml:space="preserve"> </v>
      </c>
      <c r="BX111" s="21" t="str">
        <f t="shared" si="208"/>
        <v xml:space="preserve">scale 1
network 1
 </v>
      </c>
      <c r="BY111" s="21" t="str">
        <f t="shared" si="209"/>
        <v xml:space="preserve">efficiency(1,),  </v>
      </c>
      <c r="BZ111" s="21" t="str">
        <f t="shared" si="210"/>
        <v xml:space="preserve"> </v>
      </c>
      <c r="CA111" s="21" t="str">
        <f t="shared" si="211"/>
        <v xml:space="preserve">scale(2), enthusiasm(1), attention to details(1), administrator(1), negotiation(1),  </v>
      </c>
      <c r="CB111" s="21" t="str">
        <f t="shared" si="212"/>
        <v xml:space="preserve">user rules and manuals(1,50), organizational rules and manuals(1,50),  </v>
      </c>
      <c r="CC111" s="21" t="str">
        <f t="shared" si="213"/>
        <v xml:space="preserve">user rules and manuals(50),organizational rules and manuals(50), </v>
      </c>
      <c r="CD111" s="21" t="str">
        <f t="shared" si="208"/>
        <v xml:space="preserve">software 1
servers 1
scale 1
scale 1
enthusiasm 1
network 1
 </v>
      </c>
      <c r="CE111" s="21" t="str">
        <f t="shared" si="214"/>
        <v xml:space="preserve">field knowledge(1,), non-profits(1,),  </v>
      </c>
      <c r="CF111" s="21" t="str">
        <f t="shared" si="210"/>
        <v xml:space="preserve"> </v>
      </c>
      <c r="CG111" s="21" t="str">
        <f t="shared" si="215"/>
        <v xml:space="preserve">software(2), servers(2), wood(2), metal(2), plastic(2), electronics(2), fabric(2), fun-ness(1), seriousness(1), ease of access(1), portfolio(1), user rules and manuals(1), negotiation(1), social project(1), biz project(1), for basic literacy(1), for the elites(1), for entrepreneurs(1),  </v>
      </c>
      <c r="CH111" s="21" t="str">
        <f t="shared" si="216"/>
        <v xml:space="preserve">scale(1,6.25), technologists(1,6.25), non-profits(1,6.25),  </v>
      </c>
      <c r="CI111" s="21" t="str">
        <f t="shared" si="213"/>
        <v xml:space="preserve">scale(6.25),technologists(6.25),non-profits(6.25), </v>
      </c>
      <c r="CJ111" s="21" t="str">
        <f t="shared" si="208"/>
        <v xml:space="preserve">software 1
servers 1
scale 1
scale 1
 </v>
      </c>
      <c r="CK111" s="21" t="str">
        <f t="shared" si="217"/>
        <v xml:space="preserve">suppliers(1,),  </v>
      </c>
      <c r="CL111" s="21" t="str">
        <f t="shared" si="210"/>
        <v xml:space="preserve"> </v>
      </c>
      <c r="CM111" s="21" t="str">
        <f t="shared" si="218"/>
        <v xml:space="preserve">reputation(1), negotiation(1),  </v>
      </c>
      <c r="CN111" s="21" t="str">
        <f t="shared" si="219"/>
        <v xml:space="preserve">learning capacities(1,), engineering knowledge(1,), enthusiasm(2,), efficiency(1,6.25),  </v>
      </c>
      <c r="CO111" s="21" t="str">
        <f t="shared" si="213"/>
        <v xml:space="preserve">efficiency(6.25), </v>
      </c>
      <c r="CP111" s="21" t="str">
        <f t="shared" si="208"/>
        <v xml:space="preserve">software 1
servers 1
scale 1
scale 1
 </v>
      </c>
      <c r="CQ111" s="21" t="str">
        <f t="shared" si="220"/>
        <v xml:space="preserve">technologists(1,),  </v>
      </c>
      <c r="CR111" s="21" t="str">
        <f t="shared" si="210"/>
        <v xml:space="preserve"> </v>
      </c>
      <c r="CS111" s="21" t="str">
        <f t="shared" si="221"/>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1" s="21" t="str">
        <f t="shared" si="222"/>
        <v xml:space="preserve">engineering knowledge(1,6.25), efficiency(1,6.25),  </v>
      </c>
      <c r="CU111" s="21" t="str">
        <f t="shared" si="213"/>
        <v xml:space="preserve">engineering knowledge(6.25),efficiency(6.25), </v>
      </c>
      <c r="CV111" s="21" t="str">
        <f t="shared" si="208"/>
        <v xml:space="preserve">scale 1
scale 1
 </v>
      </c>
      <c r="CW111" s="21" t="str">
        <f t="shared" si="223"/>
        <v xml:space="preserve">local biz(1,),  </v>
      </c>
      <c r="CX111" s="21" t="str">
        <f t="shared" si="210"/>
        <v xml:space="preserve"> </v>
      </c>
      <c r="CY111" s="21" t="str">
        <f t="shared" si="224"/>
        <v xml:space="preserve">software(2), servers(2), wood(2), metal(2), plastic(2), electronics(2), fabric(2), ease of access(1), reputation(1), portfolio(1), negotiation(1),  </v>
      </c>
      <c r="CZ111" s="21" t="str">
        <f t="shared" si="225"/>
        <v xml:space="preserve">non-profits(1,6.25),  </v>
      </c>
      <c r="DA111" s="21" t="str">
        <f t="shared" si="213"/>
        <v xml:space="preserve">non-profits(6.25), </v>
      </c>
      <c r="DB111" s="21" t="str">
        <f t="shared" si="208"/>
        <v xml:space="preserve">scale 1
 </v>
      </c>
      <c r="DC111" s="21" t="str">
        <f t="shared" si="226"/>
        <v xml:space="preserve"> </v>
      </c>
      <c r="DD111" s="21" t="str">
        <f t="shared" si="210"/>
        <v xml:space="preserve"> </v>
      </c>
      <c r="DE111" s="21" t="str">
        <f t="shared" si="227"/>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1" s="21" t="str">
        <f t="shared" si="228"/>
        <v xml:space="preserve">network(1,), local biz(1,6.25), biz group(1,6.25), investors(1,6.25), entrepreneurs(1,6.25),  </v>
      </c>
      <c r="DG111" s="21" t="str">
        <f t="shared" si="213"/>
        <v xml:space="preserve">local biz(6.25),biz group(6.25),investors(6.25),entrepreneurs(6.25), </v>
      </c>
      <c r="DH111" s="21" t="str">
        <f t="shared" si="208"/>
        <v xml:space="preserve">software 1
scale 1
enthusiasm 1
scale 1
enthusiasm 1
network 1
non-profits 1
reputation 1
social project 1
 </v>
      </c>
      <c r="DI111" s="21" t="str">
        <f t="shared" si="229"/>
        <v xml:space="preserve"> </v>
      </c>
      <c r="DJ111" s="21" t="str">
        <f t="shared" si="210"/>
        <v xml:space="preserve"> </v>
      </c>
      <c r="DK111" s="21" t="str">
        <f t="shared" si="230"/>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1" s="21" t="str">
        <f t="shared" si="231"/>
        <v xml:space="preserve">field knowledge(1,12.5), network among members(1,12.5), reputation(1,6.25),  </v>
      </c>
      <c r="DM111" s="21" t="str">
        <f t="shared" si="213"/>
        <v xml:space="preserve">field knowledge(12.5),network among members(12.5),reputation(6.25), </v>
      </c>
      <c r="DN111" s="21" t="str">
        <f t="shared" si="208"/>
        <v xml:space="preserve">scale 1
enthusiasm 1
scale 1
enthusiasm 1
network 1
local biz 1
reputation 1
biz project 1
 </v>
      </c>
      <c r="DO111" s="21" t="str">
        <f t="shared" si="232"/>
        <v xml:space="preserve"> </v>
      </c>
      <c r="DP111" s="21" t="str">
        <f t="shared" si="210"/>
        <v xml:space="preserve"> </v>
      </c>
      <c r="DQ111" s="21" t="str">
        <f t="shared" si="233"/>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1" s="21" t="str">
        <f t="shared" si="234"/>
        <v xml:space="preserve">field knowledge(1,12.5), network among members(1,12.5), reputation(1,6.25),  </v>
      </c>
      <c r="DS111" s="21" t="str">
        <f t="shared" si="213"/>
        <v xml:space="preserve">field knowledge(12.5),network among members(12.5),reputation(6.25), </v>
      </c>
      <c r="DT111" s="21" t="str">
        <f t="shared" si="208"/>
        <v xml:space="preserve">scale 1
enthusiasm 1
scale 1
enthusiasm 1
network 1
reputation 1
 </v>
      </c>
      <c r="DU111" s="21" t="str">
        <f t="shared" si="235"/>
        <v xml:space="preserve"> </v>
      </c>
      <c r="DV111" s="21" t="str">
        <f t="shared" si="210"/>
        <v xml:space="preserve"> </v>
      </c>
      <c r="DW111"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1" s="21" t="str">
        <f t="shared" si="237"/>
        <v xml:space="preserve">enthusiasm(1,6.25), field knowledge(1,6.25), engineering knowledge(1,6.25), ambition(1,6.25), reputation(1,6.25), for basic literacy(1,6.25),  </v>
      </c>
      <c r="DY111" s="21" t="str">
        <f t="shared" si="213"/>
        <v xml:space="preserve">enthusiasm(6.25),field knowledge(6.25),engineering knowledge(6.25),ambition(6.25),reputation(6.25),for basic literacy(6.25), </v>
      </c>
      <c r="DZ111" s="21" t="str">
        <f t="shared" si="208"/>
        <v xml:space="preserve">scale 1
enthusiasm 1
scale 1
enthusiasm 1
network 1
reputation 1
 </v>
      </c>
      <c r="EA111" s="21" t="str">
        <f t="shared" si="238"/>
        <v xml:space="preserve"> </v>
      </c>
      <c r="EB111" s="21" t="str">
        <f t="shared" si="210"/>
        <v xml:space="preserve"> </v>
      </c>
      <c r="EC111"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1" s="21" t="str">
        <f t="shared" si="240"/>
        <v xml:space="preserve">enthusiasm(1,6.25), engineering knowledge(1,6.25), ambition(1,6.25), reputation(1,6.25), for basic literacy(1,6.25),  </v>
      </c>
      <c r="EE111" s="21" t="str">
        <f t="shared" si="213"/>
        <v xml:space="preserve">enthusiasm(6.25),engineering knowledge(6.25),ambition(6.25),reputation(6.25),for basic literacy(6.25), </v>
      </c>
      <c r="EF111" s="21" t="str">
        <f t="shared" si="208"/>
        <v xml:space="preserve">scale 2
enthusiasm 2
technologists 1
reputation 1
 </v>
      </c>
      <c r="EG111" s="21" t="str">
        <f t="shared" si="241"/>
        <v xml:space="preserve">web(1,50), mobile apps(1,50), interaction(1,50),  </v>
      </c>
      <c r="EH111" s="21" t="str">
        <f t="shared" si="210"/>
        <v xml:space="preserve">web 50
mobile apps 50
interaction 50
 </v>
      </c>
      <c r="EI111"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1" s="21" t="str">
        <f t="shared" si="243"/>
        <v xml:space="preserve">engineering knowledge(1,6.25), technologists(1,12.5), infrastructrue(1,12.5), database(1,12.5), mobile comm(1,12.5), for entrepreneurs(1,6.25),  </v>
      </c>
      <c r="EK111" s="21" t="str">
        <f t="shared" si="213"/>
        <v xml:space="preserve">engineering knowledge(6.25),technologists(12.5),infrastructrue(12.5),database(12.5),mobile comm(12.5),for entrepreneurs(6.25), </v>
      </c>
      <c r="EL111" s="21" t="str">
        <f t="shared" si="244"/>
        <v xml:space="preserve">scale 2
enthusiasm 2
technologists 1
reputation 1
 </v>
      </c>
      <c r="EM111" s="21" t="str">
        <f t="shared" si="245"/>
        <v xml:space="preserve">sensors(1,50),  </v>
      </c>
      <c r="EN111" s="21" t="str">
        <f t="shared" si="246"/>
        <v xml:space="preserve">sensors 50
 </v>
      </c>
      <c r="EO111"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1" s="21" t="str">
        <f t="shared" si="248"/>
        <v xml:space="preserve">engineering knowledge(1,6.25), technologists(1,12.5), infrastructrue(1,12.5), database(1,12.5), mobile comm(1,12.5), electronics(1,6.25), for entrepreneurs(1,6.25),  </v>
      </c>
      <c r="EQ111" s="21" t="str">
        <f t="shared" si="249"/>
        <v xml:space="preserve">engineering knowledge(6.25),technologists(12.5),infrastructrue(12.5),database(12.5),mobile comm(12.5),electronics(6.25),for entrepreneurs(6.25), </v>
      </c>
      <c r="ER111" s="21" t="str">
        <f t="shared" si="244"/>
        <v xml:space="preserve">software 1
servers 1
scale 2
enthusiasm 2
technologists 1
 </v>
      </c>
      <c r="ES111" s="21" t="str">
        <f t="shared" si="250"/>
        <v xml:space="preserve">AI&amp; data analysis(1,50),  </v>
      </c>
      <c r="ET111" s="21" t="str">
        <f t="shared" si="246"/>
        <v xml:space="preserve">AI&amp; data analysis 50
 </v>
      </c>
      <c r="EU111"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1" s="21" t="str">
        <f t="shared" si="252"/>
        <v xml:space="preserve">engineering knowledge(1,6.25), technologists(1,12.5), database(1,12.5), sensors(1,12.5), mobile comm(1,12.5), for entrepreneurs(1,6.25),  </v>
      </c>
      <c r="EW111" s="21" t="str">
        <f t="shared" si="249"/>
        <v xml:space="preserve">engineering knowledge(6.25),technologists(12.5),database(12.5),sensors(12.5),mobile comm(12.5),for entrepreneurs(6.25), </v>
      </c>
      <c r="EX111" s="21" t="str">
        <f t="shared" si="244"/>
        <v xml:space="preserve">software 1
servers 1
scale 2
enthusiasm 2
technologists 1
 </v>
      </c>
      <c r="EY111" s="21" t="str">
        <f t="shared" si="253"/>
        <v xml:space="preserve">law(1,50), security(1,50), interaction(1,25),  </v>
      </c>
      <c r="EZ111" s="21" t="str">
        <f t="shared" si="246"/>
        <v xml:space="preserve">law 50
security 50
interaction 25
 </v>
      </c>
      <c r="FA111"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1" s="21" t="str">
        <f t="shared" si="255"/>
        <v xml:space="preserve">field knowledge(1,6.25), engineering knowledge(1,6.25), technologists(1,12.5), law(1,6.25), database(1,12.5), mobile apps(1,12.5), security(1,12.5), mobile comm(1,12.5), for entrepreneurs(1,6.25),  </v>
      </c>
      <c r="FC111" s="21" t="str">
        <f t="shared" si="249"/>
        <v xml:space="preserve">field knowledge(6.25),engineering knowledge(6.25),technologists(12.5),law(6.25),database(12.5),mobile apps(12.5),security(12.5),mobile comm(12.5),for entrepreneurs(6.25), </v>
      </c>
      <c r="FD111" s="21" t="str">
        <f t="shared" si="244"/>
        <v xml:space="preserve">software 1
servers 1
scale 2
enthusiasm 2
technologists 1
 </v>
      </c>
      <c r="FE111" s="21" t="str">
        <f t="shared" si="256"/>
        <v xml:space="preserve">law(1,50), sensors(1,50), security(1,50),  </v>
      </c>
      <c r="FF111" s="21" t="str">
        <f t="shared" si="246"/>
        <v xml:space="preserve">law 50
sensors 50
security 50
 </v>
      </c>
      <c r="FG111"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1" s="21" t="str">
        <f t="shared" si="258"/>
        <v xml:space="preserve">field knowledge(1,6.25), engineering knowledge(1,6.25), technologists(1,12.5), law(1,6.25), database(1,6.25), mobile apps(1,6.25), AI&amp; data analysis(1,6.25), mobile comm(1,6.25), for entrepreneurs(1,6.25),  </v>
      </c>
      <c r="FI111" s="21" t="str">
        <f t="shared" si="249"/>
        <v xml:space="preserve">field knowledge(6.25),engineering knowledge(6.25),technologists(12.5),law(6.25),database(6.25),mobile apps(6.25),AI&amp; data analysis(6.25),mobile comm(6.25),for entrepreneurs(6.25), </v>
      </c>
      <c r="FJ111" s="21" t="str">
        <f t="shared" si="244"/>
        <v xml:space="preserve">software 1
servers 1
scale 2
enthusiasm 2
technologists 1
 </v>
      </c>
      <c r="FK111" s="21" t="str">
        <f t="shared" si="259"/>
        <v xml:space="preserve">wood processing(1,25), metal processing(1,25), plastic processing(1,25), fabric(1,25), safety(1,25), interaction(1,25),  </v>
      </c>
      <c r="FL111" s="21" t="str">
        <f t="shared" si="246"/>
        <v xml:space="preserve">project management 2
wood processing 25
metal processing 25
plastic processing 25
fabric 25
safety 25
interaction 25
 </v>
      </c>
      <c r="FM111"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1" s="21" t="str">
        <f t="shared" si="261"/>
        <v xml:space="preserve">field knowledge(1,6.25), engineering knowledge(1,6.25), technologists(1,12.5), for entrepreneurs(1,6.25),  </v>
      </c>
      <c r="FO111" s="21" t="str">
        <f t="shared" si="249"/>
        <v xml:space="preserve">field knowledge(6.25),engineering knowledge(6.25),technologists(12.5),for entrepreneurs(6.25), </v>
      </c>
      <c r="FP111" s="21" t="str">
        <f t="shared" si="244"/>
        <v xml:space="preserve">software 1
servers 1
scale 2
enthusiasm 2
technologists 1
 </v>
      </c>
      <c r="FQ111" s="21" t="str">
        <f t="shared" si="262"/>
        <v xml:space="preserve">web(1,25), mobile apps(1,50), functions(1,25), interaction(1,25),  </v>
      </c>
      <c r="FR111" s="21" t="str">
        <f t="shared" si="246"/>
        <v xml:space="preserve">web 25
mobile apps 50
functions 25
interaction 25
 </v>
      </c>
      <c r="FS111"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1" s="21" t="str">
        <f t="shared" si="264"/>
        <v xml:space="preserve">field knowledge(1,6.25), engineering knowledge(1,6.25), technologists(1,12.5), for entrepreneurs(1,6.25),  </v>
      </c>
      <c r="FU111" s="21" t="str">
        <f t="shared" si="249"/>
        <v xml:space="preserve">field knowledge(6.25),engineering knowledge(6.25),technologists(12.5),for entrepreneurs(6.25), </v>
      </c>
      <c r="FV111" s="21" t="str">
        <f t="shared" si="244"/>
        <v xml:space="preserve">software 1
servers 1
scale 2
enthusiasm 2
technologists 1
 </v>
      </c>
      <c r="FW111" s="21" t="str">
        <f t="shared" si="265"/>
        <v xml:space="preserve">mobile apps(1,50), sensors(1,50), wood processing(1,25), plastic processing(1,25), electronics(1,25), functions(1,25), interaction(1,25),  </v>
      </c>
      <c r="FX111" s="21" t="str">
        <f t="shared" si="246"/>
        <v xml:space="preserve">mobile apps 50
sensors 50
wood processing 25
plastic processing 25
electronics 25
functions 25
interaction 25
 </v>
      </c>
      <c r="FY111"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1" s="21" t="str">
        <f t="shared" si="267"/>
        <v xml:space="preserve">field knowledge(1,6.25), engineering knowledge(1,6.25), technologists(1,12.5), web(1,6.25), database(1,6.25), AI&amp; data analysis(1,6.25), mobile comm(1,6.25), for entrepreneurs(1,6.25),  </v>
      </c>
      <c r="GA111" s="21" t="str">
        <f t="shared" si="249"/>
        <v xml:space="preserve">field knowledge(6.25),engineering knowledge(6.25),technologists(12.5),web(6.25),database(6.25),AI&amp; data analysis(6.25),mobile comm(6.25),for entrepreneurs(6.25), </v>
      </c>
      <c r="GB111" s="21" t="str">
        <f t="shared" si="244"/>
        <v xml:space="preserve">software 1
servers 1
scale 2
enthusiasm 2
technologists 1
 </v>
      </c>
      <c r="GC111" s="21" t="str">
        <f t="shared" si="268"/>
        <v xml:space="preserve">sensors(1,25), mobile comm(1,25), electronics(1,50), functions(1,25), safety(1,25),  </v>
      </c>
      <c r="GD111" s="21" t="str">
        <f t="shared" si="246"/>
        <v xml:space="preserve">sensors 25
mobile comm 25
electronics 50
functions 25
safety 25
 </v>
      </c>
      <c r="GE111"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1" s="21" t="str">
        <f t="shared" si="270"/>
        <v xml:space="preserve">field knowledge(1,6.25), engineering knowledge(1,6.25), technologists(1,12.5), database(1,6.25), mobile apps(1,6.25), AI&amp; data analysis(1,6.25), plastic processing(1,6.25), interaction(1,6.25), for entrepreneurs(1,6.25),  </v>
      </c>
      <c r="GG111" s="21" t="str">
        <f t="shared" si="249"/>
        <v xml:space="preserve">field knowledge(6.25),engineering knowledge(6.25),technologists(12.5),database(6.25),mobile apps(6.25),AI&amp; data analysis(6.25),plastic processing(6.25),interaction(6.25),for entrepreneurs(6.25), </v>
      </c>
      <c r="GH111" s="21" t="str">
        <f t="shared" si="244"/>
        <v xml:space="preserve">software 1
servers 1
scale 2
enthusiasm 2
technologists 1
 </v>
      </c>
      <c r="GI111" s="21" t="str">
        <f t="shared" si="271"/>
        <v xml:space="preserve">web(1,25), mobile apps(1,50), functions(1,25), interaction(1,25),  </v>
      </c>
      <c r="GJ111" s="21" t="str">
        <f t="shared" si="246"/>
        <v xml:space="preserve">web 25
mobile apps 50
functions 25
interaction 25
 </v>
      </c>
      <c r="GK111"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1" s="21" t="str">
        <f t="shared" si="273"/>
        <v xml:space="preserve">field knowledge(1,6.25), engineering knowledge(1,6.25), technologists(1,12.5), for entrepreneurs(1,6.25),  </v>
      </c>
      <c r="GM111" s="21" t="str">
        <f t="shared" si="249"/>
        <v xml:space="preserve">field knowledge(6.25),engineering knowledge(6.25),technologists(12.5),for entrepreneurs(6.25), </v>
      </c>
      <c r="GN111" s="21" t="str">
        <f t="shared" si="244"/>
        <v xml:space="preserve">software 1
servers 1
scale 2
enthusiasm 2
technologists 1
 </v>
      </c>
      <c r="GO111" s="21" t="str">
        <f t="shared" si="274"/>
        <v xml:space="preserve">web(1,25), mobile apps(1,25), VR&amp;AR(1,25), aesthetics(1,25), functions(1,25), interaction(1,50),  </v>
      </c>
      <c r="GP111" s="21" t="str">
        <f t="shared" si="246"/>
        <v xml:space="preserve">web 25
mobile apps 25
VR&amp;AR 25
aesthetics 25
functions 25
interaction 50
 </v>
      </c>
      <c r="GQ111"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1" s="21" t="str">
        <f t="shared" si="276"/>
        <v xml:space="preserve">field knowledge(1,6.25), technologists(1,12.5), for entrepreneurs(1,6.25),  </v>
      </c>
      <c r="GS111" s="21" t="str">
        <f t="shared" si="249"/>
        <v xml:space="preserve">field knowledge(6.25),technologists(12.5),for entrepreneurs(6.25), </v>
      </c>
      <c r="GT111" s="21" t="str">
        <f t="shared" si="244"/>
        <v xml:space="preserve">software 1
servers 2
scale 3
scale 2
ease of access 1
reputation 2
web 1
mobile apps 1
mobile comm 1
 </v>
      </c>
      <c r="GU111" s="21" t="str">
        <f t="shared" si="277"/>
        <v xml:space="preserve">software(1,),  </v>
      </c>
      <c r="GV111" s="21" t="str">
        <f t="shared" si="246"/>
        <v xml:space="preserve"> </v>
      </c>
      <c r="GW111"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1"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1"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1" s="21" t="str">
        <f t="shared" si="280"/>
        <v xml:space="preserve">software 1
plastic 1
electronics 1
fabric 1
scale 2
enthusiasm 2
scale 2
enthusiasm 2
network 1
govt 1
non-profits 1
reputation 2
portfolio 1
 </v>
      </c>
      <c r="HA111" s="21" t="str">
        <f t="shared" si="281"/>
        <v xml:space="preserve"> </v>
      </c>
      <c r="HB111" s="21" t="str">
        <f t="shared" si="282"/>
        <v xml:space="preserve"> </v>
      </c>
      <c r="HC111"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1" s="21" t="str">
        <f t="shared" si="284"/>
        <v xml:space="preserve">scale(1,6.25), enthusiasm(1,6.25), learning capacities(1,6.25), field knowledge(1,6.25), enthusiasm(1,6.25), media(1,6.25), technologists(1,6.25), non-profits(1,6.25), reputation(1,6.25), start-up with customers(1,6.25), for basic literacy(1,6.25),  </v>
      </c>
      <c r="HE111" s="21" t="str">
        <f t="shared" si="285"/>
        <v xml:space="preserve">scale(6.25),enthusiasm(6.25),learning capacities(6.25),field knowledge(6.25),enthusiasm(6.25),media(6.25),technologists(6.25),non-profits(6.25),reputation(6.25),start-up with customers(6.25),for basic literacy(6.25), </v>
      </c>
      <c r="HF111" s="21" t="str">
        <f t="shared" si="280"/>
        <v xml:space="preserve"> </v>
      </c>
      <c r="HG111" s="21" t="str">
        <f t="shared" si="286"/>
        <v xml:space="preserve">scale(2,), enthusiasm(2,),  </v>
      </c>
      <c r="HH111" s="21" t="str">
        <f t="shared" si="282"/>
        <v xml:space="preserve"> </v>
      </c>
      <c r="HI111"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1" s="21" t="str">
        <f t="shared" si="288"/>
        <v xml:space="preserve">scale(1,6.25), enthusiasm(1,6.25), learning capacities(1,6.25), network among members(1,6.25), enthusiasm(1,6.25), fun-ness(1,6.25), seriousness(1,6.25), govt(1,6.25), media(1,6.25), non-profits(1,6.25), start-up with customers(1,6.25),  </v>
      </c>
      <c r="HK111" s="21" t="str">
        <f t="shared" si="285"/>
        <v xml:space="preserve">scale(6.25),enthusiasm(6.25),learning capacities(6.25),network among members(6.25),enthusiasm(6.25),fun-ness(6.25),seriousness(6.25),govt(6.25),media(6.25),non-profits(6.25),start-up with customers(6.25), </v>
      </c>
      <c r="HL111" s="21" t="str">
        <f t="shared" si="280"/>
        <v xml:space="preserve">scale 2
scale 2
community manager 1
PR 1
administrator 1
local biz 1
entrepreneurs 1
non-profits 1
reputation 2
portfolio 2
 </v>
      </c>
      <c r="HM111" s="21" t="str">
        <f t="shared" si="289"/>
        <v xml:space="preserve">scale(1,25), enthusiasm(1,25), network among members(1,25), scale(1,25), enthusiasm(1,25), ambition(1,25), fun-ness(1,25), seriousness(1,25),  </v>
      </c>
      <c r="HN111" s="21" t="str">
        <f t="shared" si="282"/>
        <v xml:space="preserve">scale 25
enthusiasm 25
network among members 25
scale 25
enthusiasm 25
ambition 25
fun-ness 25
seriousness 25
 </v>
      </c>
      <c r="HO111"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1"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1" s="47" t="str">
        <f t="shared" si="285"/>
        <v xml:space="preserve">scale(6.25),enthusiasm(6.25),enthusiasm(6.25),fun-ness(6.25),enthusiasm(6.25),level of understanding(6.25),local biz(6.25),biz group(6.25),govt(6.25),investors(6.25),media(6.25),entrepreneurs(6.25),technologists(6.25),suppliers(6.25),non-profits(6.25),reputation(6.25), </v>
      </c>
      <c r="HR111" s="47" t="str">
        <f t="shared" ref="HR111:HW111" si="316">IF(HR9="",HR112,$C111&amp;"("&amp;HR9&amp;"),"&amp;HR112)</f>
        <v xml:space="preserve">software(1),servers(1),wood(1),metal(1),plastic(1),electronics(1),scale(2),enthusiasm(2),engineering knowledge(2),scale(2),enthusiasm(2),reputation(2),portfolio(2),mobile apps(1),sensors(1),wood processing(1),aesthetics(1), </v>
      </c>
      <c r="HS111" s="47" t="str">
        <f t="shared" si="316"/>
        <v xml:space="preserve"> </v>
      </c>
      <c r="HT111" s="47" t="str">
        <f t="shared" si="316"/>
        <v xml:space="preserve"> </v>
      </c>
      <c r="HU111" s="47" t="str">
        <f t="shared" si="31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1" s="47" t="str">
        <f t="shared" si="316"/>
        <v xml:space="preserve">gifted programmer(1),local biz(1),biz group(1),govt(1),investors(1),media(1),entrepreneurs(1),technologists(1),suppliers(1),non-profits(1),reputation(1), </v>
      </c>
      <c r="HW111" s="47" t="str">
        <f t="shared" si="316"/>
        <v xml:space="preserve">gifted programmer(6.25),local biz(6.25),biz group(6.25),govt(6.25),investors(6.25),media(6.25),entrepreneurs(6.25),technologists(12.5),suppliers(6.25),non-profits(6.25),reputation(6.25), </v>
      </c>
      <c r="HX111" s="47" t="str">
        <f t="shared" ref="HX111:IU111" si="317">IF(HX9="",HX112,$C111&amp;"("&amp;HX9&amp;"),"&amp;HX112)</f>
        <v xml:space="preserve">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1" s="47" t="str">
        <f t="shared" si="317"/>
        <v xml:space="preserve">biz enhancement(1), </v>
      </c>
      <c r="HZ111" s="47" t="str">
        <f t="shared" si="317"/>
        <v xml:space="preserve">biz enhancement(100), </v>
      </c>
      <c r="IA111" s="47" t="str">
        <f t="shared" si="317"/>
        <v xml:space="preserve">community manager(1),PR(1),finance(1),administrator(1),enthusiasm(2),network(2),ambition(2),knowledge(2),spaciousness(2),ease of access(3),efficiency(2),portfolio(4),finance(2),business model(2),marketing(3),team building(2),project management(2),social media(3),negotiation(3), </v>
      </c>
      <c r="IB111" s="47" t="str">
        <f t="shared" si="31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1" s="47" t="str">
        <f t="shared" si="31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1" s="47" t="str">
        <f t="shared" si="317"/>
        <v xml:space="preserve">software(2),servers(2),scale(2),enthusiasm(2),engineering knowledge(1),scale(1),technologists(2), </v>
      </c>
      <c r="IE111" s="47" t="str">
        <f t="shared" si="317"/>
        <v xml:space="preserve">engineering knowledge(1),web(1),mobile apps(1),security(1),AI&amp; data analysis(1), </v>
      </c>
      <c r="IF111" s="47" t="str">
        <f t="shared" si="317"/>
        <v xml:space="preserve">engineering knowledge(25),web(25),mobile apps(25),security(25),AI&amp; data analysis(25), </v>
      </c>
      <c r="IG111" s="47" t="str">
        <f t="shared" si="31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1" s="47" t="str">
        <f t="shared" si="317"/>
        <v xml:space="preserve">engineering knowledge(1),technologists(1),web(1),database(1),mobile apps(1),security(1),AI&amp; data analysis(1), </v>
      </c>
      <c r="II111" s="47" t="str">
        <f t="shared" si="317"/>
        <v xml:space="preserve">engineering knowledge(6.25),technologists(6.25),web(6.25),database(6.25),mobile apps(6.25),security(6.25),AI&amp; data analysis(6.25), </v>
      </c>
      <c r="IJ111" s="47" t="str">
        <f t="shared" si="317"/>
        <v xml:space="preserve">metal(1),scale(2),enthusiasm(2),engineering knowledge(1),scale(1),technologists(2), </v>
      </c>
      <c r="IK111" s="47" t="str">
        <f t="shared" si="317"/>
        <v xml:space="preserve">engineering knowledge(1),wood processing(1),metal processing(1),functions(1),safety(1), </v>
      </c>
      <c r="IL111" s="47" t="str">
        <f t="shared" si="317"/>
        <v xml:space="preserve">engineering knowledge(25),wood processing(25),metal processing(25),functions(25),safety(25), </v>
      </c>
      <c r="IM111" s="47" t="str">
        <f t="shared" si="31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1" s="47" t="str">
        <f t="shared" si="317"/>
        <v xml:space="preserve">engineering knowledge(1),technologists(1),wood processing(1),metal processing(1),functions(1),safety(1),interaction(1), </v>
      </c>
      <c r="IO111" s="47" t="str">
        <f t="shared" si="317"/>
        <v xml:space="preserve">engineering knowledge(6.25),technologists(6.25),wood processing(6.25),metal processing(6.25),functions(6.25),safety(6.25),interaction(6.25), </v>
      </c>
      <c r="IP111" s="57" t="str">
        <f t="shared" si="317"/>
        <v xml:space="preserve">scale(2),enthusiasm(2),learning capacities(1),scale(2),local biz(2),reputation(1), </v>
      </c>
      <c r="IQ111" s="47" t="str">
        <f t="shared" si="317"/>
        <v xml:space="preserve">field knowledge(1),network among members(1),local biz(1),marketing(1), </v>
      </c>
      <c r="IR111" s="47" t="str">
        <f t="shared" si="317"/>
        <v xml:space="preserve">field knowledge(100),network among members(25),local biz(25),marketing(25), </v>
      </c>
      <c r="IS111" s="47" t="str">
        <f t="shared" si="31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1" s="47" t="str">
        <f t="shared" si="317"/>
        <v xml:space="preserve">field knowledge(1),network among members(1),enthusiasm(1),fun-ness(1),seriousness(1),local biz(1),biz group(1),govt(1),non-profits(1),marketing(1), </v>
      </c>
      <c r="IU111" s="47" t="str">
        <f t="shared" si="317"/>
        <v xml:space="preserve">field knowledge(6.25),network among members(6.25),enthusiasm(6.25),fun-ness(6.25),seriousness(6.25),local biz(6.25),biz group(6.25),govt(6.25),non-profits(6.25),marketing(6.25), </v>
      </c>
      <c r="IV111" s="57" t="str">
        <f t="shared" ref="IV111:LG111" si="318">IF(IV9="",IV112,$C111&amp;"("&amp;IV9&amp;"),"&amp;IV112)</f>
        <v xml:space="preserve">scale(2),enthusiasm(2),learning capacities(1),scale(2),local biz(2),reputation(1), </v>
      </c>
      <c r="IW111" s="47" t="str">
        <f t="shared" si="318"/>
        <v xml:space="preserve">field knowledge(1),network among members(1),local biz(1),marketing(1), </v>
      </c>
      <c r="IX111" s="47" t="str">
        <f t="shared" si="318"/>
        <v xml:space="preserve">field knowledge(100),network among members(25),local biz(25),marketing(25), </v>
      </c>
      <c r="IY111" s="47" t="str">
        <f t="shared" si="31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1" s="47" t="str">
        <f t="shared" si="318"/>
        <v xml:space="preserve">field knowledge(1),network among members(1),enthusiasm(1),fun-ness(1),seriousness(1),local biz(1),biz group(1),govt(1),marketing(1), </v>
      </c>
      <c r="JA111" s="47" t="str">
        <f t="shared" si="318"/>
        <v xml:space="preserve">field knowledge(6.25),network among members(6.25),enthusiasm(6.25),fun-ness(6.25),seriousness(6.25),local biz(6.25),biz group(6.25),govt(6.25),marketing(6.25), </v>
      </c>
      <c r="JB111" s="47" t="str">
        <f t="shared" si="318"/>
        <v xml:space="preserve">software(1),servers(1),wood(1),metal(1),plastic(1),electronics(1),fabric(1),scale(2),enthusiasm(1),scale(1),enthusiasm(2), </v>
      </c>
      <c r="JC111" s="47" t="str">
        <f t="shared" si="318"/>
        <v xml:space="preserve">engineering knowledge(1), </v>
      </c>
      <c r="JD111" s="47" t="str">
        <f t="shared" si="318"/>
        <v xml:space="preserve">engineering knowledge(50), </v>
      </c>
      <c r="JE111" s="47" t="str">
        <f t="shared" si="318"/>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1" s="47" t="str">
        <f t="shared" si="31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1" s="47" t="str">
        <f t="shared" si="31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1" s="47" t="str">
        <f t="shared" si="318"/>
        <v xml:space="preserve">scale(1),scale(1),enthusiasm(1),enthusiasm(1),local biz(1),non-profits(1),reputation(2), </v>
      </c>
      <c r="JI111" s="47" t="str">
        <f t="shared" si="318"/>
        <v xml:space="preserve"> </v>
      </c>
      <c r="JJ111" s="47" t="str">
        <f t="shared" si="318"/>
        <v xml:space="preserve"> </v>
      </c>
      <c r="JK111" s="47" t="str">
        <f t="shared" si="31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1" s="47" t="str">
        <f t="shared" si="318"/>
        <v xml:space="preserve">non-profits(1), </v>
      </c>
      <c r="JM111" s="47" t="str">
        <f t="shared" si="318"/>
        <v xml:space="preserve">non-profits(6.25), </v>
      </c>
      <c r="JN111" s="47" t="str">
        <f t="shared" si="318"/>
        <v xml:space="preserve">scale(2),enthusiasm(2),scale(2),enthusiasm(2),enthusiasm(1),network(1),local biz(1),investors(1),entrepreneurs(1),technologists(1),non-profits(1),reputation(2),portfolio(2), </v>
      </c>
      <c r="JO111" s="47" t="str">
        <f t="shared" si="318"/>
        <v xml:space="preserve"> </v>
      </c>
      <c r="JP111" s="47" t="str">
        <f t="shared" si="318"/>
        <v xml:space="preserve"> </v>
      </c>
      <c r="JQ111" s="47" t="str">
        <f t="shared" si="31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1" s="47" t="str">
        <f t="shared" si="318"/>
        <v xml:space="preserve"> </v>
      </c>
      <c r="JS111" s="47" t="str">
        <f t="shared" si="318"/>
        <v xml:space="preserve"> </v>
      </c>
      <c r="JT111" s="47" t="str">
        <f t="shared" si="318"/>
        <v xml:space="preserve">scale(3),enthusiasm(3),PR(1),administrator(1),enthusiasm(2),network(2),local biz(2),biz group(1),govt(2),investors(2),entrepreneurs(2),technologists(2),non-profits(2),reputation(2),portfolio(3), </v>
      </c>
      <c r="JU111" s="47" t="str">
        <f t="shared" si="318"/>
        <v xml:space="preserve"> </v>
      </c>
      <c r="JV111" s="47" t="str">
        <f t="shared" si="318"/>
        <v xml:space="preserve"> </v>
      </c>
      <c r="JW111" s="47" t="str">
        <f t="shared" si="31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1" s="47" t="str">
        <f t="shared" si="318"/>
        <v xml:space="preserve"> </v>
      </c>
      <c r="JY111" s="47" t="str">
        <f t="shared" si="318"/>
        <v xml:space="preserve"> </v>
      </c>
      <c r="JZ111" s="47" t="str">
        <f t="shared" si="318"/>
        <v xml:space="preserve">scale(1),enthusiasm(1),scale(1),enthusiasm(2),network(1),non-profits(1),reputation(2),social project(2), </v>
      </c>
      <c r="KA111" s="47" t="str">
        <f t="shared" si="318"/>
        <v xml:space="preserve">non-profits(1), </v>
      </c>
      <c r="KB111" s="47" t="str">
        <f t="shared" si="318"/>
        <v xml:space="preserve">non-profits(25), </v>
      </c>
      <c r="KC111" s="47" t="str">
        <f t="shared" si="31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1" s="47" t="str">
        <f t="shared" si="318"/>
        <v xml:space="preserve">non-profits(1), </v>
      </c>
      <c r="KE111" s="47" t="str">
        <f t="shared" si="318"/>
        <v xml:space="preserve">non-profits(6.25), </v>
      </c>
      <c r="KF111" s="47" t="str">
        <f t="shared" si="318"/>
        <v xml:space="preserve"> </v>
      </c>
      <c r="KG111" s="47" t="str">
        <f t="shared" si="318"/>
        <v xml:space="preserve"> </v>
      </c>
      <c r="KH111" s="47" t="str">
        <f t="shared" si="318"/>
        <v xml:space="preserve"> </v>
      </c>
      <c r="KI111" s="47" t="str">
        <f t="shared" si="318"/>
        <v xml:space="preserve"> </v>
      </c>
      <c r="KJ111" s="47" t="str">
        <f t="shared" si="318"/>
        <v xml:space="preserve"> </v>
      </c>
      <c r="KK111" s="47" t="str">
        <f t="shared" si="318"/>
        <v xml:space="preserve"> </v>
      </c>
      <c r="KL111" s="57" t="str">
        <f t="shared" si="318"/>
        <v xml:space="preserve"> </v>
      </c>
      <c r="KM111" s="47" t="str">
        <f t="shared" si="318"/>
        <v xml:space="preserve"> </v>
      </c>
      <c r="KN111" s="47" t="str">
        <f t="shared" si="318"/>
        <v xml:space="preserve"> </v>
      </c>
      <c r="KO111" s="47" t="str">
        <f t="shared" si="318"/>
        <v xml:space="preserve"> </v>
      </c>
      <c r="KP111" s="47" t="str">
        <f t="shared" si="318"/>
        <v xml:space="preserve"> </v>
      </c>
      <c r="KQ111" s="47" t="str">
        <f t="shared" si="318"/>
        <v xml:space="preserve"> </v>
      </c>
      <c r="KR111" s="57" t="str">
        <f t="shared" si="318"/>
        <v xml:space="preserve"> </v>
      </c>
      <c r="KS111" s="47" t="str">
        <f t="shared" si="318"/>
        <v xml:space="preserve"> </v>
      </c>
      <c r="KT111" s="47" t="str">
        <f t="shared" si="318"/>
        <v xml:space="preserve"> </v>
      </c>
      <c r="KU111" s="47" t="str">
        <f t="shared" si="318"/>
        <v xml:space="preserve"> </v>
      </c>
      <c r="KV111" s="47" t="str">
        <f t="shared" si="318"/>
        <v xml:space="preserve"> </v>
      </c>
      <c r="KW111" s="47" t="str">
        <f t="shared" si="318"/>
        <v xml:space="preserve"> </v>
      </c>
      <c r="KX111" s="57" t="str">
        <f t="shared" si="318"/>
        <v xml:space="preserve"> </v>
      </c>
      <c r="KY111" s="47" t="str">
        <f t="shared" si="318"/>
        <v xml:space="preserve"> </v>
      </c>
      <c r="KZ111" s="47" t="str">
        <f t="shared" si="318"/>
        <v xml:space="preserve"> </v>
      </c>
      <c r="LA111" s="47" t="str">
        <f t="shared" si="318"/>
        <v xml:space="preserve"> </v>
      </c>
      <c r="LB111" s="47" t="str">
        <f t="shared" si="318"/>
        <v xml:space="preserve"> </v>
      </c>
      <c r="LC111" s="47" t="str">
        <f t="shared" si="318"/>
        <v xml:space="preserve"> </v>
      </c>
      <c r="LD111" s="57" t="str">
        <f t="shared" si="318"/>
        <v xml:space="preserve"> </v>
      </c>
      <c r="LE111" s="47" t="str">
        <f t="shared" si="318"/>
        <v xml:space="preserve"> </v>
      </c>
      <c r="LF111" s="47" t="str">
        <f t="shared" si="318"/>
        <v xml:space="preserve"> </v>
      </c>
      <c r="LG111" s="47" t="str">
        <f t="shared" si="318"/>
        <v xml:space="preserve"> </v>
      </c>
      <c r="LH111" s="47" t="str">
        <f t="shared" ref="LH111:NM111" si="319">IF(LH9="",LH112,$C111&amp;"("&amp;LH9&amp;"),"&amp;LH112)</f>
        <v xml:space="preserve"> </v>
      </c>
      <c r="LI111" s="47" t="str">
        <f t="shared" si="319"/>
        <v xml:space="preserve"> </v>
      </c>
      <c r="LJ111" s="57" t="str">
        <f t="shared" si="319"/>
        <v xml:space="preserve"> </v>
      </c>
      <c r="LK111" s="47" t="str">
        <f t="shared" si="319"/>
        <v xml:space="preserve"> </v>
      </c>
      <c r="LL111" s="47" t="str">
        <f t="shared" si="319"/>
        <v xml:space="preserve"> </v>
      </c>
      <c r="LM111" s="47" t="str">
        <f t="shared" si="319"/>
        <v xml:space="preserve"> </v>
      </c>
      <c r="LN111" s="47" t="str">
        <f t="shared" si="319"/>
        <v xml:space="preserve"> </v>
      </c>
      <c r="LO111" s="47" t="str">
        <f t="shared" si="319"/>
        <v xml:space="preserve"> </v>
      </c>
      <c r="LP111" s="57" t="str">
        <f t="shared" si="319"/>
        <v xml:space="preserve"> </v>
      </c>
      <c r="LQ111" s="47" t="str">
        <f t="shared" si="319"/>
        <v xml:space="preserve"> </v>
      </c>
      <c r="LR111" s="47" t="str">
        <f t="shared" si="319"/>
        <v xml:space="preserve"> </v>
      </c>
      <c r="LS111" s="47" t="str">
        <f t="shared" si="319"/>
        <v xml:space="preserve"> </v>
      </c>
      <c r="LT111" s="47" t="str">
        <f t="shared" si="319"/>
        <v xml:space="preserve"> </v>
      </c>
      <c r="LU111" s="47" t="str">
        <f t="shared" si="319"/>
        <v xml:space="preserve"> </v>
      </c>
      <c r="LV111" s="57" t="str">
        <f t="shared" si="319"/>
        <v xml:space="preserve"> </v>
      </c>
      <c r="LW111" s="47" t="str">
        <f t="shared" si="319"/>
        <v xml:space="preserve"> </v>
      </c>
      <c r="LX111" s="47" t="str">
        <f t="shared" si="319"/>
        <v xml:space="preserve"> </v>
      </c>
      <c r="LY111" s="47" t="str">
        <f t="shared" si="319"/>
        <v xml:space="preserve"> </v>
      </c>
      <c r="LZ111" s="47" t="str">
        <f t="shared" si="319"/>
        <v xml:space="preserve"> </v>
      </c>
      <c r="MA111" s="47" t="str">
        <f t="shared" si="319"/>
        <v xml:space="preserve"> </v>
      </c>
      <c r="MB111" s="57" t="str">
        <f t="shared" si="319"/>
        <v xml:space="preserve"> </v>
      </c>
      <c r="MC111" s="47" t="str">
        <f t="shared" si="319"/>
        <v xml:space="preserve"> </v>
      </c>
      <c r="MD111" s="47" t="str">
        <f t="shared" si="319"/>
        <v xml:space="preserve"> </v>
      </c>
      <c r="ME111" s="47" t="str">
        <f t="shared" si="319"/>
        <v xml:space="preserve"> </v>
      </c>
      <c r="MF111" s="47" t="str">
        <f t="shared" si="319"/>
        <v xml:space="preserve"> </v>
      </c>
      <c r="MG111" s="47" t="str">
        <f t="shared" si="319"/>
        <v xml:space="preserve"> </v>
      </c>
      <c r="MH111" s="57" t="str">
        <f t="shared" si="319"/>
        <v xml:space="preserve"> </v>
      </c>
      <c r="MI111" s="47" t="str">
        <f t="shared" si="319"/>
        <v xml:space="preserve"> </v>
      </c>
      <c r="MJ111" s="47" t="str">
        <f t="shared" si="319"/>
        <v xml:space="preserve"> </v>
      </c>
      <c r="MK111" s="47" t="str">
        <f t="shared" si="319"/>
        <v xml:space="preserve"> </v>
      </c>
      <c r="ML111" s="47" t="str">
        <f t="shared" si="319"/>
        <v xml:space="preserve"> </v>
      </c>
      <c r="MM111" s="47" t="str">
        <f t="shared" si="319"/>
        <v xml:space="preserve"> </v>
      </c>
      <c r="MN111" s="57" t="str">
        <f t="shared" si="319"/>
        <v xml:space="preserve"> </v>
      </c>
      <c r="MO111" s="47" t="str">
        <f t="shared" si="319"/>
        <v xml:space="preserve"> </v>
      </c>
      <c r="MP111" s="47" t="str">
        <f t="shared" si="319"/>
        <v xml:space="preserve"> </v>
      </c>
      <c r="MQ111" s="47" t="str">
        <f t="shared" si="319"/>
        <v xml:space="preserve"> </v>
      </c>
      <c r="MR111" s="47" t="str">
        <f t="shared" si="319"/>
        <v xml:space="preserve"> </v>
      </c>
      <c r="MS111" s="47" t="str">
        <f t="shared" si="319"/>
        <v xml:space="preserve"> </v>
      </c>
      <c r="MT111" s="57" t="str">
        <f t="shared" si="319"/>
        <v xml:space="preserve"> </v>
      </c>
      <c r="MU111" s="47" t="str">
        <f t="shared" si="319"/>
        <v xml:space="preserve"> </v>
      </c>
      <c r="MV111" s="47" t="str">
        <f t="shared" si="319"/>
        <v xml:space="preserve"> </v>
      </c>
      <c r="MW111" s="47" t="str">
        <f t="shared" si="319"/>
        <v xml:space="preserve"> </v>
      </c>
      <c r="MX111" s="47" t="str">
        <f t="shared" si="319"/>
        <v xml:space="preserve"> </v>
      </c>
      <c r="MY111" s="47" t="str">
        <f t="shared" si="319"/>
        <v xml:space="preserve"> </v>
      </c>
      <c r="MZ111" s="57" t="str">
        <f t="shared" si="319"/>
        <v xml:space="preserve"> </v>
      </c>
      <c r="NA111" s="47" t="str">
        <f t="shared" si="319"/>
        <v xml:space="preserve"> </v>
      </c>
      <c r="NB111" s="47" t="str">
        <f t="shared" si="319"/>
        <v xml:space="preserve"> </v>
      </c>
      <c r="NC111" s="47" t="str">
        <f t="shared" si="319"/>
        <v xml:space="preserve"> </v>
      </c>
      <c r="ND111" s="47" t="str">
        <f t="shared" si="319"/>
        <v xml:space="preserve"> </v>
      </c>
      <c r="NE111" s="47" t="str">
        <f t="shared" si="319"/>
        <v xml:space="preserve"> </v>
      </c>
      <c r="NF111" s="57" t="str">
        <f t="shared" si="319"/>
        <v xml:space="preserve"> </v>
      </c>
      <c r="NG111" s="47" t="str">
        <f t="shared" si="319"/>
        <v xml:space="preserve"> </v>
      </c>
      <c r="NH111" s="47" t="str">
        <f t="shared" si="319"/>
        <v xml:space="preserve"> </v>
      </c>
      <c r="NI111" s="47" t="str">
        <f t="shared" si="319"/>
        <v xml:space="preserve"> </v>
      </c>
      <c r="NJ111" s="47" t="str">
        <f t="shared" si="319"/>
        <v xml:space="preserve"> </v>
      </c>
      <c r="NK111" s="47" t="str">
        <f t="shared" si="319"/>
        <v xml:space="preserve"> </v>
      </c>
      <c r="NL111" s="57" t="str">
        <f t="shared" si="319"/>
        <v xml:space="preserve"> </v>
      </c>
      <c r="NM111" s="47" t="str">
        <f t="shared" si="319"/>
        <v xml:space="preserve"> </v>
      </c>
    </row>
    <row r="112" spans="2:377" ht="15.75" customHeight="1">
      <c r="C112" s="7" t="str">
        <f t="shared" si="296"/>
        <v>software</v>
      </c>
      <c r="D112" s="21" t="str">
        <f t="shared" si="169"/>
        <v xml:space="preserve">software 1
scale 1
 </v>
      </c>
      <c r="E112" s="21" t="str">
        <f t="shared" si="297"/>
        <v xml:space="preserve">scale(1,100),  </v>
      </c>
      <c r="F112" s="21" t="str">
        <f t="shared" si="170"/>
        <v xml:space="preserve">scale 100
 </v>
      </c>
      <c r="G112" s="21" t="str">
        <f t="shared" si="298"/>
        <v xml:space="preserve">software(2), servers(2), wood(2), metal(2), plastic(2), electronics(2), fabric(2), enthusiasm(1), enthusiasm(2), fun-ness(1), community manager(1), PR(1), fame(1), network(2), ease of access(1), reputation(2), social media(1),  </v>
      </c>
      <c r="H112" s="21" t="str">
        <f t="shared" si="299"/>
        <v xml:space="preserve">scale(1,6.25),  </v>
      </c>
      <c r="I112" s="21" t="str">
        <f t="shared" ref="I112" si="320">IF(I10="",I113,$C112&amp;"("&amp;I10&amp;"),"&amp;I113)</f>
        <v xml:space="preserve">scale(6.25), </v>
      </c>
      <c r="J112" s="21" t="str">
        <f t="shared" si="172"/>
        <v xml:space="preserve">scale 1
interaction 1
 </v>
      </c>
      <c r="K112" s="21" t="str">
        <f t="shared" si="173"/>
        <v xml:space="preserve">reputation(1,75),  </v>
      </c>
      <c r="L112" s="21" t="str">
        <f t="shared" si="174"/>
        <v xml:space="preserve">reputation 75
 </v>
      </c>
      <c r="M112" s="21" t="str">
        <f t="shared" si="175"/>
        <v xml:space="preserve">PR(1), portfolio(1), social innovation(1), non-profit biz(1),  </v>
      </c>
      <c r="N112" s="21" t="str">
        <f t="shared" si="176"/>
        <v xml:space="preserve">scale(1,6.25), enthusiasm(1,6.25), seriousness(1,25), non-profits(1,12.5), reputation(1,75), marketing(1,12.5),  </v>
      </c>
      <c r="O112" s="21" t="str">
        <f t="shared" si="177"/>
        <v xml:space="preserve">scale(6.25),enthusiasm(6.25),seriousness(25),non-profits(12.5),reputation(75),marketing(12.5), </v>
      </c>
      <c r="P112" s="21" t="str">
        <f t="shared" si="172"/>
        <v xml:space="preserve">scale 1
biz project 1
 </v>
      </c>
      <c r="Q112" s="21" t="str">
        <f t="shared" si="178"/>
        <v xml:space="preserve"> </v>
      </c>
      <c r="R112" s="21" t="str">
        <f t="shared" si="174"/>
        <v xml:space="preserve"> </v>
      </c>
      <c r="S112" s="21" t="str">
        <f t="shared" si="179"/>
        <v xml:space="preserve">portfolio(1), biz enhancement(1), business(1), start-up(1),  </v>
      </c>
      <c r="T112" s="21" t="str">
        <f t="shared" si="180"/>
        <v xml:space="preserve">scale(1,6.25), enthusiasm(1,6.25), seriousness(1,25), local biz(1,6.25), investors(1,6.25), reputation(1,6.25),  </v>
      </c>
      <c r="U112" s="21" t="str">
        <f t="shared" si="177"/>
        <v xml:space="preserve">scale(6.25),enthusiasm(6.25),seriousness(25),local biz(6.25),investors(6.25),reputation(6.25), </v>
      </c>
      <c r="V112" s="21" t="str">
        <f t="shared" si="172"/>
        <v xml:space="preserve">scale 1
 </v>
      </c>
      <c r="W112" s="21" t="str">
        <f t="shared" si="181"/>
        <v xml:space="preserve">local biz(1,),  </v>
      </c>
      <c r="X112" s="21" t="str">
        <f t="shared" si="174"/>
        <v xml:space="preserve"> </v>
      </c>
      <c r="Y112" s="21" t="str">
        <f t="shared" si="182"/>
        <v xml:space="preserve">enthusiasm(1), attention to details(1), PR(1), network(1), ease of access(1), reputation(1), portfolio(1), biz project(1), biz enhancement(1), job creation(1), business(1),  </v>
      </c>
      <c r="Z112" s="21" t="str">
        <f t="shared" si="183"/>
        <v xml:space="preserve">local biz(1,6.25),  </v>
      </c>
      <c r="AA112" s="21" t="str">
        <f t="shared" si="177"/>
        <v xml:space="preserve">local biz(6.25), </v>
      </c>
      <c r="AB112" s="21" t="str">
        <f t="shared" si="172"/>
        <v xml:space="preserve">scale 1
 </v>
      </c>
      <c r="AC112" s="21" t="str">
        <f t="shared" si="184"/>
        <v xml:space="preserve">non-profits(1,100),  </v>
      </c>
      <c r="AD112" s="21" t="str">
        <f t="shared" si="174"/>
        <v xml:space="preserve">non-profits 100
 </v>
      </c>
      <c r="AE112" s="21" t="str">
        <f t="shared" si="185"/>
        <v xml:space="preserve">enthusiasm(1), attention to details(1), PR(1), network(1), ease of access(1), reputation(1), portfolio(1), social project(1), social innovation(1), non-profit biz(1),  </v>
      </c>
      <c r="AF112" s="21" t="str">
        <f t="shared" si="186"/>
        <v xml:space="preserve">seriousness(1,6.25), non-profits(1,6.25),  </v>
      </c>
      <c r="AG112" s="21" t="str">
        <f t="shared" si="177"/>
        <v xml:space="preserve">seriousness(6.25),non-profits(6.25), </v>
      </c>
      <c r="AH112" s="21" t="str">
        <f t="shared" si="172"/>
        <v xml:space="preserve">scale 1
 </v>
      </c>
      <c r="AI112" s="21" t="str">
        <f t="shared" si="187"/>
        <v xml:space="preserve">govt(1,),  </v>
      </c>
      <c r="AJ112" s="21" t="str">
        <f t="shared" si="174"/>
        <v xml:space="preserve"> </v>
      </c>
      <c r="AK112" s="21" t="str">
        <f t="shared" si="188"/>
        <v xml:space="preserve">enthusiasm(1), attention to details(1), seriousness(1), fame(1), network(1), govt(1), ease of access(1), reputation(2), portfolio(1), social project(1), social innovation(1), non-profit biz(1),  </v>
      </c>
      <c r="AL112" s="21" t="str">
        <f t="shared" si="189"/>
        <v xml:space="preserve">govt(1,6.25),  </v>
      </c>
      <c r="AM112" s="21" t="str">
        <f t="shared" si="177"/>
        <v xml:space="preserve">govt(6.25), </v>
      </c>
      <c r="AN112" s="21" t="str">
        <f t="shared" si="172"/>
        <v xml:space="preserve">scale 1
enthusiasm 1
gifted leader 1
scale 1
enthusiasm 1
 </v>
      </c>
      <c r="AO112" s="21" t="str">
        <f t="shared" si="190"/>
        <v xml:space="preserve">fame(1,), network(1,), investors(1,6.25),  </v>
      </c>
      <c r="AP112" s="21" t="str">
        <f t="shared" si="174"/>
        <v xml:space="preserve">investors 6.25
 </v>
      </c>
      <c r="AQ112" s="21" t="str">
        <f t="shared" si="191"/>
        <v xml:space="preserve">investors(1), ease of access(1), reputation(1), portfolio(1), start-up(1), start-up with mvp(1), start-up with customers(1),  </v>
      </c>
      <c r="AR112" s="21" t="str">
        <f t="shared" si="192"/>
        <v xml:space="preserve"> </v>
      </c>
      <c r="AS112" s="21" t="str">
        <f t="shared" si="177"/>
        <v xml:space="preserve"> </v>
      </c>
      <c r="AT112" s="21" t="str">
        <f t="shared" si="172"/>
        <v xml:space="preserve">scale 1
enthusiasm 1
scale 2
enthusiasm 1
seriousness 1
administrator 1
non-profits 2
reputation 1
portfolio 1
social project 1
 </v>
      </c>
      <c r="AU112" s="21" t="str">
        <f t="shared" si="193"/>
        <v xml:space="preserve">ambition(1,), attention to details(1,),  </v>
      </c>
      <c r="AV112" s="21" t="str">
        <f t="shared" si="174"/>
        <v xml:space="preserve"> </v>
      </c>
      <c r="AW112" s="21" t="str">
        <f t="shared" si="194"/>
        <v xml:space="preserve">field knowledge(1), enthusiasm(3), PR(2), administrator(1), project management(2),  </v>
      </c>
      <c r="AX112" s="21" t="str">
        <f t="shared" si="195"/>
        <v xml:space="preserve">organizational rules and manuals(1,12.5), project management(1,12.5),  </v>
      </c>
      <c r="AY112" s="21" t="str">
        <f t="shared" si="177"/>
        <v xml:space="preserve">organizational rules and manuals(12.5),project management(12.5), </v>
      </c>
      <c r="AZ112" s="21" t="str">
        <f t="shared" si="172"/>
        <v xml:space="preserve">scale 1
enthusiasm 1
scale 1
enthusiasm 1
non-profits 1
 </v>
      </c>
      <c r="BA112" s="21" t="str">
        <f t="shared" si="196"/>
        <v xml:space="preserve"> </v>
      </c>
      <c r="BB112" s="21" t="str">
        <f t="shared" si="174"/>
        <v xml:space="preserve"> </v>
      </c>
      <c r="BC112" s="21" t="str">
        <f t="shared" si="197"/>
        <v xml:space="preserve"> </v>
      </c>
      <c r="BD112" s="21" t="str">
        <f t="shared" si="198"/>
        <v xml:space="preserve"> </v>
      </c>
      <c r="BE112" s="21" t="str">
        <f t="shared" si="177"/>
        <v xml:space="preserve"> </v>
      </c>
      <c r="BF112" s="21" t="str">
        <f t="shared" si="172"/>
        <v xml:space="preserve">scale 1
enthusiasm 1
scale 2
enthusiasm 1
seriousness 1
administrator 1
local biz 2
entrepreneurs 1
reputation 1
portfolio 1
biz project 1
 </v>
      </c>
      <c r="BG112" s="21" t="str">
        <f t="shared" si="199"/>
        <v xml:space="preserve">ambition(1,), attention to details(1,),  </v>
      </c>
      <c r="BH112" s="21" t="str">
        <f t="shared" si="174"/>
        <v xml:space="preserve"> </v>
      </c>
      <c r="BI112" s="21" t="str">
        <f t="shared" si="200"/>
        <v xml:space="preserve">field knowledge(1), enthusiasm(3), PR(2), administrator(1), project management(2),  </v>
      </c>
      <c r="BJ112" s="21" t="str">
        <f t="shared" si="201"/>
        <v xml:space="preserve">organizational rules and manuals(1,12.5), project management(1,12.5),  </v>
      </c>
      <c r="BK112" s="21" t="str">
        <f t="shared" si="177"/>
        <v xml:space="preserve">organizational rules and manuals(12.5),project management(12.5), </v>
      </c>
      <c r="BL112" s="21" t="str">
        <f t="shared" si="172"/>
        <v xml:space="preserve">scale 1
enthusiasm 1
scale 1
enthusiasm 1
local biz 1
reputation 1
portfolio 1
biz enhancement 1
 </v>
      </c>
      <c r="BM112" s="21" t="str">
        <f t="shared" si="202"/>
        <v xml:space="preserve"> </v>
      </c>
      <c r="BN112" s="21" t="str">
        <f t="shared" si="174"/>
        <v xml:space="preserve"> </v>
      </c>
      <c r="BO112" s="21" t="str">
        <f t="shared" si="203"/>
        <v xml:space="preserve"> </v>
      </c>
      <c r="BP112" s="21" t="str">
        <f t="shared" si="204"/>
        <v xml:space="preserve"> </v>
      </c>
      <c r="BQ112" s="21" t="str">
        <f t="shared" si="177"/>
        <v xml:space="preserve"> </v>
      </c>
      <c r="BR112" s="21" t="str">
        <f t="shared" si="172"/>
        <v xml:space="preserve"> </v>
      </c>
      <c r="BS112" s="21" t="str">
        <f t="shared" si="205"/>
        <v xml:space="preserve"> </v>
      </c>
      <c r="BT112" s="21" t="str">
        <f t="shared" si="174"/>
        <v xml:space="preserve"> </v>
      </c>
      <c r="BU112" s="21" t="str">
        <f t="shared" si="206"/>
        <v xml:space="preserve"> </v>
      </c>
      <c r="BV112" s="21" t="str">
        <f t="shared" si="207"/>
        <v xml:space="preserve"> </v>
      </c>
      <c r="BW112" s="21" t="str">
        <f t="shared" si="177"/>
        <v xml:space="preserve"> </v>
      </c>
      <c r="BX112" s="21" t="str">
        <f t="shared" si="208"/>
        <v xml:space="preserve">scale 1
network 1
 </v>
      </c>
      <c r="BY112" s="21" t="str">
        <f t="shared" si="209"/>
        <v xml:space="preserve">efficiency(1,),  </v>
      </c>
      <c r="BZ112" s="21" t="str">
        <f t="shared" si="210"/>
        <v xml:space="preserve"> </v>
      </c>
      <c r="CA112" s="21" t="str">
        <f t="shared" si="211"/>
        <v xml:space="preserve">scale(2), enthusiasm(1), attention to details(1), administrator(1), negotiation(1),  </v>
      </c>
      <c r="CB112" s="21" t="str">
        <f t="shared" si="212"/>
        <v xml:space="preserve">user rules and manuals(1,50), organizational rules and manuals(1,50),  </v>
      </c>
      <c r="CC112" s="21" t="str">
        <f t="shared" si="213"/>
        <v xml:space="preserve">user rules and manuals(50),organizational rules and manuals(50), </v>
      </c>
      <c r="CD112" s="21" t="str">
        <f t="shared" si="208"/>
        <v xml:space="preserve">software 1
servers 1
scale 1
scale 1
enthusiasm 1
network 1
 </v>
      </c>
      <c r="CE112" s="21" t="str">
        <f t="shared" si="214"/>
        <v xml:space="preserve">field knowledge(1,), non-profits(1,),  </v>
      </c>
      <c r="CF112" s="21" t="str">
        <f t="shared" si="210"/>
        <v xml:space="preserve"> </v>
      </c>
      <c r="CG112" s="21" t="str">
        <f t="shared" si="215"/>
        <v xml:space="preserve">software(2), servers(2), wood(2), metal(2), plastic(2), electronics(2), fabric(2), fun-ness(1), seriousness(1), ease of access(1), portfolio(1), user rules and manuals(1), negotiation(1), social project(1), biz project(1), for basic literacy(1), for the elites(1), for entrepreneurs(1),  </v>
      </c>
      <c r="CH112" s="21" t="str">
        <f t="shared" si="216"/>
        <v xml:space="preserve">scale(1,6.25), technologists(1,6.25), non-profits(1,6.25),  </v>
      </c>
      <c r="CI112" s="21" t="str">
        <f t="shared" si="213"/>
        <v xml:space="preserve">scale(6.25),technologists(6.25),non-profits(6.25), </v>
      </c>
      <c r="CJ112" s="21" t="str">
        <f t="shared" si="208"/>
        <v xml:space="preserve">software 1
servers 1
scale 1
scale 1
 </v>
      </c>
      <c r="CK112" s="21" t="str">
        <f t="shared" si="217"/>
        <v xml:space="preserve">suppliers(1,),  </v>
      </c>
      <c r="CL112" s="21" t="str">
        <f t="shared" si="210"/>
        <v xml:space="preserve"> </v>
      </c>
      <c r="CM112" s="21" t="str">
        <f t="shared" si="218"/>
        <v xml:space="preserve">reputation(1), negotiation(1),  </v>
      </c>
      <c r="CN112" s="21" t="str">
        <f t="shared" si="219"/>
        <v xml:space="preserve">learning capacities(1,), engineering knowledge(1,), enthusiasm(2,), efficiency(1,6.25),  </v>
      </c>
      <c r="CO112" s="21" t="str">
        <f t="shared" si="213"/>
        <v xml:space="preserve">efficiency(6.25), </v>
      </c>
      <c r="CP112" s="21" t="str">
        <f t="shared" si="208"/>
        <v xml:space="preserve">software 1
servers 1
scale 1
scale 1
 </v>
      </c>
      <c r="CQ112" s="21" t="str">
        <f t="shared" si="220"/>
        <v xml:space="preserve">technologists(1,),  </v>
      </c>
      <c r="CR112" s="21" t="str">
        <f t="shared" si="210"/>
        <v xml:space="preserve"> </v>
      </c>
      <c r="CS112" s="21" t="str">
        <f t="shared" si="221"/>
        <v xml:space="preserve">software(2), 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2" s="21" t="str">
        <f t="shared" si="222"/>
        <v xml:space="preserve">engineering knowledge(1,6.25), efficiency(1,6.25),  </v>
      </c>
      <c r="CU112" s="21" t="str">
        <f t="shared" si="213"/>
        <v xml:space="preserve">engineering knowledge(6.25),efficiency(6.25), </v>
      </c>
      <c r="CV112" s="21" t="str">
        <f t="shared" si="208"/>
        <v xml:space="preserve">scale 1
scale 1
 </v>
      </c>
      <c r="CW112" s="21" t="str">
        <f t="shared" si="223"/>
        <v xml:space="preserve">local biz(1,),  </v>
      </c>
      <c r="CX112" s="21" t="str">
        <f t="shared" si="210"/>
        <v xml:space="preserve"> </v>
      </c>
      <c r="CY112" s="21" t="str">
        <f t="shared" si="224"/>
        <v xml:space="preserve">software(2), servers(2), wood(2), metal(2), plastic(2), electronics(2), fabric(2), ease of access(1), reputation(1), portfolio(1), negotiation(1),  </v>
      </c>
      <c r="CZ112" s="21" t="str">
        <f t="shared" si="225"/>
        <v xml:space="preserve">non-profits(1,6.25),  </v>
      </c>
      <c r="DA112" s="21" t="str">
        <f t="shared" si="213"/>
        <v xml:space="preserve">non-profits(6.25), </v>
      </c>
      <c r="DB112" s="21" t="str">
        <f t="shared" si="208"/>
        <v xml:space="preserve">scale 1
 </v>
      </c>
      <c r="DC112" s="21" t="str">
        <f t="shared" si="226"/>
        <v xml:space="preserve"> </v>
      </c>
      <c r="DD112" s="21" t="str">
        <f t="shared" si="210"/>
        <v xml:space="preserve"> </v>
      </c>
      <c r="DE112" s="21" t="str">
        <f t="shared" si="227"/>
        <v xml:space="preserve">software(2), 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2" s="21" t="str">
        <f t="shared" si="228"/>
        <v xml:space="preserve">network(1,), local biz(1,6.25), biz group(1,6.25), investors(1,6.25), entrepreneurs(1,6.25),  </v>
      </c>
      <c r="DG112" s="21" t="str">
        <f t="shared" si="213"/>
        <v xml:space="preserve">local biz(6.25),biz group(6.25),investors(6.25),entrepreneurs(6.25), </v>
      </c>
      <c r="DH112" s="21" t="str">
        <f t="shared" si="208"/>
        <v xml:space="preserve">software 1
scale 1
enthusiasm 1
scale 1
enthusiasm 1
network 1
non-profits 1
reputation 1
social project 1
 </v>
      </c>
      <c r="DI112" s="21" t="str">
        <f t="shared" si="229"/>
        <v xml:space="preserve"> </v>
      </c>
      <c r="DJ112" s="21" t="str">
        <f t="shared" si="210"/>
        <v xml:space="preserve"> </v>
      </c>
      <c r="DK112" s="21" t="str">
        <f t="shared" si="230"/>
        <v xml:space="preserve">software(1), 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2" s="21" t="str">
        <f t="shared" si="231"/>
        <v xml:space="preserve">field knowledge(1,12.5), network among members(1,12.5), reputation(1,6.25),  </v>
      </c>
      <c r="DM112" s="21" t="str">
        <f t="shared" si="213"/>
        <v xml:space="preserve">field knowledge(12.5),network among members(12.5),reputation(6.25), </v>
      </c>
      <c r="DN112" s="21" t="str">
        <f t="shared" si="208"/>
        <v xml:space="preserve">scale 1
enthusiasm 1
scale 1
enthusiasm 1
network 1
local biz 1
reputation 1
biz project 1
 </v>
      </c>
      <c r="DO112" s="21" t="str">
        <f t="shared" si="232"/>
        <v xml:space="preserve"> </v>
      </c>
      <c r="DP112" s="21" t="str">
        <f t="shared" si="210"/>
        <v xml:space="preserve"> </v>
      </c>
      <c r="DQ112" s="21" t="str">
        <f t="shared" si="233"/>
        <v xml:space="preserve">software(1), 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2" s="21" t="str">
        <f t="shared" si="234"/>
        <v xml:space="preserve">field knowledge(1,12.5), network among members(1,12.5), reputation(1,6.25),  </v>
      </c>
      <c r="DS112" s="21" t="str">
        <f t="shared" si="213"/>
        <v xml:space="preserve">field knowledge(12.5),network among members(12.5),reputation(6.25), </v>
      </c>
      <c r="DT112" s="21" t="str">
        <f t="shared" si="208"/>
        <v xml:space="preserve">scale 1
enthusiasm 1
scale 1
enthusiasm 1
network 1
reputation 1
 </v>
      </c>
      <c r="DU112" s="21" t="str">
        <f t="shared" si="235"/>
        <v xml:space="preserve"> </v>
      </c>
      <c r="DV112" s="21" t="str">
        <f t="shared" si="210"/>
        <v xml:space="preserve"> </v>
      </c>
      <c r="DW112"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2" s="21" t="str">
        <f t="shared" si="237"/>
        <v xml:space="preserve">enthusiasm(1,6.25), field knowledge(1,6.25), engineering knowledge(1,6.25), ambition(1,6.25), reputation(1,6.25), for basic literacy(1,6.25),  </v>
      </c>
      <c r="DY112" s="21" t="str">
        <f t="shared" si="213"/>
        <v xml:space="preserve">enthusiasm(6.25),field knowledge(6.25),engineering knowledge(6.25),ambition(6.25),reputation(6.25),for basic literacy(6.25), </v>
      </c>
      <c r="DZ112" s="21" t="str">
        <f t="shared" si="208"/>
        <v xml:space="preserve">scale 1
enthusiasm 1
scale 1
enthusiasm 1
network 1
reputation 1
 </v>
      </c>
      <c r="EA112" s="21" t="str">
        <f t="shared" si="238"/>
        <v xml:space="preserve"> </v>
      </c>
      <c r="EB112" s="21" t="str">
        <f t="shared" si="210"/>
        <v xml:space="preserve"> </v>
      </c>
      <c r="EC112"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2" s="21" t="str">
        <f t="shared" si="240"/>
        <v xml:space="preserve">enthusiasm(1,6.25), engineering knowledge(1,6.25), ambition(1,6.25), reputation(1,6.25), for basic literacy(1,6.25),  </v>
      </c>
      <c r="EE112" s="21" t="str">
        <f t="shared" si="213"/>
        <v xml:space="preserve">enthusiasm(6.25),engineering knowledge(6.25),ambition(6.25),reputation(6.25),for basic literacy(6.25), </v>
      </c>
      <c r="EF112" s="21" t="str">
        <f t="shared" si="208"/>
        <v xml:space="preserve">scale 2
enthusiasm 2
technologists 1
reputation 1
 </v>
      </c>
      <c r="EG112" s="21" t="str">
        <f t="shared" si="241"/>
        <v xml:space="preserve">web(1,50), mobile apps(1,50), interaction(1,50),  </v>
      </c>
      <c r="EH112" s="21" t="str">
        <f t="shared" si="210"/>
        <v xml:space="preserve">web 50
mobile apps 50
interaction 50
 </v>
      </c>
      <c r="EI112"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2" s="21" t="str">
        <f t="shared" si="243"/>
        <v xml:space="preserve">engineering knowledge(1,6.25), technologists(1,12.5), infrastructrue(1,12.5), database(1,12.5), mobile comm(1,12.5), for entrepreneurs(1,6.25),  </v>
      </c>
      <c r="EK112" s="21" t="str">
        <f t="shared" si="213"/>
        <v xml:space="preserve">engineering knowledge(6.25),technologists(12.5),infrastructrue(12.5),database(12.5),mobile comm(12.5),for entrepreneurs(6.25), </v>
      </c>
      <c r="EL112" s="21" t="str">
        <f t="shared" si="244"/>
        <v xml:space="preserve">scale 2
enthusiasm 2
technologists 1
reputation 1
 </v>
      </c>
      <c r="EM112" s="21" t="str">
        <f t="shared" si="245"/>
        <v xml:space="preserve">sensors(1,50),  </v>
      </c>
      <c r="EN112" s="21" t="str">
        <f t="shared" si="246"/>
        <v xml:space="preserve">sensors 50
 </v>
      </c>
      <c r="EO112"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2" s="21" t="str">
        <f t="shared" si="248"/>
        <v xml:space="preserve">engineering knowledge(1,6.25), technologists(1,12.5), infrastructrue(1,12.5), database(1,12.5), mobile comm(1,12.5), electronics(1,6.25), for entrepreneurs(1,6.25),  </v>
      </c>
      <c r="EQ112" s="21" t="str">
        <f t="shared" si="249"/>
        <v xml:space="preserve">engineering knowledge(6.25),technologists(12.5),infrastructrue(12.5),database(12.5),mobile comm(12.5),electronics(6.25),for entrepreneurs(6.25), </v>
      </c>
      <c r="ER112" s="21" t="str">
        <f t="shared" si="244"/>
        <v xml:space="preserve">software 1
servers 1
scale 2
enthusiasm 2
technologists 1
 </v>
      </c>
      <c r="ES112" s="21" t="str">
        <f t="shared" si="250"/>
        <v xml:space="preserve">AI&amp; data analysis(1,50),  </v>
      </c>
      <c r="ET112" s="21" t="str">
        <f t="shared" si="246"/>
        <v xml:space="preserve">AI&amp; data analysis 50
 </v>
      </c>
      <c r="EU112"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2" s="21" t="str">
        <f t="shared" si="252"/>
        <v xml:space="preserve">engineering knowledge(1,6.25), technologists(1,12.5), database(1,12.5), sensors(1,12.5), mobile comm(1,12.5), for entrepreneurs(1,6.25),  </v>
      </c>
      <c r="EW112" s="21" t="str">
        <f t="shared" si="249"/>
        <v xml:space="preserve">engineering knowledge(6.25),technologists(12.5),database(12.5),sensors(12.5),mobile comm(12.5),for entrepreneurs(6.25), </v>
      </c>
      <c r="EX112" s="21" t="str">
        <f t="shared" si="244"/>
        <v xml:space="preserve">software 1
servers 1
scale 2
enthusiasm 2
technologists 1
 </v>
      </c>
      <c r="EY112" s="21" t="str">
        <f t="shared" si="253"/>
        <v xml:space="preserve">law(1,50), security(1,50), interaction(1,25),  </v>
      </c>
      <c r="EZ112" s="21" t="str">
        <f t="shared" si="246"/>
        <v xml:space="preserve">law 50
security 50
interaction 25
 </v>
      </c>
      <c r="FA112"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2" s="21" t="str">
        <f t="shared" si="255"/>
        <v xml:space="preserve">field knowledge(1,6.25), engineering knowledge(1,6.25), technologists(1,12.5), law(1,6.25), database(1,12.5), mobile apps(1,12.5), security(1,12.5), mobile comm(1,12.5), for entrepreneurs(1,6.25),  </v>
      </c>
      <c r="FC112" s="21" t="str">
        <f t="shared" si="249"/>
        <v xml:space="preserve">field knowledge(6.25),engineering knowledge(6.25),technologists(12.5),law(6.25),database(12.5),mobile apps(12.5),security(12.5),mobile comm(12.5),for entrepreneurs(6.25), </v>
      </c>
      <c r="FD112" s="21" t="str">
        <f t="shared" si="244"/>
        <v xml:space="preserve">software 1
servers 1
scale 2
enthusiasm 2
technologists 1
 </v>
      </c>
      <c r="FE112" s="21" t="str">
        <f t="shared" si="256"/>
        <v xml:space="preserve">law(1,50), sensors(1,50), security(1,50),  </v>
      </c>
      <c r="FF112" s="21" t="str">
        <f t="shared" si="246"/>
        <v xml:space="preserve">law 50
sensors 50
security 50
 </v>
      </c>
      <c r="FG112"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2" s="21" t="str">
        <f t="shared" si="258"/>
        <v xml:space="preserve">field knowledge(1,6.25), engineering knowledge(1,6.25), technologists(1,12.5), law(1,6.25), database(1,6.25), mobile apps(1,6.25), AI&amp; data analysis(1,6.25), mobile comm(1,6.25), for entrepreneurs(1,6.25),  </v>
      </c>
      <c r="FI112" s="21" t="str">
        <f t="shared" si="249"/>
        <v xml:space="preserve">field knowledge(6.25),engineering knowledge(6.25),technologists(12.5),law(6.25),database(6.25),mobile apps(6.25),AI&amp; data analysis(6.25),mobile comm(6.25),for entrepreneurs(6.25), </v>
      </c>
      <c r="FJ112" s="21" t="str">
        <f t="shared" si="244"/>
        <v xml:space="preserve">software 1
servers 1
scale 2
enthusiasm 2
technologists 1
 </v>
      </c>
      <c r="FK112" s="21" t="str">
        <f t="shared" si="259"/>
        <v xml:space="preserve">wood processing(1,25), metal processing(1,25), plastic processing(1,25), fabric(1,25), safety(1,25), interaction(1,25),  </v>
      </c>
      <c r="FL112" s="21" t="str">
        <f t="shared" si="246"/>
        <v xml:space="preserve">project management 2
wood processing 25
metal processing 25
plastic processing 25
fabric 25
safety 25
interaction 25
 </v>
      </c>
      <c r="FM112"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2" s="21" t="str">
        <f t="shared" si="261"/>
        <v xml:space="preserve">field knowledge(1,6.25), engineering knowledge(1,6.25), technologists(1,12.5), for entrepreneurs(1,6.25),  </v>
      </c>
      <c r="FO112" s="21" t="str">
        <f t="shared" si="249"/>
        <v xml:space="preserve">field knowledge(6.25),engineering knowledge(6.25),technologists(12.5),for entrepreneurs(6.25), </v>
      </c>
      <c r="FP112" s="21" t="str">
        <f t="shared" si="244"/>
        <v xml:space="preserve">software 1
servers 1
scale 2
enthusiasm 2
technologists 1
 </v>
      </c>
      <c r="FQ112" s="21" t="str">
        <f t="shared" si="262"/>
        <v xml:space="preserve">web(1,25), mobile apps(1,50), functions(1,25), interaction(1,25),  </v>
      </c>
      <c r="FR112" s="21" t="str">
        <f t="shared" si="246"/>
        <v xml:space="preserve">web 25
mobile apps 50
functions 25
interaction 25
 </v>
      </c>
      <c r="FS112"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2" s="21" t="str">
        <f t="shared" si="264"/>
        <v xml:space="preserve">field knowledge(1,6.25), engineering knowledge(1,6.25), technologists(1,12.5), for entrepreneurs(1,6.25),  </v>
      </c>
      <c r="FU112" s="21" t="str">
        <f t="shared" si="249"/>
        <v xml:space="preserve">field knowledge(6.25),engineering knowledge(6.25),technologists(12.5),for entrepreneurs(6.25), </v>
      </c>
      <c r="FV112" s="21" t="str">
        <f t="shared" si="244"/>
        <v xml:space="preserve">software 1
servers 1
scale 2
enthusiasm 2
technologists 1
 </v>
      </c>
      <c r="FW112" s="21" t="str">
        <f t="shared" si="265"/>
        <v xml:space="preserve">mobile apps(1,50), sensors(1,50), wood processing(1,25), plastic processing(1,25), electronics(1,25), functions(1,25), interaction(1,25),  </v>
      </c>
      <c r="FX112" s="21" t="str">
        <f t="shared" si="246"/>
        <v xml:space="preserve">mobile apps 50
sensors 50
wood processing 25
plastic processing 25
electronics 25
functions 25
interaction 25
 </v>
      </c>
      <c r="FY112"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2" s="21" t="str">
        <f t="shared" si="267"/>
        <v xml:space="preserve">field knowledge(1,6.25), engineering knowledge(1,6.25), technologists(1,12.5), web(1,6.25), database(1,6.25), AI&amp; data analysis(1,6.25), mobile comm(1,6.25), for entrepreneurs(1,6.25),  </v>
      </c>
      <c r="GA112" s="21" t="str">
        <f t="shared" si="249"/>
        <v xml:space="preserve">field knowledge(6.25),engineering knowledge(6.25),technologists(12.5),web(6.25),database(6.25),AI&amp; data analysis(6.25),mobile comm(6.25),for entrepreneurs(6.25), </v>
      </c>
      <c r="GB112" s="21" t="str">
        <f t="shared" si="244"/>
        <v xml:space="preserve">software 1
servers 1
scale 2
enthusiasm 2
technologists 1
 </v>
      </c>
      <c r="GC112" s="21" t="str">
        <f t="shared" si="268"/>
        <v xml:space="preserve">sensors(1,25), mobile comm(1,25), electronics(1,50), functions(1,25), safety(1,25),  </v>
      </c>
      <c r="GD112" s="21" t="str">
        <f t="shared" si="246"/>
        <v xml:space="preserve">sensors 25
mobile comm 25
electronics 50
functions 25
safety 25
 </v>
      </c>
      <c r="GE112"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2" s="21" t="str">
        <f t="shared" si="270"/>
        <v xml:space="preserve">field knowledge(1,6.25), engineering knowledge(1,6.25), technologists(1,12.5), database(1,6.25), mobile apps(1,6.25), AI&amp; data analysis(1,6.25), plastic processing(1,6.25), interaction(1,6.25), for entrepreneurs(1,6.25),  </v>
      </c>
      <c r="GG112" s="21" t="str">
        <f t="shared" si="249"/>
        <v xml:space="preserve">field knowledge(6.25),engineering knowledge(6.25),technologists(12.5),database(6.25),mobile apps(6.25),AI&amp; data analysis(6.25),plastic processing(6.25),interaction(6.25),for entrepreneurs(6.25), </v>
      </c>
      <c r="GH112" s="21" t="str">
        <f t="shared" si="244"/>
        <v xml:space="preserve">software 1
servers 1
scale 2
enthusiasm 2
technologists 1
 </v>
      </c>
      <c r="GI112" s="21" t="str">
        <f t="shared" si="271"/>
        <v xml:space="preserve">web(1,25), mobile apps(1,50), functions(1,25), interaction(1,25),  </v>
      </c>
      <c r="GJ112" s="21" t="str">
        <f t="shared" si="246"/>
        <v xml:space="preserve">web 25
mobile apps 50
functions 25
interaction 25
 </v>
      </c>
      <c r="GK112"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2" s="21" t="str">
        <f t="shared" si="273"/>
        <v xml:space="preserve">field knowledge(1,6.25), engineering knowledge(1,6.25), technologists(1,12.5), for entrepreneurs(1,6.25),  </v>
      </c>
      <c r="GM112" s="21" t="str">
        <f t="shared" si="249"/>
        <v xml:space="preserve">field knowledge(6.25),engineering knowledge(6.25),technologists(12.5),for entrepreneurs(6.25), </v>
      </c>
      <c r="GN112" s="21" t="str">
        <f t="shared" si="244"/>
        <v xml:space="preserve">software 1
servers 1
scale 2
enthusiasm 2
technologists 1
 </v>
      </c>
      <c r="GO112" s="21" t="str">
        <f t="shared" si="274"/>
        <v xml:space="preserve">web(1,25), mobile apps(1,25), VR&amp;AR(1,25), aesthetics(1,25), functions(1,25), interaction(1,50),  </v>
      </c>
      <c r="GP112" s="21" t="str">
        <f t="shared" si="246"/>
        <v xml:space="preserve">web 25
mobile apps 25
VR&amp;AR 25
aesthetics 25
functions 25
interaction 50
 </v>
      </c>
      <c r="GQ112"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2" s="21" t="str">
        <f t="shared" si="276"/>
        <v xml:space="preserve">field knowledge(1,6.25), technologists(1,12.5), for entrepreneurs(1,6.25),  </v>
      </c>
      <c r="GS112" s="21" t="str">
        <f t="shared" si="249"/>
        <v xml:space="preserve">field knowledge(6.25),technologists(12.5),for entrepreneurs(6.25), </v>
      </c>
      <c r="GT112" s="21" t="str">
        <f t="shared" si="244"/>
        <v xml:space="preserve">software 1
servers 2
scale 3
scale 2
ease of access 1
reputation 2
web 1
mobile apps 1
mobile comm 1
 </v>
      </c>
      <c r="GU112" s="21" t="str">
        <f t="shared" si="277"/>
        <v xml:space="preserve">software(1,),  </v>
      </c>
      <c r="GV112" s="21" t="str">
        <f t="shared" si="246"/>
        <v xml:space="preserve"> </v>
      </c>
      <c r="GW112"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2"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2"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2" s="21" t="str">
        <f t="shared" si="280"/>
        <v xml:space="preserve">software 1
plastic 1
electronics 1
fabric 1
scale 2
enthusiasm 2
scale 2
enthusiasm 2
network 1
govt 1
non-profits 1
reputation 2
portfolio 1
 </v>
      </c>
      <c r="HA112" s="21" t="str">
        <f t="shared" si="281"/>
        <v xml:space="preserve"> </v>
      </c>
      <c r="HB112" s="21" t="str">
        <f t="shared" si="282"/>
        <v xml:space="preserve"> </v>
      </c>
      <c r="HC112"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2" s="21" t="str">
        <f t="shared" si="284"/>
        <v xml:space="preserve">scale(1,6.25), enthusiasm(1,6.25), learning capacities(1,6.25), field knowledge(1,6.25), enthusiasm(1,6.25), media(1,6.25), technologists(1,6.25), non-profits(1,6.25), reputation(1,6.25), start-up with customers(1,6.25), for basic literacy(1,6.25),  </v>
      </c>
      <c r="HE112" s="21" t="str">
        <f t="shared" si="285"/>
        <v xml:space="preserve">scale(6.25),enthusiasm(6.25),learning capacities(6.25),field knowledge(6.25),enthusiasm(6.25),media(6.25),technologists(6.25),non-profits(6.25),reputation(6.25),start-up with customers(6.25),for basic literacy(6.25), </v>
      </c>
      <c r="HF112" s="21" t="str">
        <f t="shared" si="280"/>
        <v xml:space="preserve"> </v>
      </c>
      <c r="HG112" s="21" t="str">
        <f t="shared" si="286"/>
        <v xml:space="preserve">scale(2,), enthusiasm(2,),  </v>
      </c>
      <c r="HH112" s="21" t="str">
        <f t="shared" si="282"/>
        <v xml:space="preserve"> </v>
      </c>
      <c r="HI112"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2" s="21" t="str">
        <f t="shared" si="288"/>
        <v xml:space="preserve">scale(1,6.25), enthusiasm(1,6.25), learning capacities(1,6.25), network among members(1,6.25), enthusiasm(1,6.25), fun-ness(1,6.25), seriousness(1,6.25), govt(1,6.25), media(1,6.25), non-profits(1,6.25), start-up with customers(1,6.25),  </v>
      </c>
      <c r="HK112" s="21" t="str">
        <f t="shared" si="285"/>
        <v xml:space="preserve">scale(6.25),enthusiasm(6.25),learning capacities(6.25),network among members(6.25),enthusiasm(6.25),fun-ness(6.25),seriousness(6.25),govt(6.25),media(6.25),non-profits(6.25),start-up with customers(6.25), </v>
      </c>
      <c r="HL112" s="21" t="str">
        <f t="shared" si="280"/>
        <v xml:space="preserve">scale 2
scale 2
community manager 1
PR 1
administrator 1
local biz 1
entrepreneurs 1
non-profits 1
reputation 2
portfolio 2
 </v>
      </c>
      <c r="HM112" s="21" t="str">
        <f t="shared" si="289"/>
        <v xml:space="preserve">scale(1,25), enthusiasm(1,25), network among members(1,25), scale(1,25), enthusiasm(1,25), ambition(1,25), fun-ness(1,25), seriousness(1,25),  </v>
      </c>
      <c r="HN112" s="21" t="str">
        <f t="shared" si="282"/>
        <v xml:space="preserve">scale 25
enthusiasm 25
network among members 25
scale 25
enthusiasm 25
ambition 25
fun-ness 25
seriousness 25
 </v>
      </c>
      <c r="HO112"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2"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2" s="47" t="str">
        <f t="shared" si="285"/>
        <v xml:space="preserve">scale(6.25),enthusiasm(6.25),enthusiasm(6.25),fun-ness(6.25),enthusiasm(6.25),level of understanding(6.25),local biz(6.25),biz group(6.25),govt(6.25),investors(6.25),media(6.25),entrepreneurs(6.25),technologists(6.25),suppliers(6.25),non-profits(6.25),reputation(6.25), </v>
      </c>
      <c r="HR112" s="47" t="str">
        <f t="shared" ref="HR112:HW112" si="321">IF(HR10="",HR113,$C112&amp;"("&amp;HR10&amp;"),"&amp;HR113)</f>
        <v xml:space="preserve">software(1),servers(1),wood(1),metal(1),plastic(1),electronics(1),scale(2),enthusiasm(2),engineering knowledge(2),scale(2),enthusiasm(2),reputation(2),portfolio(2),mobile apps(1),sensors(1),wood processing(1),aesthetics(1), </v>
      </c>
      <c r="HS112" s="47" t="str">
        <f t="shared" si="321"/>
        <v xml:space="preserve"> </v>
      </c>
      <c r="HT112" s="47" t="str">
        <f t="shared" si="321"/>
        <v xml:space="preserve"> </v>
      </c>
      <c r="HU112" s="47" t="str">
        <f t="shared" si="32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2" s="47" t="str">
        <f t="shared" si="321"/>
        <v xml:space="preserve">gifted programmer(1),local biz(1),biz group(1),govt(1),investors(1),media(1),entrepreneurs(1),technologists(1),suppliers(1),non-profits(1),reputation(1), </v>
      </c>
      <c r="HW112" s="47" t="str">
        <f t="shared" si="321"/>
        <v xml:space="preserve">gifted programmer(6.25),local biz(6.25),biz group(6.25),govt(6.25),investors(6.25),media(6.25),entrepreneurs(6.25),technologists(12.5),suppliers(6.25),non-profits(6.25),reputation(6.25), </v>
      </c>
      <c r="HX112" s="47" t="str">
        <f t="shared" ref="HX112:IU112" si="322">IF(HX10="",HX113,$C112&amp;"("&amp;HX10&amp;"),"&amp;HX113)</f>
        <v xml:space="preserve">software(2),servers(2),wood(2),plastic(2),electronics(2),fabric(1),scale(2),enthusiasm(2),field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2" s="47" t="str">
        <f t="shared" si="322"/>
        <v xml:space="preserve">biz enhancement(1), </v>
      </c>
      <c r="HZ112" s="47" t="str">
        <f t="shared" si="322"/>
        <v xml:space="preserve">biz enhancement(100), </v>
      </c>
      <c r="IA112" s="47" t="str">
        <f t="shared" si="322"/>
        <v xml:space="preserve">community manager(1),PR(1),finance(1),administrator(1),enthusiasm(2),network(2),ambition(2),knowledge(2),spaciousness(2),ease of access(3),efficiency(2),portfolio(4),finance(2),business model(2),marketing(3),team building(2),project management(2),social media(3),negotiation(3), </v>
      </c>
      <c r="IB112" s="47" t="str">
        <f t="shared" si="322"/>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2" s="47" t="str">
        <f t="shared" si="322"/>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2" s="47" t="str">
        <f t="shared" si="322"/>
        <v xml:space="preserve">software(2),servers(2),scale(2),enthusiasm(2),engineering knowledge(1),scale(1),technologists(2), </v>
      </c>
      <c r="IE112" s="47" t="str">
        <f t="shared" si="322"/>
        <v xml:space="preserve">engineering knowledge(1),web(1),mobile apps(1),security(1),AI&amp; data analysis(1), </v>
      </c>
      <c r="IF112" s="47" t="str">
        <f t="shared" si="322"/>
        <v xml:space="preserve">engineering knowledge(25),web(25),mobile apps(25),security(25),AI&amp; data analysis(25), </v>
      </c>
      <c r="IG112" s="47" t="str">
        <f t="shared" si="32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2" s="47" t="str">
        <f t="shared" si="322"/>
        <v xml:space="preserve">engineering knowledge(1),technologists(1),web(1),database(1),mobile apps(1),security(1),AI&amp; data analysis(1), </v>
      </c>
      <c r="II112" s="47" t="str">
        <f t="shared" si="322"/>
        <v xml:space="preserve">engineering knowledge(6.25),technologists(6.25),web(6.25),database(6.25),mobile apps(6.25),security(6.25),AI&amp; data analysis(6.25), </v>
      </c>
      <c r="IJ112" s="47" t="str">
        <f t="shared" si="322"/>
        <v xml:space="preserve">metal(1),scale(2),enthusiasm(2),engineering knowledge(1),scale(1),technologists(2), </v>
      </c>
      <c r="IK112" s="47" t="str">
        <f t="shared" si="322"/>
        <v xml:space="preserve">engineering knowledge(1),wood processing(1),metal processing(1),functions(1),safety(1), </v>
      </c>
      <c r="IL112" s="47" t="str">
        <f t="shared" si="322"/>
        <v xml:space="preserve">engineering knowledge(25),wood processing(25),metal processing(25),functions(25),safety(25), </v>
      </c>
      <c r="IM112" s="47" t="str">
        <f t="shared" si="32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2" s="47" t="str">
        <f t="shared" si="322"/>
        <v xml:space="preserve">engineering knowledge(1),technologists(1),wood processing(1),metal processing(1),functions(1),safety(1),interaction(1), </v>
      </c>
      <c r="IO112" s="47" t="str">
        <f t="shared" si="322"/>
        <v xml:space="preserve">engineering knowledge(6.25),technologists(6.25),wood processing(6.25),metal processing(6.25),functions(6.25),safety(6.25),interaction(6.25), </v>
      </c>
      <c r="IP112" s="57" t="str">
        <f t="shared" si="322"/>
        <v xml:space="preserve">scale(2),enthusiasm(2),learning capacities(1),scale(2),local biz(2),reputation(1), </v>
      </c>
      <c r="IQ112" s="47" t="str">
        <f t="shared" si="322"/>
        <v xml:space="preserve">field knowledge(1),network among members(1),local biz(1),marketing(1), </v>
      </c>
      <c r="IR112" s="47" t="str">
        <f t="shared" si="322"/>
        <v xml:space="preserve">field knowledge(100),network among members(25),local biz(25),marketing(25), </v>
      </c>
      <c r="IS112" s="47" t="str">
        <f t="shared" si="32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2" s="47" t="str">
        <f t="shared" si="322"/>
        <v xml:space="preserve">field knowledge(1),network among members(1),enthusiasm(1),fun-ness(1),seriousness(1),local biz(1),biz group(1),govt(1),non-profits(1),marketing(1), </v>
      </c>
      <c r="IU112" s="47" t="str">
        <f t="shared" si="322"/>
        <v xml:space="preserve">field knowledge(6.25),network among members(6.25),enthusiasm(6.25),fun-ness(6.25),seriousness(6.25),local biz(6.25),biz group(6.25),govt(6.25),non-profits(6.25),marketing(6.25), </v>
      </c>
      <c r="IV112" s="57" t="str">
        <f t="shared" ref="IV112:LG112" si="323">IF(IV10="",IV113,$C112&amp;"("&amp;IV10&amp;"),"&amp;IV113)</f>
        <v xml:space="preserve">scale(2),enthusiasm(2),learning capacities(1),scale(2),local biz(2),reputation(1), </v>
      </c>
      <c r="IW112" s="47" t="str">
        <f t="shared" si="323"/>
        <v xml:space="preserve">field knowledge(1),network among members(1),local biz(1),marketing(1), </v>
      </c>
      <c r="IX112" s="47" t="str">
        <f t="shared" si="323"/>
        <v xml:space="preserve">field knowledge(100),network among members(25),local biz(25),marketing(25), </v>
      </c>
      <c r="IY112" s="47" t="str">
        <f t="shared" si="32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2" s="47" t="str">
        <f t="shared" si="323"/>
        <v xml:space="preserve">field knowledge(1),network among members(1),enthusiasm(1),fun-ness(1),seriousness(1),local biz(1),biz group(1),govt(1),marketing(1), </v>
      </c>
      <c r="JA112" s="47" t="str">
        <f t="shared" si="323"/>
        <v xml:space="preserve">field knowledge(6.25),network among members(6.25),enthusiasm(6.25),fun-ness(6.25),seriousness(6.25),local biz(6.25),biz group(6.25),govt(6.25),marketing(6.25), </v>
      </c>
      <c r="JB112" s="47" t="str">
        <f t="shared" si="323"/>
        <v xml:space="preserve">software(1),servers(1),wood(1),metal(1),plastic(1),electronics(1),fabric(1),scale(2),enthusiasm(1),scale(1),enthusiasm(2), </v>
      </c>
      <c r="JC112" s="47" t="str">
        <f t="shared" si="323"/>
        <v xml:space="preserve">engineering knowledge(1), </v>
      </c>
      <c r="JD112" s="47" t="str">
        <f t="shared" si="323"/>
        <v xml:space="preserve">engineering knowledge(50), </v>
      </c>
      <c r="JE112" s="47" t="str">
        <f t="shared" si="323"/>
        <v xml:space="preserve">software(2),servers(2),wood(2),metal(2),plastic(2),electronics(2),fabric(2),scale(3),enthusiasm(3),learning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2" s="47" t="str">
        <f t="shared" si="32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2" s="47" t="str">
        <f t="shared" si="32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2" s="47" t="str">
        <f t="shared" si="323"/>
        <v xml:space="preserve">scale(1),scale(1),enthusiasm(1),enthusiasm(1),local biz(1),non-profits(1),reputation(2), </v>
      </c>
      <c r="JI112" s="47" t="str">
        <f t="shared" si="323"/>
        <v xml:space="preserve"> </v>
      </c>
      <c r="JJ112" s="47" t="str">
        <f t="shared" si="323"/>
        <v xml:space="preserve"> </v>
      </c>
      <c r="JK112" s="47" t="str">
        <f t="shared" si="32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2" s="47" t="str">
        <f t="shared" si="323"/>
        <v xml:space="preserve">non-profits(1), </v>
      </c>
      <c r="JM112" s="47" t="str">
        <f t="shared" si="323"/>
        <v xml:space="preserve">non-profits(6.25), </v>
      </c>
      <c r="JN112" s="47" t="str">
        <f t="shared" si="323"/>
        <v xml:space="preserve">scale(2),enthusiasm(2),scale(2),enthusiasm(2),enthusiasm(1),network(1),local biz(1),investors(1),entrepreneurs(1),technologists(1),non-profits(1),reputation(2),portfolio(2), </v>
      </c>
      <c r="JO112" s="47" t="str">
        <f t="shared" si="323"/>
        <v xml:space="preserve"> </v>
      </c>
      <c r="JP112" s="47" t="str">
        <f t="shared" si="323"/>
        <v xml:space="preserve"> </v>
      </c>
      <c r="JQ112" s="47" t="str">
        <f t="shared" si="32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2" s="47" t="str">
        <f t="shared" si="323"/>
        <v xml:space="preserve"> </v>
      </c>
      <c r="JS112" s="47" t="str">
        <f t="shared" si="323"/>
        <v xml:space="preserve"> </v>
      </c>
      <c r="JT112" s="47" t="str">
        <f t="shared" si="323"/>
        <v xml:space="preserve">scale(3),enthusiasm(3),PR(1),administrator(1),enthusiasm(2),network(2),local biz(2),biz group(1),govt(2),investors(2),entrepreneurs(2),technologists(2),non-profits(2),reputation(2),portfolio(3), </v>
      </c>
      <c r="JU112" s="47" t="str">
        <f t="shared" si="323"/>
        <v xml:space="preserve"> </v>
      </c>
      <c r="JV112" s="47" t="str">
        <f t="shared" si="323"/>
        <v xml:space="preserve"> </v>
      </c>
      <c r="JW112" s="47" t="str">
        <f t="shared" si="32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2" s="47" t="str">
        <f t="shared" si="323"/>
        <v xml:space="preserve"> </v>
      </c>
      <c r="JY112" s="47" t="str">
        <f t="shared" si="323"/>
        <v xml:space="preserve"> </v>
      </c>
      <c r="JZ112" s="47" t="str">
        <f t="shared" si="323"/>
        <v xml:space="preserve">scale(1),enthusiasm(1),scale(1),enthusiasm(2),network(1),non-profits(1),reputation(2),social project(2), </v>
      </c>
      <c r="KA112" s="47" t="str">
        <f t="shared" si="323"/>
        <v xml:space="preserve">non-profits(1), </v>
      </c>
      <c r="KB112" s="47" t="str">
        <f t="shared" si="323"/>
        <v xml:space="preserve">non-profits(25), </v>
      </c>
      <c r="KC112" s="47" t="str">
        <f t="shared" si="32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2" s="47" t="str">
        <f t="shared" si="323"/>
        <v xml:space="preserve">non-profits(1), </v>
      </c>
      <c r="KE112" s="47" t="str">
        <f t="shared" si="323"/>
        <v xml:space="preserve">non-profits(6.25), </v>
      </c>
      <c r="KF112" s="47" t="str">
        <f t="shared" si="323"/>
        <v xml:space="preserve"> </v>
      </c>
      <c r="KG112" s="47" t="str">
        <f t="shared" si="323"/>
        <v xml:space="preserve"> </v>
      </c>
      <c r="KH112" s="47" t="str">
        <f t="shared" si="323"/>
        <v xml:space="preserve"> </v>
      </c>
      <c r="KI112" s="47" t="str">
        <f t="shared" si="323"/>
        <v xml:space="preserve"> </v>
      </c>
      <c r="KJ112" s="47" t="str">
        <f t="shared" si="323"/>
        <v xml:space="preserve"> </v>
      </c>
      <c r="KK112" s="47" t="str">
        <f t="shared" si="323"/>
        <v xml:space="preserve"> </v>
      </c>
      <c r="KL112" s="57" t="str">
        <f t="shared" si="323"/>
        <v xml:space="preserve"> </v>
      </c>
      <c r="KM112" s="47" t="str">
        <f t="shared" si="323"/>
        <v xml:space="preserve"> </v>
      </c>
      <c r="KN112" s="47" t="str">
        <f t="shared" si="323"/>
        <v xml:space="preserve"> </v>
      </c>
      <c r="KO112" s="47" t="str">
        <f t="shared" si="323"/>
        <v xml:space="preserve"> </v>
      </c>
      <c r="KP112" s="47" t="str">
        <f t="shared" si="323"/>
        <v xml:space="preserve"> </v>
      </c>
      <c r="KQ112" s="47" t="str">
        <f t="shared" si="323"/>
        <v xml:space="preserve"> </v>
      </c>
      <c r="KR112" s="57" t="str">
        <f t="shared" si="323"/>
        <v xml:space="preserve"> </v>
      </c>
      <c r="KS112" s="47" t="str">
        <f t="shared" si="323"/>
        <v xml:space="preserve"> </v>
      </c>
      <c r="KT112" s="47" t="str">
        <f t="shared" si="323"/>
        <v xml:space="preserve"> </v>
      </c>
      <c r="KU112" s="47" t="str">
        <f t="shared" si="323"/>
        <v xml:space="preserve"> </v>
      </c>
      <c r="KV112" s="47" t="str">
        <f t="shared" si="323"/>
        <v xml:space="preserve"> </v>
      </c>
      <c r="KW112" s="47" t="str">
        <f t="shared" si="323"/>
        <v xml:space="preserve"> </v>
      </c>
      <c r="KX112" s="57" t="str">
        <f t="shared" si="323"/>
        <v xml:space="preserve"> </v>
      </c>
      <c r="KY112" s="47" t="str">
        <f t="shared" si="323"/>
        <v xml:space="preserve"> </v>
      </c>
      <c r="KZ112" s="47" t="str">
        <f t="shared" si="323"/>
        <v xml:space="preserve"> </v>
      </c>
      <c r="LA112" s="47" t="str">
        <f t="shared" si="323"/>
        <v xml:space="preserve"> </v>
      </c>
      <c r="LB112" s="47" t="str">
        <f t="shared" si="323"/>
        <v xml:space="preserve"> </v>
      </c>
      <c r="LC112" s="47" t="str">
        <f t="shared" si="323"/>
        <v xml:space="preserve"> </v>
      </c>
      <c r="LD112" s="57" t="str">
        <f t="shared" si="323"/>
        <v xml:space="preserve"> </v>
      </c>
      <c r="LE112" s="47" t="str">
        <f t="shared" si="323"/>
        <v xml:space="preserve"> </v>
      </c>
      <c r="LF112" s="47" t="str">
        <f t="shared" si="323"/>
        <v xml:space="preserve"> </v>
      </c>
      <c r="LG112" s="47" t="str">
        <f t="shared" si="323"/>
        <v xml:space="preserve"> </v>
      </c>
      <c r="LH112" s="47" t="str">
        <f t="shared" ref="LH112:NM112" si="324">IF(LH10="",LH113,$C112&amp;"("&amp;LH10&amp;"),"&amp;LH113)</f>
        <v xml:space="preserve"> </v>
      </c>
      <c r="LI112" s="47" t="str">
        <f t="shared" si="324"/>
        <v xml:space="preserve"> </v>
      </c>
      <c r="LJ112" s="57" t="str">
        <f t="shared" si="324"/>
        <v xml:space="preserve"> </v>
      </c>
      <c r="LK112" s="47" t="str">
        <f t="shared" si="324"/>
        <v xml:space="preserve"> </v>
      </c>
      <c r="LL112" s="47" t="str">
        <f t="shared" si="324"/>
        <v xml:space="preserve"> </v>
      </c>
      <c r="LM112" s="47" t="str">
        <f t="shared" si="324"/>
        <v xml:space="preserve"> </v>
      </c>
      <c r="LN112" s="47" t="str">
        <f t="shared" si="324"/>
        <v xml:space="preserve"> </v>
      </c>
      <c r="LO112" s="47" t="str">
        <f t="shared" si="324"/>
        <v xml:space="preserve"> </v>
      </c>
      <c r="LP112" s="57" t="str">
        <f t="shared" si="324"/>
        <v xml:space="preserve"> </v>
      </c>
      <c r="LQ112" s="47" t="str">
        <f t="shared" si="324"/>
        <v xml:space="preserve"> </v>
      </c>
      <c r="LR112" s="47" t="str">
        <f t="shared" si="324"/>
        <v xml:space="preserve"> </v>
      </c>
      <c r="LS112" s="47" t="str">
        <f t="shared" si="324"/>
        <v xml:space="preserve"> </v>
      </c>
      <c r="LT112" s="47" t="str">
        <f t="shared" si="324"/>
        <v xml:space="preserve"> </v>
      </c>
      <c r="LU112" s="47" t="str">
        <f t="shared" si="324"/>
        <v xml:space="preserve"> </v>
      </c>
      <c r="LV112" s="57" t="str">
        <f t="shared" si="324"/>
        <v xml:space="preserve"> </v>
      </c>
      <c r="LW112" s="47" t="str">
        <f t="shared" si="324"/>
        <v xml:space="preserve"> </v>
      </c>
      <c r="LX112" s="47" t="str">
        <f t="shared" si="324"/>
        <v xml:space="preserve"> </v>
      </c>
      <c r="LY112" s="47" t="str">
        <f t="shared" si="324"/>
        <v xml:space="preserve"> </v>
      </c>
      <c r="LZ112" s="47" t="str">
        <f t="shared" si="324"/>
        <v xml:space="preserve"> </v>
      </c>
      <c r="MA112" s="47" t="str">
        <f t="shared" si="324"/>
        <v xml:space="preserve"> </v>
      </c>
      <c r="MB112" s="57" t="str">
        <f t="shared" si="324"/>
        <v xml:space="preserve"> </v>
      </c>
      <c r="MC112" s="47" t="str">
        <f t="shared" si="324"/>
        <v xml:space="preserve"> </v>
      </c>
      <c r="MD112" s="47" t="str">
        <f t="shared" si="324"/>
        <v xml:space="preserve"> </v>
      </c>
      <c r="ME112" s="47" t="str">
        <f t="shared" si="324"/>
        <v xml:space="preserve"> </v>
      </c>
      <c r="MF112" s="47" t="str">
        <f t="shared" si="324"/>
        <v xml:space="preserve"> </v>
      </c>
      <c r="MG112" s="47" t="str">
        <f t="shared" si="324"/>
        <v xml:space="preserve"> </v>
      </c>
      <c r="MH112" s="57" t="str">
        <f t="shared" si="324"/>
        <v xml:space="preserve"> </v>
      </c>
      <c r="MI112" s="47" t="str">
        <f t="shared" si="324"/>
        <v xml:space="preserve"> </v>
      </c>
      <c r="MJ112" s="47" t="str">
        <f t="shared" si="324"/>
        <v xml:space="preserve"> </v>
      </c>
      <c r="MK112" s="47" t="str">
        <f t="shared" si="324"/>
        <v xml:space="preserve"> </v>
      </c>
      <c r="ML112" s="47" t="str">
        <f t="shared" si="324"/>
        <v xml:space="preserve"> </v>
      </c>
      <c r="MM112" s="47" t="str">
        <f t="shared" si="324"/>
        <v xml:space="preserve"> </v>
      </c>
      <c r="MN112" s="57" t="str">
        <f t="shared" si="324"/>
        <v xml:space="preserve"> </v>
      </c>
      <c r="MO112" s="47" t="str">
        <f t="shared" si="324"/>
        <v xml:space="preserve"> </v>
      </c>
      <c r="MP112" s="47" t="str">
        <f t="shared" si="324"/>
        <v xml:space="preserve"> </v>
      </c>
      <c r="MQ112" s="47" t="str">
        <f t="shared" si="324"/>
        <v xml:space="preserve"> </v>
      </c>
      <c r="MR112" s="47" t="str">
        <f t="shared" si="324"/>
        <v xml:space="preserve"> </v>
      </c>
      <c r="MS112" s="47" t="str">
        <f t="shared" si="324"/>
        <v xml:space="preserve"> </v>
      </c>
      <c r="MT112" s="57" t="str">
        <f t="shared" si="324"/>
        <v xml:space="preserve"> </v>
      </c>
      <c r="MU112" s="47" t="str">
        <f t="shared" si="324"/>
        <v xml:space="preserve"> </v>
      </c>
      <c r="MV112" s="47" t="str">
        <f t="shared" si="324"/>
        <v xml:space="preserve"> </v>
      </c>
      <c r="MW112" s="47" t="str">
        <f t="shared" si="324"/>
        <v xml:space="preserve"> </v>
      </c>
      <c r="MX112" s="47" t="str">
        <f t="shared" si="324"/>
        <v xml:space="preserve"> </v>
      </c>
      <c r="MY112" s="47" t="str">
        <f t="shared" si="324"/>
        <v xml:space="preserve"> </v>
      </c>
      <c r="MZ112" s="57" t="str">
        <f t="shared" si="324"/>
        <v xml:space="preserve"> </v>
      </c>
      <c r="NA112" s="47" t="str">
        <f t="shared" si="324"/>
        <v xml:space="preserve"> </v>
      </c>
      <c r="NB112" s="47" t="str">
        <f t="shared" si="324"/>
        <v xml:space="preserve"> </v>
      </c>
      <c r="NC112" s="47" t="str">
        <f t="shared" si="324"/>
        <v xml:space="preserve"> </v>
      </c>
      <c r="ND112" s="47" t="str">
        <f t="shared" si="324"/>
        <v xml:space="preserve"> </v>
      </c>
      <c r="NE112" s="47" t="str">
        <f t="shared" si="324"/>
        <v xml:space="preserve"> </v>
      </c>
      <c r="NF112" s="57" t="str">
        <f t="shared" si="324"/>
        <v xml:space="preserve"> </v>
      </c>
      <c r="NG112" s="47" t="str">
        <f t="shared" si="324"/>
        <v xml:space="preserve"> </v>
      </c>
      <c r="NH112" s="47" t="str">
        <f t="shared" si="324"/>
        <v xml:space="preserve"> </v>
      </c>
      <c r="NI112" s="47" t="str">
        <f t="shared" si="324"/>
        <v xml:space="preserve"> </v>
      </c>
      <c r="NJ112" s="47" t="str">
        <f t="shared" si="324"/>
        <v xml:space="preserve"> </v>
      </c>
      <c r="NK112" s="47" t="str">
        <f t="shared" si="324"/>
        <v xml:space="preserve"> </v>
      </c>
      <c r="NL112" s="57" t="str">
        <f t="shared" si="324"/>
        <v xml:space="preserve"> </v>
      </c>
      <c r="NM112" s="47" t="str">
        <f t="shared" si="324"/>
        <v xml:space="preserve"> </v>
      </c>
    </row>
    <row r="113" spans="3:377" ht="15.75" customHeight="1">
      <c r="C113" s="7" t="str">
        <f t="shared" si="296"/>
        <v>servers</v>
      </c>
      <c r="D113" s="21" t="str">
        <f t="shared" si="169"/>
        <v xml:space="preserve">scale 1
 </v>
      </c>
      <c r="E113" s="21" t="str">
        <f t="shared" si="297"/>
        <v xml:space="preserve">scale(1,100),  </v>
      </c>
      <c r="F113" s="21" t="str">
        <f t="shared" si="170"/>
        <v xml:space="preserve">scale 100
 </v>
      </c>
      <c r="G113" s="21" t="str">
        <f t="shared" si="298"/>
        <v xml:space="preserve">servers(2), wood(2), metal(2), plastic(2), electronics(2), fabric(2), enthusiasm(1), enthusiasm(2), fun-ness(1), community manager(1), PR(1), fame(1), network(2), ease of access(1), reputation(2), social media(1),  </v>
      </c>
      <c r="H113" s="21" t="str">
        <f t="shared" si="299"/>
        <v xml:space="preserve">scale(1,6.25),  </v>
      </c>
      <c r="I113" s="21" t="str">
        <f t="shared" ref="I113" si="325">IF(I11="",I114,$C113&amp;"("&amp;I11&amp;"),"&amp;I114)</f>
        <v xml:space="preserve">scale(6.25), </v>
      </c>
      <c r="J113" s="21" t="str">
        <f t="shared" si="172"/>
        <v xml:space="preserve">scale 1
interaction 1
 </v>
      </c>
      <c r="K113" s="21" t="str">
        <f t="shared" si="173"/>
        <v xml:space="preserve">reputation(1,75),  </v>
      </c>
      <c r="L113" s="21" t="str">
        <f t="shared" si="174"/>
        <v xml:space="preserve">reputation 75
 </v>
      </c>
      <c r="M113" s="21" t="str">
        <f t="shared" si="175"/>
        <v xml:space="preserve">PR(1), portfolio(1), social innovation(1), non-profit biz(1),  </v>
      </c>
      <c r="N113" s="21" t="str">
        <f t="shared" si="176"/>
        <v xml:space="preserve">scale(1,6.25), enthusiasm(1,6.25), seriousness(1,25), non-profits(1,12.5), reputation(1,75), marketing(1,12.5),  </v>
      </c>
      <c r="O113" s="21" t="str">
        <f t="shared" si="177"/>
        <v xml:space="preserve">scale(6.25),enthusiasm(6.25),seriousness(25),non-profits(12.5),reputation(75),marketing(12.5), </v>
      </c>
      <c r="P113" s="21" t="str">
        <f t="shared" si="172"/>
        <v xml:space="preserve">scale 1
biz project 1
 </v>
      </c>
      <c r="Q113" s="21" t="str">
        <f t="shared" si="178"/>
        <v xml:space="preserve"> </v>
      </c>
      <c r="R113" s="21" t="str">
        <f t="shared" si="174"/>
        <v xml:space="preserve"> </v>
      </c>
      <c r="S113" s="21" t="str">
        <f t="shared" si="179"/>
        <v xml:space="preserve">portfolio(1), biz enhancement(1), business(1), start-up(1),  </v>
      </c>
      <c r="T113" s="21" t="str">
        <f t="shared" si="180"/>
        <v xml:space="preserve">scale(1,6.25), enthusiasm(1,6.25), seriousness(1,25), local biz(1,6.25), investors(1,6.25), reputation(1,6.25),  </v>
      </c>
      <c r="U113" s="21" t="str">
        <f t="shared" si="177"/>
        <v xml:space="preserve">scale(6.25),enthusiasm(6.25),seriousness(25),local biz(6.25),investors(6.25),reputation(6.25), </v>
      </c>
      <c r="V113" s="21" t="str">
        <f t="shared" si="172"/>
        <v xml:space="preserve">scale 1
 </v>
      </c>
      <c r="W113" s="21" t="str">
        <f t="shared" si="181"/>
        <v xml:space="preserve">local biz(1,),  </v>
      </c>
      <c r="X113" s="21" t="str">
        <f t="shared" si="174"/>
        <v xml:space="preserve"> </v>
      </c>
      <c r="Y113" s="21" t="str">
        <f t="shared" si="182"/>
        <v xml:space="preserve">enthusiasm(1), attention to details(1), PR(1), network(1), ease of access(1), reputation(1), portfolio(1), biz project(1), biz enhancement(1), job creation(1), business(1),  </v>
      </c>
      <c r="Z113" s="21" t="str">
        <f t="shared" si="183"/>
        <v xml:space="preserve">local biz(1,6.25),  </v>
      </c>
      <c r="AA113" s="21" t="str">
        <f t="shared" si="177"/>
        <v xml:space="preserve">local biz(6.25), </v>
      </c>
      <c r="AB113" s="21" t="str">
        <f t="shared" si="172"/>
        <v xml:space="preserve">scale 1
 </v>
      </c>
      <c r="AC113" s="21" t="str">
        <f t="shared" si="184"/>
        <v xml:space="preserve">non-profits(1,100),  </v>
      </c>
      <c r="AD113" s="21" t="str">
        <f t="shared" si="174"/>
        <v xml:space="preserve">non-profits 100
 </v>
      </c>
      <c r="AE113" s="21" t="str">
        <f t="shared" si="185"/>
        <v xml:space="preserve">enthusiasm(1), attention to details(1), PR(1), network(1), ease of access(1), reputation(1), portfolio(1), social project(1), social innovation(1), non-profit biz(1),  </v>
      </c>
      <c r="AF113" s="21" t="str">
        <f t="shared" si="186"/>
        <v xml:space="preserve">seriousness(1,6.25), non-profits(1,6.25),  </v>
      </c>
      <c r="AG113" s="21" t="str">
        <f t="shared" si="177"/>
        <v xml:space="preserve">seriousness(6.25),non-profits(6.25), </v>
      </c>
      <c r="AH113" s="21" t="str">
        <f t="shared" si="172"/>
        <v xml:space="preserve">scale 1
 </v>
      </c>
      <c r="AI113" s="21" t="str">
        <f t="shared" si="187"/>
        <v xml:space="preserve">govt(1,),  </v>
      </c>
      <c r="AJ113" s="21" t="str">
        <f t="shared" si="174"/>
        <v xml:space="preserve"> </v>
      </c>
      <c r="AK113" s="21" t="str">
        <f t="shared" si="188"/>
        <v xml:space="preserve">enthusiasm(1), attention to details(1), seriousness(1), fame(1), network(1), govt(1), ease of access(1), reputation(2), portfolio(1), social project(1), social innovation(1), non-profit biz(1),  </v>
      </c>
      <c r="AL113" s="21" t="str">
        <f t="shared" si="189"/>
        <v xml:space="preserve">govt(1,6.25),  </v>
      </c>
      <c r="AM113" s="21" t="str">
        <f t="shared" si="177"/>
        <v xml:space="preserve">govt(6.25), </v>
      </c>
      <c r="AN113" s="21" t="str">
        <f t="shared" si="172"/>
        <v xml:space="preserve">scale 1
enthusiasm 1
gifted leader 1
scale 1
enthusiasm 1
 </v>
      </c>
      <c r="AO113" s="21" t="str">
        <f t="shared" si="190"/>
        <v xml:space="preserve">fame(1,), network(1,), investors(1,6.25),  </v>
      </c>
      <c r="AP113" s="21" t="str">
        <f t="shared" si="174"/>
        <v xml:space="preserve">investors 6.25
 </v>
      </c>
      <c r="AQ113" s="21" t="str">
        <f t="shared" si="191"/>
        <v xml:space="preserve">investors(1), ease of access(1), reputation(1), portfolio(1), start-up(1), start-up with mvp(1), start-up with customers(1),  </v>
      </c>
      <c r="AR113" s="21" t="str">
        <f t="shared" si="192"/>
        <v xml:space="preserve"> </v>
      </c>
      <c r="AS113" s="21" t="str">
        <f t="shared" si="177"/>
        <v xml:space="preserve"> </v>
      </c>
      <c r="AT113" s="21" t="str">
        <f t="shared" si="172"/>
        <v xml:space="preserve">scale 1
enthusiasm 1
scale 2
enthusiasm 1
seriousness 1
administrator 1
non-profits 2
reputation 1
portfolio 1
social project 1
 </v>
      </c>
      <c r="AU113" s="21" t="str">
        <f t="shared" si="193"/>
        <v xml:space="preserve">ambition(1,), attention to details(1,),  </v>
      </c>
      <c r="AV113" s="21" t="str">
        <f t="shared" si="174"/>
        <v xml:space="preserve"> </v>
      </c>
      <c r="AW113" s="21" t="str">
        <f t="shared" si="194"/>
        <v xml:space="preserve">field knowledge(1), enthusiasm(3), PR(2), administrator(1), project management(2),  </v>
      </c>
      <c r="AX113" s="21" t="str">
        <f t="shared" si="195"/>
        <v xml:space="preserve">organizational rules and manuals(1,12.5), project management(1,12.5),  </v>
      </c>
      <c r="AY113" s="21" t="str">
        <f t="shared" si="177"/>
        <v xml:space="preserve">organizational rules and manuals(12.5),project management(12.5), </v>
      </c>
      <c r="AZ113" s="21" t="str">
        <f t="shared" si="172"/>
        <v xml:space="preserve">scale 1
enthusiasm 1
scale 1
enthusiasm 1
non-profits 1
 </v>
      </c>
      <c r="BA113" s="21" t="str">
        <f t="shared" si="196"/>
        <v xml:space="preserve"> </v>
      </c>
      <c r="BB113" s="21" t="str">
        <f t="shared" si="174"/>
        <v xml:space="preserve"> </v>
      </c>
      <c r="BC113" s="21" t="str">
        <f t="shared" si="197"/>
        <v xml:space="preserve"> </v>
      </c>
      <c r="BD113" s="21" t="str">
        <f t="shared" si="198"/>
        <v xml:space="preserve"> </v>
      </c>
      <c r="BE113" s="21" t="str">
        <f t="shared" si="177"/>
        <v xml:space="preserve"> </v>
      </c>
      <c r="BF113" s="21" t="str">
        <f t="shared" si="172"/>
        <v xml:space="preserve">scale 1
enthusiasm 1
scale 2
enthusiasm 1
seriousness 1
administrator 1
local biz 2
entrepreneurs 1
reputation 1
portfolio 1
biz project 1
 </v>
      </c>
      <c r="BG113" s="21" t="str">
        <f t="shared" si="199"/>
        <v xml:space="preserve">ambition(1,), attention to details(1,),  </v>
      </c>
      <c r="BH113" s="21" t="str">
        <f t="shared" si="174"/>
        <v xml:space="preserve"> </v>
      </c>
      <c r="BI113" s="21" t="str">
        <f t="shared" si="200"/>
        <v xml:space="preserve">field knowledge(1), enthusiasm(3), PR(2), administrator(1), project management(2),  </v>
      </c>
      <c r="BJ113" s="21" t="str">
        <f t="shared" si="201"/>
        <v xml:space="preserve">organizational rules and manuals(1,12.5), project management(1,12.5),  </v>
      </c>
      <c r="BK113" s="21" t="str">
        <f t="shared" si="177"/>
        <v xml:space="preserve">organizational rules and manuals(12.5),project management(12.5), </v>
      </c>
      <c r="BL113" s="21" t="str">
        <f t="shared" si="172"/>
        <v xml:space="preserve">scale 1
enthusiasm 1
scale 1
enthusiasm 1
local biz 1
reputation 1
portfolio 1
biz enhancement 1
 </v>
      </c>
      <c r="BM113" s="21" t="str">
        <f t="shared" si="202"/>
        <v xml:space="preserve"> </v>
      </c>
      <c r="BN113" s="21" t="str">
        <f t="shared" si="174"/>
        <v xml:space="preserve"> </v>
      </c>
      <c r="BO113" s="21" t="str">
        <f t="shared" si="203"/>
        <v xml:space="preserve"> </v>
      </c>
      <c r="BP113" s="21" t="str">
        <f t="shared" si="204"/>
        <v xml:space="preserve"> </v>
      </c>
      <c r="BQ113" s="21" t="str">
        <f t="shared" si="177"/>
        <v xml:space="preserve"> </v>
      </c>
      <c r="BR113" s="21" t="str">
        <f t="shared" si="172"/>
        <v xml:space="preserve"> </v>
      </c>
      <c r="BS113" s="21" t="str">
        <f t="shared" si="205"/>
        <v xml:space="preserve"> </v>
      </c>
      <c r="BT113" s="21" t="str">
        <f t="shared" si="174"/>
        <v xml:space="preserve"> </v>
      </c>
      <c r="BU113" s="21" t="str">
        <f t="shared" si="206"/>
        <v xml:space="preserve"> </v>
      </c>
      <c r="BV113" s="21" t="str">
        <f t="shared" si="207"/>
        <v xml:space="preserve"> </v>
      </c>
      <c r="BW113" s="21" t="str">
        <f t="shared" si="177"/>
        <v xml:space="preserve"> </v>
      </c>
      <c r="BX113" s="21" t="str">
        <f t="shared" si="208"/>
        <v xml:space="preserve">scale 1
network 1
 </v>
      </c>
      <c r="BY113" s="21" t="str">
        <f t="shared" si="209"/>
        <v xml:space="preserve">efficiency(1,),  </v>
      </c>
      <c r="BZ113" s="21" t="str">
        <f t="shared" si="210"/>
        <v xml:space="preserve"> </v>
      </c>
      <c r="CA113" s="21" t="str">
        <f t="shared" si="211"/>
        <v xml:space="preserve">scale(2), enthusiasm(1), attention to details(1), administrator(1), negotiation(1),  </v>
      </c>
      <c r="CB113" s="21" t="str">
        <f t="shared" si="212"/>
        <v xml:space="preserve">user rules and manuals(1,50), organizational rules and manuals(1,50),  </v>
      </c>
      <c r="CC113" s="21" t="str">
        <f t="shared" si="213"/>
        <v xml:space="preserve">user rules and manuals(50),organizational rules and manuals(50), </v>
      </c>
      <c r="CD113" s="21" t="str">
        <f t="shared" si="208"/>
        <v xml:space="preserve">servers 1
scale 1
scale 1
enthusiasm 1
network 1
 </v>
      </c>
      <c r="CE113" s="21" t="str">
        <f t="shared" si="214"/>
        <v xml:space="preserve">field knowledge(1,), non-profits(1,),  </v>
      </c>
      <c r="CF113" s="21" t="str">
        <f t="shared" si="210"/>
        <v xml:space="preserve"> </v>
      </c>
      <c r="CG113" s="21" t="str">
        <f t="shared" si="215"/>
        <v xml:space="preserve">servers(2), wood(2), metal(2), plastic(2), electronics(2), fabric(2), fun-ness(1), seriousness(1), ease of access(1), portfolio(1), user rules and manuals(1), negotiation(1), social project(1), biz project(1), for basic literacy(1), for the elites(1), for entrepreneurs(1),  </v>
      </c>
      <c r="CH113" s="21" t="str">
        <f t="shared" si="216"/>
        <v xml:space="preserve">scale(1,6.25), technologists(1,6.25), non-profits(1,6.25),  </v>
      </c>
      <c r="CI113" s="21" t="str">
        <f t="shared" si="213"/>
        <v xml:space="preserve">scale(6.25),technologists(6.25),non-profits(6.25), </v>
      </c>
      <c r="CJ113" s="21" t="str">
        <f t="shared" si="208"/>
        <v xml:space="preserve">servers 1
scale 1
scale 1
 </v>
      </c>
      <c r="CK113" s="21" t="str">
        <f t="shared" si="217"/>
        <v xml:space="preserve">suppliers(1,),  </v>
      </c>
      <c r="CL113" s="21" t="str">
        <f t="shared" si="210"/>
        <v xml:space="preserve"> </v>
      </c>
      <c r="CM113" s="21" t="str">
        <f t="shared" si="218"/>
        <v xml:space="preserve">reputation(1), negotiation(1),  </v>
      </c>
      <c r="CN113" s="21" t="str">
        <f t="shared" si="219"/>
        <v xml:space="preserve">learning capacities(1,), engineering knowledge(1,), enthusiasm(2,), efficiency(1,6.25),  </v>
      </c>
      <c r="CO113" s="21" t="str">
        <f t="shared" si="213"/>
        <v xml:space="preserve">efficiency(6.25), </v>
      </c>
      <c r="CP113" s="21" t="str">
        <f t="shared" si="208"/>
        <v xml:space="preserve">servers 1
scale 1
scale 1
 </v>
      </c>
      <c r="CQ113" s="21" t="str">
        <f t="shared" si="220"/>
        <v xml:space="preserve">technologists(1,),  </v>
      </c>
      <c r="CR113" s="21" t="str">
        <f t="shared" si="210"/>
        <v xml:space="preserve"> </v>
      </c>
      <c r="CS113" s="21" t="str">
        <f t="shared" si="221"/>
        <v xml:space="preserve">servers(2), 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3" s="21" t="str">
        <f t="shared" si="222"/>
        <v xml:space="preserve">engineering knowledge(1,6.25), efficiency(1,6.25),  </v>
      </c>
      <c r="CU113" s="21" t="str">
        <f t="shared" si="213"/>
        <v xml:space="preserve">engineering knowledge(6.25),efficiency(6.25), </v>
      </c>
      <c r="CV113" s="21" t="str">
        <f t="shared" si="208"/>
        <v xml:space="preserve">scale 1
scale 1
 </v>
      </c>
      <c r="CW113" s="21" t="str">
        <f t="shared" si="223"/>
        <v xml:space="preserve">local biz(1,),  </v>
      </c>
      <c r="CX113" s="21" t="str">
        <f t="shared" si="210"/>
        <v xml:space="preserve"> </v>
      </c>
      <c r="CY113" s="21" t="str">
        <f t="shared" si="224"/>
        <v xml:space="preserve">servers(2), wood(2), metal(2), plastic(2), electronics(2), fabric(2), ease of access(1), reputation(1), portfolio(1), negotiation(1),  </v>
      </c>
      <c r="CZ113" s="21" t="str">
        <f t="shared" si="225"/>
        <v xml:space="preserve">non-profits(1,6.25),  </v>
      </c>
      <c r="DA113" s="21" t="str">
        <f t="shared" si="213"/>
        <v xml:space="preserve">non-profits(6.25), </v>
      </c>
      <c r="DB113" s="21" t="str">
        <f t="shared" si="208"/>
        <v xml:space="preserve">scale 1
 </v>
      </c>
      <c r="DC113" s="21" t="str">
        <f t="shared" si="226"/>
        <v xml:space="preserve"> </v>
      </c>
      <c r="DD113" s="21" t="str">
        <f t="shared" si="210"/>
        <v xml:space="preserve"> </v>
      </c>
      <c r="DE113" s="21" t="str">
        <f t="shared" si="227"/>
        <v xml:space="preserve">servers(2), 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3" s="21" t="str">
        <f t="shared" si="228"/>
        <v xml:space="preserve">network(1,), local biz(1,6.25), biz group(1,6.25), investors(1,6.25), entrepreneurs(1,6.25),  </v>
      </c>
      <c r="DG113" s="21" t="str">
        <f t="shared" si="213"/>
        <v xml:space="preserve">local biz(6.25),biz group(6.25),investors(6.25),entrepreneurs(6.25), </v>
      </c>
      <c r="DH113" s="21" t="str">
        <f t="shared" si="208"/>
        <v xml:space="preserve">scale 1
enthusiasm 1
scale 1
enthusiasm 1
network 1
non-profits 1
reputation 1
social project 1
 </v>
      </c>
      <c r="DI113" s="21" t="str">
        <f t="shared" si="229"/>
        <v xml:space="preserve"> </v>
      </c>
      <c r="DJ113" s="21" t="str">
        <f t="shared" si="210"/>
        <v xml:space="preserve"> </v>
      </c>
      <c r="DK113" s="21" t="str">
        <f t="shared" si="230"/>
        <v xml:space="preserve">servers(1), 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3" s="21" t="str">
        <f t="shared" si="231"/>
        <v xml:space="preserve">field knowledge(1,12.5), network among members(1,12.5), reputation(1,6.25),  </v>
      </c>
      <c r="DM113" s="21" t="str">
        <f t="shared" si="213"/>
        <v xml:space="preserve">field knowledge(12.5),network among members(12.5),reputation(6.25), </v>
      </c>
      <c r="DN113" s="21" t="str">
        <f t="shared" si="208"/>
        <v xml:space="preserve">scale 1
enthusiasm 1
scale 1
enthusiasm 1
network 1
local biz 1
reputation 1
biz project 1
 </v>
      </c>
      <c r="DO113" s="21" t="str">
        <f t="shared" si="232"/>
        <v xml:space="preserve"> </v>
      </c>
      <c r="DP113" s="21" t="str">
        <f t="shared" si="210"/>
        <v xml:space="preserve"> </v>
      </c>
      <c r="DQ113" s="21" t="str">
        <f t="shared" si="233"/>
        <v xml:space="preserve">servers(1), 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3" s="21" t="str">
        <f t="shared" si="234"/>
        <v xml:space="preserve">field knowledge(1,12.5), network among members(1,12.5), reputation(1,6.25),  </v>
      </c>
      <c r="DS113" s="21" t="str">
        <f t="shared" si="213"/>
        <v xml:space="preserve">field knowledge(12.5),network among members(12.5),reputation(6.25), </v>
      </c>
      <c r="DT113" s="21" t="str">
        <f t="shared" si="208"/>
        <v xml:space="preserve">scale 1
enthusiasm 1
scale 1
enthusiasm 1
network 1
reputation 1
 </v>
      </c>
      <c r="DU113" s="21" t="str">
        <f t="shared" si="235"/>
        <v xml:space="preserve"> </v>
      </c>
      <c r="DV113" s="21" t="str">
        <f t="shared" si="210"/>
        <v xml:space="preserve"> </v>
      </c>
      <c r="DW113"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3" s="21" t="str">
        <f t="shared" si="237"/>
        <v xml:space="preserve">enthusiasm(1,6.25), field knowledge(1,6.25), engineering knowledge(1,6.25), ambition(1,6.25), reputation(1,6.25), for basic literacy(1,6.25),  </v>
      </c>
      <c r="DY113" s="21" t="str">
        <f t="shared" si="213"/>
        <v xml:space="preserve">enthusiasm(6.25),field knowledge(6.25),engineering knowledge(6.25),ambition(6.25),reputation(6.25),for basic literacy(6.25), </v>
      </c>
      <c r="DZ113" s="21" t="str">
        <f t="shared" si="208"/>
        <v xml:space="preserve">scale 1
enthusiasm 1
scale 1
enthusiasm 1
network 1
reputation 1
 </v>
      </c>
      <c r="EA113" s="21" t="str">
        <f t="shared" si="238"/>
        <v xml:space="preserve"> </v>
      </c>
      <c r="EB113" s="21" t="str">
        <f t="shared" si="210"/>
        <v xml:space="preserve"> </v>
      </c>
      <c r="EC113"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3" s="21" t="str">
        <f t="shared" si="240"/>
        <v xml:space="preserve">enthusiasm(1,6.25), engineering knowledge(1,6.25), ambition(1,6.25), reputation(1,6.25), for basic literacy(1,6.25),  </v>
      </c>
      <c r="EE113" s="21" t="str">
        <f t="shared" si="213"/>
        <v xml:space="preserve">enthusiasm(6.25),engineering knowledge(6.25),ambition(6.25),reputation(6.25),for basic literacy(6.25), </v>
      </c>
      <c r="EF113" s="21" t="str">
        <f t="shared" si="208"/>
        <v xml:space="preserve">scale 2
enthusiasm 2
technologists 1
reputation 1
 </v>
      </c>
      <c r="EG113" s="21" t="str">
        <f t="shared" si="241"/>
        <v xml:space="preserve">web(1,50), mobile apps(1,50), interaction(1,50),  </v>
      </c>
      <c r="EH113" s="21" t="str">
        <f t="shared" si="210"/>
        <v xml:space="preserve">web 50
mobile apps 50
interaction 50
 </v>
      </c>
      <c r="EI113"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3" s="21" t="str">
        <f t="shared" si="243"/>
        <v xml:space="preserve">engineering knowledge(1,6.25), technologists(1,12.5), infrastructrue(1,12.5), database(1,12.5), mobile comm(1,12.5), for entrepreneurs(1,6.25),  </v>
      </c>
      <c r="EK113" s="21" t="str">
        <f t="shared" si="213"/>
        <v xml:space="preserve">engineering knowledge(6.25),technologists(12.5),infrastructrue(12.5),database(12.5),mobile comm(12.5),for entrepreneurs(6.25), </v>
      </c>
      <c r="EL113" s="21" t="str">
        <f t="shared" si="244"/>
        <v xml:space="preserve">scale 2
enthusiasm 2
technologists 1
reputation 1
 </v>
      </c>
      <c r="EM113" s="21" t="str">
        <f t="shared" si="245"/>
        <v xml:space="preserve">sensors(1,50),  </v>
      </c>
      <c r="EN113" s="21" t="str">
        <f t="shared" si="246"/>
        <v xml:space="preserve">sensors 50
 </v>
      </c>
      <c r="EO113"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3" s="21" t="str">
        <f t="shared" si="248"/>
        <v xml:space="preserve">engineering knowledge(1,6.25), technologists(1,12.5), infrastructrue(1,12.5), database(1,12.5), mobile comm(1,12.5), electronics(1,6.25), for entrepreneurs(1,6.25),  </v>
      </c>
      <c r="EQ113" s="21" t="str">
        <f t="shared" si="249"/>
        <v xml:space="preserve">engineering knowledge(6.25),technologists(12.5),infrastructrue(12.5),database(12.5),mobile comm(12.5),electronics(6.25),for entrepreneurs(6.25), </v>
      </c>
      <c r="ER113" s="21" t="str">
        <f t="shared" si="244"/>
        <v xml:space="preserve">servers 1
scale 2
enthusiasm 2
technologists 1
 </v>
      </c>
      <c r="ES113" s="21" t="str">
        <f t="shared" si="250"/>
        <v xml:space="preserve">AI&amp; data analysis(1,50),  </v>
      </c>
      <c r="ET113" s="21" t="str">
        <f t="shared" si="246"/>
        <v xml:space="preserve">AI&amp; data analysis 50
 </v>
      </c>
      <c r="EU113"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3" s="21" t="str">
        <f t="shared" si="252"/>
        <v xml:space="preserve">engineering knowledge(1,6.25), technologists(1,12.5), database(1,12.5), sensors(1,12.5), mobile comm(1,12.5), for entrepreneurs(1,6.25),  </v>
      </c>
      <c r="EW113" s="21" t="str">
        <f t="shared" si="249"/>
        <v xml:space="preserve">engineering knowledge(6.25),technologists(12.5),database(12.5),sensors(12.5),mobile comm(12.5),for entrepreneurs(6.25), </v>
      </c>
      <c r="EX113" s="21" t="str">
        <f t="shared" si="244"/>
        <v xml:space="preserve">servers 1
scale 2
enthusiasm 2
technologists 1
 </v>
      </c>
      <c r="EY113" s="21" t="str">
        <f t="shared" si="253"/>
        <v xml:space="preserve">law(1,50), security(1,50), interaction(1,25),  </v>
      </c>
      <c r="EZ113" s="21" t="str">
        <f t="shared" si="246"/>
        <v xml:space="preserve">law 50
security 50
interaction 25
 </v>
      </c>
      <c r="FA113"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3" s="21" t="str">
        <f t="shared" si="255"/>
        <v xml:space="preserve">field knowledge(1,6.25), engineering knowledge(1,6.25), technologists(1,12.5), law(1,6.25), database(1,12.5), mobile apps(1,12.5), security(1,12.5), mobile comm(1,12.5), for entrepreneurs(1,6.25),  </v>
      </c>
      <c r="FC113" s="21" t="str">
        <f t="shared" si="249"/>
        <v xml:space="preserve">field knowledge(6.25),engineering knowledge(6.25),technologists(12.5),law(6.25),database(12.5),mobile apps(12.5),security(12.5),mobile comm(12.5),for entrepreneurs(6.25), </v>
      </c>
      <c r="FD113" s="21" t="str">
        <f t="shared" si="244"/>
        <v xml:space="preserve">servers 1
scale 2
enthusiasm 2
technologists 1
 </v>
      </c>
      <c r="FE113" s="21" t="str">
        <f t="shared" si="256"/>
        <v xml:space="preserve">law(1,50), sensors(1,50), security(1,50),  </v>
      </c>
      <c r="FF113" s="21" t="str">
        <f t="shared" si="246"/>
        <v xml:space="preserve">law 50
sensors 50
security 50
 </v>
      </c>
      <c r="FG113"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3" s="21" t="str">
        <f t="shared" si="258"/>
        <v xml:space="preserve">field knowledge(1,6.25), engineering knowledge(1,6.25), technologists(1,12.5), law(1,6.25), database(1,6.25), mobile apps(1,6.25), AI&amp; data analysis(1,6.25), mobile comm(1,6.25), for entrepreneurs(1,6.25),  </v>
      </c>
      <c r="FI113" s="21" t="str">
        <f t="shared" si="249"/>
        <v xml:space="preserve">field knowledge(6.25),engineering knowledge(6.25),technologists(12.5),law(6.25),database(6.25),mobile apps(6.25),AI&amp; data analysis(6.25),mobile comm(6.25),for entrepreneurs(6.25), </v>
      </c>
      <c r="FJ113" s="21" t="str">
        <f t="shared" si="244"/>
        <v xml:space="preserve">servers 1
scale 2
enthusiasm 2
technologists 1
 </v>
      </c>
      <c r="FK113" s="21" t="str">
        <f t="shared" si="259"/>
        <v xml:space="preserve">wood processing(1,25), metal processing(1,25), plastic processing(1,25), fabric(1,25), safety(1,25), interaction(1,25),  </v>
      </c>
      <c r="FL113" s="21" t="str">
        <f t="shared" si="246"/>
        <v xml:space="preserve">project management 2
wood processing 25
metal processing 25
plastic processing 25
fabric 25
safety 25
interaction 25
 </v>
      </c>
      <c r="FM113"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3" s="21" t="str">
        <f t="shared" si="261"/>
        <v xml:space="preserve">field knowledge(1,6.25), engineering knowledge(1,6.25), technologists(1,12.5), for entrepreneurs(1,6.25),  </v>
      </c>
      <c r="FO113" s="21" t="str">
        <f t="shared" si="249"/>
        <v xml:space="preserve">field knowledge(6.25),engineering knowledge(6.25),technologists(12.5),for entrepreneurs(6.25), </v>
      </c>
      <c r="FP113" s="21" t="str">
        <f t="shared" si="244"/>
        <v xml:space="preserve">servers 1
scale 2
enthusiasm 2
technologists 1
 </v>
      </c>
      <c r="FQ113" s="21" t="str">
        <f t="shared" si="262"/>
        <v xml:space="preserve">web(1,25), mobile apps(1,50), functions(1,25), interaction(1,25),  </v>
      </c>
      <c r="FR113" s="21" t="str">
        <f t="shared" si="246"/>
        <v xml:space="preserve">web 25
mobile apps 50
functions 25
interaction 25
 </v>
      </c>
      <c r="FS113"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3" s="21" t="str">
        <f t="shared" si="264"/>
        <v xml:space="preserve">field knowledge(1,6.25), engineering knowledge(1,6.25), technologists(1,12.5), for entrepreneurs(1,6.25),  </v>
      </c>
      <c r="FU113" s="21" t="str">
        <f t="shared" si="249"/>
        <v xml:space="preserve">field knowledge(6.25),engineering knowledge(6.25),technologists(12.5),for entrepreneurs(6.25), </v>
      </c>
      <c r="FV113" s="21" t="str">
        <f t="shared" si="244"/>
        <v xml:space="preserve">servers 1
scale 2
enthusiasm 2
technologists 1
 </v>
      </c>
      <c r="FW113" s="21" t="str">
        <f t="shared" si="265"/>
        <v xml:space="preserve">mobile apps(1,50), sensors(1,50), wood processing(1,25), plastic processing(1,25), electronics(1,25), functions(1,25), interaction(1,25),  </v>
      </c>
      <c r="FX113" s="21" t="str">
        <f t="shared" si="246"/>
        <v xml:space="preserve">mobile apps 50
sensors 50
wood processing 25
plastic processing 25
electronics 25
functions 25
interaction 25
 </v>
      </c>
      <c r="FY113"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3" s="21" t="str">
        <f t="shared" si="267"/>
        <v xml:space="preserve">field knowledge(1,6.25), engineering knowledge(1,6.25), technologists(1,12.5), web(1,6.25), database(1,6.25), AI&amp; data analysis(1,6.25), mobile comm(1,6.25), for entrepreneurs(1,6.25),  </v>
      </c>
      <c r="GA113" s="21" t="str">
        <f t="shared" si="249"/>
        <v xml:space="preserve">field knowledge(6.25),engineering knowledge(6.25),technologists(12.5),web(6.25),database(6.25),AI&amp; data analysis(6.25),mobile comm(6.25),for entrepreneurs(6.25), </v>
      </c>
      <c r="GB113" s="21" t="str">
        <f t="shared" si="244"/>
        <v xml:space="preserve">servers 1
scale 2
enthusiasm 2
technologists 1
 </v>
      </c>
      <c r="GC113" s="21" t="str">
        <f t="shared" si="268"/>
        <v xml:space="preserve">sensors(1,25), mobile comm(1,25), electronics(1,50), functions(1,25), safety(1,25),  </v>
      </c>
      <c r="GD113" s="21" t="str">
        <f t="shared" si="246"/>
        <v xml:space="preserve">sensors 25
mobile comm 25
electronics 50
functions 25
safety 25
 </v>
      </c>
      <c r="GE113"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3" s="21" t="str">
        <f t="shared" si="270"/>
        <v xml:space="preserve">field knowledge(1,6.25), engineering knowledge(1,6.25), technologists(1,12.5), database(1,6.25), mobile apps(1,6.25), AI&amp; data analysis(1,6.25), plastic processing(1,6.25), interaction(1,6.25), for entrepreneurs(1,6.25),  </v>
      </c>
      <c r="GG113" s="21" t="str">
        <f t="shared" si="249"/>
        <v xml:space="preserve">field knowledge(6.25),engineering knowledge(6.25),technologists(12.5),database(6.25),mobile apps(6.25),AI&amp; data analysis(6.25),plastic processing(6.25),interaction(6.25),for entrepreneurs(6.25), </v>
      </c>
      <c r="GH113" s="21" t="str">
        <f t="shared" si="244"/>
        <v xml:space="preserve">servers 1
scale 2
enthusiasm 2
technologists 1
 </v>
      </c>
      <c r="GI113" s="21" t="str">
        <f t="shared" si="271"/>
        <v xml:space="preserve">web(1,25), mobile apps(1,50), functions(1,25), interaction(1,25),  </v>
      </c>
      <c r="GJ113" s="21" t="str">
        <f t="shared" si="246"/>
        <v xml:space="preserve">web 25
mobile apps 50
functions 25
interaction 25
 </v>
      </c>
      <c r="GK113"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3" s="21" t="str">
        <f t="shared" si="273"/>
        <v xml:space="preserve">field knowledge(1,6.25), engineering knowledge(1,6.25), technologists(1,12.5), for entrepreneurs(1,6.25),  </v>
      </c>
      <c r="GM113" s="21" t="str">
        <f t="shared" si="249"/>
        <v xml:space="preserve">field knowledge(6.25),engineering knowledge(6.25),technologists(12.5),for entrepreneurs(6.25), </v>
      </c>
      <c r="GN113" s="21" t="str">
        <f t="shared" si="244"/>
        <v xml:space="preserve">servers 1
scale 2
enthusiasm 2
technologists 1
 </v>
      </c>
      <c r="GO113" s="21" t="str">
        <f t="shared" si="274"/>
        <v xml:space="preserve">web(1,25), mobile apps(1,25), VR&amp;AR(1,25), aesthetics(1,25), functions(1,25), interaction(1,50),  </v>
      </c>
      <c r="GP113" s="21" t="str">
        <f t="shared" si="246"/>
        <v xml:space="preserve">web 25
mobile apps 25
VR&amp;AR 25
aesthetics 25
functions 25
interaction 50
 </v>
      </c>
      <c r="GQ113"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3" s="21" t="str">
        <f t="shared" si="276"/>
        <v xml:space="preserve">field knowledge(1,6.25), technologists(1,12.5), for entrepreneurs(1,6.25),  </v>
      </c>
      <c r="GS113" s="21" t="str">
        <f t="shared" si="249"/>
        <v xml:space="preserve">field knowledge(6.25),technologists(12.5),for entrepreneurs(6.25), </v>
      </c>
      <c r="GT113" s="21" t="str">
        <f t="shared" si="244"/>
        <v xml:space="preserve">servers 2
scale 3
scale 2
ease of access 1
reputation 2
web 1
mobile apps 1
mobile comm 1
 </v>
      </c>
      <c r="GU113" s="21" t="str">
        <f t="shared" si="277"/>
        <v xml:space="preserve"> </v>
      </c>
      <c r="GV113" s="21" t="str">
        <f t="shared" si="246"/>
        <v xml:space="preserve"> </v>
      </c>
      <c r="GW113"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3"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3"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3" s="21" t="str">
        <f t="shared" si="280"/>
        <v xml:space="preserve">plastic 1
electronics 1
fabric 1
scale 2
enthusiasm 2
scale 2
enthusiasm 2
network 1
govt 1
non-profits 1
reputation 2
portfolio 1
 </v>
      </c>
      <c r="HA113" s="21" t="str">
        <f t="shared" si="281"/>
        <v xml:space="preserve"> </v>
      </c>
      <c r="HB113" s="21" t="str">
        <f t="shared" si="282"/>
        <v xml:space="preserve"> </v>
      </c>
      <c r="HC113"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3" s="21" t="str">
        <f t="shared" si="284"/>
        <v xml:space="preserve">scale(1,6.25), enthusiasm(1,6.25), learning capacities(1,6.25), field knowledge(1,6.25), enthusiasm(1,6.25), media(1,6.25), technologists(1,6.25), non-profits(1,6.25), reputation(1,6.25), start-up with customers(1,6.25), for basic literacy(1,6.25),  </v>
      </c>
      <c r="HE113" s="21" t="str">
        <f t="shared" si="285"/>
        <v xml:space="preserve">scale(6.25),enthusiasm(6.25),learning capacities(6.25),field knowledge(6.25),enthusiasm(6.25),media(6.25),technologists(6.25),non-profits(6.25),reputation(6.25),start-up with customers(6.25),for basic literacy(6.25), </v>
      </c>
      <c r="HF113" s="21" t="str">
        <f t="shared" si="280"/>
        <v xml:space="preserve"> </v>
      </c>
      <c r="HG113" s="21" t="str">
        <f t="shared" si="286"/>
        <v xml:space="preserve">scale(2,), enthusiasm(2,),  </v>
      </c>
      <c r="HH113" s="21" t="str">
        <f t="shared" si="282"/>
        <v xml:space="preserve"> </v>
      </c>
      <c r="HI113"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3" s="21" t="str">
        <f t="shared" si="288"/>
        <v xml:space="preserve">scale(1,6.25), enthusiasm(1,6.25), learning capacities(1,6.25), network among members(1,6.25), enthusiasm(1,6.25), fun-ness(1,6.25), seriousness(1,6.25), govt(1,6.25), media(1,6.25), non-profits(1,6.25), start-up with customers(1,6.25),  </v>
      </c>
      <c r="HK113" s="21" t="str">
        <f t="shared" si="285"/>
        <v xml:space="preserve">scale(6.25),enthusiasm(6.25),learning capacities(6.25),network among members(6.25),enthusiasm(6.25),fun-ness(6.25),seriousness(6.25),govt(6.25),media(6.25),non-profits(6.25),start-up with customers(6.25), </v>
      </c>
      <c r="HL113" s="21" t="str">
        <f t="shared" si="280"/>
        <v xml:space="preserve">scale 2
scale 2
community manager 1
PR 1
administrator 1
local biz 1
entrepreneurs 1
non-profits 1
reputation 2
portfolio 2
 </v>
      </c>
      <c r="HM113" s="21" t="str">
        <f t="shared" si="289"/>
        <v xml:space="preserve">scale(1,25), enthusiasm(1,25), network among members(1,25), scale(1,25), enthusiasm(1,25), ambition(1,25), fun-ness(1,25), seriousness(1,25),  </v>
      </c>
      <c r="HN113" s="21" t="str">
        <f t="shared" si="282"/>
        <v xml:space="preserve">scale 25
enthusiasm 25
network among members 25
scale 25
enthusiasm 25
ambition 25
fun-ness 25
seriousness 25
 </v>
      </c>
      <c r="HO113"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3"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3" s="47" t="str">
        <f t="shared" si="285"/>
        <v xml:space="preserve">scale(6.25),enthusiasm(6.25),enthusiasm(6.25),fun-ness(6.25),enthusiasm(6.25),level of understanding(6.25),local biz(6.25),biz group(6.25),govt(6.25),investors(6.25),media(6.25),entrepreneurs(6.25),technologists(6.25),suppliers(6.25),non-profits(6.25),reputation(6.25), </v>
      </c>
      <c r="HR113" s="47" t="str">
        <f t="shared" ref="HR113:HW113" si="326">IF(HR11="",HR114,$C113&amp;"("&amp;HR11&amp;"),"&amp;HR114)</f>
        <v xml:space="preserve">servers(1),wood(1),metal(1),plastic(1),electronics(1),scale(2),enthusiasm(2),engineering knowledge(2),scale(2),enthusiasm(2),reputation(2),portfolio(2),mobile apps(1),sensors(1),wood processing(1),aesthetics(1), </v>
      </c>
      <c r="HS113" s="47" t="str">
        <f t="shared" si="326"/>
        <v xml:space="preserve"> </v>
      </c>
      <c r="HT113" s="47" t="str">
        <f t="shared" si="326"/>
        <v xml:space="preserve"> </v>
      </c>
      <c r="HU113" s="47" t="str">
        <f t="shared" si="32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3" s="47" t="str">
        <f t="shared" si="326"/>
        <v xml:space="preserve">gifted programmer(1),local biz(1),biz group(1),govt(1),investors(1),media(1),entrepreneurs(1),technologists(1),suppliers(1),non-profits(1),reputation(1), </v>
      </c>
      <c r="HW113" s="47" t="str">
        <f t="shared" si="326"/>
        <v xml:space="preserve">gifted programmer(6.25),local biz(6.25),biz group(6.25),govt(6.25),investors(6.25),media(6.25),entrepreneurs(6.25),technologists(12.5),suppliers(6.25),non-profits(6.25),reputation(6.25), </v>
      </c>
      <c r="HX113" s="47" t="str">
        <f t="shared" ref="HX113:IU113" si="327">IF(HX11="",HX114,$C113&amp;"("&amp;HX11&amp;"),"&amp;HX114)</f>
        <v xml:space="preserve">servers(2),wood(2),plastic(2),electronics(2),fabric(1),scale(2),enthusiasm(2),field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3" s="47" t="str">
        <f t="shared" si="327"/>
        <v xml:space="preserve">biz enhancement(1), </v>
      </c>
      <c r="HZ113" s="47" t="str">
        <f t="shared" si="327"/>
        <v xml:space="preserve">biz enhancement(100), </v>
      </c>
      <c r="IA113" s="47" t="str">
        <f t="shared" si="327"/>
        <v xml:space="preserve">community manager(1),PR(1),finance(1),administrator(1),enthusiasm(2),network(2),ambition(2),knowledge(2),spaciousness(2),ease of access(3),efficiency(2),portfolio(4),finance(2),business model(2),marketing(3),team building(2),project management(2),social media(3),negotiation(3), </v>
      </c>
      <c r="IB113" s="47" t="str">
        <f t="shared" si="32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3" s="47" t="str">
        <f t="shared" si="32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3" s="47" t="str">
        <f t="shared" si="327"/>
        <v xml:space="preserve">servers(2),scale(2),enthusiasm(2),engineering knowledge(1),scale(1),technologists(2), </v>
      </c>
      <c r="IE113" s="47" t="str">
        <f t="shared" si="327"/>
        <v xml:space="preserve">engineering knowledge(1),web(1),mobile apps(1),security(1),AI&amp; data analysis(1), </v>
      </c>
      <c r="IF113" s="47" t="str">
        <f t="shared" si="327"/>
        <v xml:space="preserve">engineering knowledge(25),web(25),mobile apps(25),security(25),AI&amp; data analysis(25), </v>
      </c>
      <c r="IG113" s="47" t="str">
        <f t="shared" si="32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3" s="47" t="str">
        <f t="shared" si="327"/>
        <v xml:space="preserve">engineering knowledge(1),technologists(1),web(1),database(1),mobile apps(1),security(1),AI&amp; data analysis(1), </v>
      </c>
      <c r="II113" s="47" t="str">
        <f t="shared" si="327"/>
        <v xml:space="preserve">engineering knowledge(6.25),technologists(6.25),web(6.25),database(6.25),mobile apps(6.25),security(6.25),AI&amp; data analysis(6.25), </v>
      </c>
      <c r="IJ113" s="47" t="str">
        <f t="shared" si="327"/>
        <v xml:space="preserve">metal(1),scale(2),enthusiasm(2),engineering knowledge(1),scale(1),technologists(2), </v>
      </c>
      <c r="IK113" s="47" t="str">
        <f t="shared" si="327"/>
        <v xml:space="preserve">engineering knowledge(1),wood processing(1),metal processing(1),functions(1),safety(1), </v>
      </c>
      <c r="IL113" s="47" t="str">
        <f t="shared" si="327"/>
        <v xml:space="preserve">engineering knowledge(25),wood processing(25),metal processing(25),functions(25),safety(25), </v>
      </c>
      <c r="IM113" s="47" t="str">
        <f t="shared" si="32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3" s="47" t="str">
        <f t="shared" si="327"/>
        <v xml:space="preserve">engineering knowledge(1),technologists(1),wood processing(1),metal processing(1),functions(1),safety(1),interaction(1), </v>
      </c>
      <c r="IO113" s="47" t="str">
        <f t="shared" si="327"/>
        <v xml:space="preserve">engineering knowledge(6.25),technologists(6.25),wood processing(6.25),metal processing(6.25),functions(6.25),safety(6.25),interaction(6.25), </v>
      </c>
      <c r="IP113" s="57" t="str">
        <f t="shared" si="327"/>
        <v xml:space="preserve">scale(2),enthusiasm(2),learning capacities(1),scale(2),local biz(2),reputation(1), </v>
      </c>
      <c r="IQ113" s="47" t="str">
        <f t="shared" si="327"/>
        <v xml:space="preserve">field knowledge(1),network among members(1),local biz(1),marketing(1), </v>
      </c>
      <c r="IR113" s="47" t="str">
        <f t="shared" si="327"/>
        <v xml:space="preserve">field knowledge(100),network among members(25),local biz(25),marketing(25), </v>
      </c>
      <c r="IS113" s="47" t="str">
        <f t="shared" si="32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3" s="47" t="str">
        <f t="shared" si="327"/>
        <v xml:space="preserve">field knowledge(1),network among members(1),enthusiasm(1),fun-ness(1),seriousness(1),local biz(1),biz group(1),govt(1),non-profits(1),marketing(1), </v>
      </c>
      <c r="IU113" s="47" t="str">
        <f t="shared" si="327"/>
        <v xml:space="preserve">field knowledge(6.25),network among members(6.25),enthusiasm(6.25),fun-ness(6.25),seriousness(6.25),local biz(6.25),biz group(6.25),govt(6.25),non-profits(6.25),marketing(6.25), </v>
      </c>
      <c r="IV113" s="57" t="str">
        <f t="shared" ref="IV113:LG113" si="328">IF(IV11="",IV114,$C113&amp;"("&amp;IV11&amp;"),"&amp;IV114)</f>
        <v xml:space="preserve">scale(2),enthusiasm(2),learning capacities(1),scale(2),local biz(2),reputation(1), </v>
      </c>
      <c r="IW113" s="47" t="str">
        <f t="shared" si="328"/>
        <v xml:space="preserve">field knowledge(1),network among members(1),local biz(1),marketing(1), </v>
      </c>
      <c r="IX113" s="47" t="str">
        <f t="shared" si="328"/>
        <v xml:space="preserve">field knowledge(100),network among members(25),local biz(25),marketing(25), </v>
      </c>
      <c r="IY113" s="47" t="str">
        <f t="shared" si="32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3" s="47" t="str">
        <f t="shared" si="328"/>
        <v xml:space="preserve">field knowledge(1),network among members(1),enthusiasm(1),fun-ness(1),seriousness(1),local biz(1),biz group(1),govt(1),marketing(1), </v>
      </c>
      <c r="JA113" s="47" t="str">
        <f t="shared" si="328"/>
        <v xml:space="preserve">field knowledge(6.25),network among members(6.25),enthusiasm(6.25),fun-ness(6.25),seriousness(6.25),local biz(6.25),biz group(6.25),govt(6.25),marketing(6.25), </v>
      </c>
      <c r="JB113" s="47" t="str">
        <f t="shared" si="328"/>
        <v xml:space="preserve">servers(1),wood(1),metal(1),plastic(1),electronics(1),fabric(1),scale(2),enthusiasm(1),scale(1),enthusiasm(2), </v>
      </c>
      <c r="JC113" s="47" t="str">
        <f t="shared" si="328"/>
        <v xml:space="preserve">engineering knowledge(1), </v>
      </c>
      <c r="JD113" s="47" t="str">
        <f t="shared" si="328"/>
        <v xml:space="preserve">engineering knowledge(50), </v>
      </c>
      <c r="JE113" s="47" t="str">
        <f t="shared" si="328"/>
        <v xml:space="preserve">servers(2),wood(2),metal(2),plastic(2),electronics(2),fabric(2),scale(3),enthusiasm(3),learning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3" s="47" t="str">
        <f t="shared" si="32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3" s="47" t="str">
        <f t="shared" si="32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3" s="47" t="str">
        <f t="shared" si="328"/>
        <v xml:space="preserve">scale(1),scale(1),enthusiasm(1),enthusiasm(1),local biz(1),non-profits(1),reputation(2), </v>
      </c>
      <c r="JI113" s="47" t="str">
        <f t="shared" si="328"/>
        <v xml:space="preserve"> </v>
      </c>
      <c r="JJ113" s="47" t="str">
        <f t="shared" si="328"/>
        <v xml:space="preserve"> </v>
      </c>
      <c r="JK113" s="47" t="str">
        <f t="shared" si="32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3" s="47" t="str">
        <f t="shared" si="328"/>
        <v xml:space="preserve">non-profits(1), </v>
      </c>
      <c r="JM113" s="47" t="str">
        <f t="shared" si="328"/>
        <v xml:space="preserve">non-profits(6.25), </v>
      </c>
      <c r="JN113" s="47" t="str">
        <f t="shared" si="328"/>
        <v xml:space="preserve">scale(2),enthusiasm(2),scale(2),enthusiasm(2),enthusiasm(1),network(1),local biz(1),investors(1),entrepreneurs(1),technologists(1),non-profits(1),reputation(2),portfolio(2), </v>
      </c>
      <c r="JO113" s="47" t="str">
        <f t="shared" si="328"/>
        <v xml:space="preserve"> </v>
      </c>
      <c r="JP113" s="47" t="str">
        <f t="shared" si="328"/>
        <v xml:space="preserve"> </v>
      </c>
      <c r="JQ113" s="47" t="str">
        <f t="shared" si="32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3" s="47" t="str">
        <f t="shared" si="328"/>
        <v xml:space="preserve"> </v>
      </c>
      <c r="JS113" s="47" t="str">
        <f t="shared" si="328"/>
        <v xml:space="preserve"> </v>
      </c>
      <c r="JT113" s="47" t="str">
        <f t="shared" si="328"/>
        <v xml:space="preserve">scale(3),enthusiasm(3),PR(1),administrator(1),enthusiasm(2),network(2),local biz(2),biz group(1),govt(2),investors(2),entrepreneurs(2),technologists(2),non-profits(2),reputation(2),portfolio(3), </v>
      </c>
      <c r="JU113" s="47" t="str">
        <f t="shared" si="328"/>
        <v xml:space="preserve"> </v>
      </c>
      <c r="JV113" s="47" t="str">
        <f t="shared" si="328"/>
        <v xml:space="preserve"> </v>
      </c>
      <c r="JW113" s="47" t="str">
        <f t="shared" si="32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3" s="47" t="str">
        <f t="shared" si="328"/>
        <v xml:space="preserve"> </v>
      </c>
      <c r="JY113" s="47" t="str">
        <f t="shared" si="328"/>
        <v xml:space="preserve"> </v>
      </c>
      <c r="JZ113" s="47" t="str">
        <f t="shared" si="328"/>
        <v xml:space="preserve">scale(1),enthusiasm(1),scale(1),enthusiasm(2),network(1),non-profits(1),reputation(2),social project(2), </v>
      </c>
      <c r="KA113" s="47" t="str">
        <f t="shared" si="328"/>
        <v xml:space="preserve">non-profits(1), </v>
      </c>
      <c r="KB113" s="47" t="str">
        <f t="shared" si="328"/>
        <v xml:space="preserve">non-profits(25), </v>
      </c>
      <c r="KC113" s="47" t="str">
        <f t="shared" si="32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3" s="47" t="str">
        <f t="shared" si="328"/>
        <v xml:space="preserve">non-profits(1), </v>
      </c>
      <c r="KE113" s="47" t="str">
        <f t="shared" si="328"/>
        <v xml:space="preserve">non-profits(6.25), </v>
      </c>
      <c r="KF113" s="47" t="str">
        <f t="shared" si="328"/>
        <v xml:space="preserve"> </v>
      </c>
      <c r="KG113" s="47" t="str">
        <f t="shared" si="328"/>
        <v xml:space="preserve"> </v>
      </c>
      <c r="KH113" s="47" t="str">
        <f t="shared" si="328"/>
        <v xml:space="preserve"> </v>
      </c>
      <c r="KI113" s="47" t="str">
        <f t="shared" si="328"/>
        <v xml:space="preserve"> </v>
      </c>
      <c r="KJ113" s="47" t="str">
        <f t="shared" si="328"/>
        <v xml:space="preserve"> </v>
      </c>
      <c r="KK113" s="47" t="str">
        <f t="shared" si="328"/>
        <v xml:space="preserve"> </v>
      </c>
      <c r="KL113" s="57" t="str">
        <f t="shared" si="328"/>
        <v xml:space="preserve"> </v>
      </c>
      <c r="KM113" s="47" t="str">
        <f t="shared" si="328"/>
        <v xml:space="preserve"> </v>
      </c>
      <c r="KN113" s="47" t="str">
        <f t="shared" si="328"/>
        <v xml:space="preserve"> </v>
      </c>
      <c r="KO113" s="47" t="str">
        <f t="shared" si="328"/>
        <v xml:space="preserve"> </v>
      </c>
      <c r="KP113" s="47" t="str">
        <f t="shared" si="328"/>
        <v xml:space="preserve"> </v>
      </c>
      <c r="KQ113" s="47" t="str">
        <f t="shared" si="328"/>
        <v xml:space="preserve"> </v>
      </c>
      <c r="KR113" s="57" t="str">
        <f t="shared" si="328"/>
        <v xml:space="preserve"> </v>
      </c>
      <c r="KS113" s="47" t="str">
        <f t="shared" si="328"/>
        <v xml:space="preserve"> </v>
      </c>
      <c r="KT113" s="47" t="str">
        <f t="shared" si="328"/>
        <v xml:space="preserve"> </v>
      </c>
      <c r="KU113" s="47" t="str">
        <f t="shared" si="328"/>
        <v xml:space="preserve"> </v>
      </c>
      <c r="KV113" s="47" t="str">
        <f t="shared" si="328"/>
        <v xml:space="preserve"> </v>
      </c>
      <c r="KW113" s="47" t="str">
        <f t="shared" si="328"/>
        <v xml:space="preserve"> </v>
      </c>
      <c r="KX113" s="57" t="str">
        <f t="shared" si="328"/>
        <v xml:space="preserve"> </v>
      </c>
      <c r="KY113" s="47" t="str">
        <f t="shared" si="328"/>
        <v xml:space="preserve"> </v>
      </c>
      <c r="KZ113" s="47" t="str">
        <f t="shared" si="328"/>
        <v xml:space="preserve"> </v>
      </c>
      <c r="LA113" s="47" t="str">
        <f t="shared" si="328"/>
        <v xml:space="preserve"> </v>
      </c>
      <c r="LB113" s="47" t="str">
        <f t="shared" si="328"/>
        <v xml:space="preserve"> </v>
      </c>
      <c r="LC113" s="47" t="str">
        <f t="shared" si="328"/>
        <v xml:space="preserve"> </v>
      </c>
      <c r="LD113" s="57" t="str">
        <f t="shared" si="328"/>
        <v xml:space="preserve"> </v>
      </c>
      <c r="LE113" s="47" t="str">
        <f t="shared" si="328"/>
        <v xml:space="preserve"> </v>
      </c>
      <c r="LF113" s="47" t="str">
        <f t="shared" si="328"/>
        <v xml:space="preserve"> </v>
      </c>
      <c r="LG113" s="47" t="str">
        <f t="shared" si="328"/>
        <v xml:space="preserve"> </v>
      </c>
      <c r="LH113" s="47" t="str">
        <f t="shared" ref="LH113:NM113" si="329">IF(LH11="",LH114,$C113&amp;"("&amp;LH11&amp;"),"&amp;LH114)</f>
        <v xml:space="preserve"> </v>
      </c>
      <c r="LI113" s="47" t="str">
        <f t="shared" si="329"/>
        <v xml:space="preserve"> </v>
      </c>
      <c r="LJ113" s="57" t="str">
        <f t="shared" si="329"/>
        <v xml:space="preserve"> </v>
      </c>
      <c r="LK113" s="47" t="str">
        <f t="shared" si="329"/>
        <v xml:space="preserve"> </v>
      </c>
      <c r="LL113" s="47" t="str">
        <f t="shared" si="329"/>
        <v xml:space="preserve"> </v>
      </c>
      <c r="LM113" s="47" t="str">
        <f t="shared" si="329"/>
        <v xml:space="preserve"> </v>
      </c>
      <c r="LN113" s="47" t="str">
        <f t="shared" si="329"/>
        <v xml:space="preserve"> </v>
      </c>
      <c r="LO113" s="47" t="str">
        <f t="shared" si="329"/>
        <v xml:space="preserve"> </v>
      </c>
      <c r="LP113" s="57" t="str">
        <f t="shared" si="329"/>
        <v xml:space="preserve"> </v>
      </c>
      <c r="LQ113" s="47" t="str">
        <f t="shared" si="329"/>
        <v xml:space="preserve"> </v>
      </c>
      <c r="LR113" s="47" t="str">
        <f t="shared" si="329"/>
        <v xml:space="preserve"> </v>
      </c>
      <c r="LS113" s="47" t="str">
        <f t="shared" si="329"/>
        <v xml:space="preserve"> </v>
      </c>
      <c r="LT113" s="47" t="str">
        <f t="shared" si="329"/>
        <v xml:space="preserve"> </v>
      </c>
      <c r="LU113" s="47" t="str">
        <f t="shared" si="329"/>
        <v xml:space="preserve"> </v>
      </c>
      <c r="LV113" s="57" t="str">
        <f t="shared" si="329"/>
        <v xml:space="preserve"> </v>
      </c>
      <c r="LW113" s="47" t="str">
        <f t="shared" si="329"/>
        <v xml:space="preserve"> </v>
      </c>
      <c r="LX113" s="47" t="str">
        <f t="shared" si="329"/>
        <v xml:space="preserve"> </v>
      </c>
      <c r="LY113" s="47" t="str">
        <f t="shared" si="329"/>
        <v xml:space="preserve"> </v>
      </c>
      <c r="LZ113" s="47" t="str">
        <f t="shared" si="329"/>
        <v xml:space="preserve"> </v>
      </c>
      <c r="MA113" s="47" t="str">
        <f t="shared" si="329"/>
        <v xml:space="preserve"> </v>
      </c>
      <c r="MB113" s="57" t="str">
        <f t="shared" si="329"/>
        <v xml:space="preserve"> </v>
      </c>
      <c r="MC113" s="47" t="str">
        <f t="shared" si="329"/>
        <v xml:space="preserve"> </v>
      </c>
      <c r="MD113" s="47" t="str">
        <f t="shared" si="329"/>
        <v xml:space="preserve"> </v>
      </c>
      <c r="ME113" s="47" t="str">
        <f t="shared" si="329"/>
        <v xml:space="preserve"> </v>
      </c>
      <c r="MF113" s="47" t="str">
        <f t="shared" si="329"/>
        <v xml:space="preserve"> </v>
      </c>
      <c r="MG113" s="47" t="str">
        <f t="shared" si="329"/>
        <v xml:space="preserve"> </v>
      </c>
      <c r="MH113" s="57" t="str">
        <f t="shared" si="329"/>
        <v xml:space="preserve"> </v>
      </c>
      <c r="MI113" s="47" t="str">
        <f t="shared" si="329"/>
        <v xml:space="preserve"> </v>
      </c>
      <c r="MJ113" s="47" t="str">
        <f t="shared" si="329"/>
        <v xml:space="preserve"> </v>
      </c>
      <c r="MK113" s="47" t="str">
        <f t="shared" si="329"/>
        <v xml:space="preserve"> </v>
      </c>
      <c r="ML113" s="47" t="str">
        <f t="shared" si="329"/>
        <v xml:space="preserve"> </v>
      </c>
      <c r="MM113" s="47" t="str">
        <f t="shared" si="329"/>
        <v xml:space="preserve"> </v>
      </c>
      <c r="MN113" s="57" t="str">
        <f t="shared" si="329"/>
        <v xml:space="preserve"> </v>
      </c>
      <c r="MO113" s="47" t="str">
        <f t="shared" si="329"/>
        <v xml:space="preserve"> </v>
      </c>
      <c r="MP113" s="47" t="str">
        <f t="shared" si="329"/>
        <v xml:space="preserve"> </v>
      </c>
      <c r="MQ113" s="47" t="str">
        <f t="shared" si="329"/>
        <v xml:space="preserve"> </v>
      </c>
      <c r="MR113" s="47" t="str">
        <f t="shared" si="329"/>
        <v xml:space="preserve"> </v>
      </c>
      <c r="MS113" s="47" t="str">
        <f t="shared" si="329"/>
        <v xml:space="preserve"> </v>
      </c>
      <c r="MT113" s="57" t="str">
        <f t="shared" si="329"/>
        <v xml:space="preserve"> </v>
      </c>
      <c r="MU113" s="47" t="str">
        <f t="shared" si="329"/>
        <v xml:space="preserve"> </v>
      </c>
      <c r="MV113" s="47" t="str">
        <f t="shared" si="329"/>
        <v xml:space="preserve"> </v>
      </c>
      <c r="MW113" s="47" t="str">
        <f t="shared" si="329"/>
        <v xml:space="preserve"> </v>
      </c>
      <c r="MX113" s="47" t="str">
        <f t="shared" si="329"/>
        <v xml:space="preserve"> </v>
      </c>
      <c r="MY113" s="47" t="str">
        <f t="shared" si="329"/>
        <v xml:space="preserve"> </v>
      </c>
      <c r="MZ113" s="57" t="str">
        <f t="shared" si="329"/>
        <v xml:space="preserve"> </v>
      </c>
      <c r="NA113" s="47" t="str">
        <f t="shared" si="329"/>
        <v xml:space="preserve"> </v>
      </c>
      <c r="NB113" s="47" t="str">
        <f t="shared" si="329"/>
        <v xml:space="preserve"> </v>
      </c>
      <c r="NC113" s="47" t="str">
        <f t="shared" si="329"/>
        <v xml:space="preserve"> </v>
      </c>
      <c r="ND113" s="47" t="str">
        <f t="shared" si="329"/>
        <v xml:space="preserve"> </v>
      </c>
      <c r="NE113" s="47" t="str">
        <f t="shared" si="329"/>
        <v xml:space="preserve"> </v>
      </c>
      <c r="NF113" s="57" t="str">
        <f t="shared" si="329"/>
        <v xml:space="preserve"> </v>
      </c>
      <c r="NG113" s="47" t="str">
        <f t="shared" si="329"/>
        <v xml:space="preserve"> </v>
      </c>
      <c r="NH113" s="47" t="str">
        <f t="shared" si="329"/>
        <v xml:space="preserve"> </v>
      </c>
      <c r="NI113" s="47" t="str">
        <f t="shared" si="329"/>
        <v xml:space="preserve"> </v>
      </c>
      <c r="NJ113" s="47" t="str">
        <f t="shared" si="329"/>
        <v xml:space="preserve"> </v>
      </c>
      <c r="NK113" s="47" t="str">
        <f t="shared" si="329"/>
        <v xml:space="preserve"> </v>
      </c>
      <c r="NL113" s="57" t="str">
        <f t="shared" si="329"/>
        <v xml:space="preserve"> </v>
      </c>
      <c r="NM113" s="47" t="str">
        <f t="shared" si="329"/>
        <v xml:space="preserve"> </v>
      </c>
    </row>
    <row r="114" spans="3:377" ht="15.75" customHeight="1">
      <c r="C114" s="7" t="str">
        <f t="shared" si="296"/>
        <v>wood</v>
      </c>
      <c r="D114" s="21" t="str">
        <f t="shared" si="169"/>
        <v xml:space="preserve">scale 1
 </v>
      </c>
      <c r="E114" s="21" t="str">
        <f t="shared" si="297"/>
        <v xml:space="preserve">scale(1,100),  </v>
      </c>
      <c r="F114" s="21" t="str">
        <f t="shared" si="170"/>
        <v xml:space="preserve">scale 100
 </v>
      </c>
      <c r="G114" s="21" t="str">
        <f t="shared" si="298"/>
        <v xml:space="preserve">wood(2), metal(2), plastic(2), electronics(2), fabric(2), enthusiasm(1), enthusiasm(2), fun-ness(1), community manager(1), PR(1), fame(1), network(2), ease of access(1), reputation(2), social media(1),  </v>
      </c>
      <c r="H114" s="21" t="str">
        <f t="shared" si="299"/>
        <v xml:space="preserve">scale(1,6.25),  </v>
      </c>
      <c r="I114" s="21" t="str">
        <f t="shared" ref="I114" si="330">IF(I12="",I115,$C114&amp;"("&amp;I12&amp;"),"&amp;I115)</f>
        <v xml:space="preserve">scale(6.25), </v>
      </c>
      <c r="J114" s="21" t="str">
        <f t="shared" si="172"/>
        <v xml:space="preserve">scale 1
interaction 1
 </v>
      </c>
      <c r="K114" s="21" t="str">
        <f t="shared" si="173"/>
        <v xml:space="preserve">reputation(1,75),  </v>
      </c>
      <c r="L114" s="21" t="str">
        <f t="shared" si="174"/>
        <v xml:space="preserve">reputation 75
 </v>
      </c>
      <c r="M114" s="21" t="str">
        <f t="shared" si="175"/>
        <v xml:space="preserve">PR(1), portfolio(1), social innovation(1), non-profit biz(1),  </v>
      </c>
      <c r="N114" s="21" t="str">
        <f t="shared" si="176"/>
        <v xml:space="preserve">scale(1,6.25), enthusiasm(1,6.25), seriousness(1,25), non-profits(1,12.5), reputation(1,75), marketing(1,12.5),  </v>
      </c>
      <c r="O114" s="21" t="str">
        <f t="shared" si="177"/>
        <v xml:space="preserve">scale(6.25),enthusiasm(6.25),seriousness(25),non-profits(12.5),reputation(75),marketing(12.5), </v>
      </c>
      <c r="P114" s="21" t="str">
        <f t="shared" si="172"/>
        <v xml:space="preserve">scale 1
biz project 1
 </v>
      </c>
      <c r="Q114" s="21" t="str">
        <f t="shared" si="178"/>
        <v xml:space="preserve"> </v>
      </c>
      <c r="R114" s="21" t="str">
        <f t="shared" si="174"/>
        <v xml:space="preserve"> </v>
      </c>
      <c r="S114" s="21" t="str">
        <f t="shared" si="179"/>
        <v xml:space="preserve">portfolio(1), biz enhancement(1), business(1), start-up(1),  </v>
      </c>
      <c r="T114" s="21" t="str">
        <f t="shared" si="180"/>
        <v xml:space="preserve">scale(1,6.25), enthusiasm(1,6.25), seriousness(1,25), local biz(1,6.25), investors(1,6.25), reputation(1,6.25),  </v>
      </c>
      <c r="U114" s="21" t="str">
        <f t="shared" si="177"/>
        <v xml:space="preserve">scale(6.25),enthusiasm(6.25),seriousness(25),local biz(6.25),investors(6.25),reputation(6.25), </v>
      </c>
      <c r="V114" s="21" t="str">
        <f t="shared" si="172"/>
        <v xml:space="preserve">scale 1
 </v>
      </c>
      <c r="W114" s="21" t="str">
        <f t="shared" si="181"/>
        <v xml:space="preserve">local biz(1,),  </v>
      </c>
      <c r="X114" s="21" t="str">
        <f t="shared" si="174"/>
        <v xml:space="preserve"> </v>
      </c>
      <c r="Y114" s="21" t="str">
        <f t="shared" si="182"/>
        <v xml:space="preserve">enthusiasm(1), attention to details(1), PR(1), network(1), ease of access(1), reputation(1), portfolio(1), biz project(1), biz enhancement(1), job creation(1), business(1),  </v>
      </c>
      <c r="Z114" s="21" t="str">
        <f t="shared" si="183"/>
        <v xml:space="preserve">local biz(1,6.25),  </v>
      </c>
      <c r="AA114" s="21" t="str">
        <f t="shared" si="177"/>
        <v xml:space="preserve">local biz(6.25), </v>
      </c>
      <c r="AB114" s="21" t="str">
        <f t="shared" si="172"/>
        <v xml:space="preserve">scale 1
 </v>
      </c>
      <c r="AC114" s="21" t="str">
        <f t="shared" si="184"/>
        <v xml:space="preserve">non-profits(1,100),  </v>
      </c>
      <c r="AD114" s="21" t="str">
        <f t="shared" si="174"/>
        <v xml:space="preserve">non-profits 100
 </v>
      </c>
      <c r="AE114" s="21" t="str">
        <f t="shared" si="185"/>
        <v xml:space="preserve">enthusiasm(1), attention to details(1), PR(1), network(1), ease of access(1), reputation(1), portfolio(1), social project(1), social innovation(1), non-profit biz(1),  </v>
      </c>
      <c r="AF114" s="21" t="str">
        <f t="shared" si="186"/>
        <v xml:space="preserve">seriousness(1,6.25), non-profits(1,6.25),  </v>
      </c>
      <c r="AG114" s="21" t="str">
        <f t="shared" si="177"/>
        <v xml:space="preserve">seriousness(6.25),non-profits(6.25), </v>
      </c>
      <c r="AH114" s="21" t="str">
        <f t="shared" si="172"/>
        <v xml:space="preserve">scale 1
 </v>
      </c>
      <c r="AI114" s="21" t="str">
        <f t="shared" si="187"/>
        <v xml:space="preserve">govt(1,),  </v>
      </c>
      <c r="AJ114" s="21" t="str">
        <f t="shared" si="174"/>
        <v xml:space="preserve"> </v>
      </c>
      <c r="AK114" s="21" t="str">
        <f t="shared" si="188"/>
        <v xml:space="preserve">enthusiasm(1), attention to details(1), seriousness(1), fame(1), network(1), govt(1), ease of access(1), reputation(2), portfolio(1), social project(1), social innovation(1), non-profit biz(1),  </v>
      </c>
      <c r="AL114" s="21" t="str">
        <f t="shared" si="189"/>
        <v xml:space="preserve">govt(1,6.25),  </v>
      </c>
      <c r="AM114" s="21" t="str">
        <f t="shared" si="177"/>
        <v xml:space="preserve">govt(6.25), </v>
      </c>
      <c r="AN114" s="21" t="str">
        <f t="shared" si="172"/>
        <v xml:space="preserve">scale 1
enthusiasm 1
gifted leader 1
scale 1
enthusiasm 1
 </v>
      </c>
      <c r="AO114" s="21" t="str">
        <f t="shared" si="190"/>
        <v xml:space="preserve">fame(1,), network(1,), investors(1,6.25),  </v>
      </c>
      <c r="AP114" s="21" t="str">
        <f t="shared" si="174"/>
        <v xml:space="preserve">investors 6.25
 </v>
      </c>
      <c r="AQ114" s="21" t="str">
        <f t="shared" si="191"/>
        <v xml:space="preserve">investors(1), ease of access(1), reputation(1), portfolio(1), start-up(1), start-up with mvp(1), start-up with customers(1),  </v>
      </c>
      <c r="AR114" s="21" t="str">
        <f t="shared" si="192"/>
        <v xml:space="preserve"> </v>
      </c>
      <c r="AS114" s="21" t="str">
        <f t="shared" si="177"/>
        <v xml:space="preserve"> </v>
      </c>
      <c r="AT114" s="21" t="str">
        <f t="shared" si="172"/>
        <v xml:space="preserve">scale 1
enthusiasm 1
scale 2
enthusiasm 1
seriousness 1
administrator 1
non-profits 2
reputation 1
portfolio 1
social project 1
 </v>
      </c>
      <c r="AU114" s="21" t="str">
        <f t="shared" si="193"/>
        <v xml:space="preserve">ambition(1,), attention to details(1,),  </v>
      </c>
      <c r="AV114" s="21" t="str">
        <f t="shared" si="174"/>
        <v xml:space="preserve"> </v>
      </c>
      <c r="AW114" s="21" t="str">
        <f t="shared" si="194"/>
        <v xml:space="preserve">field knowledge(1), enthusiasm(3), PR(2), administrator(1), project management(2),  </v>
      </c>
      <c r="AX114" s="21" t="str">
        <f t="shared" si="195"/>
        <v xml:space="preserve">organizational rules and manuals(1,12.5), project management(1,12.5),  </v>
      </c>
      <c r="AY114" s="21" t="str">
        <f t="shared" si="177"/>
        <v xml:space="preserve">organizational rules and manuals(12.5),project management(12.5), </v>
      </c>
      <c r="AZ114" s="21" t="str">
        <f t="shared" si="172"/>
        <v xml:space="preserve">scale 1
enthusiasm 1
scale 1
enthusiasm 1
non-profits 1
 </v>
      </c>
      <c r="BA114" s="21" t="str">
        <f t="shared" si="196"/>
        <v xml:space="preserve"> </v>
      </c>
      <c r="BB114" s="21" t="str">
        <f t="shared" si="174"/>
        <v xml:space="preserve"> </v>
      </c>
      <c r="BC114" s="21" t="str">
        <f t="shared" si="197"/>
        <v xml:space="preserve"> </v>
      </c>
      <c r="BD114" s="21" t="str">
        <f t="shared" si="198"/>
        <v xml:space="preserve"> </v>
      </c>
      <c r="BE114" s="21" t="str">
        <f t="shared" si="177"/>
        <v xml:space="preserve"> </v>
      </c>
      <c r="BF114" s="21" t="str">
        <f t="shared" si="172"/>
        <v xml:space="preserve">scale 1
enthusiasm 1
scale 2
enthusiasm 1
seriousness 1
administrator 1
local biz 2
entrepreneurs 1
reputation 1
portfolio 1
biz project 1
 </v>
      </c>
      <c r="BG114" s="21" t="str">
        <f t="shared" si="199"/>
        <v xml:space="preserve">ambition(1,), attention to details(1,),  </v>
      </c>
      <c r="BH114" s="21" t="str">
        <f t="shared" si="174"/>
        <v xml:space="preserve"> </v>
      </c>
      <c r="BI114" s="21" t="str">
        <f t="shared" si="200"/>
        <v xml:space="preserve">field knowledge(1), enthusiasm(3), PR(2), administrator(1), project management(2),  </v>
      </c>
      <c r="BJ114" s="21" t="str">
        <f t="shared" si="201"/>
        <v xml:space="preserve">organizational rules and manuals(1,12.5), project management(1,12.5),  </v>
      </c>
      <c r="BK114" s="21" t="str">
        <f t="shared" si="177"/>
        <v xml:space="preserve">organizational rules and manuals(12.5),project management(12.5), </v>
      </c>
      <c r="BL114" s="21" t="str">
        <f t="shared" si="172"/>
        <v xml:space="preserve">scale 1
enthusiasm 1
scale 1
enthusiasm 1
local biz 1
reputation 1
portfolio 1
biz enhancement 1
 </v>
      </c>
      <c r="BM114" s="21" t="str">
        <f t="shared" si="202"/>
        <v xml:space="preserve"> </v>
      </c>
      <c r="BN114" s="21" t="str">
        <f t="shared" si="174"/>
        <v xml:space="preserve"> </v>
      </c>
      <c r="BO114" s="21" t="str">
        <f t="shared" si="203"/>
        <v xml:space="preserve"> </v>
      </c>
      <c r="BP114" s="21" t="str">
        <f t="shared" si="204"/>
        <v xml:space="preserve"> </v>
      </c>
      <c r="BQ114" s="21" t="str">
        <f t="shared" si="177"/>
        <v xml:space="preserve"> </v>
      </c>
      <c r="BR114" s="21" t="str">
        <f t="shared" si="172"/>
        <v xml:space="preserve"> </v>
      </c>
      <c r="BS114" s="21" t="str">
        <f t="shared" si="205"/>
        <v xml:space="preserve"> </v>
      </c>
      <c r="BT114" s="21" t="str">
        <f t="shared" si="174"/>
        <v xml:space="preserve"> </v>
      </c>
      <c r="BU114" s="21" t="str">
        <f t="shared" si="206"/>
        <v xml:space="preserve"> </v>
      </c>
      <c r="BV114" s="21" t="str">
        <f t="shared" si="207"/>
        <v xml:space="preserve"> </v>
      </c>
      <c r="BW114" s="21" t="str">
        <f t="shared" si="177"/>
        <v xml:space="preserve"> </v>
      </c>
      <c r="BX114" s="21" t="str">
        <f t="shared" si="208"/>
        <v xml:space="preserve">scale 1
network 1
 </v>
      </c>
      <c r="BY114" s="21" t="str">
        <f t="shared" si="209"/>
        <v xml:space="preserve">efficiency(1,),  </v>
      </c>
      <c r="BZ114" s="21" t="str">
        <f t="shared" si="210"/>
        <v xml:space="preserve"> </v>
      </c>
      <c r="CA114" s="21" t="str">
        <f t="shared" si="211"/>
        <v xml:space="preserve">scale(2), enthusiasm(1), attention to details(1), administrator(1), negotiation(1),  </v>
      </c>
      <c r="CB114" s="21" t="str">
        <f t="shared" si="212"/>
        <v xml:space="preserve">user rules and manuals(1,50), organizational rules and manuals(1,50),  </v>
      </c>
      <c r="CC114" s="21" t="str">
        <f t="shared" si="213"/>
        <v xml:space="preserve">user rules and manuals(50),organizational rules and manuals(50), </v>
      </c>
      <c r="CD114" s="21" t="str">
        <f t="shared" si="208"/>
        <v xml:space="preserve">scale 1
scale 1
enthusiasm 1
network 1
 </v>
      </c>
      <c r="CE114" s="21" t="str">
        <f t="shared" si="214"/>
        <v xml:space="preserve">field knowledge(1,), non-profits(1,),  </v>
      </c>
      <c r="CF114" s="21" t="str">
        <f t="shared" si="210"/>
        <v xml:space="preserve"> </v>
      </c>
      <c r="CG114" s="21" t="str">
        <f t="shared" si="215"/>
        <v xml:space="preserve">wood(2), metal(2), plastic(2), electronics(2), fabric(2), fun-ness(1), seriousness(1), ease of access(1), portfolio(1), user rules and manuals(1), negotiation(1), social project(1), biz project(1), for basic literacy(1), for the elites(1), for entrepreneurs(1),  </v>
      </c>
      <c r="CH114" s="21" t="str">
        <f t="shared" si="216"/>
        <v xml:space="preserve">scale(1,6.25), technologists(1,6.25), non-profits(1,6.25),  </v>
      </c>
      <c r="CI114" s="21" t="str">
        <f t="shared" si="213"/>
        <v xml:space="preserve">scale(6.25),technologists(6.25),non-profits(6.25), </v>
      </c>
      <c r="CJ114" s="21" t="str">
        <f t="shared" si="208"/>
        <v xml:space="preserve">scale 1
scale 1
 </v>
      </c>
      <c r="CK114" s="21" t="str">
        <f t="shared" si="217"/>
        <v xml:space="preserve">suppliers(1,),  </v>
      </c>
      <c r="CL114" s="21" t="str">
        <f t="shared" si="210"/>
        <v xml:space="preserve"> </v>
      </c>
      <c r="CM114" s="21" t="str">
        <f t="shared" si="218"/>
        <v xml:space="preserve">reputation(1), negotiation(1),  </v>
      </c>
      <c r="CN114" s="21" t="str">
        <f t="shared" si="219"/>
        <v xml:space="preserve">learning capacities(1,), engineering knowledge(1,), enthusiasm(2,), efficiency(1,6.25),  </v>
      </c>
      <c r="CO114" s="21" t="str">
        <f t="shared" si="213"/>
        <v xml:space="preserve">efficiency(6.25), </v>
      </c>
      <c r="CP114" s="21" t="str">
        <f t="shared" si="208"/>
        <v xml:space="preserve">scale 1
scale 1
 </v>
      </c>
      <c r="CQ114" s="21" t="str">
        <f t="shared" si="220"/>
        <v xml:space="preserve">technologists(1,),  </v>
      </c>
      <c r="CR114" s="21" t="str">
        <f t="shared" si="210"/>
        <v xml:space="preserve"> </v>
      </c>
      <c r="CS114" s="21" t="str">
        <f t="shared" si="221"/>
        <v xml:space="preserve">wood(2), 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4" s="21" t="str">
        <f t="shared" si="222"/>
        <v xml:space="preserve">engineering knowledge(1,6.25), efficiency(1,6.25),  </v>
      </c>
      <c r="CU114" s="21" t="str">
        <f t="shared" si="213"/>
        <v xml:space="preserve">engineering knowledge(6.25),efficiency(6.25), </v>
      </c>
      <c r="CV114" s="21" t="str">
        <f t="shared" si="208"/>
        <v xml:space="preserve">scale 1
scale 1
 </v>
      </c>
      <c r="CW114" s="21" t="str">
        <f t="shared" si="223"/>
        <v xml:space="preserve">local biz(1,),  </v>
      </c>
      <c r="CX114" s="21" t="str">
        <f t="shared" si="210"/>
        <v xml:space="preserve"> </v>
      </c>
      <c r="CY114" s="21" t="str">
        <f t="shared" si="224"/>
        <v xml:space="preserve">wood(2), metal(2), plastic(2), electronics(2), fabric(2), ease of access(1), reputation(1), portfolio(1), negotiation(1),  </v>
      </c>
      <c r="CZ114" s="21" t="str">
        <f t="shared" si="225"/>
        <v xml:space="preserve">non-profits(1,6.25),  </v>
      </c>
      <c r="DA114" s="21" t="str">
        <f t="shared" si="213"/>
        <v xml:space="preserve">non-profits(6.25), </v>
      </c>
      <c r="DB114" s="21" t="str">
        <f t="shared" si="208"/>
        <v xml:space="preserve">scale 1
 </v>
      </c>
      <c r="DC114" s="21" t="str">
        <f t="shared" si="226"/>
        <v xml:space="preserve"> </v>
      </c>
      <c r="DD114" s="21" t="str">
        <f t="shared" si="210"/>
        <v xml:space="preserve"> </v>
      </c>
      <c r="DE114" s="21" t="str">
        <f t="shared" si="227"/>
        <v xml:space="preserve">wood(2), 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4" s="21" t="str">
        <f t="shared" si="228"/>
        <v xml:space="preserve">network(1,), local biz(1,6.25), biz group(1,6.25), investors(1,6.25), entrepreneurs(1,6.25),  </v>
      </c>
      <c r="DG114" s="21" t="str">
        <f t="shared" si="213"/>
        <v xml:space="preserve">local biz(6.25),biz group(6.25),investors(6.25),entrepreneurs(6.25), </v>
      </c>
      <c r="DH114" s="21" t="str">
        <f t="shared" si="208"/>
        <v xml:space="preserve">scale 1
enthusiasm 1
scale 1
enthusiasm 1
network 1
non-profits 1
reputation 1
social project 1
 </v>
      </c>
      <c r="DI114" s="21" t="str">
        <f t="shared" si="229"/>
        <v xml:space="preserve"> </v>
      </c>
      <c r="DJ114" s="21" t="str">
        <f t="shared" si="210"/>
        <v xml:space="preserve"> </v>
      </c>
      <c r="DK114" s="21" t="str">
        <f t="shared" si="230"/>
        <v xml:space="preserve">wood(1), 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4" s="21" t="str">
        <f t="shared" si="231"/>
        <v xml:space="preserve">field knowledge(1,12.5), network among members(1,12.5), reputation(1,6.25),  </v>
      </c>
      <c r="DM114" s="21" t="str">
        <f t="shared" si="213"/>
        <v xml:space="preserve">field knowledge(12.5),network among members(12.5),reputation(6.25), </v>
      </c>
      <c r="DN114" s="21" t="str">
        <f t="shared" si="208"/>
        <v xml:space="preserve">scale 1
enthusiasm 1
scale 1
enthusiasm 1
network 1
local biz 1
reputation 1
biz project 1
 </v>
      </c>
      <c r="DO114" s="21" t="str">
        <f t="shared" si="232"/>
        <v xml:space="preserve"> </v>
      </c>
      <c r="DP114" s="21" t="str">
        <f t="shared" si="210"/>
        <v xml:space="preserve"> </v>
      </c>
      <c r="DQ114" s="21" t="str">
        <f t="shared" si="233"/>
        <v xml:space="preserve">wood(1), 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4" s="21" t="str">
        <f t="shared" si="234"/>
        <v xml:space="preserve">field knowledge(1,12.5), network among members(1,12.5), reputation(1,6.25),  </v>
      </c>
      <c r="DS114" s="21" t="str">
        <f t="shared" si="213"/>
        <v xml:space="preserve">field knowledge(12.5),network among members(12.5),reputation(6.25), </v>
      </c>
      <c r="DT114" s="21" t="str">
        <f t="shared" si="208"/>
        <v xml:space="preserve">scale 1
enthusiasm 1
scale 1
enthusiasm 1
network 1
reputation 1
 </v>
      </c>
      <c r="DU114" s="21" t="str">
        <f t="shared" si="235"/>
        <v xml:space="preserve"> </v>
      </c>
      <c r="DV114" s="21" t="str">
        <f t="shared" si="210"/>
        <v xml:space="preserve"> </v>
      </c>
      <c r="DW114"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4" s="21" t="str">
        <f t="shared" si="237"/>
        <v xml:space="preserve">enthusiasm(1,6.25), field knowledge(1,6.25), engineering knowledge(1,6.25), ambition(1,6.25), reputation(1,6.25), for basic literacy(1,6.25),  </v>
      </c>
      <c r="DY114" s="21" t="str">
        <f t="shared" si="213"/>
        <v xml:space="preserve">enthusiasm(6.25),field knowledge(6.25),engineering knowledge(6.25),ambition(6.25),reputation(6.25),for basic literacy(6.25), </v>
      </c>
      <c r="DZ114" s="21" t="str">
        <f t="shared" si="208"/>
        <v xml:space="preserve">scale 1
enthusiasm 1
scale 1
enthusiasm 1
network 1
reputation 1
 </v>
      </c>
      <c r="EA114" s="21" t="str">
        <f t="shared" si="238"/>
        <v xml:space="preserve"> </v>
      </c>
      <c r="EB114" s="21" t="str">
        <f t="shared" si="210"/>
        <v xml:space="preserve"> </v>
      </c>
      <c r="EC114"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4" s="21" t="str">
        <f t="shared" si="240"/>
        <v xml:space="preserve">enthusiasm(1,6.25), engineering knowledge(1,6.25), ambition(1,6.25), reputation(1,6.25), for basic literacy(1,6.25),  </v>
      </c>
      <c r="EE114" s="21" t="str">
        <f t="shared" si="213"/>
        <v xml:space="preserve">enthusiasm(6.25),engineering knowledge(6.25),ambition(6.25),reputation(6.25),for basic literacy(6.25), </v>
      </c>
      <c r="EF114" s="21" t="str">
        <f t="shared" si="208"/>
        <v xml:space="preserve">scale 2
enthusiasm 2
technologists 1
reputation 1
 </v>
      </c>
      <c r="EG114" s="21" t="str">
        <f t="shared" si="241"/>
        <v xml:space="preserve">web(1,50), mobile apps(1,50), interaction(1,50),  </v>
      </c>
      <c r="EH114" s="21" t="str">
        <f t="shared" si="210"/>
        <v xml:space="preserve">web 50
mobile apps 50
interaction 50
 </v>
      </c>
      <c r="EI114"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4" s="21" t="str">
        <f t="shared" si="243"/>
        <v xml:space="preserve">engineering knowledge(1,6.25), technologists(1,12.5), infrastructrue(1,12.5), database(1,12.5), mobile comm(1,12.5), for entrepreneurs(1,6.25),  </v>
      </c>
      <c r="EK114" s="21" t="str">
        <f t="shared" si="213"/>
        <v xml:space="preserve">engineering knowledge(6.25),technologists(12.5),infrastructrue(12.5),database(12.5),mobile comm(12.5),for entrepreneurs(6.25), </v>
      </c>
      <c r="EL114" s="21" t="str">
        <f t="shared" si="244"/>
        <v xml:space="preserve">scale 2
enthusiasm 2
technologists 1
reputation 1
 </v>
      </c>
      <c r="EM114" s="21" t="str">
        <f t="shared" si="245"/>
        <v xml:space="preserve">sensors(1,50),  </v>
      </c>
      <c r="EN114" s="21" t="str">
        <f t="shared" si="246"/>
        <v xml:space="preserve">sensors 50
 </v>
      </c>
      <c r="EO114"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4" s="21" t="str">
        <f t="shared" si="248"/>
        <v xml:space="preserve">engineering knowledge(1,6.25), technologists(1,12.5), infrastructrue(1,12.5), database(1,12.5), mobile comm(1,12.5), electronics(1,6.25), for entrepreneurs(1,6.25),  </v>
      </c>
      <c r="EQ114" s="21" t="str">
        <f t="shared" si="249"/>
        <v xml:space="preserve">engineering knowledge(6.25),technologists(12.5),infrastructrue(12.5),database(12.5),mobile comm(12.5),electronics(6.25),for entrepreneurs(6.25), </v>
      </c>
      <c r="ER114" s="21" t="str">
        <f t="shared" si="244"/>
        <v xml:space="preserve">scale 2
enthusiasm 2
technologists 1
 </v>
      </c>
      <c r="ES114" s="21" t="str">
        <f t="shared" si="250"/>
        <v xml:space="preserve">AI&amp; data analysis(1,50),  </v>
      </c>
      <c r="ET114" s="21" t="str">
        <f t="shared" si="246"/>
        <v xml:space="preserve">AI&amp; data analysis 50
 </v>
      </c>
      <c r="EU114"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4" s="21" t="str">
        <f t="shared" si="252"/>
        <v xml:space="preserve">engineering knowledge(1,6.25), technologists(1,12.5), database(1,12.5), sensors(1,12.5), mobile comm(1,12.5), for entrepreneurs(1,6.25),  </v>
      </c>
      <c r="EW114" s="21" t="str">
        <f t="shared" si="249"/>
        <v xml:space="preserve">engineering knowledge(6.25),technologists(12.5),database(12.5),sensors(12.5),mobile comm(12.5),for entrepreneurs(6.25), </v>
      </c>
      <c r="EX114" s="21" t="str">
        <f t="shared" si="244"/>
        <v xml:space="preserve">scale 2
enthusiasm 2
technologists 1
 </v>
      </c>
      <c r="EY114" s="21" t="str">
        <f t="shared" si="253"/>
        <v xml:space="preserve">law(1,50), security(1,50), interaction(1,25),  </v>
      </c>
      <c r="EZ114" s="21" t="str">
        <f t="shared" si="246"/>
        <v xml:space="preserve">law 50
security 50
interaction 25
 </v>
      </c>
      <c r="FA114"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4" s="21" t="str">
        <f t="shared" si="255"/>
        <v xml:space="preserve">field knowledge(1,6.25), engineering knowledge(1,6.25), technologists(1,12.5), law(1,6.25), database(1,12.5), mobile apps(1,12.5), security(1,12.5), mobile comm(1,12.5), for entrepreneurs(1,6.25),  </v>
      </c>
      <c r="FC114" s="21" t="str">
        <f t="shared" si="249"/>
        <v xml:space="preserve">field knowledge(6.25),engineering knowledge(6.25),technologists(12.5),law(6.25),database(12.5),mobile apps(12.5),security(12.5),mobile comm(12.5),for entrepreneurs(6.25), </v>
      </c>
      <c r="FD114" s="21" t="str">
        <f t="shared" si="244"/>
        <v xml:space="preserve">scale 2
enthusiasm 2
technologists 1
 </v>
      </c>
      <c r="FE114" s="21" t="str">
        <f t="shared" si="256"/>
        <v xml:space="preserve">law(1,50), sensors(1,50), security(1,50),  </v>
      </c>
      <c r="FF114" s="21" t="str">
        <f t="shared" si="246"/>
        <v xml:space="preserve">law 50
sensors 50
security 50
 </v>
      </c>
      <c r="FG114"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4" s="21" t="str">
        <f t="shared" si="258"/>
        <v xml:space="preserve">field knowledge(1,6.25), engineering knowledge(1,6.25), technologists(1,12.5), law(1,6.25), database(1,6.25), mobile apps(1,6.25), AI&amp; data analysis(1,6.25), mobile comm(1,6.25), for entrepreneurs(1,6.25),  </v>
      </c>
      <c r="FI114" s="21" t="str">
        <f t="shared" si="249"/>
        <v xml:space="preserve">field knowledge(6.25),engineering knowledge(6.25),technologists(12.5),law(6.25),database(6.25),mobile apps(6.25),AI&amp; data analysis(6.25),mobile comm(6.25),for entrepreneurs(6.25), </v>
      </c>
      <c r="FJ114" s="21" t="str">
        <f t="shared" si="244"/>
        <v xml:space="preserve">scale 2
enthusiasm 2
technologists 1
 </v>
      </c>
      <c r="FK114" s="21" t="str">
        <f t="shared" si="259"/>
        <v xml:space="preserve">wood processing(1,25), metal processing(1,25), plastic processing(1,25), fabric(1,25), safety(1,25), interaction(1,25),  </v>
      </c>
      <c r="FL114" s="21" t="str">
        <f t="shared" si="246"/>
        <v xml:space="preserve">project management 2
wood processing 25
metal processing 25
plastic processing 25
fabric 25
safety 25
interaction 25
 </v>
      </c>
      <c r="FM114"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4" s="21" t="str">
        <f t="shared" si="261"/>
        <v xml:space="preserve">field knowledge(1,6.25), engineering knowledge(1,6.25), technologists(1,12.5), for entrepreneurs(1,6.25),  </v>
      </c>
      <c r="FO114" s="21" t="str">
        <f t="shared" si="249"/>
        <v xml:space="preserve">field knowledge(6.25),engineering knowledge(6.25),technologists(12.5),for entrepreneurs(6.25), </v>
      </c>
      <c r="FP114" s="21" t="str">
        <f t="shared" si="244"/>
        <v xml:space="preserve">scale 2
enthusiasm 2
technologists 1
 </v>
      </c>
      <c r="FQ114" s="21" t="str">
        <f t="shared" si="262"/>
        <v xml:space="preserve">web(1,25), mobile apps(1,50), functions(1,25), interaction(1,25),  </v>
      </c>
      <c r="FR114" s="21" t="str">
        <f t="shared" si="246"/>
        <v xml:space="preserve">web 25
mobile apps 50
functions 25
interaction 25
 </v>
      </c>
      <c r="FS114"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4" s="21" t="str">
        <f t="shared" si="264"/>
        <v xml:space="preserve">field knowledge(1,6.25), engineering knowledge(1,6.25), technologists(1,12.5), for entrepreneurs(1,6.25),  </v>
      </c>
      <c r="FU114" s="21" t="str">
        <f t="shared" si="249"/>
        <v xml:space="preserve">field knowledge(6.25),engineering knowledge(6.25),technologists(12.5),for entrepreneurs(6.25), </v>
      </c>
      <c r="FV114" s="21" t="str">
        <f t="shared" si="244"/>
        <v xml:space="preserve">scale 2
enthusiasm 2
technologists 1
 </v>
      </c>
      <c r="FW114" s="21" t="str">
        <f t="shared" si="265"/>
        <v xml:space="preserve">mobile apps(1,50), sensors(1,50), wood processing(1,25), plastic processing(1,25), electronics(1,25), functions(1,25), interaction(1,25),  </v>
      </c>
      <c r="FX114" s="21" t="str">
        <f t="shared" si="246"/>
        <v xml:space="preserve">mobile apps 50
sensors 50
wood processing 25
plastic processing 25
electronics 25
functions 25
interaction 25
 </v>
      </c>
      <c r="FY114"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4" s="21" t="str">
        <f t="shared" si="267"/>
        <v xml:space="preserve">field knowledge(1,6.25), engineering knowledge(1,6.25), technologists(1,12.5), web(1,6.25), database(1,6.25), AI&amp; data analysis(1,6.25), mobile comm(1,6.25), for entrepreneurs(1,6.25),  </v>
      </c>
      <c r="GA114" s="21" t="str">
        <f t="shared" si="249"/>
        <v xml:space="preserve">field knowledge(6.25),engineering knowledge(6.25),technologists(12.5),web(6.25),database(6.25),AI&amp; data analysis(6.25),mobile comm(6.25),for entrepreneurs(6.25), </v>
      </c>
      <c r="GB114" s="21" t="str">
        <f t="shared" si="244"/>
        <v xml:space="preserve">scale 2
enthusiasm 2
technologists 1
 </v>
      </c>
      <c r="GC114" s="21" t="str">
        <f t="shared" si="268"/>
        <v xml:space="preserve">sensors(1,25), mobile comm(1,25), electronics(1,50), functions(1,25), safety(1,25),  </v>
      </c>
      <c r="GD114" s="21" t="str">
        <f t="shared" si="246"/>
        <v xml:space="preserve">sensors 25
mobile comm 25
electronics 50
functions 25
safety 25
 </v>
      </c>
      <c r="GE114"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4" s="21" t="str">
        <f t="shared" si="270"/>
        <v xml:space="preserve">field knowledge(1,6.25), engineering knowledge(1,6.25), technologists(1,12.5), database(1,6.25), mobile apps(1,6.25), AI&amp; data analysis(1,6.25), plastic processing(1,6.25), interaction(1,6.25), for entrepreneurs(1,6.25),  </v>
      </c>
      <c r="GG114" s="21" t="str">
        <f t="shared" si="249"/>
        <v xml:space="preserve">field knowledge(6.25),engineering knowledge(6.25),technologists(12.5),database(6.25),mobile apps(6.25),AI&amp; data analysis(6.25),plastic processing(6.25),interaction(6.25),for entrepreneurs(6.25), </v>
      </c>
      <c r="GH114" s="21" t="str">
        <f t="shared" si="244"/>
        <v xml:space="preserve">scale 2
enthusiasm 2
technologists 1
 </v>
      </c>
      <c r="GI114" s="21" t="str">
        <f t="shared" si="271"/>
        <v xml:space="preserve">web(1,25), mobile apps(1,50), functions(1,25), interaction(1,25),  </v>
      </c>
      <c r="GJ114" s="21" t="str">
        <f t="shared" si="246"/>
        <v xml:space="preserve">web 25
mobile apps 50
functions 25
interaction 25
 </v>
      </c>
      <c r="GK114"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4" s="21" t="str">
        <f t="shared" si="273"/>
        <v xml:space="preserve">field knowledge(1,6.25), engineering knowledge(1,6.25), technologists(1,12.5), for entrepreneurs(1,6.25),  </v>
      </c>
      <c r="GM114" s="21" t="str">
        <f t="shared" si="249"/>
        <v xml:space="preserve">field knowledge(6.25),engineering knowledge(6.25),technologists(12.5),for entrepreneurs(6.25), </v>
      </c>
      <c r="GN114" s="21" t="str">
        <f t="shared" si="244"/>
        <v xml:space="preserve">scale 2
enthusiasm 2
technologists 1
 </v>
      </c>
      <c r="GO114" s="21" t="str">
        <f t="shared" si="274"/>
        <v xml:space="preserve">web(1,25), mobile apps(1,25), VR&amp;AR(1,25), aesthetics(1,25), functions(1,25), interaction(1,50),  </v>
      </c>
      <c r="GP114" s="21" t="str">
        <f t="shared" si="246"/>
        <v xml:space="preserve">web 25
mobile apps 25
VR&amp;AR 25
aesthetics 25
functions 25
interaction 50
 </v>
      </c>
      <c r="GQ114"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4" s="21" t="str">
        <f t="shared" si="276"/>
        <v xml:space="preserve">field knowledge(1,6.25), technologists(1,12.5), for entrepreneurs(1,6.25),  </v>
      </c>
      <c r="GS114" s="21" t="str">
        <f t="shared" si="249"/>
        <v xml:space="preserve">field knowledge(6.25),technologists(12.5),for entrepreneurs(6.25), </v>
      </c>
      <c r="GT114" s="21" t="str">
        <f t="shared" si="244"/>
        <v xml:space="preserve">scale 3
scale 2
ease of access 1
reputation 2
web 1
mobile apps 1
mobile comm 1
 </v>
      </c>
      <c r="GU114" s="21" t="str">
        <f t="shared" si="277"/>
        <v xml:space="preserve"> </v>
      </c>
      <c r="GV114" s="21" t="str">
        <f t="shared" si="246"/>
        <v xml:space="preserve"> </v>
      </c>
      <c r="GW114"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4"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4"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4" s="21" t="str">
        <f t="shared" si="280"/>
        <v xml:space="preserve">plastic 1
electronics 1
fabric 1
scale 2
enthusiasm 2
scale 2
enthusiasm 2
network 1
govt 1
non-profits 1
reputation 2
portfolio 1
 </v>
      </c>
      <c r="HA114" s="21" t="str">
        <f t="shared" si="281"/>
        <v xml:space="preserve"> </v>
      </c>
      <c r="HB114" s="21" t="str">
        <f t="shared" si="282"/>
        <v xml:space="preserve"> </v>
      </c>
      <c r="HC114"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4" s="21" t="str">
        <f t="shared" si="284"/>
        <v xml:space="preserve">scale(1,6.25), enthusiasm(1,6.25), learning capacities(1,6.25), field knowledge(1,6.25), enthusiasm(1,6.25), media(1,6.25), technologists(1,6.25), non-profits(1,6.25), reputation(1,6.25), start-up with customers(1,6.25), for basic literacy(1,6.25),  </v>
      </c>
      <c r="HE114" s="21" t="str">
        <f t="shared" si="285"/>
        <v xml:space="preserve">scale(6.25),enthusiasm(6.25),learning capacities(6.25),field knowledge(6.25),enthusiasm(6.25),media(6.25),technologists(6.25),non-profits(6.25),reputation(6.25),start-up with customers(6.25),for basic literacy(6.25), </v>
      </c>
      <c r="HF114" s="21" t="str">
        <f t="shared" si="280"/>
        <v xml:space="preserve"> </v>
      </c>
      <c r="HG114" s="21" t="str">
        <f t="shared" si="286"/>
        <v xml:space="preserve">scale(2,), enthusiasm(2,),  </v>
      </c>
      <c r="HH114" s="21" t="str">
        <f t="shared" si="282"/>
        <v xml:space="preserve"> </v>
      </c>
      <c r="HI114"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4" s="21" t="str">
        <f t="shared" si="288"/>
        <v xml:space="preserve">scale(1,6.25), enthusiasm(1,6.25), learning capacities(1,6.25), network among members(1,6.25), enthusiasm(1,6.25), fun-ness(1,6.25), seriousness(1,6.25), govt(1,6.25), media(1,6.25), non-profits(1,6.25), start-up with customers(1,6.25),  </v>
      </c>
      <c r="HK114" s="21" t="str">
        <f t="shared" si="285"/>
        <v xml:space="preserve">scale(6.25),enthusiasm(6.25),learning capacities(6.25),network among members(6.25),enthusiasm(6.25),fun-ness(6.25),seriousness(6.25),govt(6.25),media(6.25),non-profits(6.25),start-up with customers(6.25), </v>
      </c>
      <c r="HL114" s="21" t="str">
        <f t="shared" si="280"/>
        <v xml:space="preserve">scale 2
scale 2
community manager 1
PR 1
administrator 1
local biz 1
entrepreneurs 1
non-profits 1
reputation 2
portfolio 2
 </v>
      </c>
      <c r="HM114" s="21" t="str">
        <f t="shared" si="289"/>
        <v xml:space="preserve">scale(1,25), enthusiasm(1,25), network among members(1,25), scale(1,25), enthusiasm(1,25), ambition(1,25), fun-ness(1,25), seriousness(1,25),  </v>
      </c>
      <c r="HN114" s="21" t="str">
        <f t="shared" si="282"/>
        <v xml:space="preserve">scale 25
enthusiasm 25
network among members 25
scale 25
enthusiasm 25
ambition 25
fun-ness 25
seriousness 25
 </v>
      </c>
      <c r="HO114"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4"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4" s="47" t="str">
        <f t="shared" si="285"/>
        <v xml:space="preserve">scale(6.25),enthusiasm(6.25),enthusiasm(6.25),fun-ness(6.25),enthusiasm(6.25),level of understanding(6.25),local biz(6.25),biz group(6.25),govt(6.25),investors(6.25),media(6.25),entrepreneurs(6.25),technologists(6.25),suppliers(6.25),non-profits(6.25),reputation(6.25), </v>
      </c>
      <c r="HR114" s="47" t="str">
        <f t="shared" ref="HR114:HW114" si="331">IF(HR12="",HR115,$C114&amp;"("&amp;HR12&amp;"),"&amp;HR115)</f>
        <v xml:space="preserve">wood(1),metal(1),plastic(1),electronics(1),scale(2),enthusiasm(2),engineering knowledge(2),scale(2),enthusiasm(2),reputation(2),portfolio(2),mobile apps(1),sensors(1),wood processing(1),aesthetics(1), </v>
      </c>
      <c r="HS114" s="47" t="str">
        <f t="shared" si="331"/>
        <v xml:space="preserve"> </v>
      </c>
      <c r="HT114" s="47" t="str">
        <f t="shared" si="331"/>
        <v xml:space="preserve"> </v>
      </c>
      <c r="HU114" s="47" t="str">
        <f t="shared" si="33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4" s="47" t="str">
        <f t="shared" si="331"/>
        <v xml:space="preserve">gifted programmer(1),local biz(1),biz group(1),govt(1),investors(1),media(1),entrepreneurs(1),technologists(1),suppliers(1),non-profits(1),reputation(1), </v>
      </c>
      <c r="HW114" s="47" t="str">
        <f t="shared" si="331"/>
        <v xml:space="preserve">gifted programmer(6.25),local biz(6.25),biz group(6.25),govt(6.25),investors(6.25),media(6.25),entrepreneurs(6.25),technologists(12.5),suppliers(6.25),non-profits(6.25),reputation(6.25), </v>
      </c>
      <c r="HX114" s="47" t="str">
        <f t="shared" ref="HX114:IU114" si="332">IF(HX12="",HX115,$C114&amp;"("&amp;HX12&amp;"),"&amp;HX115)</f>
        <v xml:space="preserve">wood(2),plastic(2),electronics(2),fabric(1),scale(2),enthusiasm(2),field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4" s="47" t="str">
        <f t="shared" si="332"/>
        <v xml:space="preserve">biz enhancement(1), </v>
      </c>
      <c r="HZ114" s="47" t="str">
        <f t="shared" si="332"/>
        <v xml:space="preserve">biz enhancement(100), </v>
      </c>
      <c r="IA114" s="47" t="str">
        <f t="shared" si="332"/>
        <v xml:space="preserve">community manager(1),PR(1),finance(1),administrator(1),enthusiasm(2),network(2),ambition(2),knowledge(2),spaciousness(2),ease of access(3),efficiency(2),portfolio(4),finance(2),business model(2),marketing(3),team building(2),project management(2),social media(3),negotiation(3), </v>
      </c>
      <c r="IB114" s="47" t="str">
        <f t="shared" si="332"/>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4" s="47" t="str">
        <f t="shared" si="332"/>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4" s="47" t="str">
        <f t="shared" si="332"/>
        <v xml:space="preserve">scale(2),enthusiasm(2),engineering knowledge(1),scale(1),technologists(2), </v>
      </c>
      <c r="IE114" s="47" t="str">
        <f t="shared" si="332"/>
        <v xml:space="preserve">engineering knowledge(1),web(1),mobile apps(1),security(1),AI&amp; data analysis(1), </v>
      </c>
      <c r="IF114" s="47" t="str">
        <f t="shared" si="332"/>
        <v xml:space="preserve">engineering knowledge(25),web(25),mobile apps(25),security(25),AI&amp; data analysis(25), </v>
      </c>
      <c r="IG114" s="47" t="str">
        <f t="shared" si="33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4" s="47" t="str">
        <f t="shared" si="332"/>
        <v xml:space="preserve">engineering knowledge(1),technologists(1),web(1),database(1),mobile apps(1),security(1),AI&amp; data analysis(1), </v>
      </c>
      <c r="II114" s="47" t="str">
        <f t="shared" si="332"/>
        <v xml:space="preserve">engineering knowledge(6.25),technologists(6.25),web(6.25),database(6.25),mobile apps(6.25),security(6.25),AI&amp; data analysis(6.25), </v>
      </c>
      <c r="IJ114" s="47" t="str">
        <f t="shared" si="332"/>
        <v xml:space="preserve">metal(1),scale(2),enthusiasm(2),engineering knowledge(1),scale(1),technologists(2), </v>
      </c>
      <c r="IK114" s="47" t="str">
        <f t="shared" si="332"/>
        <v xml:space="preserve">engineering knowledge(1),wood processing(1),metal processing(1),functions(1),safety(1), </v>
      </c>
      <c r="IL114" s="47" t="str">
        <f t="shared" si="332"/>
        <v xml:space="preserve">engineering knowledge(25),wood processing(25),metal processing(25),functions(25),safety(25), </v>
      </c>
      <c r="IM114" s="47" t="str">
        <f t="shared" si="33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4" s="47" t="str">
        <f t="shared" si="332"/>
        <v xml:space="preserve">engineering knowledge(1),technologists(1),wood processing(1),metal processing(1),functions(1),safety(1),interaction(1), </v>
      </c>
      <c r="IO114" s="47" t="str">
        <f t="shared" si="332"/>
        <v xml:space="preserve">engineering knowledge(6.25),technologists(6.25),wood processing(6.25),metal processing(6.25),functions(6.25),safety(6.25),interaction(6.25), </v>
      </c>
      <c r="IP114" s="57" t="str">
        <f t="shared" si="332"/>
        <v xml:space="preserve">scale(2),enthusiasm(2),learning capacities(1),scale(2),local biz(2),reputation(1), </v>
      </c>
      <c r="IQ114" s="47" t="str">
        <f t="shared" si="332"/>
        <v xml:space="preserve">field knowledge(1),network among members(1),local biz(1),marketing(1), </v>
      </c>
      <c r="IR114" s="47" t="str">
        <f t="shared" si="332"/>
        <v xml:space="preserve">field knowledge(100),network among members(25),local biz(25),marketing(25), </v>
      </c>
      <c r="IS114" s="47" t="str">
        <f t="shared" si="33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4" s="47" t="str">
        <f t="shared" si="332"/>
        <v xml:space="preserve">field knowledge(1),network among members(1),enthusiasm(1),fun-ness(1),seriousness(1),local biz(1),biz group(1),govt(1),non-profits(1),marketing(1), </v>
      </c>
      <c r="IU114" s="47" t="str">
        <f t="shared" si="332"/>
        <v xml:space="preserve">field knowledge(6.25),network among members(6.25),enthusiasm(6.25),fun-ness(6.25),seriousness(6.25),local biz(6.25),biz group(6.25),govt(6.25),non-profits(6.25),marketing(6.25), </v>
      </c>
      <c r="IV114" s="57" t="str">
        <f t="shared" ref="IV114:LG114" si="333">IF(IV12="",IV115,$C114&amp;"("&amp;IV12&amp;"),"&amp;IV115)</f>
        <v xml:space="preserve">scale(2),enthusiasm(2),learning capacities(1),scale(2),local biz(2),reputation(1), </v>
      </c>
      <c r="IW114" s="47" t="str">
        <f t="shared" si="333"/>
        <v xml:space="preserve">field knowledge(1),network among members(1),local biz(1),marketing(1), </v>
      </c>
      <c r="IX114" s="47" t="str">
        <f t="shared" si="333"/>
        <v xml:space="preserve">field knowledge(100),network among members(25),local biz(25),marketing(25), </v>
      </c>
      <c r="IY114" s="47" t="str">
        <f t="shared" si="33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4" s="47" t="str">
        <f t="shared" si="333"/>
        <v xml:space="preserve">field knowledge(1),network among members(1),enthusiasm(1),fun-ness(1),seriousness(1),local biz(1),biz group(1),govt(1),marketing(1), </v>
      </c>
      <c r="JA114" s="47" t="str">
        <f t="shared" si="333"/>
        <v xml:space="preserve">field knowledge(6.25),network among members(6.25),enthusiasm(6.25),fun-ness(6.25),seriousness(6.25),local biz(6.25),biz group(6.25),govt(6.25),marketing(6.25), </v>
      </c>
      <c r="JB114" s="47" t="str">
        <f t="shared" si="333"/>
        <v xml:space="preserve">wood(1),metal(1),plastic(1),electronics(1),fabric(1),scale(2),enthusiasm(1),scale(1),enthusiasm(2), </v>
      </c>
      <c r="JC114" s="47" t="str">
        <f t="shared" si="333"/>
        <v xml:space="preserve">engineering knowledge(1), </v>
      </c>
      <c r="JD114" s="47" t="str">
        <f t="shared" si="333"/>
        <v xml:space="preserve">engineering knowledge(50), </v>
      </c>
      <c r="JE114" s="47" t="str">
        <f t="shared" si="333"/>
        <v xml:space="preserve">wood(2),metal(2),plastic(2),electronics(2),fabric(2),scale(3),enthusiasm(3),learning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4" s="47" t="str">
        <f t="shared" si="33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4" s="47" t="str">
        <f t="shared" si="33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4" s="47" t="str">
        <f t="shared" si="333"/>
        <v xml:space="preserve">scale(1),scale(1),enthusiasm(1),enthusiasm(1),local biz(1),non-profits(1),reputation(2), </v>
      </c>
      <c r="JI114" s="47" t="str">
        <f t="shared" si="333"/>
        <v xml:space="preserve"> </v>
      </c>
      <c r="JJ114" s="47" t="str">
        <f t="shared" si="333"/>
        <v xml:space="preserve"> </v>
      </c>
      <c r="JK114" s="47" t="str">
        <f t="shared" si="33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4" s="47" t="str">
        <f t="shared" si="333"/>
        <v xml:space="preserve">non-profits(1), </v>
      </c>
      <c r="JM114" s="47" t="str">
        <f t="shared" si="333"/>
        <v xml:space="preserve">non-profits(6.25), </v>
      </c>
      <c r="JN114" s="47" t="str">
        <f t="shared" si="333"/>
        <v xml:space="preserve">scale(2),enthusiasm(2),scale(2),enthusiasm(2),enthusiasm(1),network(1),local biz(1),investors(1),entrepreneurs(1),technologists(1),non-profits(1),reputation(2),portfolio(2), </v>
      </c>
      <c r="JO114" s="47" t="str">
        <f t="shared" si="333"/>
        <v xml:space="preserve"> </v>
      </c>
      <c r="JP114" s="47" t="str">
        <f t="shared" si="333"/>
        <v xml:space="preserve"> </v>
      </c>
      <c r="JQ114" s="47" t="str">
        <f t="shared" si="33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4" s="47" t="str">
        <f t="shared" si="333"/>
        <v xml:space="preserve"> </v>
      </c>
      <c r="JS114" s="47" t="str">
        <f t="shared" si="333"/>
        <v xml:space="preserve"> </v>
      </c>
      <c r="JT114" s="47" t="str">
        <f t="shared" si="333"/>
        <v xml:space="preserve">scale(3),enthusiasm(3),PR(1),administrator(1),enthusiasm(2),network(2),local biz(2),biz group(1),govt(2),investors(2),entrepreneurs(2),technologists(2),non-profits(2),reputation(2),portfolio(3), </v>
      </c>
      <c r="JU114" s="47" t="str">
        <f t="shared" si="333"/>
        <v xml:space="preserve"> </v>
      </c>
      <c r="JV114" s="47" t="str">
        <f t="shared" si="333"/>
        <v xml:space="preserve"> </v>
      </c>
      <c r="JW114" s="47" t="str">
        <f t="shared" si="33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4" s="47" t="str">
        <f t="shared" si="333"/>
        <v xml:space="preserve"> </v>
      </c>
      <c r="JY114" s="47" t="str">
        <f t="shared" si="333"/>
        <v xml:space="preserve"> </v>
      </c>
      <c r="JZ114" s="47" t="str">
        <f t="shared" si="333"/>
        <v xml:space="preserve">scale(1),enthusiasm(1),scale(1),enthusiasm(2),network(1),non-profits(1),reputation(2),social project(2), </v>
      </c>
      <c r="KA114" s="47" t="str">
        <f t="shared" si="333"/>
        <v xml:space="preserve">non-profits(1), </v>
      </c>
      <c r="KB114" s="47" t="str">
        <f t="shared" si="333"/>
        <v xml:space="preserve">non-profits(25), </v>
      </c>
      <c r="KC114" s="47" t="str">
        <f t="shared" si="33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4" s="47" t="str">
        <f t="shared" si="333"/>
        <v xml:space="preserve">non-profits(1), </v>
      </c>
      <c r="KE114" s="47" t="str">
        <f t="shared" si="333"/>
        <v xml:space="preserve">non-profits(6.25), </v>
      </c>
      <c r="KF114" s="47" t="str">
        <f t="shared" si="333"/>
        <v xml:space="preserve"> </v>
      </c>
      <c r="KG114" s="47" t="str">
        <f t="shared" si="333"/>
        <v xml:space="preserve"> </v>
      </c>
      <c r="KH114" s="47" t="str">
        <f t="shared" si="333"/>
        <v xml:space="preserve"> </v>
      </c>
      <c r="KI114" s="47" t="str">
        <f t="shared" si="333"/>
        <v xml:space="preserve"> </v>
      </c>
      <c r="KJ114" s="47" t="str">
        <f t="shared" si="333"/>
        <v xml:space="preserve"> </v>
      </c>
      <c r="KK114" s="47" t="str">
        <f t="shared" si="333"/>
        <v xml:space="preserve"> </v>
      </c>
      <c r="KL114" s="57" t="str">
        <f t="shared" si="333"/>
        <v xml:space="preserve"> </v>
      </c>
      <c r="KM114" s="47" t="str">
        <f t="shared" si="333"/>
        <v xml:space="preserve"> </v>
      </c>
      <c r="KN114" s="47" t="str">
        <f t="shared" si="333"/>
        <v xml:space="preserve"> </v>
      </c>
      <c r="KO114" s="47" t="str">
        <f t="shared" si="333"/>
        <v xml:space="preserve"> </v>
      </c>
      <c r="KP114" s="47" t="str">
        <f t="shared" si="333"/>
        <v xml:space="preserve"> </v>
      </c>
      <c r="KQ114" s="47" t="str">
        <f t="shared" si="333"/>
        <v xml:space="preserve"> </v>
      </c>
      <c r="KR114" s="57" t="str">
        <f t="shared" si="333"/>
        <v xml:space="preserve"> </v>
      </c>
      <c r="KS114" s="47" t="str">
        <f t="shared" si="333"/>
        <v xml:space="preserve"> </v>
      </c>
      <c r="KT114" s="47" t="str">
        <f t="shared" si="333"/>
        <v xml:space="preserve"> </v>
      </c>
      <c r="KU114" s="47" t="str">
        <f t="shared" si="333"/>
        <v xml:space="preserve"> </v>
      </c>
      <c r="KV114" s="47" t="str">
        <f t="shared" si="333"/>
        <v xml:space="preserve"> </v>
      </c>
      <c r="KW114" s="47" t="str">
        <f t="shared" si="333"/>
        <v xml:space="preserve"> </v>
      </c>
      <c r="KX114" s="57" t="str">
        <f t="shared" si="333"/>
        <v xml:space="preserve"> </v>
      </c>
      <c r="KY114" s="47" t="str">
        <f t="shared" si="333"/>
        <v xml:space="preserve"> </v>
      </c>
      <c r="KZ114" s="47" t="str">
        <f t="shared" si="333"/>
        <v xml:space="preserve"> </v>
      </c>
      <c r="LA114" s="47" t="str">
        <f t="shared" si="333"/>
        <v xml:space="preserve"> </v>
      </c>
      <c r="LB114" s="47" t="str">
        <f t="shared" si="333"/>
        <v xml:space="preserve"> </v>
      </c>
      <c r="LC114" s="47" t="str">
        <f t="shared" si="333"/>
        <v xml:space="preserve"> </v>
      </c>
      <c r="LD114" s="57" t="str">
        <f t="shared" si="333"/>
        <v xml:space="preserve"> </v>
      </c>
      <c r="LE114" s="47" t="str">
        <f t="shared" si="333"/>
        <v xml:space="preserve"> </v>
      </c>
      <c r="LF114" s="47" t="str">
        <f t="shared" si="333"/>
        <v xml:space="preserve"> </v>
      </c>
      <c r="LG114" s="47" t="str">
        <f t="shared" si="333"/>
        <v xml:space="preserve"> </v>
      </c>
      <c r="LH114" s="47" t="str">
        <f t="shared" ref="LH114:NM114" si="334">IF(LH12="",LH115,$C114&amp;"("&amp;LH12&amp;"),"&amp;LH115)</f>
        <v xml:space="preserve"> </v>
      </c>
      <c r="LI114" s="47" t="str">
        <f t="shared" si="334"/>
        <v xml:space="preserve"> </v>
      </c>
      <c r="LJ114" s="57" t="str">
        <f t="shared" si="334"/>
        <v xml:space="preserve"> </v>
      </c>
      <c r="LK114" s="47" t="str">
        <f t="shared" si="334"/>
        <v xml:space="preserve"> </v>
      </c>
      <c r="LL114" s="47" t="str">
        <f t="shared" si="334"/>
        <v xml:space="preserve"> </v>
      </c>
      <c r="LM114" s="47" t="str">
        <f t="shared" si="334"/>
        <v xml:space="preserve"> </v>
      </c>
      <c r="LN114" s="47" t="str">
        <f t="shared" si="334"/>
        <v xml:space="preserve"> </v>
      </c>
      <c r="LO114" s="47" t="str">
        <f t="shared" si="334"/>
        <v xml:space="preserve"> </v>
      </c>
      <c r="LP114" s="57" t="str">
        <f t="shared" si="334"/>
        <v xml:space="preserve"> </v>
      </c>
      <c r="LQ114" s="47" t="str">
        <f t="shared" si="334"/>
        <v xml:space="preserve"> </v>
      </c>
      <c r="LR114" s="47" t="str">
        <f t="shared" si="334"/>
        <v xml:space="preserve"> </v>
      </c>
      <c r="LS114" s="47" t="str">
        <f t="shared" si="334"/>
        <v xml:space="preserve"> </v>
      </c>
      <c r="LT114" s="47" t="str">
        <f t="shared" si="334"/>
        <v xml:space="preserve"> </v>
      </c>
      <c r="LU114" s="47" t="str">
        <f t="shared" si="334"/>
        <v xml:space="preserve"> </v>
      </c>
      <c r="LV114" s="57" t="str">
        <f t="shared" si="334"/>
        <v xml:space="preserve"> </v>
      </c>
      <c r="LW114" s="47" t="str">
        <f t="shared" si="334"/>
        <v xml:space="preserve"> </v>
      </c>
      <c r="LX114" s="47" t="str">
        <f t="shared" si="334"/>
        <v xml:space="preserve"> </v>
      </c>
      <c r="LY114" s="47" t="str">
        <f t="shared" si="334"/>
        <v xml:space="preserve"> </v>
      </c>
      <c r="LZ114" s="47" t="str">
        <f t="shared" si="334"/>
        <v xml:space="preserve"> </v>
      </c>
      <c r="MA114" s="47" t="str">
        <f t="shared" si="334"/>
        <v xml:space="preserve"> </v>
      </c>
      <c r="MB114" s="57" t="str">
        <f t="shared" si="334"/>
        <v xml:space="preserve"> </v>
      </c>
      <c r="MC114" s="47" t="str">
        <f t="shared" si="334"/>
        <v xml:space="preserve"> </v>
      </c>
      <c r="MD114" s="47" t="str">
        <f t="shared" si="334"/>
        <v xml:space="preserve"> </v>
      </c>
      <c r="ME114" s="47" t="str">
        <f t="shared" si="334"/>
        <v xml:space="preserve"> </v>
      </c>
      <c r="MF114" s="47" t="str">
        <f t="shared" si="334"/>
        <v xml:space="preserve"> </v>
      </c>
      <c r="MG114" s="47" t="str">
        <f t="shared" si="334"/>
        <v xml:space="preserve"> </v>
      </c>
      <c r="MH114" s="57" t="str">
        <f t="shared" si="334"/>
        <v xml:space="preserve"> </v>
      </c>
      <c r="MI114" s="47" t="str">
        <f t="shared" si="334"/>
        <v xml:space="preserve"> </v>
      </c>
      <c r="MJ114" s="47" t="str">
        <f t="shared" si="334"/>
        <v xml:space="preserve"> </v>
      </c>
      <c r="MK114" s="47" t="str">
        <f t="shared" si="334"/>
        <v xml:space="preserve"> </v>
      </c>
      <c r="ML114" s="47" t="str">
        <f t="shared" si="334"/>
        <v xml:space="preserve"> </v>
      </c>
      <c r="MM114" s="47" t="str">
        <f t="shared" si="334"/>
        <v xml:space="preserve"> </v>
      </c>
      <c r="MN114" s="57" t="str">
        <f t="shared" si="334"/>
        <v xml:space="preserve"> </v>
      </c>
      <c r="MO114" s="47" t="str">
        <f t="shared" si="334"/>
        <v xml:space="preserve"> </v>
      </c>
      <c r="MP114" s="47" t="str">
        <f t="shared" si="334"/>
        <v xml:space="preserve"> </v>
      </c>
      <c r="MQ114" s="47" t="str">
        <f t="shared" si="334"/>
        <v xml:space="preserve"> </v>
      </c>
      <c r="MR114" s="47" t="str">
        <f t="shared" si="334"/>
        <v xml:space="preserve"> </v>
      </c>
      <c r="MS114" s="47" t="str">
        <f t="shared" si="334"/>
        <v xml:space="preserve"> </v>
      </c>
      <c r="MT114" s="57" t="str">
        <f t="shared" si="334"/>
        <v xml:space="preserve"> </v>
      </c>
      <c r="MU114" s="47" t="str">
        <f t="shared" si="334"/>
        <v xml:space="preserve"> </v>
      </c>
      <c r="MV114" s="47" t="str">
        <f t="shared" si="334"/>
        <v xml:space="preserve"> </v>
      </c>
      <c r="MW114" s="47" t="str">
        <f t="shared" si="334"/>
        <v xml:space="preserve"> </v>
      </c>
      <c r="MX114" s="47" t="str">
        <f t="shared" si="334"/>
        <v xml:space="preserve"> </v>
      </c>
      <c r="MY114" s="47" t="str">
        <f t="shared" si="334"/>
        <v xml:space="preserve"> </v>
      </c>
      <c r="MZ114" s="57" t="str">
        <f t="shared" si="334"/>
        <v xml:space="preserve"> </v>
      </c>
      <c r="NA114" s="47" t="str">
        <f t="shared" si="334"/>
        <v xml:space="preserve"> </v>
      </c>
      <c r="NB114" s="47" t="str">
        <f t="shared" si="334"/>
        <v xml:space="preserve"> </v>
      </c>
      <c r="NC114" s="47" t="str">
        <f t="shared" si="334"/>
        <v xml:space="preserve"> </v>
      </c>
      <c r="ND114" s="47" t="str">
        <f t="shared" si="334"/>
        <v xml:space="preserve"> </v>
      </c>
      <c r="NE114" s="47" t="str">
        <f t="shared" si="334"/>
        <v xml:space="preserve"> </v>
      </c>
      <c r="NF114" s="57" t="str">
        <f t="shared" si="334"/>
        <v xml:space="preserve"> </v>
      </c>
      <c r="NG114" s="47" t="str">
        <f t="shared" si="334"/>
        <v xml:space="preserve"> </v>
      </c>
      <c r="NH114" s="47" t="str">
        <f t="shared" si="334"/>
        <v xml:space="preserve"> </v>
      </c>
      <c r="NI114" s="47" t="str">
        <f t="shared" si="334"/>
        <v xml:space="preserve"> </v>
      </c>
      <c r="NJ114" s="47" t="str">
        <f t="shared" si="334"/>
        <v xml:space="preserve"> </v>
      </c>
      <c r="NK114" s="47" t="str">
        <f t="shared" si="334"/>
        <v xml:space="preserve"> </v>
      </c>
      <c r="NL114" s="57" t="str">
        <f t="shared" si="334"/>
        <v xml:space="preserve"> </v>
      </c>
      <c r="NM114" s="47" t="str">
        <f t="shared" si="334"/>
        <v xml:space="preserve"> </v>
      </c>
    </row>
    <row r="115" spans="3:377" ht="15.75" customHeight="1">
      <c r="C115" s="7" t="str">
        <f t="shared" si="296"/>
        <v>metal</v>
      </c>
      <c r="D115" s="21" t="str">
        <f t="shared" si="169"/>
        <v xml:space="preserve">scale 1
 </v>
      </c>
      <c r="E115" s="21" t="str">
        <f t="shared" si="297"/>
        <v xml:space="preserve">scale(1,100),  </v>
      </c>
      <c r="F115" s="21" t="str">
        <f t="shared" si="170"/>
        <v xml:space="preserve">scale 100
 </v>
      </c>
      <c r="G115" s="21" t="str">
        <f t="shared" si="298"/>
        <v xml:space="preserve">metal(2), plastic(2), electronics(2), fabric(2), enthusiasm(1), enthusiasm(2), fun-ness(1), community manager(1), PR(1), fame(1), network(2), ease of access(1), reputation(2), social media(1),  </v>
      </c>
      <c r="H115" s="21" t="str">
        <f t="shared" si="299"/>
        <v xml:space="preserve">scale(1,6.25),  </v>
      </c>
      <c r="I115" s="21" t="str">
        <f t="shared" ref="I115" si="335">IF(I13="",I116,$C115&amp;"("&amp;I13&amp;"),"&amp;I116)</f>
        <v xml:space="preserve">scale(6.25), </v>
      </c>
      <c r="J115" s="21" t="str">
        <f t="shared" si="172"/>
        <v xml:space="preserve">scale 1
interaction 1
 </v>
      </c>
      <c r="K115" s="21" t="str">
        <f t="shared" si="173"/>
        <v xml:space="preserve">reputation(1,75),  </v>
      </c>
      <c r="L115" s="21" t="str">
        <f t="shared" si="174"/>
        <v xml:space="preserve">reputation 75
 </v>
      </c>
      <c r="M115" s="21" t="str">
        <f t="shared" si="175"/>
        <v xml:space="preserve">PR(1), portfolio(1), social innovation(1), non-profit biz(1),  </v>
      </c>
      <c r="N115" s="21" t="str">
        <f t="shared" si="176"/>
        <v xml:space="preserve">scale(1,6.25), enthusiasm(1,6.25), seriousness(1,25), non-profits(1,12.5), reputation(1,75), marketing(1,12.5),  </v>
      </c>
      <c r="O115" s="21" t="str">
        <f t="shared" si="177"/>
        <v xml:space="preserve">scale(6.25),enthusiasm(6.25),seriousness(25),non-profits(12.5),reputation(75),marketing(12.5), </v>
      </c>
      <c r="P115" s="21" t="str">
        <f t="shared" si="172"/>
        <v xml:space="preserve">scale 1
biz project 1
 </v>
      </c>
      <c r="Q115" s="21" t="str">
        <f t="shared" si="178"/>
        <v xml:space="preserve"> </v>
      </c>
      <c r="R115" s="21" t="str">
        <f t="shared" si="174"/>
        <v xml:space="preserve"> </v>
      </c>
      <c r="S115" s="21" t="str">
        <f t="shared" si="179"/>
        <v xml:space="preserve">portfolio(1), biz enhancement(1), business(1), start-up(1),  </v>
      </c>
      <c r="T115" s="21" t="str">
        <f t="shared" si="180"/>
        <v xml:space="preserve">scale(1,6.25), enthusiasm(1,6.25), seriousness(1,25), local biz(1,6.25), investors(1,6.25), reputation(1,6.25),  </v>
      </c>
      <c r="U115" s="21" t="str">
        <f t="shared" si="177"/>
        <v xml:space="preserve">scale(6.25),enthusiasm(6.25),seriousness(25),local biz(6.25),investors(6.25),reputation(6.25), </v>
      </c>
      <c r="V115" s="21" t="str">
        <f t="shared" si="172"/>
        <v xml:space="preserve">scale 1
 </v>
      </c>
      <c r="W115" s="21" t="str">
        <f t="shared" si="181"/>
        <v xml:space="preserve">local biz(1,),  </v>
      </c>
      <c r="X115" s="21" t="str">
        <f t="shared" si="174"/>
        <v xml:space="preserve"> </v>
      </c>
      <c r="Y115" s="21" t="str">
        <f t="shared" si="182"/>
        <v xml:space="preserve">enthusiasm(1), attention to details(1), PR(1), network(1), ease of access(1), reputation(1), portfolio(1), biz project(1), biz enhancement(1), job creation(1), business(1),  </v>
      </c>
      <c r="Z115" s="21" t="str">
        <f t="shared" si="183"/>
        <v xml:space="preserve">local biz(1,6.25),  </v>
      </c>
      <c r="AA115" s="21" t="str">
        <f t="shared" si="177"/>
        <v xml:space="preserve">local biz(6.25), </v>
      </c>
      <c r="AB115" s="21" t="str">
        <f t="shared" si="172"/>
        <v xml:space="preserve">scale 1
 </v>
      </c>
      <c r="AC115" s="21" t="str">
        <f t="shared" si="184"/>
        <v xml:space="preserve">non-profits(1,100),  </v>
      </c>
      <c r="AD115" s="21" t="str">
        <f t="shared" si="174"/>
        <v xml:space="preserve">non-profits 100
 </v>
      </c>
      <c r="AE115" s="21" t="str">
        <f t="shared" si="185"/>
        <v xml:space="preserve">enthusiasm(1), attention to details(1), PR(1), network(1), ease of access(1), reputation(1), portfolio(1), social project(1), social innovation(1), non-profit biz(1),  </v>
      </c>
      <c r="AF115" s="21" t="str">
        <f t="shared" si="186"/>
        <v xml:space="preserve">seriousness(1,6.25), non-profits(1,6.25),  </v>
      </c>
      <c r="AG115" s="21" t="str">
        <f t="shared" si="177"/>
        <v xml:space="preserve">seriousness(6.25),non-profits(6.25), </v>
      </c>
      <c r="AH115" s="21" t="str">
        <f t="shared" si="172"/>
        <v xml:space="preserve">scale 1
 </v>
      </c>
      <c r="AI115" s="21" t="str">
        <f t="shared" si="187"/>
        <v xml:space="preserve">govt(1,),  </v>
      </c>
      <c r="AJ115" s="21" t="str">
        <f t="shared" si="174"/>
        <v xml:space="preserve"> </v>
      </c>
      <c r="AK115" s="21" t="str">
        <f t="shared" si="188"/>
        <v xml:space="preserve">enthusiasm(1), attention to details(1), seriousness(1), fame(1), network(1), govt(1), ease of access(1), reputation(2), portfolio(1), social project(1), social innovation(1), non-profit biz(1),  </v>
      </c>
      <c r="AL115" s="21" t="str">
        <f t="shared" si="189"/>
        <v xml:space="preserve">govt(1,6.25),  </v>
      </c>
      <c r="AM115" s="21" t="str">
        <f t="shared" si="177"/>
        <v xml:space="preserve">govt(6.25), </v>
      </c>
      <c r="AN115" s="21" t="str">
        <f t="shared" si="172"/>
        <v xml:space="preserve">scale 1
enthusiasm 1
gifted leader 1
scale 1
enthusiasm 1
 </v>
      </c>
      <c r="AO115" s="21" t="str">
        <f t="shared" si="190"/>
        <v xml:space="preserve">fame(1,), network(1,), investors(1,6.25),  </v>
      </c>
      <c r="AP115" s="21" t="str">
        <f t="shared" si="174"/>
        <v xml:space="preserve">investors 6.25
 </v>
      </c>
      <c r="AQ115" s="21" t="str">
        <f t="shared" si="191"/>
        <v xml:space="preserve">investors(1), ease of access(1), reputation(1), portfolio(1), start-up(1), start-up with mvp(1), start-up with customers(1),  </v>
      </c>
      <c r="AR115" s="21" t="str">
        <f t="shared" si="192"/>
        <v xml:space="preserve"> </v>
      </c>
      <c r="AS115" s="21" t="str">
        <f t="shared" si="177"/>
        <v xml:space="preserve"> </v>
      </c>
      <c r="AT115" s="21" t="str">
        <f t="shared" si="172"/>
        <v xml:space="preserve">scale 1
enthusiasm 1
scale 2
enthusiasm 1
seriousness 1
administrator 1
non-profits 2
reputation 1
portfolio 1
social project 1
 </v>
      </c>
      <c r="AU115" s="21" t="str">
        <f t="shared" si="193"/>
        <v xml:space="preserve">ambition(1,), attention to details(1,),  </v>
      </c>
      <c r="AV115" s="21" t="str">
        <f t="shared" si="174"/>
        <v xml:space="preserve"> </v>
      </c>
      <c r="AW115" s="21" t="str">
        <f t="shared" si="194"/>
        <v xml:space="preserve">field knowledge(1), enthusiasm(3), PR(2), administrator(1), project management(2),  </v>
      </c>
      <c r="AX115" s="21" t="str">
        <f t="shared" si="195"/>
        <v xml:space="preserve">organizational rules and manuals(1,12.5), project management(1,12.5),  </v>
      </c>
      <c r="AY115" s="21" t="str">
        <f t="shared" si="177"/>
        <v xml:space="preserve">organizational rules and manuals(12.5),project management(12.5), </v>
      </c>
      <c r="AZ115" s="21" t="str">
        <f t="shared" si="172"/>
        <v xml:space="preserve">scale 1
enthusiasm 1
scale 1
enthusiasm 1
non-profits 1
 </v>
      </c>
      <c r="BA115" s="21" t="str">
        <f t="shared" si="196"/>
        <v xml:space="preserve"> </v>
      </c>
      <c r="BB115" s="21" t="str">
        <f t="shared" si="174"/>
        <v xml:space="preserve"> </v>
      </c>
      <c r="BC115" s="21" t="str">
        <f t="shared" si="197"/>
        <v xml:space="preserve"> </v>
      </c>
      <c r="BD115" s="21" t="str">
        <f t="shared" si="198"/>
        <v xml:space="preserve"> </v>
      </c>
      <c r="BE115" s="21" t="str">
        <f t="shared" si="177"/>
        <v xml:space="preserve"> </v>
      </c>
      <c r="BF115" s="21" t="str">
        <f t="shared" si="172"/>
        <v xml:space="preserve">scale 1
enthusiasm 1
scale 2
enthusiasm 1
seriousness 1
administrator 1
local biz 2
entrepreneurs 1
reputation 1
portfolio 1
biz project 1
 </v>
      </c>
      <c r="BG115" s="21" t="str">
        <f t="shared" si="199"/>
        <v xml:space="preserve">ambition(1,), attention to details(1,),  </v>
      </c>
      <c r="BH115" s="21" t="str">
        <f t="shared" si="174"/>
        <v xml:space="preserve"> </v>
      </c>
      <c r="BI115" s="21" t="str">
        <f t="shared" si="200"/>
        <v xml:space="preserve">field knowledge(1), enthusiasm(3), PR(2), administrator(1), project management(2),  </v>
      </c>
      <c r="BJ115" s="21" t="str">
        <f t="shared" si="201"/>
        <v xml:space="preserve">organizational rules and manuals(1,12.5), project management(1,12.5),  </v>
      </c>
      <c r="BK115" s="21" t="str">
        <f t="shared" si="177"/>
        <v xml:space="preserve">organizational rules and manuals(12.5),project management(12.5), </v>
      </c>
      <c r="BL115" s="21" t="str">
        <f t="shared" si="172"/>
        <v xml:space="preserve">scale 1
enthusiasm 1
scale 1
enthusiasm 1
local biz 1
reputation 1
portfolio 1
biz enhancement 1
 </v>
      </c>
      <c r="BM115" s="21" t="str">
        <f t="shared" si="202"/>
        <v xml:space="preserve"> </v>
      </c>
      <c r="BN115" s="21" t="str">
        <f t="shared" si="174"/>
        <v xml:space="preserve"> </v>
      </c>
      <c r="BO115" s="21" t="str">
        <f t="shared" si="203"/>
        <v xml:space="preserve"> </v>
      </c>
      <c r="BP115" s="21" t="str">
        <f t="shared" si="204"/>
        <v xml:space="preserve"> </v>
      </c>
      <c r="BQ115" s="21" t="str">
        <f t="shared" si="177"/>
        <v xml:space="preserve"> </v>
      </c>
      <c r="BR115" s="21" t="str">
        <f t="shared" si="172"/>
        <v xml:space="preserve"> </v>
      </c>
      <c r="BS115" s="21" t="str">
        <f t="shared" si="205"/>
        <v xml:space="preserve"> </v>
      </c>
      <c r="BT115" s="21" t="str">
        <f t="shared" si="174"/>
        <v xml:space="preserve"> </v>
      </c>
      <c r="BU115" s="21" t="str">
        <f t="shared" si="206"/>
        <v xml:space="preserve"> </v>
      </c>
      <c r="BV115" s="21" t="str">
        <f t="shared" si="207"/>
        <v xml:space="preserve"> </v>
      </c>
      <c r="BW115" s="21" t="str">
        <f t="shared" si="177"/>
        <v xml:space="preserve"> </v>
      </c>
      <c r="BX115" s="21" t="str">
        <f t="shared" si="208"/>
        <v xml:space="preserve">scale 1
network 1
 </v>
      </c>
      <c r="BY115" s="21" t="str">
        <f t="shared" si="209"/>
        <v xml:space="preserve">efficiency(1,),  </v>
      </c>
      <c r="BZ115" s="21" t="str">
        <f t="shared" si="210"/>
        <v xml:space="preserve"> </v>
      </c>
      <c r="CA115" s="21" t="str">
        <f t="shared" si="211"/>
        <v xml:space="preserve">scale(2), enthusiasm(1), attention to details(1), administrator(1), negotiation(1),  </v>
      </c>
      <c r="CB115" s="21" t="str">
        <f t="shared" si="212"/>
        <v xml:space="preserve">user rules and manuals(1,50), organizational rules and manuals(1,50),  </v>
      </c>
      <c r="CC115" s="21" t="str">
        <f t="shared" si="213"/>
        <v xml:space="preserve">user rules and manuals(50),organizational rules and manuals(50), </v>
      </c>
      <c r="CD115" s="21" t="str">
        <f t="shared" si="208"/>
        <v xml:space="preserve">scale 1
scale 1
enthusiasm 1
network 1
 </v>
      </c>
      <c r="CE115" s="21" t="str">
        <f t="shared" si="214"/>
        <v xml:space="preserve">field knowledge(1,), non-profits(1,),  </v>
      </c>
      <c r="CF115" s="21" t="str">
        <f t="shared" si="210"/>
        <v xml:space="preserve"> </v>
      </c>
      <c r="CG115" s="21" t="str">
        <f t="shared" si="215"/>
        <v xml:space="preserve">metal(2), plastic(2), electronics(2), fabric(2), fun-ness(1), seriousness(1), ease of access(1), portfolio(1), user rules and manuals(1), negotiation(1), social project(1), biz project(1), for basic literacy(1), for the elites(1), for entrepreneurs(1),  </v>
      </c>
      <c r="CH115" s="21" t="str">
        <f t="shared" si="216"/>
        <v xml:space="preserve">scale(1,6.25), technologists(1,6.25), non-profits(1,6.25),  </v>
      </c>
      <c r="CI115" s="21" t="str">
        <f t="shared" si="213"/>
        <v xml:space="preserve">scale(6.25),technologists(6.25),non-profits(6.25), </v>
      </c>
      <c r="CJ115" s="21" t="str">
        <f t="shared" si="208"/>
        <v xml:space="preserve">scale 1
scale 1
 </v>
      </c>
      <c r="CK115" s="21" t="str">
        <f t="shared" si="217"/>
        <v xml:space="preserve">suppliers(1,),  </v>
      </c>
      <c r="CL115" s="21" t="str">
        <f t="shared" si="210"/>
        <v xml:space="preserve"> </v>
      </c>
      <c r="CM115" s="21" t="str">
        <f t="shared" si="218"/>
        <v xml:space="preserve">reputation(1), negotiation(1),  </v>
      </c>
      <c r="CN115" s="21" t="str">
        <f t="shared" si="219"/>
        <v xml:space="preserve">learning capacities(1,), engineering knowledge(1,), enthusiasm(2,), efficiency(1,6.25),  </v>
      </c>
      <c r="CO115" s="21" t="str">
        <f t="shared" si="213"/>
        <v xml:space="preserve">efficiency(6.25), </v>
      </c>
      <c r="CP115" s="21" t="str">
        <f t="shared" si="208"/>
        <v xml:space="preserve">scale 1
scale 1
 </v>
      </c>
      <c r="CQ115" s="21" t="str">
        <f t="shared" si="220"/>
        <v xml:space="preserve">technologists(1,),  </v>
      </c>
      <c r="CR115" s="21" t="str">
        <f t="shared" si="210"/>
        <v xml:space="preserve"> </v>
      </c>
      <c r="CS115" s="21" t="str">
        <f t="shared" si="221"/>
        <v xml:space="preserve">metal(2), 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5" s="21" t="str">
        <f t="shared" si="222"/>
        <v xml:space="preserve">engineering knowledge(1,6.25), efficiency(1,6.25),  </v>
      </c>
      <c r="CU115" s="21" t="str">
        <f t="shared" si="213"/>
        <v xml:space="preserve">engineering knowledge(6.25),efficiency(6.25), </v>
      </c>
      <c r="CV115" s="21" t="str">
        <f t="shared" si="208"/>
        <v xml:space="preserve">scale 1
scale 1
 </v>
      </c>
      <c r="CW115" s="21" t="str">
        <f t="shared" si="223"/>
        <v xml:space="preserve">local biz(1,),  </v>
      </c>
      <c r="CX115" s="21" t="str">
        <f t="shared" si="210"/>
        <v xml:space="preserve"> </v>
      </c>
      <c r="CY115" s="21" t="str">
        <f t="shared" si="224"/>
        <v xml:space="preserve">metal(2), plastic(2), electronics(2), fabric(2), ease of access(1), reputation(1), portfolio(1), negotiation(1),  </v>
      </c>
      <c r="CZ115" s="21" t="str">
        <f t="shared" si="225"/>
        <v xml:space="preserve">non-profits(1,6.25),  </v>
      </c>
      <c r="DA115" s="21" t="str">
        <f t="shared" si="213"/>
        <v xml:space="preserve">non-profits(6.25), </v>
      </c>
      <c r="DB115" s="21" t="str">
        <f t="shared" si="208"/>
        <v xml:space="preserve">scale 1
 </v>
      </c>
      <c r="DC115" s="21" t="str">
        <f t="shared" si="226"/>
        <v xml:space="preserve"> </v>
      </c>
      <c r="DD115" s="21" t="str">
        <f t="shared" si="210"/>
        <v xml:space="preserve"> </v>
      </c>
      <c r="DE115" s="21" t="str">
        <f t="shared" si="227"/>
        <v xml:space="preserve">metal(2), 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5" s="21" t="str">
        <f t="shared" si="228"/>
        <v xml:space="preserve">network(1,), local biz(1,6.25), biz group(1,6.25), investors(1,6.25), entrepreneurs(1,6.25),  </v>
      </c>
      <c r="DG115" s="21" t="str">
        <f t="shared" si="213"/>
        <v xml:space="preserve">local biz(6.25),biz group(6.25),investors(6.25),entrepreneurs(6.25), </v>
      </c>
      <c r="DH115" s="21" t="str">
        <f t="shared" si="208"/>
        <v xml:space="preserve">scale 1
enthusiasm 1
scale 1
enthusiasm 1
network 1
non-profits 1
reputation 1
social project 1
 </v>
      </c>
      <c r="DI115" s="21" t="str">
        <f t="shared" si="229"/>
        <v xml:space="preserve"> </v>
      </c>
      <c r="DJ115" s="21" t="str">
        <f t="shared" si="210"/>
        <v xml:space="preserve"> </v>
      </c>
      <c r="DK115" s="21" t="str">
        <f t="shared" si="230"/>
        <v xml:space="preserve">metal(1), 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5" s="21" t="str">
        <f t="shared" si="231"/>
        <v xml:space="preserve">field knowledge(1,12.5), network among members(1,12.5), reputation(1,6.25),  </v>
      </c>
      <c r="DM115" s="21" t="str">
        <f t="shared" si="213"/>
        <v xml:space="preserve">field knowledge(12.5),network among members(12.5),reputation(6.25), </v>
      </c>
      <c r="DN115" s="21" t="str">
        <f t="shared" si="208"/>
        <v xml:space="preserve">scale 1
enthusiasm 1
scale 1
enthusiasm 1
network 1
local biz 1
reputation 1
biz project 1
 </v>
      </c>
      <c r="DO115" s="21" t="str">
        <f t="shared" si="232"/>
        <v xml:space="preserve"> </v>
      </c>
      <c r="DP115" s="21" t="str">
        <f t="shared" si="210"/>
        <v xml:space="preserve"> </v>
      </c>
      <c r="DQ115" s="21" t="str">
        <f t="shared" si="233"/>
        <v xml:space="preserve">metal(1), 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5" s="21" t="str">
        <f t="shared" si="234"/>
        <v xml:space="preserve">field knowledge(1,12.5), network among members(1,12.5), reputation(1,6.25),  </v>
      </c>
      <c r="DS115" s="21" t="str">
        <f t="shared" si="213"/>
        <v xml:space="preserve">field knowledge(12.5),network among members(12.5),reputation(6.25), </v>
      </c>
      <c r="DT115" s="21" t="str">
        <f t="shared" si="208"/>
        <v xml:space="preserve">scale 1
enthusiasm 1
scale 1
enthusiasm 1
network 1
reputation 1
 </v>
      </c>
      <c r="DU115" s="21" t="str">
        <f t="shared" si="235"/>
        <v xml:space="preserve"> </v>
      </c>
      <c r="DV115" s="21" t="str">
        <f t="shared" si="210"/>
        <v xml:space="preserve"> </v>
      </c>
      <c r="DW115"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5" s="21" t="str">
        <f t="shared" si="237"/>
        <v xml:space="preserve">enthusiasm(1,6.25), field knowledge(1,6.25), engineering knowledge(1,6.25), ambition(1,6.25), reputation(1,6.25), for basic literacy(1,6.25),  </v>
      </c>
      <c r="DY115" s="21" t="str">
        <f t="shared" si="213"/>
        <v xml:space="preserve">enthusiasm(6.25),field knowledge(6.25),engineering knowledge(6.25),ambition(6.25),reputation(6.25),for basic literacy(6.25), </v>
      </c>
      <c r="DZ115" s="21" t="str">
        <f t="shared" si="208"/>
        <v xml:space="preserve">scale 1
enthusiasm 1
scale 1
enthusiasm 1
network 1
reputation 1
 </v>
      </c>
      <c r="EA115" s="21" t="str">
        <f t="shared" si="238"/>
        <v xml:space="preserve"> </v>
      </c>
      <c r="EB115" s="21" t="str">
        <f t="shared" si="210"/>
        <v xml:space="preserve"> </v>
      </c>
      <c r="EC115"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5" s="21" t="str">
        <f t="shared" si="240"/>
        <v xml:space="preserve">enthusiasm(1,6.25), engineering knowledge(1,6.25), ambition(1,6.25), reputation(1,6.25), for basic literacy(1,6.25),  </v>
      </c>
      <c r="EE115" s="21" t="str">
        <f t="shared" si="213"/>
        <v xml:space="preserve">enthusiasm(6.25),engineering knowledge(6.25),ambition(6.25),reputation(6.25),for basic literacy(6.25), </v>
      </c>
      <c r="EF115" s="21" t="str">
        <f t="shared" si="208"/>
        <v xml:space="preserve">scale 2
enthusiasm 2
technologists 1
reputation 1
 </v>
      </c>
      <c r="EG115" s="21" t="str">
        <f t="shared" si="241"/>
        <v xml:space="preserve">web(1,50), mobile apps(1,50), interaction(1,50),  </v>
      </c>
      <c r="EH115" s="21" t="str">
        <f t="shared" si="210"/>
        <v xml:space="preserve">web 50
mobile apps 50
interaction 50
 </v>
      </c>
      <c r="EI115"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5" s="21" t="str">
        <f t="shared" si="243"/>
        <v xml:space="preserve">engineering knowledge(1,6.25), technologists(1,12.5), infrastructrue(1,12.5), database(1,12.5), mobile comm(1,12.5), for entrepreneurs(1,6.25),  </v>
      </c>
      <c r="EK115" s="21" t="str">
        <f t="shared" si="213"/>
        <v xml:space="preserve">engineering knowledge(6.25),technologists(12.5),infrastructrue(12.5),database(12.5),mobile comm(12.5),for entrepreneurs(6.25), </v>
      </c>
      <c r="EL115" s="21" t="str">
        <f t="shared" si="244"/>
        <v xml:space="preserve">scale 2
enthusiasm 2
technologists 1
reputation 1
 </v>
      </c>
      <c r="EM115" s="21" t="str">
        <f t="shared" si="245"/>
        <v xml:space="preserve">sensors(1,50),  </v>
      </c>
      <c r="EN115" s="21" t="str">
        <f t="shared" si="246"/>
        <v xml:space="preserve">sensors 50
 </v>
      </c>
      <c r="EO115"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5" s="21" t="str">
        <f t="shared" si="248"/>
        <v xml:space="preserve">engineering knowledge(1,6.25), technologists(1,12.5), infrastructrue(1,12.5), database(1,12.5), mobile comm(1,12.5), electronics(1,6.25), for entrepreneurs(1,6.25),  </v>
      </c>
      <c r="EQ115" s="21" t="str">
        <f t="shared" si="249"/>
        <v xml:space="preserve">engineering knowledge(6.25),technologists(12.5),infrastructrue(12.5),database(12.5),mobile comm(12.5),electronics(6.25),for entrepreneurs(6.25), </v>
      </c>
      <c r="ER115" s="21" t="str">
        <f t="shared" si="244"/>
        <v xml:space="preserve">scale 2
enthusiasm 2
technologists 1
 </v>
      </c>
      <c r="ES115" s="21" t="str">
        <f t="shared" si="250"/>
        <v xml:space="preserve">AI&amp; data analysis(1,50),  </v>
      </c>
      <c r="ET115" s="21" t="str">
        <f t="shared" si="246"/>
        <v xml:space="preserve">AI&amp; data analysis 50
 </v>
      </c>
      <c r="EU115"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5" s="21" t="str">
        <f t="shared" si="252"/>
        <v xml:space="preserve">engineering knowledge(1,6.25), technologists(1,12.5), database(1,12.5), sensors(1,12.5), mobile comm(1,12.5), for entrepreneurs(1,6.25),  </v>
      </c>
      <c r="EW115" s="21" t="str">
        <f t="shared" si="249"/>
        <v xml:space="preserve">engineering knowledge(6.25),technologists(12.5),database(12.5),sensors(12.5),mobile comm(12.5),for entrepreneurs(6.25), </v>
      </c>
      <c r="EX115" s="21" t="str">
        <f t="shared" si="244"/>
        <v xml:space="preserve">scale 2
enthusiasm 2
technologists 1
 </v>
      </c>
      <c r="EY115" s="21" t="str">
        <f t="shared" si="253"/>
        <v xml:space="preserve">law(1,50), security(1,50), interaction(1,25),  </v>
      </c>
      <c r="EZ115" s="21" t="str">
        <f t="shared" si="246"/>
        <v xml:space="preserve">law 50
security 50
interaction 25
 </v>
      </c>
      <c r="FA115"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5" s="21" t="str">
        <f t="shared" si="255"/>
        <v xml:space="preserve">field knowledge(1,6.25), engineering knowledge(1,6.25), technologists(1,12.5), law(1,6.25), database(1,12.5), mobile apps(1,12.5), security(1,12.5), mobile comm(1,12.5), for entrepreneurs(1,6.25),  </v>
      </c>
      <c r="FC115" s="21" t="str">
        <f t="shared" si="249"/>
        <v xml:space="preserve">field knowledge(6.25),engineering knowledge(6.25),technologists(12.5),law(6.25),database(12.5),mobile apps(12.5),security(12.5),mobile comm(12.5),for entrepreneurs(6.25), </v>
      </c>
      <c r="FD115" s="21" t="str">
        <f t="shared" si="244"/>
        <v xml:space="preserve">scale 2
enthusiasm 2
technologists 1
 </v>
      </c>
      <c r="FE115" s="21" t="str">
        <f t="shared" si="256"/>
        <v xml:space="preserve">law(1,50), sensors(1,50), security(1,50),  </v>
      </c>
      <c r="FF115" s="21" t="str">
        <f t="shared" si="246"/>
        <v xml:space="preserve">law 50
sensors 50
security 50
 </v>
      </c>
      <c r="FG115"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5" s="21" t="str">
        <f t="shared" si="258"/>
        <v xml:space="preserve">field knowledge(1,6.25), engineering knowledge(1,6.25), technologists(1,12.5), law(1,6.25), database(1,6.25), mobile apps(1,6.25), AI&amp; data analysis(1,6.25), mobile comm(1,6.25), for entrepreneurs(1,6.25),  </v>
      </c>
      <c r="FI115" s="21" t="str">
        <f t="shared" si="249"/>
        <v xml:space="preserve">field knowledge(6.25),engineering knowledge(6.25),technologists(12.5),law(6.25),database(6.25),mobile apps(6.25),AI&amp; data analysis(6.25),mobile comm(6.25),for entrepreneurs(6.25), </v>
      </c>
      <c r="FJ115" s="21" t="str">
        <f t="shared" si="244"/>
        <v xml:space="preserve">scale 2
enthusiasm 2
technologists 1
 </v>
      </c>
      <c r="FK115" s="21" t="str">
        <f t="shared" si="259"/>
        <v xml:space="preserve">wood processing(1,25), metal processing(1,25), plastic processing(1,25), fabric(1,25), safety(1,25), interaction(1,25),  </v>
      </c>
      <c r="FL115" s="21" t="str">
        <f t="shared" si="246"/>
        <v xml:space="preserve">project management 2
wood processing 25
metal processing 25
plastic processing 25
fabric 25
safety 25
interaction 25
 </v>
      </c>
      <c r="FM115"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5" s="21" t="str">
        <f t="shared" si="261"/>
        <v xml:space="preserve">field knowledge(1,6.25), engineering knowledge(1,6.25), technologists(1,12.5), for entrepreneurs(1,6.25),  </v>
      </c>
      <c r="FO115" s="21" t="str">
        <f t="shared" si="249"/>
        <v xml:space="preserve">field knowledge(6.25),engineering knowledge(6.25),technologists(12.5),for entrepreneurs(6.25), </v>
      </c>
      <c r="FP115" s="21" t="str">
        <f t="shared" si="244"/>
        <v xml:space="preserve">scale 2
enthusiasm 2
technologists 1
 </v>
      </c>
      <c r="FQ115" s="21" t="str">
        <f t="shared" si="262"/>
        <v xml:space="preserve">web(1,25), mobile apps(1,50), functions(1,25), interaction(1,25),  </v>
      </c>
      <c r="FR115" s="21" t="str">
        <f t="shared" si="246"/>
        <v xml:space="preserve">web 25
mobile apps 50
functions 25
interaction 25
 </v>
      </c>
      <c r="FS115"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5" s="21" t="str">
        <f t="shared" si="264"/>
        <v xml:space="preserve">field knowledge(1,6.25), engineering knowledge(1,6.25), technologists(1,12.5), for entrepreneurs(1,6.25),  </v>
      </c>
      <c r="FU115" s="21" t="str">
        <f t="shared" si="249"/>
        <v xml:space="preserve">field knowledge(6.25),engineering knowledge(6.25),technologists(12.5),for entrepreneurs(6.25), </v>
      </c>
      <c r="FV115" s="21" t="str">
        <f t="shared" si="244"/>
        <v xml:space="preserve">scale 2
enthusiasm 2
technologists 1
 </v>
      </c>
      <c r="FW115" s="21" t="str">
        <f t="shared" si="265"/>
        <v xml:space="preserve">mobile apps(1,50), sensors(1,50), wood processing(1,25), plastic processing(1,25), electronics(1,25), functions(1,25), interaction(1,25),  </v>
      </c>
      <c r="FX115" s="21" t="str">
        <f t="shared" si="246"/>
        <v xml:space="preserve">mobile apps 50
sensors 50
wood processing 25
plastic processing 25
electronics 25
functions 25
interaction 25
 </v>
      </c>
      <c r="FY115"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5" s="21" t="str">
        <f t="shared" si="267"/>
        <v xml:space="preserve">field knowledge(1,6.25), engineering knowledge(1,6.25), technologists(1,12.5), web(1,6.25), database(1,6.25), AI&amp; data analysis(1,6.25), mobile comm(1,6.25), for entrepreneurs(1,6.25),  </v>
      </c>
      <c r="GA115" s="21" t="str">
        <f t="shared" si="249"/>
        <v xml:space="preserve">field knowledge(6.25),engineering knowledge(6.25),technologists(12.5),web(6.25),database(6.25),AI&amp; data analysis(6.25),mobile comm(6.25),for entrepreneurs(6.25), </v>
      </c>
      <c r="GB115" s="21" t="str">
        <f t="shared" si="244"/>
        <v xml:space="preserve">scale 2
enthusiasm 2
technologists 1
 </v>
      </c>
      <c r="GC115" s="21" t="str">
        <f t="shared" si="268"/>
        <v xml:space="preserve">sensors(1,25), mobile comm(1,25), electronics(1,50), functions(1,25), safety(1,25),  </v>
      </c>
      <c r="GD115" s="21" t="str">
        <f t="shared" si="246"/>
        <v xml:space="preserve">sensors 25
mobile comm 25
electronics 50
functions 25
safety 25
 </v>
      </c>
      <c r="GE115"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5" s="21" t="str">
        <f t="shared" si="270"/>
        <v xml:space="preserve">field knowledge(1,6.25), engineering knowledge(1,6.25), technologists(1,12.5), database(1,6.25), mobile apps(1,6.25), AI&amp; data analysis(1,6.25), plastic processing(1,6.25), interaction(1,6.25), for entrepreneurs(1,6.25),  </v>
      </c>
      <c r="GG115" s="21" t="str">
        <f t="shared" si="249"/>
        <v xml:space="preserve">field knowledge(6.25),engineering knowledge(6.25),technologists(12.5),database(6.25),mobile apps(6.25),AI&amp; data analysis(6.25),plastic processing(6.25),interaction(6.25),for entrepreneurs(6.25), </v>
      </c>
      <c r="GH115" s="21" t="str">
        <f t="shared" si="244"/>
        <v xml:space="preserve">scale 2
enthusiasm 2
technologists 1
 </v>
      </c>
      <c r="GI115" s="21" t="str">
        <f t="shared" si="271"/>
        <v xml:space="preserve">web(1,25), mobile apps(1,50), functions(1,25), interaction(1,25),  </v>
      </c>
      <c r="GJ115" s="21" t="str">
        <f t="shared" si="246"/>
        <v xml:space="preserve">web 25
mobile apps 50
functions 25
interaction 25
 </v>
      </c>
      <c r="GK115"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5" s="21" t="str">
        <f t="shared" si="273"/>
        <v xml:space="preserve">field knowledge(1,6.25), engineering knowledge(1,6.25), technologists(1,12.5), for entrepreneurs(1,6.25),  </v>
      </c>
      <c r="GM115" s="21" t="str">
        <f t="shared" si="249"/>
        <v xml:space="preserve">field knowledge(6.25),engineering knowledge(6.25),technologists(12.5),for entrepreneurs(6.25), </v>
      </c>
      <c r="GN115" s="21" t="str">
        <f t="shared" si="244"/>
        <v xml:space="preserve">scale 2
enthusiasm 2
technologists 1
 </v>
      </c>
      <c r="GO115" s="21" t="str">
        <f t="shared" si="274"/>
        <v xml:space="preserve">web(1,25), mobile apps(1,25), VR&amp;AR(1,25), aesthetics(1,25), functions(1,25), interaction(1,50),  </v>
      </c>
      <c r="GP115" s="21" t="str">
        <f t="shared" si="246"/>
        <v xml:space="preserve">web 25
mobile apps 25
VR&amp;AR 25
aesthetics 25
functions 25
interaction 50
 </v>
      </c>
      <c r="GQ115"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5" s="21" t="str">
        <f t="shared" si="276"/>
        <v xml:space="preserve">field knowledge(1,6.25), technologists(1,12.5), for entrepreneurs(1,6.25),  </v>
      </c>
      <c r="GS115" s="21" t="str">
        <f t="shared" si="249"/>
        <v xml:space="preserve">field knowledge(6.25),technologists(12.5),for entrepreneurs(6.25), </v>
      </c>
      <c r="GT115" s="21" t="str">
        <f t="shared" si="244"/>
        <v xml:space="preserve">scale 3
scale 2
ease of access 1
reputation 2
web 1
mobile apps 1
mobile comm 1
 </v>
      </c>
      <c r="GU115" s="21" t="str">
        <f t="shared" si="277"/>
        <v xml:space="preserve"> </v>
      </c>
      <c r="GV115" s="21" t="str">
        <f t="shared" si="246"/>
        <v xml:space="preserve"> </v>
      </c>
      <c r="GW115"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5"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5"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5" s="21" t="str">
        <f t="shared" si="280"/>
        <v xml:space="preserve">plastic 1
electronics 1
fabric 1
scale 2
enthusiasm 2
scale 2
enthusiasm 2
network 1
govt 1
non-profits 1
reputation 2
portfolio 1
 </v>
      </c>
      <c r="HA115" s="21" t="str">
        <f t="shared" si="281"/>
        <v xml:space="preserve"> </v>
      </c>
      <c r="HB115" s="21" t="str">
        <f t="shared" si="282"/>
        <v xml:space="preserve"> </v>
      </c>
      <c r="HC115"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5" s="21" t="str">
        <f t="shared" si="284"/>
        <v xml:space="preserve">scale(1,6.25), enthusiasm(1,6.25), learning capacities(1,6.25), field knowledge(1,6.25), enthusiasm(1,6.25), media(1,6.25), technologists(1,6.25), non-profits(1,6.25), reputation(1,6.25), start-up with customers(1,6.25), for basic literacy(1,6.25),  </v>
      </c>
      <c r="HE115" s="21" t="str">
        <f t="shared" si="285"/>
        <v xml:space="preserve">scale(6.25),enthusiasm(6.25),learning capacities(6.25),field knowledge(6.25),enthusiasm(6.25),media(6.25),technologists(6.25),non-profits(6.25),reputation(6.25),start-up with customers(6.25),for basic literacy(6.25), </v>
      </c>
      <c r="HF115" s="21" t="str">
        <f t="shared" si="280"/>
        <v xml:space="preserve"> </v>
      </c>
      <c r="HG115" s="21" t="str">
        <f t="shared" si="286"/>
        <v xml:space="preserve">scale(2,), enthusiasm(2,),  </v>
      </c>
      <c r="HH115" s="21" t="str">
        <f t="shared" si="282"/>
        <v xml:space="preserve"> </v>
      </c>
      <c r="HI115"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5" s="21" t="str">
        <f t="shared" si="288"/>
        <v xml:space="preserve">scale(1,6.25), enthusiasm(1,6.25), learning capacities(1,6.25), network among members(1,6.25), enthusiasm(1,6.25), fun-ness(1,6.25), seriousness(1,6.25), govt(1,6.25), media(1,6.25), non-profits(1,6.25), start-up with customers(1,6.25),  </v>
      </c>
      <c r="HK115" s="21" t="str">
        <f t="shared" si="285"/>
        <v xml:space="preserve">scale(6.25),enthusiasm(6.25),learning capacities(6.25),network among members(6.25),enthusiasm(6.25),fun-ness(6.25),seriousness(6.25),govt(6.25),media(6.25),non-profits(6.25),start-up with customers(6.25), </v>
      </c>
      <c r="HL115" s="21" t="str">
        <f t="shared" si="280"/>
        <v xml:space="preserve">scale 2
scale 2
community manager 1
PR 1
administrator 1
local biz 1
entrepreneurs 1
non-profits 1
reputation 2
portfolio 2
 </v>
      </c>
      <c r="HM115" s="21" t="str">
        <f t="shared" si="289"/>
        <v xml:space="preserve">scale(1,25), enthusiasm(1,25), network among members(1,25), scale(1,25), enthusiasm(1,25), ambition(1,25), fun-ness(1,25), seriousness(1,25),  </v>
      </c>
      <c r="HN115" s="21" t="str">
        <f t="shared" si="282"/>
        <v xml:space="preserve">scale 25
enthusiasm 25
network among members 25
scale 25
enthusiasm 25
ambition 25
fun-ness 25
seriousness 25
 </v>
      </c>
      <c r="HO115"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5"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5" s="47" t="str">
        <f t="shared" si="285"/>
        <v xml:space="preserve">scale(6.25),enthusiasm(6.25),enthusiasm(6.25),fun-ness(6.25),enthusiasm(6.25),level of understanding(6.25),local biz(6.25),biz group(6.25),govt(6.25),investors(6.25),media(6.25),entrepreneurs(6.25),technologists(6.25),suppliers(6.25),non-profits(6.25),reputation(6.25), </v>
      </c>
      <c r="HR115" s="47" t="str">
        <f t="shared" ref="HR115:HW115" si="336">IF(HR13="",HR116,$C115&amp;"("&amp;HR13&amp;"),"&amp;HR116)</f>
        <v xml:space="preserve">metal(1),plastic(1),electronics(1),scale(2),enthusiasm(2),engineering knowledge(2),scale(2),enthusiasm(2),reputation(2),portfolio(2),mobile apps(1),sensors(1),wood processing(1),aesthetics(1), </v>
      </c>
      <c r="HS115" s="47" t="str">
        <f t="shared" si="336"/>
        <v xml:space="preserve"> </v>
      </c>
      <c r="HT115" s="47" t="str">
        <f t="shared" si="336"/>
        <v xml:space="preserve"> </v>
      </c>
      <c r="HU115" s="47" t="str">
        <f t="shared" si="33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5" s="47" t="str">
        <f t="shared" si="336"/>
        <v xml:space="preserve">gifted programmer(1),local biz(1),biz group(1),govt(1),investors(1),media(1),entrepreneurs(1),technologists(1),suppliers(1),non-profits(1),reputation(1), </v>
      </c>
      <c r="HW115" s="47" t="str">
        <f t="shared" si="336"/>
        <v xml:space="preserve">gifted programmer(6.25),local biz(6.25),biz group(6.25),govt(6.25),investors(6.25),media(6.25),entrepreneurs(6.25),technologists(12.5),suppliers(6.25),non-profits(6.25),reputation(6.25), </v>
      </c>
      <c r="HX115" s="47" t="str">
        <f t="shared" ref="HX115:IU115" si="337">IF(HX13="",HX116,$C115&amp;"("&amp;HX13&amp;"),"&amp;HX116)</f>
        <v xml:space="preserve">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5" s="47" t="str">
        <f t="shared" si="337"/>
        <v xml:space="preserve">biz enhancement(1), </v>
      </c>
      <c r="HZ115" s="47" t="str">
        <f t="shared" si="337"/>
        <v xml:space="preserve">biz enhancement(100), </v>
      </c>
      <c r="IA115" s="47" t="str">
        <f t="shared" si="337"/>
        <v xml:space="preserve">community manager(1),PR(1),finance(1),administrator(1),enthusiasm(2),network(2),ambition(2),knowledge(2),spaciousness(2),ease of access(3),efficiency(2),portfolio(4),finance(2),business model(2),marketing(3),team building(2),project management(2),social media(3),negotiation(3), </v>
      </c>
      <c r="IB115" s="47" t="str">
        <f t="shared" si="33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5" s="47" t="str">
        <f t="shared" si="33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5" s="47" t="str">
        <f t="shared" si="337"/>
        <v xml:space="preserve">scale(2),enthusiasm(2),engineering knowledge(1),scale(1),technologists(2), </v>
      </c>
      <c r="IE115" s="47" t="str">
        <f t="shared" si="337"/>
        <v xml:space="preserve">engineering knowledge(1),web(1),mobile apps(1),security(1),AI&amp; data analysis(1), </v>
      </c>
      <c r="IF115" s="47" t="str">
        <f t="shared" si="337"/>
        <v xml:space="preserve">engineering knowledge(25),web(25),mobile apps(25),security(25),AI&amp; data analysis(25), </v>
      </c>
      <c r="IG115" s="47" t="str">
        <f t="shared" si="33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5" s="47" t="str">
        <f t="shared" si="337"/>
        <v xml:space="preserve">engineering knowledge(1),technologists(1),web(1),database(1),mobile apps(1),security(1),AI&amp; data analysis(1), </v>
      </c>
      <c r="II115" s="47" t="str">
        <f t="shared" si="337"/>
        <v xml:space="preserve">engineering knowledge(6.25),technologists(6.25),web(6.25),database(6.25),mobile apps(6.25),security(6.25),AI&amp; data analysis(6.25), </v>
      </c>
      <c r="IJ115" s="47" t="str">
        <f t="shared" si="337"/>
        <v xml:space="preserve">metal(1),scale(2),enthusiasm(2),engineering knowledge(1),scale(1),technologists(2), </v>
      </c>
      <c r="IK115" s="47" t="str">
        <f t="shared" si="337"/>
        <v xml:space="preserve">engineering knowledge(1),wood processing(1),metal processing(1),functions(1),safety(1), </v>
      </c>
      <c r="IL115" s="47" t="str">
        <f t="shared" si="337"/>
        <v xml:space="preserve">engineering knowledge(25),wood processing(25),metal processing(25),functions(25),safety(25), </v>
      </c>
      <c r="IM115" s="47" t="str">
        <f t="shared" si="33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5" s="47" t="str">
        <f t="shared" si="337"/>
        <v xml:space="preserve">engineering knowledge(1),technologists(1),wood processing(1),metal processing(1),functions(1),safety(1),interaction(1), </v>
      </c>
      <c r="IO115" s="47" t="str">
        <f t="shared" si="337"/>
        <v xml:space="preserve">engineering knowledge(6.25),technologists(6.25),wood processing(6.25),metal processing(6.25),functions(6.25),safety(6.25),interaction(6.25), </v>
      </c>
      <c r="IP115" s="57" t="str">
        <f t="shared" si="337"/>
        <v xml:space="preserve">scale(2),enthusiasm(2),learning capacities(1),scale(2),local biz(2),reputation(1), </v>
      </c>
      <c r="IQ115" s="47" t="str">
        <f t="shared" si="337"/>
        <v xml:space="preserve">field knowledge(1),network among members(1),local biz(1),marketing(1), </v>
      </c>
      <c r="IR115" s="47" t="str">
        <f t="shared" si="337"/>
        <v xml:space="preserve">field knowledge(100),network among members(25),local biz(25),marketing(25), </v>
      </c>
      <c r="IS115" s="47" t="str">
        <f t="shared" si="33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5" s="47" t="str">
        <f t="shared" si="337"/>
        <v xml:space="preserve">field knowledge(1),network among members(1),enthusiasm(1),fun-ness(1),seriousness(1),local biz(1),biz group(1),govt(1),non-profits(1),marketing(1), </v>
      </c>
      <c r="IU115" s="47" t="str">
        <f t="shared" si="337"/>
        <v xml:space="preserve">field knowledge(6.25),network among members(6.25),enthusiasm(6.25),fun-ness(6.25),seriousness(6.25),local biz(6.25),biz group(6.25),govt(6.25),non-profits(6.25),marketing(6.25), </v>
      </c>
      <c r="IV115" s="57" t="str">
        <f t="shared" ref="IV115:LG115" si="338">IF(IV13="",IV116,$C115&amp;"("&amp;IV13&amp;"),"&amp;IV116)</f>
        <v xml:space="preserve">scale(2),enthusiasm(2),learning capacities(1),scale(2),local biz(2),reputation(1), </v>
      </c>
      <c r="IW115" s="47" t="str">
        <f t="shared" si="338"/>
        <v xml:space="preserve">field knowledge(1),network among members(1),local biz(1),marketing(1), </v>
      </c>
      <c r="IX115" s="47" t="str">
        <f t="shared" si="338"/>
        <v xml:space="preserve">field knowledge(100),network among members(25),local biz(25),marketing(25), </v>
      </c>
      <c r="IY115" s="47" t="str">
        <f t="shared" si="33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5" s="47" t="str">
        <f t="shared" si="338"/>
        <v xml:space="preserve">field knowledge(1),network among members(1),enthusiasm(1),fun-ness(1),seriousness(1),local biz(1),biz group(1),govt(1),marketing(1), </v>
      </c>
      <c r="JA115" s="47" t="str">
        <f t="shared" si="338"/>
        <v xml:space="preserve">field knowledge(6.25),network among members(6.25),enthusiasm(6.25),fun-ness(6.25),seriousness(6.25),local biz(6.25),biz group(6.25),govt(6.25),marketing(6.25), </v>
      </c>
      <c r="JB115" s="47" t="str">
        <f t="shared" si="338"/>
        <v xml:space="preserve">metal(1),plastic(1),electronics(1),fabric(1),scale(2),enthusiasm(1),scale(1),enthusiasm(2), </v>
      </c>
      <c r="JC115" s="47" t="str">
        <f t="shared" si="338"/>
        <v xml:space="preserve">engineering knowledge(1), </v>
      </c>
      <c r="JD115" s="47" t="str">
        <f t="shared" si="338"/>
        <v xml:space="preserve">engineering knowledge(50), </v>
      </c>
      <c r="JE115" s="47" t="str">
        <f t="shared" si="338"/>
        <v xml:space="preserve">metal(2),plastic(2),electronics(2),fabric(2),scale(3),enthusiasm(3),learning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5" s="47" t="str">
        <f t="shared" si="33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5" s="47" t="str">
        <f t="shared" si="33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5" s="47" t="str">
        <f t="shared" si="338"/>
        <v xml:space="preserve">scale(1),scale(1),enthusiasm(1),enthusiasm(1),local biz(1),non-profits(1),reputation(2), </v>
      </c>
      <c r="JI115" s="47" t="str">
        <f t="shared" si="338"/>
        <v xml:space="preserve"> </v>
      </c>
      <c r="JJ115" s="47" t="str">
        <f t="shared" si="338"/>
        <v xml:space="preserve"> </v>
      </c>
      <c r="JK115" s="47" t="str">
        <f t="shared" si="33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5" s="47" t="str">
        <f t="shared" si="338"/>
        <v xml:space="preserve">non-profits(1), </v>
      </c>
      <c r="JM115" s="47" t="str">
        <f t="shared" si="338"/>
        <v xml:space="preserve">non-profits(6.25), </v>
      </c>
      <c r="JN115" s="47" t="str">
        <f t="shared" si="338"/>
        <v xml:space="preserve">scale(2),enthusiasm(2),scale(2),enthusiasm(2),enthusiasm(1),network(1),local biz(1),investors(1),entrepreneurs(1),technologists(1),non-profits(1),reputation(2),portfolio(2), </v>
      </c>
      <c r="JO115" s="47" t="str">
        <f t="shared" si="338"/>
        <v xml:space="preserve"> </v>
      </c>
      <c r="JP115" s="47" t="str">
        <f t="shared" si="338"/>
        <v xml:space="preserve"> </v>
      </c>
      <c r="JQ115" s="47" t="str">
        <f t="shared" si="33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5" s="47" t="str">
        <f t="shared" si="338"/>
        <v xml:space="preserve"> </v>
      </c>
      <c r="JS115" s="47" t="str">
        <f t="shared" si="338"/>
        <v xml:space="preserve"> </v>
      </c>
      <c r="JT115" s="47" t="str">
        <f t="shared" si="338"/>
        <v xml:space="preserve">scale(3),enthusiasm(3),PR(1),administrator(1),enthusiasm(2),network(2),local biz(2),biz group(1),govt(2),investors(2),entrepreneurs(2),technologists(2),non-profits(2),reputation(2),portfolio(3), </v>
      </c>
      <c r="JU115" s="47" t="str">
        <f t="shared" si="338"/>
        <v xml:space="preserve"> </v>
      </c>
      <c r="JV115" s="47" t="str">
        <f t="shared" si="338"/>
        <v xml:space="preserve"> </v>
      </c>
      <c r="JW115" s="47" t="str">
        <f t="shared" si="33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5" s="47" t="str">
        <f t="shared" si="338"/>
        <v xml:space="preserve"> </v>
      </c>
      <c r="JY115" s="47" t="str">
        <f t="shared" si="338"/>
        <v xml:space="preserve"> </v>
      </c>
      <c r="JZ115" s="47" t="str">
        <f t="shared" si="338"/>
        <v xml:space="preserve">scale(1),enthusiasm(1),scale(1),enthusiasm(2),network(1),non-profits(1),reputation(2),social project(2), </v>
      </c>
      <c r="KA115" s="47" t="str">
        <f t="shared" si="338"/>
        <v xml:space="preserve">non-profits(1), </v>
      </c>
      <c r="KB115" s="47" t="str">
        <f t="shared" si="338"/>
        <v xml:space="preserve">non-profits(25), </v>
      </c>
      <c r="KC115" s="47" t="str">
        <f t="shared" si="33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5" s="47" t="str">
        <f t="shared" si="338"/>
        <v xml:space="preserve">non-profits(1), </v>
      </c>
      <c r="KE115" s="47" t="str">
        <f t="shared" si="338"/>
        <v xml:space="preserve">non-profits(6.25), </v>
      </c>
      <c r="KF115" s="47" t="str">
        <f t="shared" si="338"/>
        <v xml:space="preserve"> </v>
      </c>
      <c r="KG115" s="47" t="str">
        <f t="shared" si="338"/>
        <v xml:space="preserve"> </v>
      </c>
      <c r="KH115" s="47" t="str">
        <f t="shared" si="338"/>
        <v xml:space="preserve"> </v>
      </c>
      <c r="KI115" s="47" t="str">
        <f t="shared" si="338"/>
        <v xml:space="preserve"> </v>
      </c>
      <c r="KJ115" s="47" t="str">
        <f t="shared" si="338"/>
        <v xml:space="preserve"> </v>
      </c>
      <c r="KK115" s="47" t="str">
        <f t="shared" si="338"/>
        <v xml:space="preserve"> </v>
      </c>
      <c r="KL115" s="57" t="str">
        <f t="shared" si="338"/>
        <v xml:space="preserve"> </v>
      </c>
      <c r="KM115" s="47" t="str">
        <f t="shared" si="338"/>
        <v xml:space="preserve"> </v>
      </c>
      <c r="KN115" s="47" t="str">
        <f t="shared" si="338"/>
        <v xml:space="preserve"> </v>
      </c>
      <c r="KO115" s="47" t="str">
        <f t="shared" si="338"/>
        <v xml:space="preserve"> </v>
      </c>
      <c r="KP115" s="47" t="str">
        <f t="shared" si="338"/>
        <v xml:space="preserve"> </v>
      </c>
      <c r="KQ115" s="47" t="str">
        <f t="shared" si="338"/>
        <v xml:space="preserve"> </v>
      </c>
      <c r="KR115" s="57" t="str">
        <f t="shared" si="338"/>
        <v xml:space="preserve"> </v>
      </c>
      <c r="KS115" s="47" t="str">
        <f t="shared" si="338"/>
        <v xml:space="preserve"> </v>
      </c>
      <c r="KT115" s="47" t="str">
        <f t="shared" si="338"/>
        <v xml:space="preserve"> </v>
      </c>
      <c r="KU115" s="47" t="str">
        <f t="shared" si="338"/>
        <v xml:space="preserve"> </v>
      </c>
      <c r="KV115" s="47" t="str">
        <f t="shared" si="338"/>
        <v xml:space="preserve"> </v>
      </c>
      <c r="KW115" s="47" t="str">
        <f t="shared" si="338"/>
        <v xml:space="preserve"> </v>
      </c>
      <c r="KX115" s="57" t="str">
        <f t="shared" si="338"/>
        <v xml:space="preserve"> </v>
      </c>
      <c r="KY115" s="47" t="str">
        <f t="shared" si="338"/>
        <v xml:space="preserve"> </v>
      </c>
      <c r="KZ115" s="47" t="str">
        <f t="shared" si="338"/>
        <v xml:space="preserve"> </v>
      </c>
      <c r="LA115" s="47" t="str">
        <f t="shared" si="338"/>
        <v xml:space="preserve"> </v>
      </c>
      <c r="LB115" s="47" t="str">
        <f t="shared" si="338"/>
        <v xml:space="preserve"> </v>
      </c>
      <c r="LC115" s="47" t="str">
        <f t="shared" si="338"/>
        <v xml:space="preserve"> </v>
      </c>
      <c r="LD115" s="57" t="str">
        <f t="shared" si="338"/>
        <v xml:space="preserve"> </v>
      </c>
      <c r="LE115" s="47" t="str">
        <f t="shared" si="338"/>
        <v xml:space="preserve"> </v>
      </c>
      <c r="LF115" s="47" t="str">
        <f t="shared" si="338"/>
        <v xml:space="preserve"> </v>
      </c>
      <c r="LG115" s="47" t="str">
        <f t="shared" si="338"/>
        <v xml:space="preserve"> </v>
      </c>
      <c r="LH115" s="47" t="str">
        <f t="shared" ref="LH115:NM115" si="339">IF(LH13="",LH116,$C115&amp;"("&amp;LH13&amp;"),"&amp;LH116)</f>
        <v xml:space="preserve"> </v>
      </c>
      <c r="LI115" s="47" t="str">
        <f t="shared" si="339"/>
        <v xml:space="preserve"> </v>
      </c>
      <c r="LJ115" s="57" t="str">
        <f t="shared" si="339"/>
        <v xml:space="preserve"> </v>
      </c>
      <c r="LK115" s="47" t="str">
        <f t="shared" si="339"/>
        <v xml:space="preserve"> </v>
      </c>
      <c r="LL115" s="47" t="str">
        <f t="shared" si="339"/>
        <v xml:space="preserve"> </v>
      </c>
      <c r="LM115" s="47" t="str">
        <f t="shared" si="339"/>
        <v xml:space="preserve"> </v>
      </c>
      <c r="LN115" s="47" t="str">
        <f t="shared" si="339"/>
        <v xml:space="preserve"> </v>
      </c>
      <c r="LO115" s="47" t="str">
        <f t="shared" si="339"/>
        <v xml:space="preserve"> </v>
      </c>
      <c r="LP115" s="57" t="str">
        <f t="shared" si="339"/>
        <v xml:space="preserve"> </v>
      </c>
      <c r="LQ115" s="47" t="str">
        <f t="shared" si="339"/>
        <v xml:space="preserve"> </v>
      </c>
      <c r="LR115" s="47" t="str">
        <f t="shared" si="339"/>
        <v xml:space="preserve"> </v>
      </c>
      <c r="LS115" s="47" t="str">
        <f t="shared" si="339"/>
        <v xml:space="preserve"> </v>
      </c>
      <c r="LT115" s="47" t="str">
        <f t="shared" si="339"/>
        <v xml:space="preserve"> </v>
      </c>
      <c r="LU115" s="47" t="str">
        <f t="shared" si="339"/>
        <v xml:space="preserve"> </v>
      </c>
      <c r="LV115" s="57" t="str">
        <f t="shared" si="339"/>
        <v xml:space="preserve"> </v>
      </c>
      <c r="LW115" s="47" t="str">
        <f t="shared" si="339"/>
        <v xml:space="preserve"> </v>
      </c>
      <c r="LX115" s="47" t="str">
        <f t="shared" si="339"/>
        <v xml:space="preserve"> </v>
      </c>
      <c r="LY115" s="47" t="str">
        <f t="shared" si="339"/>
        <v xml:space="preserve"> </v>
      </c>
      <c r="LZ115" s="47" t="str">
        <f t="shared" si="339"/>
        <v xml:space="preserve"> </v>
      </c>
      <c r="MA115" s="47" t="str">
        <f t="shared" si="339"/>
        <v xml:space="preserve"> </v>
      </c>
      <c r="MB115" s="57" t="str">
        <f t="shared" si="339"/>
        <v xml:space="preserve"> </v>
      </c>
      <c r="MC115" s="47" t="str">
        <f t="shared" si="339"/>
        <v xml:space="preserve"> </v>
      </c>
      <c r="MD115" s="47" t="str">
        <f t="shared" si="339"/>
        <v xml:space="preserve"> </v>
      </c>
      <c r="ME115" s="47" t="str">
        <f t="shared" si="339"/>
        <v xml:space="preserve"> </v>
      </c>
      <c r="MF115" s="47" t="str">
        <f t="shared" si="339"/>
        <v xml:space="preserve"> </v>
      </c>
      <c r="MG115" s="47" t="str">
        <f t="shared" si="339"/>
        <v xml:space="preserve"> </v>
      </c>
      <c r="MH115" s="57" t="str">
        <f t="shared" si="339"/>
        <v xml:space="preserve"> </v>
      </c>
      <c r="MI115" s="47" t="str">
        <f t="shared" si="339"/>
        <v xml:space="preserve"> </v>
      </c>
      <c r="MJ115" s="47" t="str">
        <f t="shared" si="339"/>
        <v xml:space="preserve"> </v>
      </c>
      <c r="MK115" s="47" t="str">
        <f t="shared" si="339"/>
        <v xml:space="preserve"> </v>
      </c>
      <c r="ML115" s="47" t="str">
        <f t="shared" si="339"/>
        <v xml:space="preserve"> </v>
      </c>
      <c r="MM115" s="47" t="str">
        <f t="shared" si="339"/>
        <v xml:space="preserve"> </v>
      </c>
      <c r="MN115" s="57" t="str">
        <f t="shared" si="339"/>
        <v xml:space="preserve"> </v>
      </c>
      <c r="MO115" s="47" t="str">
        <f t="shared" si="339"/>
        <v xml:space="preserve"> </v>
      </c>
      <c r="MP115" s="47" t="str">
        <f t="shared" si="339"/>
        <v xml:space="preserve"> </v>
      </c>
      <c r="MQ115" s="47" t="str">
        <f t="shared" si="339"/>
        <v xml:space="preserve"> </v>
      </c>
      <c r="MR115" s="47" t="str">
        <f t="shared" si="339"/>
        <v xml:space="preserve"> </v>
      </c>
      <c r="MS115" s="47" t="str">
        <f t="shared" si="339"/>
        <v xml:space="preserve"> </v>
      </c>
      <c r="MT115" s="57" t="str">
        <f t="shared" si="339"/>
        <v xml:space="preserve"> </v>
      </c>
      <c r="MU115" s="47" t="str">
        <f t="shared" si="339"/>
        <v xml:space="preserve"> </v>
      </c>
      <c r="MV115" s="47" t="str">
        <f t="shared" si="339"/>
        <v xml:space="preserve"> </v>
      </c>
      <c r="MW115" s="47" t="str">
        <f t="shared" si="339"/>
        <v xml:space="preserve"> </v>
      </c>
      <c r="MX115" s="47" t="str">
        <f t="shared" si="339"/>
        <v xml:space="preserve"> </v>
      </c>
      <c r="MY115" s="47" t="str">
        <f t="shared" si="339"/>
        <v xml:space="preserve"> </v>
      </c>
      <c r="MZ115" s="57" t="str">
        <f t="shared" si="339"/>
        <v xml:space="preserve"> </v>
      </c>
      <c r="NA115" s="47" t="str">
        <f t="shared" si="339"/>
        <v xml:space="preserve"> </v>
      </c>
      <c r="NB115" s="47" t="str">
        <f t="shared" si="339"/>
        <v xml:space="preserve"> </v>
      </c>
      <c r="NC115" s="47" t="str">
        <f t="shared" si="339"/>
        <v xml:space="preserve"> </v>
      </c>
      <c r="ND115" s="47" t="str">
        <f t="shared" si="339"/>
        <v xml:space="preserve"> </v>
      </c>
      <c r="NE115" s="47" t="str">
        <f t="shared" si="339"/>
        <v xml:space="preserve"> </v>
      </c>
      <c r="NF115" s="57" t="str">
        <f t="shared" si="339"/>
        <v xml:space="preserve"> </v>
      </c>
      <c r="NG115" s="47" t="str">
        <f t="shared" si="339"/>
        <v xml:space="preserve"> </v>
      </c>
      <c r="NH115" s="47" t="str">
        <f t="shared" si="339"/>
        <v xml:space="preserve"> </v>
      </c>
      <c r="NI115" s="47" t="str">
        <f t="shared" si="339"/>
        <v xml:space="preserve"> </v>
      </c>
      <c r="NJ115" s="47" t="str">
        <f t="shared" si="339"/>
        <v xml:space="preserve"> </v>
      </c>
      <c r="NK115" s="47" t="str">
        <f t="shared" si="339"/>
        <v xml:space="preserve"> </v>
      </c>
      <c r="NL115" s="57" t="str">
        <f t="shared" si="339"/>
        <v xml:space="preserve"> </v>
      </c>
      <c r="NM115" s="47" t="str">
        <f t="shared" si="339"/>
        <v xml:space="preserve"> </v>
      </c>
    </row>
    <row r="116" spans="3:377" ht="15.75" customHeight="1">
      <c r="C116" s="7" t="str">
        <f t="shared" si="296"/>
        <v>plastic</v>
      </c>
      <c r="D116" s="21" t="str">
        <f t="shared" si="169"/>
        <v xml:space="preserve">scale 1
 </v>
      </c>
      <c r="E116" s="21" t="str">
        <f t="shared" si="297"/>
        <v xml:space="preserve">scale(1,100),  </v>
      </c>
      <c r="F116" s="21" t="str">
        <f t="shared" si="170"/>
        <v xml:space="preserve">scale 100
 </v>
      </c>
      <c r="G116" s="21" t="str">
        <f t="shared" si="298"/>
        <v xml:space="preserve">plastic(2), electronics(2), fabric(2), enthusiasm(1), enthusiasm(2), fun-ness(1), community manager(1), PR(1), fame(1), network(2), ease of access(1), reputation(2), social media(1),  </v>
      </c>
      <c r="H116" s="21" t="str">
        <f t="shared" si="299"/>
        <v xml:space="preserve">scale(1,6.25),  </v>
      </c>
      <c r="I116" s="21" t="str">
        <f t="shared" ref="I116" si="340">IF(I14="",I117,$C116&amp;"("&amp;I14&amp;"),"&amp;I117)</f>
        <v xml:space="preserve">scale(6.25), </v>
      </c>
      <c r="J116" s="21" t="str">
        <f t="shared" si="172"/>
        <v xml:space="preserve">scale 1
interaction 1
 </v>
      </c>
      <c r="K116" s="21" t="str">
        <f t="shared" si="173"/>
        <v xml:space="preserve">reputation(1,75),  </v>
      </c>
      <c r="L116" s="21" t="str">
        <f t="shared" si="174"/>
        <v xml:space="preserve">reputation 75
 </v>
      </c>
      <c r="M116" s="21" t="str">
        <f t="shared" si="175"/>
        <v xml:space="preserve">PR(1), portfolio(1), social innovation(1), non-profit biz(1),  </v>
      </c>
      <c r="N116" s="21" t="str">
        <f t="shared" si="176"/>
        <v xml:space="preserve">scale(1,6.25), enthusiasm(1,6.25), seriousness(1,25), non-profits(1,12.5), reputation(1,75), marketing(1,12.5),  </v>
      </c>
      <c r="O116" s="21" t="str">
        <f t="shared" si="177"/>
        <v xml:space="preserve">scale(6.25),enthusiasm(6.25),seriousness(25),non-profits(12.5),reputation(75),marketing(12.5), </v>
      </c>
      <c r="P116" s="21" t="str">
        <f t="shared" si="172"/>
        <v xml:space="preserve">scale 1
biz project 1
 </v>
      </c>
      <c r="Q116" s="21" t="str">
        <f t="shared" si="178"/>
        <v xml:space="preserve"> </v>
      </c>
      <c r="R116" s="21" t="str">
        <f t="shared" si="174"/>
        <v xml:space="preserve"> </v>
      </c>
      <c r="S116" s="21" t="str">
        <f t="shared" si="179"/>
        <v xml:space="preserve">portfolio(1), biz enhancement(1), business(1), start-up(1),  </v>
      </c>
      <c r="T116" s="21" t="str">
        <f t="shared" si="180"/>
        <v xml:space="preserve">scale(1,6.25), enthusiasm(1,6.25), seriousness(1,25), local biz(1,6.25), investors(1,6.25), reputation(1,6.25),  </v>
      </c>
      <c r="U116" s="21" t="str">
        <f t="shared" si="177"/>
        <v xml:space="preserve">scale(6.25),enthusiasm(6.25),seriousness(25),local biz(6.25),investors(6.25),reputation(6.25), </v>
      </c>
      <c r="V116" s="21" t="str">
        <f t="shared" si="172"/>
        <v xml:space="preserve">scale 1
 </v>
      </c>
      <c r="W116" s="21" t="str">
        <f t="shared" si="181"/>
        <v xml:space="preserve">local biz(1,),  </v>
      </c>
      <c r="X116" s="21" t="str">
        <f t="shared" si="174"/>
        <v xml:space="preserve"> </v>
      </c>
      <c r="Y116" s="21" t="str">
        <f t="shared" si="182"/>
        <v xml:space="preserve">enthusiasm(1), attention to details(1), PR(1), network(1), ease of access(1), reputation(1), portfolio(1), biz project(1), biz enhancement(1), job creation(1), business(1),  </v>
      </c>
      <c r="Z116" s="21" t="str">
        <f t="shared" si="183"/>
        <v xml:space="preserve">local biz(1,6.25),  </v>
      </c>
      <c r="AA116" s="21" t="str">
        <f t="shared" si="177"/>
        <v xml:space="preserve">local biz(6.25), </v>
      </c>
      <c r="AB116" s="21" t="str">
        <f t="shared" si="172"/>
        <v xml:space="preserve">scale 1
 </v>
      </c>
      <c r="AC116" s="21" t="str">
        <f t="shared" si="184"/>
        <v xml:space="preserve">non-profits(1,100),  </v>
      </c>
      <c r="AD116" s="21" t="str">
        <f t="shared" si="174"/>
        <v xml:space="preserve">non-profits 100
 </v>
      </c>
      <c r="AE116" s="21" t="str">
        <f t="shared" si="185"/>
        <v xml:space="preserve">enthusiasm(1), attention to details(1), PR(1), network(1), ease of access(1), reputation(1), portfolio(1), social project(1), social innovation(1), non-profit biz(1),  </v>
      </c>
      <c r="AF116" s="21" t="str">
        <f t="shared" si="186"/>
        <v xml:space="preserve">seriousness(1,6.25), non-profits(1,6.25),  </v>
      </c>
      <c r="AG116" s="21" t="str">
        <f t="shared" si="177"/>
        <v xml:space="preserve">seriousness(6.25),non-profits(6.25), </v>
      </c>
      <c r="AH116" s="21" t="str">
        <f t="shared" si="172"/>
        <v xml:space="preserve">scale 1
 </v>
      </c>
      <c r="AI116" s="21" t="str">
        <f t="shared" si="187"/>
        <v xml:space="preserve">govt(1,),  </v>
      </c>
      <c r="AJ116" s="21" t="str">
        <f t="shared" si="174"/>
        <v xml:space="preserve"> </v>
      </c>
      <c r="AK116" s="21" t="str">
        <f t="shared" si="188"/>
        <v xml:space="preserve">enthusiasm(1), attention to details(1), seriousness(1), fame(1), network(1), govt(1), ease of access(1), reputation(2), portfolio(1), social project(1), social innovation(1), non-profit biz(1),  </v>
      </c>
      <c r="AL116" s="21" t="str">
        <f t="shared" si="189"/>
        <v xml:space="preserve">govt(1,6.25),  </v>
      </c>
      <c r="AM116" s="21" t="str">
        <f t="shared" si="177"/>
        <v xml:space="preserve">govt(6.25), </v>
      </c>
      <c r="AN116" s="21" t="str">
        <f t="shared" si="172"/>
        <v xml:space="preserve">scale 1
enthusiasm 1
gifted leader 1
scale 1
enthusiasm 1
 </v>
      </c>
      <c r="AO116" s="21" t="str">
        <f t="shared" si="190"/>
        <v xml:space="preserve">fame(1,), network(1,), investors(1,6.25),  </v>
      </c>
      <c r="AP116" s="21" t="str">
        <f t="shared" si="174"/>
        <v xml:space="preserve">investors 6.25
 </v>
      </c>
      <c r="AQ116" s="21" t="str">
        <f t="shared" si="191"/>
        <v xml:space="preserve">investors(1), ease of access(1), reputation(1), portfolio(1), start-up(1), start-up with mvp(1), start-up with customers(1),  </v>
      </c>
      <c r="AR116" s="21" t="str">
        <f t="shared" si="192"/>
        <v xml:space="preserve"> </v>
      </c>
      <c r="AS116" s="21" t="str">
        <f t="shared" si="177"/>
        <v xml:space="preserve"> </v>
      </c>
      <c r="AT116" s="21" t="str">
        <f t="shared" si="172"/>
        <v xml:space="preserve">scale 1
enthusiasm 1
scale 2
enthusiasm 1
seriousness 1
administrator 1
non-profits 2
reputation 1
portfolio 1
social project 1
 </v>
      </c>
      <c r="AU116" s="21" t="str">
        <f t="shared" si="193"/>
        <v xml:space="preserve">ambition(1,), attention to details(1,),  </v>
      </c>
      <c r="AV116" s="21" t="str">
        <f t="shared" si="174"/>
        <v xml:space="preserve"> </v>
      </c>
      <c r="AW116" s="21" t="str">
        <f t="shared" si="194"/>
        <v xml:space="preserve">field knowledge(1), enthusiasm(3), PR(2), administrator(1), project management(2),  </v>
      </c>
      <c r="AX116" s="21" t="str">
        <f t="shared" si="195"/>
        <v xml:space="preserve">organizational rules and manuals(1,12.5), project management(1,12.5),  </v>
      </c>
      <c r="AY116" s="21" t="str">
        <f t="shared" si="177"/>
        <v xml:space="preserve">organizational rules and manuals(12.5),project management(12.5), </v>
      </c>
      <c r="AZ116" s="21" t="str">
        <f t="shared" si="172"/>
        <v xml:space="preserve">scale 1
enthusiasm 1
scale 1
enthusiasm 1
non-profits 1
 </v>
      </c>
      <c r="BA116" s="21" t="str">
        <f t="shared" si="196"/>
        <v xml:space="preserve"> </v>
      </c>
      <c r="BB116" s="21" t="str">
        <f t="shared" si="174"/>
        <v xml:space="preserve"> </v>
      </c>
      <c r="BC116" s="21" t="str">
        <f t="shared" si="197"/>
        <v xml:space="preserve"> </v>
      </c>
      <c r="BD116" s="21" t="str">
        <f t="shared" si="198"/>
        <v xml:space="preserve"> </v>
      </c>
      <c r="BE116" s="21" t="str">
        <f t="shared" si="177"/>
        <v xml:space="preserve"> </v>
      </c>
      <c r="BF116" s="21" t="str">
        <f t="shared" si="172"/>
        <v xml:space="preserve">scale 1
enthusiasm 1
scale 2
enthusiasm 1
seriousness 1
administrator 1
local biz 2
entrepreneurs 1
reputation 1
portfolio 1
biz project 1
 </v>
      </c>
      <c r="BG116" s="21" t="str">
        <f t="shared" si="199"/>
        <v xml:space="preserve">ambition(1,), attention to details(1,),  </v>
      </c>
      <c r="BH116" s="21" t="str">
        <f t="shared" si="174"/>
        <v xml:space="preserve"> </v>
      </c>
      <c r="BI116" s="21" t="str">
        <f t="shared" si="200"/>
        <v xml:space="preserve">field knowledge(1), enthusiasm(3), PR(2), administrator(1), project management(2),  </v>
      </c>
      <c r="BJ116" s="21" t="str">
        <f t="shared" si="201"/>
        <v xml:space="preserve">organizational rules and manuals(1,12.5), project management(1,12.5),  </v>
      </c>
      <c r="BK116" s="21" t="str">
        <f t="shared" si="177"/>
        <v xml:space="preserve">organizational rules and manuals(12.5),project management(12.5), </v>
      </c>
      <c r="BL116" s="21" t="str">
        <f t="shared" si="172"/>
        <v xml:space="preserve">scale 1
enthusiasm 1
scale 1
enthusiasm 1
local biz 1
reputation 1
portfolio 1
biz enhancement 1
 </v>
      </c>
      <c r="BM116" s="21" t="str">
        <f t="shared" si="202"/>
        <v xml:space="preserve"> </v>
      </c>
      <c r="BN116" s="21" t="str">
        <f t="shared" si="174"/>
        <v xml:space="preserve"> </v>
      </c>
      <c r="BO116" s="21" t="str">
        <f t="shared" si="203"/>
        <v xml:space="preserve"> </v>
      </c>
      <c r="BP116" s="21" t="str">
        <f t="shared" si="204"/>
        <v xml:space="preserve"> </v>
      </c>
      <c r="BQ116" s="21" t="str">
        <f t="shared" si="177"/>
        <v xml:space="preserve"> </v>
      </c>
      <c r="BR116" s="21" t="str">
        <f t="shared" si="172"/>
        <v xml:space="preserve"> </v>
      </c>
      <c r="BS116" s="21" t="str">
        <f t="shared" si="205"/>
        <v xml:space="preserve"> </v>
      </c>
      <c r="BT116" s="21" t="str">
        <f t="shared" si="174"/>
        <v xml:space="preserve"> </v>
      </c>
      <c r="BU116" s="21" t="str">
        <f t="shared" si="206"/>
        <v xml:space="preserve"> </v>
      </c>
      <c r="BV116" s="21" t="str">
        <f t="shared" si="207"/>
        <v xml:space="preserve"> </v>
      </c>
      <c r="BW116" s="21" t="str">
        <f t="shared" si="177"/>
        <v xml:space="preserve"> </v>
      </c>
      <c r="BX116" s="21" t="str">
        <f t="shared" si="208"/>
        <v xml:space="preserve">scale 1
network 1
 </v>
      </c>
      <c r="BY116" s="21" t="str">
        <f t="shared" si="209"/>
        <v xml:space="preserve">efficiency(1,),  </v>
      </c>
      <c r="BZ116" s="21" t="str">
        <f t="shared" si="210"/>
        <v xml:space="preserve"> </v>
      </c>
      <c r="CA116" s="21" t="str">
        <f t="shared" si="211"/>
        <v xml:space="preserve">scale(2), enthusiasm(1), attention to details(1), administrator(1), negotiation(1),  </v>
      </c>
      <c r="CB116" s="21" t="str">
        <f t="shared" si="212"/>
        <v xml:space="preserve">user rules and manuals(1,50), organizational rules and manuals(1,50),  </v>
      </c>
      <c r="CC116" s="21" t="str">
        <f t="shared" si="213"/>
        <v xml:space="preserve">user rules and manuals(50),organizational rules and manuals(50), </v>
      </c>
      <c r="CD116" s="21" t="str">
        <f t="shared" si="208"/>
        <v xml:space="preserve">scale 1
scale 1
enthusiasm 1
network 1
 </v>
      </c>
      <c r="CE116" s="21" t="str">
        <f t="shared" si="214"/>
        <v xml:space="preserve">field knowledge(1,), non-profits(1,),  </v>
      </c>
      <c r="CF116" s="21" t="str">
        <f t="shared" si="210"/>
        <v xml:space="preserve"> </v>
      </c>
      <c r="CG116" s="21" t="str">
        <f t="shared" si="215"/>
        <v xml:space="preserve">plastic(2), electronics(2), fabric(2), fun-ness(1), seriousness(1), ease of access(1), portfolio(1), user rules and manuals(1), negotiation(1), social project(1), biz project(1), for basic literacy(1), for the elites(1), for entrepreneurs(1),  </v>
      </c>
      <c r="CH116" s="21" t="str">
        <f t="shared" si="216"/>
        <v xml:space="preserve">scale(1,6.25), technologists(1,6.25), non-profits(1,6.25),  </v>
      </c>
      <c r="CI116" s="21" t="str">
        <f t="shared" si="213"/>
        <v xml:space="preserve">scale(6.25),technologists(6.25),non-profits(6.25), </v>
      </c>
      <c r="CJ116" s="21" t="str">
        <f t="shared" si="208"/>
        <v xml:space="preserve">scale 1
scale 1
 </v>
      </c>
      <c r="CK116" s="21" t="str">
        <f t="shared" si="217"/>
        <v xml:space="preserve">suppliers(1,),  </v>
      </c>
      <c r="CL116" s="21" t="str">
        <f t="shared" si="210"/>
        <v xml:space="preserve"> </v>
      </c>
      <c r="CM116" s="21" t="str">
        <f t="shared" si="218"/>
        <v xml:space="preserve">reputation(1), negotiation(1),  </v>
      </c>
      <c r="CN116" s="21" t="str">
        <f t="shared" si="219"/>
        <v xml:space="preserve">learning capacities(1,), engineering knowledge(1,), enthusiasm(2,), efficiency(1,6.25),  </v>
      </c>
      <c r="CO116" s="21" t="str">
        <f t="shared" si="213"/>
        <v xml:space="preserve">efficiency(6.25), </v>
      </c>
      <c r="CP116" s="21" t="str">
        <f t="shared" si="208"/>
        <v xml:space="preserve">scale 1
scale 1
 </v>
      </c>
      <c r="CQ116" s="21" t="str">
        <f t="shared" si="220"/>
        <v xml:space="preserve">technologists(1,),  </v>
      </c>
      <c r="CR116" s="21" t="str">
        <f t="shared" si="210"/>
        <v xml:space="preserve"> </v>
      </c>
      <c r="CS116" s="21" t="str">
        <f t="shared" si="221"/>
        <v xml:space="preserve">plastic(2), 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6" s="21" t="str">
        <f t="shared" si="222"/>
        <v xml:space="preserve">engineering knowledge(1,6.25), efficiency(1,6.25),  </v>
      </c>
      <c r="CU116" s="21" t="str">
        <f t="shared" si="213"/>
        <v xml:space="preserve">engineering knowledge(6.25),efficiency(6.25), </v>
      </c>
      <c r="CV116" s="21" t="str">
        <f t="shared" si="208"/>
        <v xml:space="preserve">scale 1
scale 1
 </v>
      </c>
      <c r="CW116" s="21" t="str">
        <f t="shared" si="223"/>
        <v xml:space="preserve">local biz(1,),  </v>
      </c>
      <c r="CX116" s="21" t="str">
        <f t="shared" si="210"/>
        <v xml:space="preserve"> </v>
      </c>
      <c r="CY116" s="21" t="str">
        <f t="shared" si="224"/>
        <v xml:space="preserve">plastic(2), electronics(2), fabric(2), ease of access(1), reputation(1), portfolio(1), negotiation(1),  </v>
      </c>
      <c r="CZ116" s="21" t="str">
        <f t="shared" si="225"/>
        <v xml:space="preserve">non-profits(1,6.25),  </v>
      </c>
      <c r="DA116" s="21" t="str">
        <f t="shared" si="213"/>
        <v xml:space="preserve">non-profits(6.25), </v>
      </c>
      <c r="DB116" s="21" t="str">
        <f t="shared" si="208"/>
        <v xml:space="preserve">scale 1
 </v>
      </c>
      <c r="DC116" s="21" t="str">
        <f t="shared" si="226"/>
        <v xml:space="preserve"> </v>
      </c>
      <c r="DD116" s="21" t="str">
        <f t="shared" si="210"/>
        <v xml:space="preserve"> </v>
      </c>
      <c r="DE116" s="21" t="str">
        <f t="shared" si="227"/>
        <v xml:space="preserve">plastic(2), 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6" s="21" t="str">
        <f t="shared" si="228"/>
        <v xml:space="preserve">network(1,), local biz(1,6.25), biz group(1,6.25), investors(1,6.25), entrepreneurs(1,6.25),  </v>
      </c>
      <c r="DG116" s="21" t="str">
        <f t="shared" si="213"/>
        <v xml:space="preserve">local biz(6.25),biz group(6.25),investors(6.25),entrepreneurs(6.25), </v>
      </c>
      <c r="DH116" s="21" t="str">
        <f t="shared" si="208"/>
        <v xml:space="preserve">scale 1
enthusiasm 1
scale 1
enthusiasm 1
network 1
non-profits 1
reputation 1
social project 1
 </v>
      </c>
      <c r="DI116" s="21" t="str">
        <f t="shared" si="229"/>
        <v xml:space="preserve"> </v>
      </c>
      <c r="DJ116" s="21" t="str">
        <f t="shared" si="210"/>
        <v xml:space="preserve"> </v>
      </c>
      <c r="DK116" s="21" t="str">
        <f t="shared" si="230"/>
        <v xml:space="preserve">plastic(1), 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6" s="21" t="str">
        <f t="shared" si="231"/>
        <v xml:space="preserve">field knowledge(1,12.5), network among members(1,12.5), reputation(1,6.25),  </v>
      </c>
      <c r="DM116" s="21" t="str">
        <f t="shared" si="213"/>
        <v xml:space="preserve">field knowledge(12.5),network among members(12.5),reputation(6.25), </v>
      </c>
      <c r="DN116" s="21" t="str">
        <f t="shared" si="208"/>
        <v xml:space="preserve">scale 1
enthusiasm 1
scale 1
enthusiasm 1
network 1
local biz 1
reputation 1
biz project 1
 </v>
      </c>
      <c r="DO116" s="21" t="str">
        <f t="shared" si="232"/>
        <v xml:space="preserve"> </v>
      </c>
      <c r="DP116" s="21" t="str">
        <f t="shared" si="210"/>
        <v xml:space="preserve"> </v>
      </c>
      <c r="DQ116" s="21" t="str">
        <f t="shared" si="233"/>
        <v xml:space="preserve">plastic(1), 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6" s="21" t="str">
        <f t="shared" si="234"/>
        <v xml:space="preserve">field knowledge(1,12.5), network among members(1,12.5), reputation(1,6.25),  </v>
      </c>
      <c r="DS116" s="21" t="str">
        <f t="shared" si="213"/>
        <v xml:space="preserve">field knowledge(12.5),network among members(12.5),reputation(6.25), </v>
      </c>
      <c r="DT116" s="21" t="str">
        <f t="shared" si="208"/>
        <v xml:space="preserve">scale 1
enthusiasm 1
scale 1
enthusiasm 1
network 1
reputation 1
 </v>
      </c>
      <c r="DU116" s="21" t="str">
        <f t="shared" si="235"/>
        <v xml:space="preserve"> </v>
      </c>
      <c r="DV116" s="21" t="str">
        <f t="shared" si="210"/>
        <v xml:space="preserve"> </v>
      </c>
      <c r="DW116"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6" s="21" t="str">
        <f t="shared" si="237"/>
        <v xml:space="preserve">enthusiasm(1,6.25), field knowledge(1,6.25), engineering knowledge(1,6.25), ambition(1,6.25), reputation(1,6.25), for basic literacy(1,6.25),  </v>
      </c>
      <c r="DY116" s="21" t="str">
        <f t="shared" si="213"/>
        <v xml:space="preserve">enthusiasm(6.25),field knowledge(6.25),engineering knowledge(6.25),ambition(6.25),reputation(6.25),for basic literacy(6.25), </v>
      </c>
      <c r="DZ116" s="21" t="str">
        <f t="shared" si="208"/>
        <v xml:space="preserve">scale 1
enthusiasm 1
scale 1
enthusiasm 1
network 1
reputation 1
 </v>
      </c>
      <c r="EA116" s="21" t="str">
        <f t="shared" si="238"/>
        <v xml:space="preserve"> </v>
      </c>
      <c r="EB116" s="21" t="str">
        <f t="shared" si="210"/>
        <v xml:space="preserve"> </v>
      </c>
      <c r="EC116"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6" s="21" t="str">
        <f t="shared" si="240"/>
        <v xml:space="preserve">enthusiasm(1,6.25), engineering knowledge(1,6.25), ambition(1,6.25), reputation(1,6.25), for basic literacy(1,6.25),  </v>
      </c>
      <c r="EE116" s="21" t="str">
        <f t="shared" si="213"/>
        <v xml:space="preserve">enthusiasm(6.25),engineering knowledge(6.25),ambition(6.25),reputation(6.25),for basic literacy(6.25), </v>
      </c>
      <c r="EF116" s="21" t="str">
        <f t="shared" si="208"/>
        <v xml:space="preserve">scale 2
enthusiasm 2
technologists 1
reputation 1
 </v>
      </c>
      <c r="EG116" s="21" t="str">
        <f t="shared" si="241"/>
        <v xml:space="preserve">web(1,50), mobile apps(1,50), interaction(1,50),  </v>
      </c>
      <c r="EH116" s="21" t="str">
        <f t="shared" si="210"/>
        <v xml:space="preserve">web 50
mobile apps 50
interaction 50
 </v>
      </c>
      <c r="EI116"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6" s="21" t="str">
        <f t="shared" si="243"/>
        <v xml:space="preserve">engineering knowledge(1,6.25), technologists(1,12.5), infrastructrue(1,12.5), database(1,12.5), mobile comm(1,12.5), for entrepreneurs(1,6.25),  </v>
      </c>
      <c r="EK116" s="21" t="str">
        <f t="shared" si="213"/>
        <v xml:space="preserve">engineering knowledge(6.25),technologists(12.5),infrastructrue(12.5),database(12.5),mobile comm(12.5),for entrepreneurs(6.25), </v>
      </c>
      <c r="EL116" s="21" t="str">
        <f t="shared" si="244"/>
        <v xml:space="preserve">scale 2
enthusiasm 2
technologists 1
reputation 1
 </v>
      </c>
      <c r="EM116" s="21" t="str">
        <f t="shared" si="245"/>
        <v xml:space="preserve">sensors(1,50),  </v>
      </c>
      <c r="EN116" s="21" t="str">
        <f t="shared" si="246"/>
        <v xml:space="preserve">sensors 50
 </v>
      </c>
      <c r="EO116"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6" s="21" t="str">
        <f t="shared" si="248"/>
        <v xml:space="preserve">engineering knowledge(1,6.25), technologists(1,12.5), infrastructrue(1,12.5), database(1,12.5), mobile comm(1,12.5), electronics(1,6.25), for entrepreneurs(1,6.25),  </v>
      </c>
      <c r="EQ116" s="21" t="str">
        <f t="shared" si="249"/>
        <v xml:space="preserve">engineering knowledge(6.25),technologists(12.5),infrastructrue(12.5),database(12.5),mobile comm(12.5),electronics(6.25),for entrepreneurs(6.25), </v>
      </c>
      <c r="ER116" s="21" t="str">
        <f t="shared" si="244"/>
        <v xml:space="preserve">scale 2
enthusiasm 2
technologists 1
 </v>
      </c>
      <c r="ES116" s="21" t="str">
        <f t="shared" si="250"/>
        <v xml:space="preserve">AI&amp; data analysis(1,50),  </v>
      </c>
      <c r="ET116" s="21" t="str">
        <f t="shared" si="246"/>
        <v xml:space="preserve">AI&amp; data analysis 50
 </v>
      </c>
      <c r="EU116"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6" s="21" t="str">
        <f t="shared" si="252"/>
        <v xml:space="preserve">engineering knowledge(1,6.25), technologists(1,12.5), database(1,12.5), sensors(1,12.5), mobile comm(1,12.5), for entrepreneurs(1,6.25),  </v>
      </c>
      <c r="EW116" s="21" t="str">
        <f t="shared" si="249"/>
        <v xml:space="preserve">engineering knowledge(6.25),technologists(12.5),database(12.5),sensors(12.5),mobile comm(12.5),for entrepreneurs(6.25), </v>
      </c>
      <c r="EX116" s="21" t="str">
        <f t="shared" si="244"/>
        <v xml:space="preserve">scale 2
enthusiasm 2
technologists 1
 </v>
      </c>
      <c r="EY116" s="21" t="str">
        <f t="shared" si="253"/>
        <v xml:space="preserve">law(1,50), security(1,50), interaction(1,25),  </v>
      </c>
      <c r="EZ116" s="21" t="str">
        <f t="shared" si="246"/>
        <v xml:space="preserve">law 50
security 50
interaction 25
 </v>
      </c>
      <c r="FA116"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6" s="21" t="str">
        <f t="shared" si="255"/>
        <v xml:space="preserve">field knowledge(1,6.25), engineering knowledge(1,6.25), technologists(1,12.5), law(1,6.25), database(1,12.5), mobile apps(1,12.5), security(1,12.5), mobile comm(1,12.5), for entrepreneurs(1,6.25),  </v>
      </c>
      <c r="FC116" s="21" t="str">
        <f t="shared" si="249"/>
        <v xml:space="preserve">field knowledge(6.25),engineering knowledge(6.25),technologists(12.5),law(6.25),database(12.5),mobile apps(12.5),security(12.5),mobile comm(12.5),for entrepreneurs(6.25), </v>
      </c>
      <c r="FD116" s="21" t="str">
        <f t="shared" si="244"/>
        <v xml:space="preserve">scale 2
enthusiasm 2
technologists 1
 </v>
      </c>
      <c r="FE116" s="21" t="str">
        <f t="shared" si="256"/>
        <v xml:space="preserve">law(1,50), sensors(1,50), security(1,50),  </v>
      </c>
      <c r="FF116" s="21" t="str">
        <f t="shared" si="246"/>
        <v xml:space="preserve">law 50
sensors 50
security 50
 </v>
      </c>
      <c r="FG116"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6" s="21" t="str">
        <f t="shared" si="258"/>
        <v xml:space="preserve">field knowledge(1,6.25), engineering knowledge(1,6.25), technologists(1,12.5), law(1,6.25), database(1,6.25), mobile apps(1,6.25), AI&amp; data analysis(1,6.25), mobile comm(1,6.25), for entrepreneurs(1,6.25),  </v>
      </c>
      <c r="FI116" s="21" t="str">
        <f t="shared" si="249"/>
        <v xml:space="preserve">field knowledge(6.25),engineering knowledge(6.25),technologists(12.5),law(6.25),database(6.25),mobile apps(6.25),AI&amp; data analysis(6.25),mobile comm(6.25),for entrepreneurs(6.25), </v>
      </c>
      <c r="FJ116" s="21" t="str">
        <f t="shared" si="244"/>
        <v xml:space="preserve">scale 2
enthusiasm 2
technologists 1
 </v>
      </c>
      <c r="FK116" s="21" t="str">
        <f t="shared" si="259"/>
        <v xml:space="preserve">wood processing(1,25), metal processing(1,25), plastic processing(1,25), fabric(1,25), safety(1,25), interaction(1,25),  </v>
      </c>
      <c r="FL116" s="21" t="str">
        <f t="shared" si="246"/>
        <v xml:space="preserve">project management 2
wood processing 25
metal processing 25
plastic processing 25
fabric 25
safety 25
interaction 25
 </v>
      </c>
      <c r="FM116"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6" s="21" t="str">
        <f t="shared" si="261"/>
        <v xml:space="preserve">field knowledge(1,6.25), engineering knowledge(1,6.25), technologists(1,12.5), for entrepreneurs(1,6.25),  </v>
      </c>
      <c r="FO116" s="21" t="str">
        <f t="shared" si="249"/>
        <v xml:space="preserve">field knowledge(6.25),engineering knowledge(6.25),technologists(12.5),for entrepreneurs(6.25), </v>
      </c>
      <c r="FP116" s="21" t="str">
        <f t="shared" si="244"/>
        <v xml:space="preserve">scale 2
enthusiasm 2
technologists 1
 </v>
      </c>
      <c r="FQ116" s="21" t="str">
        <f t="shared" si="262"/>
        <v xml:space="preserve">web(1,25), mobile apps(1,50), functions(1,25), interaction(1,25),  </v>
      </c>
      <c r="FR116" s="21" t="str">
        <f t="shared" si="246"/>
        <v xml:space="preserve">web 25
mobile apps 50
functions 25
interaction 25
 </v>
      </c>
      <c r="FS116"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6" s="21" t="str">
        <f t="shared" si="264"/>
        <v xml:space="preserve">field knowledge(1,6.25), engineering knowledge(1,6.25), technologists(1,12.5), for entrepreneurs(1,6.25),  </v>
      </c>
      <c r="FU116" s="21" t="str">
        <f t="shared" si="249"/>
        <v xml:space="preserve">field knowledge(6.25),engineering knowledge(6.25),technologists(12.5),for entrepreneurs(6.25), </v>
      </c>
      <c r="FV116" s="21" t="str">
        <f t="shared" si="244"/>
        <v xml:space="preserve">scale 2
enthusiasm 2
technologists 1
 </v>
      </c>
      <c r="FW116" s="21" t="str">
        <f t="shared" si="265"/>
        <v xml:space="preserve">mobile apps(1,50), sensors(1,50), wood processing(1,25), plastic processing(1,25), electronics(1,25), functions(1,25), interaction(1,25),  </v>
      </c>
      <c r="FX116" s="21" t="str">
        <f t="shared" si="246"/>
        <v xml:space="preserve">mobile apps 50
sensors 50
wood processing 25
plastic processing 25
electronics 25
functions 25
interaction 25
 </v>
      </c>
      <c r="FY116"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6" s="21" t="str">
        <f t="shared" si="267"/>
        <v xml:space="preserve">field knowledge(1,6.25), engineering knowledge(1,6.25), technologists(1,12.5), web(1,6.25), database(1,6.25), AI&amp; data analysis(1,6.25), mobile comm(1,6.25), for entrepreneurs(1,6.25),  </v>
      </c>
      <c r="GA116" s="21" t="str">
        <f t="shared" si="249"/>
        <v xml:space="preserve">field knowledge(6.25),engineering knowledge(6.25),technologists(12.5),web(6.25),database(6.25),AI&amp; data analysis(6.25),mobile comm(6.25),for entrepreneurs(6.25), </v>
      </c>
      <c r="GB116" s="21" t="str">
        <f t="shared" si="244"/>
        <v xml:space="preserve">scale 2
enthusiasm 2
technologists 1
 </v>
      </c>
      <c r="GC116" s="21" t="str">
        <f t="shared" si="268"/>
        <v xml:space="preserve">sensors(1,25), mobile comm(1,25), electronics(1,50), functions(1,25), safety(1,25),  </v>
      </c>
      <c r="GD116" s="21" t="str">
        <f t="shared" si="246"/>
        <v xml:space="preserve">sensors 25
mobile comm 25
electronics 50
functions 25
safety 25
 </v>
      </c>
      <c r="GE116"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6" s="21" t="str">
        <f t="shared" si="270"/>
        <v xml:space="preserve">field knowledge(1,6.25), engineering knowledge(1,6.25), technologists(1,12.5), database(1,6.25), mobile apps(1,6.25), AI&amp; data analysis(1,6.25), plastic processing(1,6.25), interaction(1,6.25), for entrepreneurs(1,6.25),  </v>
      </c>
      <c r="GG116" s="21" t="str">
        <f t="shared" si="249"/>
        <v xml:space="preserve">field knowledge(6.25),engineering knowledge(6.25),technologists(12.5),database(6.25),mobile apps(6.25),AI&amp; data analysis(6.25),plastic processing(6.25),interaction(6.25),for entrepreneurs(6.25), </v>
      </c>
      <c r="GH116" s="21" t="str">
        <f t="shared" si="244"/>
        <v xml:space="preserve">scale 2
enthusiasm 2
technologists 1
 </v>
      </c>
      <c r="GI116" s="21" t="str">
        <f t="shared" si="271"/>
        <v xml:space="preserve">web(1,25), mobile apps(1,50), functions(1,25), interaction(1,25),  </v>
      </c>
      <c r="GJ116" s="21" t="str">
        <f t="shared" si="246"/>
        <v xml:space="preserve">web 25
mobile apps 50
functions 25
interaction 25
 </v>
      </c>
      <c r="GK116"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6" s="21" t="str">
        <f t="shared" si="273"/>
        <v xml:space="preserve">field knowledge(1,6.25), engineering knowledge(1,6.25), technologists(1,12.5), for entrepreneurs(1,6.25),  </v>
      </c>
      <c r="GM116" s="21" t="str">
        <f t="shared" si="249"/>
        <v xml:space="preserve">field knowledge(6.25),engineering knowledge(6.25),technologists(12.5),for entrepreneurs(6.25), </v>
      </c>
      <c r="GN116" s="21" t="str">
        <f t="shared" si="244"/>
        <v xml:space="preserve">scale 2
enthusiasm 2
technologists 1
 </v>
      </c>
      <c r="GO116" s="21" t="str">
        <f t="shared" si="274"/>
        <v xml:space="preserve">web(1,25), mobile apps(1,25), VR&amp;AR(1,25), aesthetics(1,25), functions(1,25), interaction(1,50),  </v>
      </c>
      <c r="GP116" s="21" t="str">
        <f t="shared" si="246"/>
        <v xml:space="preserve">web 25
mobile apps 25
VR&amp;AR 25
aesthetics 25
functions 25
interaction 50
 </v>
      </c>
      <c r="GQ116"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6" s="21" t="str">
        <f t="shared" si="276"/>
        <v xml:space="preserve">field knowledge(1,6.25), technologists(1,12.5), for entrepreneurs(1,6.25),  </v>
      </c>
      <c r="GS116" s="21" t="str">
        <f t="shared" si="249"/>
        <v xml:space="preserve">field knowledge(6.25),technologists(12.5),for entrepreneurs(6.25), </v>
      </c>
      <c r="GT116" s="21" t="str">
        <f t="shared" si="244"/>
        <v xml:space="preserve">scale 3
scale 2
ease of access 1
reputation 2
web 1
mobile apps 1
mobile comm 1
 </v>
      </c>
      <c r="GU116" s="21" t="str">
        <f t="shared" si="277"/>
        <v xml:space="preserve"> </v>
      </c>
      <c r="GV116" s="21" t="str">
        <f t="shared" si="246"/>
        <v xml:space="preserve"> </v>
      </c>
      <c r="GW116"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6"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6"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6" s="21" t="str">
        <f t="shared" si="280"/>
        <v xml:space="preserve">plastic 1
electronics 1
fabric 1
scale 2
enthusiasm 2
scale 2
enthusiasm 2
network 1
govt 1
non-profits 1
reputation 2
portfolio 1
 </v>
      </c>
      <c r="HA116" s="21" t="str">
        <f t="shared" si="281"/>
        <v xml:space="preserve"> </v>
      </c>
      <c r="HB116" s="21" t="str">
        <f t="shared" si="282"/>
        <v xml:space="preserve"> </v>
      </c>
      <c r="HC116"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6" s="21" t="str">
        <f t="shared" si="284"/>
        <v xml:space="preserve">scale(1,6.25), enthusiasm(1,6.25), learning capacities(1,6.25), field knowledge(1,6.25), enthusiasm(1,6.25), media(1,6.25), technologists(1,6.25), non-profits(1,6.25), reputation(1,6.25), start-up with customers(1,6.25), for basic literacy(1,6.25),  </v>
      </c>
      <c r="HE116" s="21" t="str">
        <f t="shared" si="285"/>
        <v xml:space="preserve">scale(6.25),enthusiasm(6.25),learning capacities(6.25),field knowledge(6.25),enthusiasm(6.25),media(6.25),technologists(6.25),non-profits(6.25),reputation(6.25),start-up with customers(6.25),for basic literacy(6.25), </v>
      </c>
      <c r="HF116" s="21" t="str">
        <f t="shared" si="280"/>
        <v xml:space="preserve"> </v>
      </c>
      <c r="HG116" s="21" t="str">
        <f t="shared" si="286"/>
        <v xml:space="preserve">scale(2,), enthusiasm(2,),  </v>
      </c>
      <c r="HH116" s="21" t="str">
        <f t="shared" si="282"/>
        <v xml:space="preserve"> </v>
      </c>
      <c r="HI116"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6" s="21" t="str">
        <f t="shared" si="288"/>
        <v xml:space="preserve">scale(1,6.25), enthusiasm(1,6.25), learning capacities(1,6.25), network among members(1,6.25), enthusiasm(1,6.25), fun-ness(1,6.25), seriousness(1,6.25), govt(1,6.25), media(1,6.25), non-profits(1,6.25), start-up with customers(1,6.25),  </v>
      </c>
      <c r="HK116" s="21" t="str">
        <f t="shared" si="285"/>
        <v xml:space="preserve">scale(6.25),enthusiasm(6.25),learning capacities(6.25),network among members(6.25),enthusiasm(6.25),fun-ness(6.25),seriousness(6.25),govt(6.25),media(6.25),non-profits(6.25),start-up with customers(6.25), </v>
      </c>
      <c r="HL116" s="21" t="str">
        <f t="shared" si="280"/>
        <v xml:space="preserve">scale 2
scale 2
community manager 1
PR 1
administrator 1
local biz 1
entrepreneurs 1
non-profits 1
reputation 2
portfolio 2
 </v>
      </c>
      <c r="HM116" s="21" t="str">
        <f t="shared" si="289"/>
        <v xml:space="preserve">scale(1,25), enthusiasm(1,25), network among members(1,25), scale(1,25), enthusiasm(1,25), ambition(1,25), fun-ness(1,25), seriousness(1,25),  </v>
      </c>
      <c r="HN116" s="21" t="str">
        <f t="shared" si="282"/>
        <v xml:space="preserve">scale 25
enthusiasm 25
network among members 25
scale 25
enthusiasm 25
ambition 25
fun-ness 25
seriousness 25
 </v>
      </c>
      <c r="HO116"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6"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6" s="47" t="str">
        <f t="shared" si="285"/>
        <v xml:space="preserve">scale(6.25),enthusiasm(6.25),enthusiasm(6.25),fun-ness(6.25),enthusiasm(6.25),level of understanding(6.25),local biz(6.25),biz group(6.25),govt(6.25),investors(6.25),media(6.25),entrepreneurs(6.25),technologists(6.25),suppliers(6.25),non-profits(6.25),reputation(6.25), </v>
      </c>
      <c r="HR116" s="47" t="str">
        <f t="shared" ref="HR116:HW116" si="341">IF(HR14="",HR117,$C116&amp;"("&amp;HR14&amp;"),"&amp;HR117)</f>
        <v xml:space="preserve">plastic(1),electronics(1),scale(2),enthusiasm(2),engineering knowledge(2),scale(2),enthusiasm(2),reputation(2),portfolio(2),mobile apps(1),sensors(1),wood processing(1),aesthetics(1), </v>
      </c>
      <c r="HS116" s="47" t="str">
        <f t="shared" si="341"/>
        <v xml:space="preserve"> </v>
      </c>
      <c r="HT116" s="47" t="str">
        <f t="shared" si="341"/>
        <v xml:space="preserve"> </v>
      </c>
      <c r="HU116" s="47" t="str">
        <f t="shared" si="34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6" s="47" t="str">
        <f t="shared" si="341"/>
        <v xml:space="preserve">gifted programmer(1),local biz(1),biz group(1),govt(1),investors(1),media(1),entrepreneurs(1),technologists(1),suppliers(1),non-profits(1),reputation(1), </v>
      </c>
      <c r="HW116" s="47" t="str">
        <f t="shared" si="341"/>
        <v xml:space="preserve">gifted programmer(6.25),local biz(6.25),biz group(6.25),govt(6.25),investors(6.25),media(6.25),entrepreneurs(6.25),technologists(12.5),suppliers(6.25),non-profits(6.25),reputation(6.25), </v>
      </c>
      <c r="HX116" s="47" t="str">
        <f t="shared" ref="HX116:IU116" si="342">IF(HX14="",HX117,$C116&amp;"("&amp;HX14&amp;"),"&amp;HX117)</f>
        <v xml:space="preserve">plastic(2),electronics(2),fabric(1),scale(2),enthusiasm(2),field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6" s="47" t="str">
        <f t="shared" si="342"/>
        <v xml:space="preserve">biz enhancement(1), </v>
      </c>
      <c r="HZ116" s="47" t="str">
        <f t="shared" si="342"/>
        <v xml:space="preserve">biz enhancement(100), </v>
      </c>
      <c r="IA116" s="47" t="str">
        <f t="shared" si="342"/>
        <v xml:space="preserve">community manager(1),PR(1),finance(1),administrator(1),enthusiasm(2),network(2),ambition(2),knowledge(2),spaciousness(2),ease of access(3),efficiency(2),portfolio(4),finance(2),business model(2),marketing(3),team building(2),project management(2),social media(3),negotiation(3), </v>
      </c>
      <c r="IB116" s="47" t="str">
        <f t="shared" si="342"/>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6" s="47" t="str">
        <f t="shared" si="342"/>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6" s="47" t="str">
        <f t="shared" si="342"/>
        <v xml:space="preserve">scale(2),enthusiasm(2),engineering knowledge(1),scale(1),technologists(2), </v>
      </c>
      <c r="IE116" s="47" t="str">
        <f t="shared" si="342"/>
        <v xml:space="preserve">engineering knowledge(1),web(1),mobile apps(1),security(1),AI&amp; data analysis(1), </v>
      </c>
      <c r="IF116" s="47" t="str">
        <f t="shared" si="342"/>
        <v xml:space="preserve">engineering knowledge(25),web(25),mobile apps(25),security(25),AI&amp; data analysis(25), </v>
      </c>
      <c r="IG116" s="47" t="str">
        <f t="shared" si="34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6" s="47" t="str">
        <f t="shared" si="342"/>
        <v xml:space="preserve">engineering knowledge(1),technologists(1),web(1),database(1),mobile apps(1),security(1),AI&amp; data analysis(1), </v>
      </c>
      <c r="II116" s="47" t="str">
        <f t="shared" si="342"/>
        <v xml:space="preserve">engineering knowledge(6.25),technologists(6.25),web(6.25),database(6.25),mobile apps(6.25),security(6.25),AI&amp; data analysis(6.25), </v>
      </c>
      <c r="IJ116" s="47" t="str">
        <f t="shared" si="342"/>
        <v xml:space="preserve">scale(2),enthusiasm(2),engineering knowledge(1),scale(1),technologists(2), </v>
      </c>
      <c r="IK116" s="47" t="str">
        <f t="shared" si="342"/>
        <v xml:space="preserve">engineering knowledge(1),wood processing(1),metal processing(1),functions(1),safety(1), </v>
      </c>
      <c r="IL116" s="47" t="str">
        <f t="shared" si="342"/>
        <v xml:space="preserve">engineering knowledge(25),wood processing(25),metal processing(25),functions(25),safety(25), </v>
      </c>
      <c r="IM116" s="47" t="str">
        <f t="shared" si="34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6" s="47" t="str">
        <f t="shared" si="342"/>
        <v xml:space="preserve">engineering knowledge(1),technologists(1),wood processing(1),metal processing(1),functions(1),safety(1),interaction(1), </v>
      </c>
      <c r="IO116" s="47" t="str">
        <f t="shared" si="342"/>
        <v xml:space="preserve">engineering knowledge(6.25),technologists(6.25),wood processing(6.25),metal processing(6.25),functions(6.25),safety(6.25),interaction(6.25), </v>
      </c>
      <c r="IP116" s="57" t="str">
        <f t="shared" si="342"/>
        <v xml:space="preserve">scale(2),enthusiasm(2),learning capacities(1),scale(2),local biz(2),reputation(1), </v>
      </c>
      <c r="IQ116" s="47" t="str">
        <f t="shared" si="342"/>
        <v xml:space="preserve">field knowledge(1),network among members(1),local biz(1),marketing(1), </v>
      </c>
      <c r="IR116" s="47" t="str">
        <f t="shared" si="342"/>
        <v xml:space="preserve">field knowledge(100),network among members(25),local biz(25),marketing(25), </v>
      </c>
      <c r="IS116" s="47" t="str">
        <f t="shared" si="34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6" s="47" t="str">
        <f t="shared" si="342"/>
        <v xml:space="preserve">field knowledge(1),network among members(1),enthusiasm(1),fun-ness(1),seriousness(1),local biz(1),biz group(1),govt(1),non-profits(1),marketing(1), </v>
      </c>
      <c r="IU116" s="47" t="str">
        <f t="shared" si="342"/>
        <v xml:space="preserve">field knowledge(6.25),network among members(6.25),enthusiasm(6.25),fun-ness(6.25),seriousness(6.25),local biz(6.25),biz group(6.25),govt(6.25),non-profits(6.25),marketing(6.25), </v>
      </c>
      <c r="IV116" s="57" t="str">
        <f t="shared" ref="IV116:LG116" si="343">IF(IV14="",IV117,$C116&amp;"("&amp;IV14&amp;"),"&amp;IV117)</f>
        <v xml:space="preserve">scale(2),enthusiasm(2),learning capacities(1),scale(2),local biz(2),reputation(1), </v>
      </c>
      <c r="IW116" s="47" t="str">
        <f t="shared" si="343"/>
        <v xml:space="preserve">field knowledge(1),network among members(1),local biz(1),marketing(1), </v>
      </c>
      <c r="IX116" s="47" t="str">
        <f t="shared" si="343"/>
        <v xml:space="preserve">field knowledge(100),network among members(25),local biz(25),marketing(25), </v>
      </c>
      <c r="IY116" s="47" t="str">
        <f t="shared" si="34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6" s="47" t="str">
        <f t="shared" si="343"/>
        <v xml:space="preserve">field knowledge(1),network among members(1),enthusiasm(1),fun-ness(1),seriousness(1),local biz(1),biz group(1),govt(1),marketing(1), </v>
      </c>
      <c r="JA116" s="47" t="str">
        <f t="shared" si="343"/>
        <v xml:space="preserve">field knowledge(6.25),network among members(6.25),enthusiasm(6.25),fun-ness(6.25),seriousness(6.25),local biz(6.25),biz group(6.25),govt(6.25),marketing(6.25), </v>
      </c>
      <c r="JB116" s="47" t="str">
        <f t="shared" si="343"/>
        <v xml:space="preserve">plastic(1),electronics(1),fabric(1),scale(2),enthusiasm(1),scale(1),enthusiasm(2), </v>
      </c>
      <c r="JC116" s="47" t="str">
        <f t="shared" si="343"/>
        <v xml:space="preserve">engineering knowledge(1), </v>
      </c>
      <c r="JD116" s="47" t="str">
        <f t="shared" si="343"/>
        <v xml:space="preserve">engineering knowledge(50), </v>
      </c>
      <c r="JE116" s="47" t="str">
        <f t="shared" si="343"/>
        <v xml:space="preserve">plastic(2),electronics(2),fabric(2),scale(3),enthusiasm(3),learning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6" s="47" t="str">
        <f t="shared" si="34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6" s="47" t="str">
        <f t="shared" si="34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6" s="47" t="str">
        <f t="shared" si="343"/>
        <v xml:space="preserve">scale(1),scale(1),enthusiasm(1),enthusiasm(1),local biz(1),non-profits(1),reputation(2), </v>
      </c>
      <c r="JI116" s="47" t="str">
        <f t="shared" si="343"/>
        <v xml:space="preserve"> </v>
      </c>
      <c r="JJ116" s="47" t="str">
        <f t="shared" si="343"/>
        <v xml:space="preserve"> </v>
      </c>
      <c r="JK116" s="47" t="str">
        <f t="shared" si="34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6" s="47" t="str">
        <f t="shared" si="343"/>
        <v xml:space="preserve">non-profits(1), </v>
      </c>
      <c r="JM116" s="47" t="str">
        <f t="shared" si="343"/>
        <v xml:space="preserve">non-profits(6.25), </v>
      </c>
      <c r="JN116" s="47" t="str">
        <f t="shared" si="343"/>
        <v xml:space="preserve">scale(2),enthusiasm(2),scale(2),enthusiasm(2),enthusiasm(1),network(1),local biz(1),investors(1),entrepreneurs(1),technologists(1),non-profits(1),reputation(2),portfolio(2), </v>
      </c>
      <c r="JO116" s="47" t="str">
        <f t="shared" si="343"/>
        <v xml:space="preserve"> </v>
      </c>
      <c r="JP116" s="47" t="str">
        <f t="shared" si="343"/>
        <v xml:space="preserve"> </v>
      </c>
      <c r="JQ116" s="47" t="str">
        <f t="shared" si="34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6" s="47" t="str">
        <f t="shared" si="343"/>
        <v xml:space="preserve"> </v>
      </c>
      <c r="JS116" s="47" t="str">
        <f t="shared" si="343"/>
        <v xml:space="preserve"> </v>
      </c>
      <c r="JT116" s="47" t="str">
        <f t="shared" si="343"/>
        <v xml:space="preserve">scale(3),enthusiasm(3),PR(1),administrator(1),enthusiasm(2),network(2),local biz(2),biz group(1),govt(2),investors(2),entrepreneurs(2),technologists(2),non-profits(2),reputation(2),portfolio(3), </v>
      </c>
      <c r="JU116" s="47" t="str">
        <f t="shared" si="343"/>
        <v xml:space="preserve"> </v>
      </c>
      <c r="JV116" s="47" t="str">
        <f t="shared" si="343"/>
        <v xml:space="preserve"> </v>
      </c>
      <c r="JW116" s="47" t="str">
        <f t="shared" si="34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6" s="47" t="str">
        <f t="shared" si="343"/>
        <v xml:space="preserve"> </v>
      </c>
      <c r="JY116" s="47" t="str">
        <f t="shared" si="343"/>
        <v xml:space="preserve"> </v>
      </c>
      <c r="JZ116" s="47" t="str">
        <f t="shared" si="343"/>
        <v xml:space="preserve">scale(1),enthusiasm(1),scale(1),enthusiasm(2),network(1),non-profits(1),reputation(2),social project(2), </v>
      </c>
      <c r="KA116" s="47" t="str">
        <f t="shared" si="343"/>
        <v xml:space="preserve">non-profits(1), </v>
      </c>
      <c r="KB116" s="47" t="str">
        <f t="shared" si="343"/>
        <v xml:space="preserve">non-profits(25), </v>
      </c>
      <c r="KC116" s="47" t="str">
        <f t="shared" si="34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6" s="47" t="str">
        <f t="shared" si="343"/>
        <v xml:space="preserve">non-profits(1), </v>
      </c>
      <c r="KE116" s="47" t="str">
        <f t="shared" si="343"/>
        <v xml:space="preserve">non-profits(6.25), </v>
      </c>
      <c r="KF116" s="47" t="str">
        <f t="shared" si="343"/>
        <v xml:space="preserve"> </v>
      </c>
      <c r="KG116" s="47" t="str">
        <f t="shared" si="343"/>
        <v xml:space="preserve"> </v>
      </c>
      <c r="KH116" s="47" t="str">
        <f t="shared" si="343"/>
        <v xml:space="preserve"> </v>
      </c>
      <c r="KI116" s="47" t="str">
        <f t="shared" si="343"/>
        <v xml:space="preserve"> </v>
      </c>
      <c r="KJ116" s="47" t="str">
        <f t="shared" si="343"/>
        <v xml:space="preserve"> </v>
      </c>
      <c r="KK116" s="47" t="str">
        <f t="shared" si="343"/>
        <v xml:space="preserve"> </v>
      </c>
      <c r="KL116" s="57" t="str">
        <f t="shared" si="343"/>
        <v xml:space="preserve"> </v>
      </c>
      <c r="KM116" s="47" t="str">
        <f t="shared" si="343"/>
        <v xml:space="preserve"> </v>
      </c>
      <c r="KN116" s="47" t="str">
        <f t="shared" si="343"/>
        <v xml:space="preserve"> </v>
      </c>
      <c r="KO116" s="47" t="str">
        <f t="shared" si="343"/>
        <v xml:space="preserve"> </v>
      </c>
      <c r="KP116" s="47" t="str">
        <f t="shared" si="343"/>
        <v xml:space="preserve"> </v>
      </c>
      <c r="KQ116" s="47" t="str">
        <f t="shared" si="343"/>
        <v xml:space="preserve"> </v>
      </c>
      <c r="KR116" s="57" t="str">
        <f t="shared" si="343"/>
        <v xml:space="preserve"> </v>
      </c>
      <c r="KS116" s="47" t="str">
        <f t="shared" si="343"/>
        <v xml:space="preserve"> </v>
      </c>
      <c r="KT116" s="47" t="str">
        <f t="shared" si="343"/>
        <v xml:space="preserve"> </v>
      </c>
      <c r="KU116" s="47" t="str">
        <f t="shared" si="343"/>
        <v xml:space="preserve"> </v>
      </c>
      <c r="KV116" s="47" t="str">
        <f t="shared" si="343"/>
        <v xml:space="preserve"> </v>
      </c>
      <c r="KW116" s="47" t="str">
        <f t="shared" si="343"/>
        <v xml:space="preserve"> </v>
      </c>
      <c r="KX116" s="57" t="str">
        <f t="shared" si="343"/>
        <v xml:space="preserve"> </v>
      </c>
      <c r="KY116" s="47" t="str">
        <f t="shared" si="343"/>
        <v xml:space="preserve"> </v>
      </c>
      <c r="KZ116" s="47" t="str">
        <f t="shared" si="343"/>
        <v xml:space="preserve"> </v>
      </c>
      <c r="LA116" s="47" t="str">
        <f t="shared" si="343"/>
        <v xml:space="preserve"> </v>
      </c>
      <c r="LB116" s="47" t="str">
        <f t="shared" si="343"/>
        <v xml:space="preserve"> </v>
      </c>
      <c r="LC116" s="47" t="str">
        <f t="shared" si="343"/>
        <v xml:space="preserve"> </v>
      </c>
      <c r="LD116" s="57" t="str">
        <f t="shared" si="343"/>
        <v xml:space="preserve"> </v>
      </c>
      <c r="LE116" s="47" t="str">
        <f t="shared" si="343"/>
        <v xml:space="preserve"> </v>
      </c>
      <c r="LF116" s="47" t="str">
        <f t="shared" si="343"/>
        <v xml:space="preserve"> </v>
      </c>
      <c r="LG116" s="47" t="str">
        <f t="shared" si="343"/>
        <v xml:space="preserve"> </v>
      </c>
      <c r="LH116" s="47" t="str">
        <f t="shared" ref="LH116:NM116" si="344">IF(LH14="",LH117,$C116&amp;"("&amp;LH14&amp;"),"&amp;LH117)</f>
        <v xml:space="preserve"> </v>
      </c>
      <c r="LI116" s="47" t="str">
        <f t="shared" si="344"/>
        <v xml:space="preserve"> </v>
      </c>
      <c r="LJ116" s="57" t="str">
        <f t="shared" si="344"/>
        <v xml:space="preserve"> </v>
      </c>
      <c r="LK116" s="47" t="str">
        <f t="shared" si="344"/>
        <v xml:space="preserve"> </v>
      </c>
      <c r="LL116" s="47" t="str">
        <f t="shared" si="344"/>
        <v xml:space="preserve"> </v>
      </c>
      <c r="LM116" s="47" t="str">
        <f t="shared" si="344"/>
        <v xml:space="preserve"> </v>
      </c>
      <c r="LN116" s="47" t="str">
        <f t="shared" si="344"/>
        <v xml:space="preserve"> </v>
      </c>
      <c r="LO116" s="47" t="str">
        <f t="shared" si="344"/>
        <v xml:space="preserve"> </v>
      </c>
      <c r="LP116" s="57" t="str">
        <f t="shared" si="344"/>
        <v xml:space="preserve"> </v>
      </c>
      <c r="LQ116" s="47" t="str">
        <f t="shared" si="344"/>
        <v xml:space="preserve"> </v>
      </c>
      <c r="LR116" s="47" t="str">
        <f t="shared" si="344"/>
        <v xml:space="preserve"> </v>
      </c>
      <c r="LS116" s="47" t="str">
        <f t="shared" si="344"/>
        <v xml:space="preserve"> </v>
      </c>
      <c r="LT116" s="47" t="str">
        <f t="shared" si="344"/>
        <v xml:space="preserve"> </v>
      </c>
      <c r="LU116" s="47" t="str">
        <f t="shared" si="344"/>
        <v xml:space="preserve"> </v>
      </c>
      <c r="LV116" s="57" t="str">
        <f t="shared" si="344"/>
        <v xml:space="preserve"> </v>
      </c>
      <c r="LW116" s="47" t="str">
        <f t="shared" si="344"/>
        <v xml:space="preserve"> </v>
      </c>
      <c r="LX116" s="47" t="str">
        <f t="shared" si="344"/>
        <v xml:space="preserve"> </v>
      </c>
      <c r="LY116" s="47" t="str">
        <f t="shared" si="344"/>
        <v xml:space="preserve"> </v>
      </c>
      <c r="LZ116" s="47" t="str">
        <f t="shared" si="344"/>
        <v xml:space="preserve"> </v>
      </c>
      <c r="MA116" s="47" t="str">
        <f t="shared" si="344"/>
        <v xml:space="preserve"> </v>
      </c>
      <c r="MB116" s="57" t="str">
        <f t="shared" si="344"/>
        <v xml:space="preserve"> </v>
      </c>
      <c r="MC116" s="47" t="str">
        <f t="shared" si="344"/>
        <v xml:space="preserve"> </v>
      </c>
      <c r="MD116" s="47" t="str">
        <f t="shared" si="344"/>
        <v xml:space="preserve"> </v>
      </c>
      <c r="ME116" s="47" t="str">
        <f t="shared" si="344"/>
        <v xml:space="preserve"> </v>
      </c>
      <c r="MF116" s="47" t="str">
        <f t="shared" si="344"/>
        <v xml:space="preserve"> </v>
      </c>
      <c r="MG116" s="47" t="str">
        <f t="shared" si="344"/>
        <v xml:space="preserve"> </v>
      </c>
      <c r="MH116" s="57" t="str">
        <f t="shared" si="344"/>
        <v xml:space="preserve"> </v>
      </c>
      <c r="MI116" s="47" t="str">
        <f t="shared" si="344"/>
        <v xml:space="preserve"> </v>
      </c>
      <c r="MJ116" s="47" t="str">
        <f t="shared" si="344"/>
        <v xml:space="preserve"> </v>
      </c>
      <c r="MK116" s="47" t="str">
        <f t="shared" si="344"/>
        <v xml:space="preserve"> </v>
      </c>
      <c r="ML116" s="47" t="str">
        <f t="shared" si="344"/>
        <v xml:space="preserve"> </v>
      </c>
      <c r="MM116" s="47" t="str">
        <f t="shared" si="344"/>
        <v xml:space="preserve"> </v>
      </c>
      <c r="MN116" s="57" t="str">
        <f t="shared" si="344"/>
        <v xml:space="preserve"> </v>
      </c>
      <c r="MO116" s="47" t="str">
        <f t="shared" si="344"/>
        <v xml:space="preserve"> </v>
      </c>
      <c r="MP116" s="47" t="str">
        <f t="shared" si="344"/>
        <v xml:space="preserve"> </v>
      </c>
      <c r="MQ116" s="47" t="str">
        <f t="shared" si="344"/>
        <v xml:space="preserve"> </v>
      </c>
      <c r="MR116" s="47" t="str">
        <f t="shared" si="344"/>
        <v xml:space="preserve"> </v>
      </c>
      <c r="MS116" s="47" t="str">
        <f t="shared" si="344"/>
        <v xml:space="preserve"> </v>
      </c>
      <c r="MT116" s="57" t="str">
        <f t="shared" si="344"/>
        <v xml:space="preserve"> </v>
      </c>
      <c r="MU116" s="47" t="str">
        <f t="shared" si="344"/>
        <v xml:space="preserve"> </v>
      </c>
      <c r="MV116" s="47" t="str">
        <f t="shared" si="344"/>
        <v xml:space="preserve"> </v>
      </c>
      <c r="MW116" s="47" t="str">
        <f t="shared" si="344"/>
        <v xml:space="preserve"> </v>
      </c>
      <c r="MX116" s="47" t="str">
        <f t="shared" si="344"/>
        <v xml:space="preserve"> </v>
      </c>
      <c r="MY116" s="47" t="str">
        <f t="shared" si="344"/>
        <v xml:space="preserve"> </v>
      </c>
      <c r="MZ116" s="57" t="str">
        <f t="shared" si="344"/>
        <v xml:space="preserve"> </v>
      </c>
      <c r="NA116" s="47" t="str">
        <f t="shared" si="344"/>
        <v xml:space="preserve"> </v>
      </c>
      <c r="NB116" s="47" t="str">
        <f t="shared" si="344"/>
        <v xml:space="preserve"> </v>
      </c>
      <c r="NC116" s="47" t="str">
        <f t="shared" si="344"/>
        <v xml:space="preserve"> </v>
      </c>
      <c r="ND116" s="47" t="str">
        <f t="shared" si="344"/>
        <v xml:space="preserve"> </v>
      </c>
      <c r="NE116" s="47" t="str">
        <f t="shared" si="344"/>
        <v xml:space="preserve"> </v>
      </c>
      <c r="NF116" s="57" t="str">
        <f t="shared" si="344"/>
        <v xml:space="preserve"> </v>
      </c>
      <c r="NG116" s="47" t="str">
        <f t="shared" si="344"/>
        <v xml:space="preserve"> </v>
      </c>
      <c r="NH116" s="47" t="str">
        <f t="shared" si="344"/>
        <v xml:space="preserve"> </v>
      </c>
      <c r="NI116" s="47" t="str">
        <f t="shared" si="344"/>
        <v xml:space="preserve"> </v>
      </c>
      <c r="NJ116" s="47" t="str">
        <f t="shared" si="344"/>
        <v xml:space="preserve"> </v>
      </c>
      <c r="NK116" s="47" t="str">
        <f t="shared" si="344"/>
        <v xml:space="preserve"> </v>
      </c>
      <c r="NL116" s="57" t="str">
        <f t="shared" si="344"/>
        <v xml:space="preserve"> </v>
      </c>
      <c r="NM116" s="47" t="str">
        <f t="shared" si="344"/>
        <v xml:space="preserve"> </v>
      </c>
    </row>
    <row r="117" spans="3:377" ht="15.75" customHeight="1">
      <c r="C117" s="7" t="str">
        <f t="shared" si="296"/>
        <v>electronics</v>
      </c>
      <c r="D117" s="21" t="str">
        <f t="shared" si="169"/>
        <v xml:space="preserve">scale 1
 </v>
      </c>
      <c r="E117" s="21" t="str">
        <f t="shared" si="297"/>
        <v xml:space="preserve">scale(1,100),  </v>
      </c>
      <c r="F117" s="21" t="str">
        <f t="shared" si="170"/>
        <v xml:space="preserve">scale 100
 </v>
      </c>
      <c r="G117" s="21" t="str">
        <f t="shared" si="298"/>
        <v xml:space="preserve">electronics(2), fabric(2), enthusiasm(1), enthusiasm(2), fun-ness(1), community manager(1), PR(1), fame(1), network(2), ease of access(1), reputation(2), social media(1),  </v>
      </c>
      <c r="H117" s="21" t="str">
        <f t="shared" si="299"/>
        <v xml:space="preserve">scale(1,6.25),  </v>
      </c>
      <c r="I117" s="21" t="str">
        <f t="shared" ref="I117" si="345">IF(I15="",I118,$C117&amp;"("&amp;I15&amp;"),"&amp;I118)</f>
        <v xml:space="preserve">scale(6.25), </v>
      </c>
      <c r="J117" s="21" t="str">
        <f t="shared" si="172"/>
        <v xml:space="preserve">scale 1
interaction 1
 </v>
      </c>
      <c r="K117" s="21" t="str">
        <f t="shared" si="173"/>
        <v xml:space="preserve">reputation(1,75),  </v>
      </c>
      <c r="L117" s="21" t="str">
        <f t="shared" si="174"/>
        <v xml:space="preserve">reputation 75
 </v>
      </c>
      <c r="M117" s="21" t="str">
        <f t="shared" si="175"/>
        <v xml:space="preserve">PR(1), portfolio(1), social innovation(1), non-profit biz(1),  </v>
      </c>
      <c r="N117" s="21" t="str">
        <f t="shared" si="176"/>
        <v xml:space="preserve">scale(1,6.25), enthusiasm(1,6.25), seriousness(1,25), non-profits(1,12.5), reputation(1,75), marketing(1,12.5),  </v>
      </c>
      <c r="O117" s="21" t="str">
        <f t="shared" si="177"/>
        <v xml:space="preserve">scale(6.25),enthusiasm(6.25),seriousness(25),non-profits(12.5),reputation(75),marketing(12.5), </v>
      </c>
      <c r="P117" s="21" t="str">
        <f t="shared" si="172"/>
        <v xml:space="preserve">scale 1
biz project 1
 </v>
      </c>
      <c r="Q117" s="21" t="str">
        <f t="shared" si="178"/>
        <v xml:space="preserve"> </v>
      </c>
      <c r="R117" s="21" t="str">
        <f t="shared" si="174"/>
        <v xml:space="preserve"> </v>
      </c>
      <c r="S117" s="21" t="str">
        <f t="shared" si="179"/>
        <v xml:space="preserve">portfolio(1), biz enhancement(1), business(1), start-up(1),  </v>
      </c>
      <c r="T117" s="21" t="str">
        <f t="shared" si="180"/>
        <v xml:space="preserve">scale(1,6.25), enthusiasm(1,6.25), seriousness(1,25), local biz(1,6.25), investors(1,6.25), reputation(1,6.25),  </v>
      </c>
      <c r="U117" s="21" t="str">
        <f t="shared" si="177"/>
        <v xml:space="preserve">scale(6.25),enthusiasm(6.25),seriousness(25),local biz(6.25),investors(6.25),reputation(6.25), </v>
      </c>
      <c r="V117" s="21" t="str">
        <f t="shared" si="172"/>
        <v xml:space="preserve">scale 1
 </v>
      </c>
      <c r="W117" s="21" t="str">
        <f t="shared" si="181"/>
        <v xml:space="preserve">local biz(1,),  </v>
      </c>
      <c r="X117" s="21" t="str">
        <f t="shared" si="174"/>
        <v xml:space="preserve"> </v>
      </c>
      <c r="Y117" s="21" t="str">
        <f t="shared" si="182"/>
        <v xml:space="preserve">enthusiasm(1), attention to details(1), PR(1), network(1), ease of access(1), reputation(1), portfolio(1), biz project(1), biz enhancement(1), job creation(1), business(1),  </v>
      </c>
      <c r="Z117" s="21" t="str">
        <f t="shared" si="183"/>
        <v xml:space="preserve">local biz(1,6.25),  </v>
      </c>
      <c r="AA117" s="21" t="str">
        <f t="shared" si="177"/>
        <v xml:space="preserve">local biz(6.25), </v>
      </c>
      <c r="AB117" s="21" t="str">
        <f t="shared" si="172"/>
        <v xml:space="preserve">scale 1
 </v>
      </c>
      <c r="AC117" s="21" t="str">
        <f t="shared" si="184"/>
        <v xml:space="preserve">non-profits(1,100),  </v>
      </c>
      <c r="AD117" s="21" t="str">
        <f t="shared" si="174"/>
        <v xml:space="preserve">non-profits 100
 </v>
      </c>
      <c r="AE117" s="21" t="str">
        <f t="shared" si="185"/>
        <v xml:space="preserve">enthusiasm(1), attention to details(1), PR(1), network(1), ease of access(1), reputation(1), portfolio(1), social project(1), social innovation(1), non-profit biz(1),  </v>
      </c>
      <c r="AF117" s="21" t="str">
        <f t="shared" si="186"/>
        <v xml:space="preserve">seriousness(1,6.25), non-profits(1,6.25),  </v>
      </c>
      <c r="AG117" s="21" t="str">
        <f t="shared" si="177"/>
        <v xml:space="preserve">seriousness(6.25),non-profits(6.25), </v>
      </c>
      <c r="AH117" s="21" t="str">
        <f t="shared" si="172"/>
        <v xml:space="preserve">scale 1
 </v>
      </c>
      <c r="AI117" s="21" t="str">
        <f t="shared" si="187"/>
        <v xml:space="preserve">govt(1,),  </v>
      </c>
      <c r="AJ117" s="21" t="str">
        <f t="shared" si="174"/>
        <v xml:space="preserve"> </v>
      </c>
      <c r="AK117" s="21" t="str">
        <f t="shared" si="188"/>
        <v xml:space="preserve">enthusiasm(1), attention to details(1), seriousness(1), fame(1), network(1), govt(1), ease of access(1), reputation(2), portfolio(1), social project(1), social innovation(1), non-profit biz(1),  </v>
      </c>
      <c r="AL117" s="21" t="str">
        <f t="shared" si="189"/>
        <v xml:space="preserve">govt(1,6.25),  </v>
      </c>
      <c r="AM117" s="21" t="str">
        <f t="shared" si="177"/>
        <v xml:space="preserve">govt(6.25), </v>
      </c>
      <c r="AN117" s="21" t="str">
        <f t="shared" si="172"/>
        <v xml:space="preserve">scale 1
enthusiasm 1
gifted leader 1
scale 1
enthusiasm 1
 </v>
      </c>
      <c r="AO117" s="21" t="str">
        <f t="shared" si="190"/>
        <v xml:space="preserve">fame(1,), network(1,), investors(1,6.25),  </v>
      </c>
      <c r="AP117" s="21" t="str">
        <f t="shared" si="174"/>
        <v xml:space="preserve">investors 6.25
 </v>
      </c>
      <c r="AQ117" s="21" t="str">
        <f t="shared" si="191"/>
        <v xml:space="preserve">investors(1), ease of access(1), reputation(1), portfolio(1), start-up(1), start-up with mvp(1), start-up with customers(1),  </v>
      </c>
      <c r="AR117" s="21" t="str">
        <f t="shared" si="192"/>
        <v xml:space="preserve"> </v>
      </c>
      <c r="AS117" s="21" t="str">
        <f t="shared" si="177"/>
        <v xml:space="preserve"> </v>
      </c>
      <c r="AT117" s="21" t="str">
        <f t="shared" si="172"/>
        <v xml:space="preserve">scale 1
enthusiasm 1
scale 2
enthusiasm 1
seriousness 1
administrator 1
non-profits 2
reputation 1
portfolio 1
social project 1
 </v>
      </c>
      <c r="AU117" s="21" t="str">
        <f t="shared" si="193"/>
        <v xml:space="preserve">ambition(1,), attention to details(1,),  </v>
      </c>
      <c r="AV117" s="21" t="str">
        <f t="shared" si="174"/>
        <v xml:space="preserve"> </v>
      </c>
      <c r="AW117" s="21" t="str">
        <f t="shared" si="194"/>
        <v xml:space="preserve">field knowledge(1), enthusiasm(3), PR(2), administrator(1), project management(2),  </v>
      </c>
      <c r="AX117" s="21" t="str">
        <f t="shared" si="195"/>
        <v xml:space="preserve">organizational rules and manuals(1,12.5), project management(1,12.5),  </v>
      </c>
      <c r="AY117" s="21" t="str">
        <f t="shared" si="177"/>
        <v xml:space="preserve">organizational rules and manuals(12.5),project management(12.5), </v>
      </c>
      <c r="AZ117" s="21" t="str">
        <f t="shared" si="172"/>
        <v xml:space="preserve">scale 1
enthusiasm 1
scale 1
enthusiasm 1
non-profits 1
 </v>
      </c>
      <c r="BA117" s="21" t="str">
        <f t="shared" si="196"/>
        <v xml:space="preserve"> </v>
      </c>
      <c r="BB117" s="21" t="str">
        <f t="shared" si="174"/>
        <v xml:space="preserve"> </v>
      </c>
      <c r="BC117" s="21" t="str">
        <f t="shared" si="197"/>
        <v xml:space="preserve"> </v>
      </c>
      <c r="BD117" s="21" t="str">
        <f t="shared" si="198"/>
        <v xml:space="preserve"> </v>
      </c>
      <c r="BE117" s="21" t="str">
        <f t="shared" si="177"/>
        <v xml:space="preserve"> </v>
      </c>
      <c r="BF117" s="21" t="str">
        <f t="shared" si="172"/>
        <v xml:space="preserve">scale 1
enthusiasm 1
scale 2
enthusiasm 1
seriousness 1
administrator 1
local biz 2
entrepreneurs 1
reputation 1
portfolio 1
biz project 1
 </v>
      </c>
      <c r="BG117" s="21" t="str">
        <f t="shared" si="199"/>
        <v xml:space="preserve">ambition(1,), attention to details(1,),  </v>
      </c>
      <c r="BH117" s="21" t="str">
        <f t="shared" si="174"/>
        <v xml:space="preserve"> </v>
      </c>
      <c r="BI117" s="21" t="str">
        <f t="shared" si="200"/>
        <v xml:space="preserve">field knowledge(1), enthusiasm(3), PR(2), administrator(1), project management(2),  </v>
      </c>
      <c r="BJ117" s="21" t="str">
        <f t="shared" si="201"/>
        <v xml:space="preserve">organizational rules and manuals(1,12.5), project management(1,12.5),  </v>
      </c>
      <c r="BK117" s="21" t="str">
        <f t="shared" si="177"/>
        <v xml:space="preserve">organizational rules and manuals(12.5),project management(12.5), </v>
      </c>
      <c r="BL117" s="21" t="str">
        <f t="shared" si="172"/>
        <v xml:space="preserve">scale 1
enthusiasm 1
scale 1
enthusiasm 1
local biz 1
reputation 1
portfolio 1
biz enhancement 1
 </v>
      </c>
      <c r="BM117" s="21" t="str">
        <f t="shared" si="202"/>
        <v xml:space="preserve"> </v>
      </c>
      <c r="BN117" s="21" t="str">
        <f t="shared" si="174"/>
        <v xml:space="preserve"> </v>
      </c>
      <c r="BO117" s="21" t="str">
        <f t="shared" si="203"/>
        <v xml:space="preserve"> </v>
      </c>
      <c r="BP117" s="21" t="str">
        <f t="shared" si="204"/>
        <v xml:space="preserve"> </v>
      </c>
      <c r="BQ117" s="21" t="str">
        <f t="shared" si="177"/>
        <v xml:space="preserve"> </v>
      </c>
      <c r="BR117" s="21" t="str">
        <f t="shared" si="172"/>
        <v xml:space="preserve"> </v>
      </c>
      <c r="BS117" s="21" t="str">
        <f t="shared" si="205"/>
        <v xml:space="preserve"> </v>
      </c>
      <c r="BT117" s="21" t="str">
        <f t="shared" si="174"/>
        <v xml:space="preserve"> </v>
      </c>
      <c r="BU117" s="21" t="str">
        <f t="shared" si="206"/>
        <v xml:space="preserve"> </v>
      </c>
      <c r="BV117" s="21" t="str">
        <f t="shared" si="207"/>
        <v xml:space="preserve"> </v>
      </c>
      <c r="BW117" s="21" t="str">
        <f t="shared" si="177"/>
        <v xml:space="preserve"> </v>
      </c>
      <c r="BX117" s="21" t="str">
        <f t="shared" si="208"/>
        <v xml:space="preserve">scale 1
network 1
 </v>
      </c>
      <c r="BY117" s="21" t="str">
        <f t="shared" si="209"/>
        <v xml:space="preserve">efficiency(1,),  </v>
      </c>
      <c r="BZ117" s="21" t="str">
        <f t="shared" si="210"/>
        <v xml:space="preserve"> </v>
      </c>
      <c r="CA117" s="21" t="str">
        <f t="shared" si="211"/>
        <v xml:space="preserve">scale(2), enthusiasm(1), attention to details(1), administrator(1), negotiation(1),  </v>
      </c>
      <c r="CB117" s="21" t="str">
        <f t="shared" si="212"/>
        <v xml:space="preserve">user rules and manuals(1,50), organizational rules and manuals(1,50),  </v>
      </c>
      <c r="CC117" s="21" t="str">
        <f t="shared" si="213"/>
        <v xml:space="preserve">user rules and manuals(50),organizational rules and manuals(50), </v>
      </c>
      <c r="CD117" s="21" t="str">
        <f t="shared" si="208"/>
        <v xml:space="preserve">scale 1
scale 1
enthusiasm 1
network 1
 </v>
      </c>
      <c r="CE117" s="21" t="str">
        <f t="shared" si="214"/>
        <v xml:space="preserve">field knowledge(1,), non-profits(1,),  </v>
      </c>
      <c r="CF117" s="21" t="str">
        <f t="shared" si="210"/>
        <v xml:space="preserve"> </v>
      </c>
      <c r="CG117" s="21" t="str">
        <f t="shared" si="215"/>
        <v xml:space="preserve">electronics(2), fabric(2), fun-ness(1), seriousness(1), ease of access(1), portfolio(1), user rules and manuals(1), negotiation(1), social project(1), biz project(1), for basic literacy(1), for the elites(1), for entrepreneurs(1),  </v>
      </c>
      <c r="CH117" s="21" t="str">
        <f t="shared" si="216"/>
        <v xml:space="preserve">scale(1,6.25), technologists(1,6.25), non-profits(1,6.25),  </v>
      </c>
      <c r="CI117" s="21" t="str">
        <f t="shared" si="213"/>
        <v xml:space="preserve">scale(6.25),technologists(6.25),non-profits(6.25), </v>
      </c>
      <c r="CJ117" s="21" t="str">
        <f t="shared" si="208"/>
        <v xml:space="preserve">scale 1
scale 1
 </v>
      </c>
      <c r="CK117" s="21" t="str">
        <f t="shared" si="217"/>
        <v xml:space="preserve">suppliers(1,),  </v>
      </c>
      <c r="CL117" s="21" t="str">
        <f t="shared" si="210"/>
        <v xml:space="preserve"> </v>
      </c>
      <c r="CM117" s="21" t="str">
        <f t="shared" si="218"/>
        <v xml:space="preserve">reputation(1), negotiation(1),  </v>
      </c>
      <c r="CN117" s="21" t="str">
        <f t="shared" si="219"/>
        <v xml:space="preserve">learning capacities(1,), engineering knowledge(1,), enthusiasm(2,), efficiency(1,6.25),  </v>
      </c>
      <c r="CO117" s="21" t="str">
        <f t="shared" si="213"/>
        <v xml:space="preserve">efficiency(6.25), </v>
      </c>
      <c r="CP117" s="21" t="str">
        <f t="shared" si="208"/>
        <v xml:space="preserve">scale 1
scale 1
 </v>
      </c>
      <c r="CQ117" s="21" t="str">
        <f t="shared" si="220"/>
        <v xml:space="preserve">technologists(1,),  </v>
      </c>
      <c r="CR117" s="21" t="str">
        <f t="shared" si="210"/>
        <v xml:space="preserve"> </v>
      </c>
      <c r="CS117" s="21" t="str">
        <f t="shared" si="221"/>
        <v xml:space="preserve">electronics(2), 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7" s="21" t="str">
        <f t="shared" si="222"/>
        <v xml:space="preserve">engineering knowledge(1,6.25), efficiency(1,6.25),  </v>
      </c>
      <c r="CU117" s="21" t="str">
        <f t="shared" si="213"/>
        <v xml:space="preserve">engineering knowledge(6.25),efficiency(6.25), </v>
      </c>
      <c r="CV117" s="21" t="str">
        <f t="shared" si="208"/>
        <v xml:space="preserve">scale 1
scale 1
 </v>
      </c>
      <c r="CW117" s="21" t="str">
        <f t="shared" si="223"/>
        <v xml:space="preserve">local biz(1,),  </v>
      </c>
      <c r="CX117" s="21" t="str">
        <f t="shared" si="210"/>
        <v xml:space="preserve"> </v>
      </c>
      <c r="CY117" s="21" t="str">
        <f t="shared" si="224"/>
        <v xml:space="preserve">electronics(2), fabric(2), ease of access(1), reputation(1), portfolio(1), negotiation(1),  </v>
      </c>
      <c r="CZ117" s="21" t="str">
        <f t="shared" si="225"/>
        <v xml:space="preserve">non-profits(1,6.25),  </v>
      </c>
      <c r="DA117" s="21" t="str">
        <f t="shared" si="213"/>
        <v xml:space="preserve">non-profits(6.25), </v>
      </c>
      <c r="DB117" s="21" t="str">
        <f t="shared" si="208"/>
        <v xml:space="preserve">scale 1
 </v>
      </c>
      <c r="DC117" s="21" t="str">
        <f t="shared" si="226"/>
        <v xml:space="preserve"> </v>
      </c>
      <c r="DD117" s="21" t="str">
        <f t="shared" si="210"/>
        <v xml:space="preserve"> </v>
      </c>
      <c r="DE117" s="21" t="str">
        <f t="shared" si="227"/>
        <v xml:space="preserve">electronics(2), 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7" s="21" t="str">
        <f t="shared" si="228"/>
        <v xml:space="preserve">network(1,), local biz(1,6.25), biz group(1,6.25), investors(1,6.25), entrepreneurs(1,6.25),  </v>
      </c>
      <c r="DG117" s="21" t="str">
        <f t="shared" si="213"/>
        <v xml:space="preserve">local biz(6.25),biz group(6.25),investors(6.25),entrepreneurs(6.25), </v>
      </c>
      <c r="DH117" s="21" t="str">
        <f t="shared" si="208"/>
        <v xml:space="preserve">scale 1
enthusiasm 1
scale 1
enthusiasm 1
network 1
non-profits 1
reputation 1
social project 1
 </v>
      </c>
      <c r="DI117" s="21" t="str">
        <f t="shared" si="229"/>
        <v xml:space="preserve"> </v>
      </c>
      <c r="DJ117" s="21" t="str">
        <f t="shared" si="210"/>
        <v xml:space="preserve"> </v>
      </c>
      <c r="DK117" s="21" t="str">
        <f t="shared" si="230"/>
        <v xml:space="preserve">electronics(1), 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7" s="21" t="str">
        <f t="shared" si="231"/>
        <v xml:space="preserve">field knowledge(1,12.5), network among members(1,12.5), reputation(1,6.25),  </v>
      </c>
      <c r="DM117" s="21" t="str">
        <f t="shared" si="213"/>
        <v xml:space="preserve">field knowledge(12.5),network among members(12.5),reputation(6.25), </v>
      </c>
      <c r="DN117" s="21" t="str">
        <f t="shared" si="208"/>
        <v xml:space="preserve">scale 1
enthusiasm 1
scale 1
enthusiasm 1
network 1
local biz 1
reputation 1
biz project 1
 </v>
      </c>
      <c r="DO117" s="21" t="str">
        <f t="shared" si="232"/>
        <v xml:space="preserve"> </v>
      </c>
      <c r="DP117" s="21" t="str">
        <f t="shared" si="210"/>
        <v xml:space="preserve"> </v>
      </c>
      <c r="DQ117" s="21" t="str">
        <f t="shared" si="233"/>
        <v xml:space="preserve">electronics(1), 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7" s="21" t="str">
        <f t="shared" si="234"/>
        <v xml:space="preserve">field knowledge(1,12.5), network among members(1,12.5), reputation(1,6.25),  </v>
      </c>
      <c r="DS117" s="21" t="str">
        <f t="shared" si="213"/>
        <v xml:space="preserve">field knowledge(12.5),network among members(12.5),reputation(6.25), </v>
      </c>
      <c r="DT117" s="21" t="str">
        <f t="shared" si="208"/>
        <v xml:space="preserve">scale 1
enthusiasm 1
scale 1
enthusiasm 1
network 1
reputation 1
 </v>
      </c>
      <c r="DU117" s="21" t="str">
        <f t="shared" si="235"/>
        <v xml:space="preserve"> </v>
      </c>
      <c r="DV117" s="21" t="str">
        <f t="shared" si="210"/>
        <v xml:space="preserve"> </v>
      </c>
      <c r="DW117"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7" s="21" t="str">
        <f t="shared" si="237"/>
        <v xml:space="preserve">enthusiasm(1,6.25), field knowledge(1,6.25), engineering knowledge(1,6.25), ambition(1,6.25), reputation(1,6.25), for basic literacy(1,6.25),  </v>
      </c>
      <c r="DY117" s="21" t="str">
        <f t="shared" si="213"/>
        <v xml:space="preserve">enthusiasm(6.25),field knowledge(6.25),engineering knowledge(6.25),ambition(6.25),reputation(6.25),for basic literacy(6.25), </v>
      </c>
      <c r="DZ117" s="21" t="str">
        <f t="shared" si="208"/>
        <v xml:space="preserve">scale 1
enthusiasm 1
scale 1
enthusiasm 1
network 1
reputation 1
 </v>
      </c>
      <c r="EA117" s="21" t="str">
        <f t="shared" si="238"/>
        <v xml:space="preserve"> </v>
      </c>
      <c r="EB117" s="21" t="str">
        <f t="shared" si="210"/>
        <v xml:space="preserve"> </v>
      </c>
      <c r="EC117"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7" s="21" t="str">
        <f t="shared" si="240"/>
        <v xml:space="preserve">enthusiasm(1,6.25), engineering knowledge(1,6.25), ambition(1,6.25), reputation(1,6.25), for basic literacy(1,6.25),  </v>
      </c>
      <c r="EE117" s="21" t="str">
        <f t="shared" si="213"/>
        <v xml:space="preserve">enthusiasm(6.25),engineering knowledge(6.25),ambition(6.25),reputation(6.25),for basic literacy(6.25), </v>
      </c>
      <c r="EF117" s="21" t="str">
        <f t="shared" si="208"/>
        <v xml:space="preserve">scale 2
enthusiasm 2
technologists 1
reputation 1
 </v>
      </c>
      <c r="EG117" s="21" t="str">
        <f t="shared" si="241"/>
        <v xml:space="preserve">web(1,50), mobile apps(1,50), interaction(1,50),  </v>
      </c>
      <c r="EH117" s="21" t="str">
        <f t="shared" si="210"/>
        <v xml:space="preserve">web 50
mobile apps 50
interaction 50
 </v>
      </c>
      <c r="EI117"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7" s="21" t="str">
        <f t="shared" si="243"/>
        <v xml:space="preserve">engineering knowledge(1,6.25), technologists(1,12.5), infrastructrue(1,12.5), database(1,12.5), mobile comm(1,12.5), for entrepreneurs(1,6.25),  </v>
      </c>
      <c r="EK117" s="21" t="str">
        <f t="shared" si="213"/>
        <v xml:space="preserve">engineering knowledge(6.25),technologists(12.5),infrastructrue(12.5),database(12.5),mobile comm(12.5),for entrepreneurs(6.25), </v>
      </c>
      <c r="EL117" s="21" t="str">
        <f t="shared" si="244"/>
        <v xml:space="preserve">scale 2
enthusiasm 2
technologists 1
reputation 1
 </v>
      </c>
      <c r="EM117" s="21" t="str">
        <f t="shared" si="245"/>
        <v xml:space="preserve">sensors(1,50),  </v>
      </c>
      <c r="EN117" s="21" t="str">
        <f t="shared" si="246"/>
        <v xml:space="preserve">sensors 50
 </v>
      </c>
      <c r="EO117"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7" s="21" t="str">
        <f t="shared" si="248"/>
        <v xml:space="preserve">engineering knowledge(1,6.25), technologists(1,12.5), infrastructrue(1,12.5), database(1,12.5), mobile comm(1,12.5), electronics(1,6.25), for entrepreneurs(1,6.25),  </v>
      </c>
      <c r="EQ117" s="21" t="str">
        <f t="shared" si="249"/>
        <v xml:space="preserve">engineering knowledge(6.25),technologists(12.5),infrastructrue(12.5),database(12.5),mobile comm(12.5),electronics(6.25),for entrepreneurs(6.25), </v>
      </c>
      <c r="ER117" s="21" t="str">
        <f t="shared" si="244"/>
        <v xml:space="preserve">scale 2
enthusiasm 2
technologists 1
 </v>
      </c>
      <c r="ES117" s="21" t="str">
        <f t="shared" si="250"/>
        <v xml:space="preserve">AI&amp; data analysis(1,50),  </v>
      </c>
      <c r="ET117" s="21" t="str">
        <f t="shared" si="246"/>
        <v xml:space="preserve">AI&amp; data analysis 50
 </v>
      </c>
      <c r="EU117"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7" s="21" t="str">
        <f t="shared" si="252"/>
        <v xml:space="preserve">engineering knowledge(1,6.25), technologists(1,12.5), database(1,12.5), sensors(1,12.5), mobile comm(1,12.5), for entrepreneurs(1,6.25),  </v>
      </c>
      <c r="EW117" s="21" t="str">
        <f t="shared" si="249"/>
        <v xml:space="preserve">engineering knowledge(6.25),technologists(12.5),database(12.5),sensors(12.5),mobile comm(12.5),for entrepreneurs(6.25), </v>
      </c>
      <c r="EX117" s="21" t="str">
        <f t="shared" si="244"/>
        <v xml:space="preserve">scale 2
enthusiasm 2
technologists 1
 </v>
      </c>
      <c r="EY117" s="21" t="str">
        <f t="shared" si="253"/>
        <v xml:space="preserve">law(1,50), security(1,50), interaction(1,25),  </v>
      </c>
      <c r="EZ117" s="21" t="str">
        <f t="shared" si="246"/>
        <v xml:space="preserve">law 50
security 50
interaction 25
 </v>
      </c>
      <c r="FA117"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7" s="21" t="str">
        <f t="shared" si="255"/>
        <v xml:space="preserve">field knowledge(1,6.25), engineering knowledge(1,6.25), technologists(1,12.5), law(1,6.25), database(1,12.5), mobile apps(1,12.5), security(1,12.5), mobile comm(1,12.5), for entrepreneurs(1,6.25),  </v>
      </c>
      <c r="FC117" s="21" t="str">
        <f t="shared" si="249"/>
        <v xml:space="preserve">field knowledge(6.25),engineering knowledge(6.25),technologists(12.5),law(6.25),database(12.5),mobile apps(12.5),security(12.5),mobile comm(12.5),for entrepreneurs(6.25), </v>
      </c>
      <c r="FD117" s="21" t="str">
        <f t="shared" si="244"/>
        <v xml:space="preserve">scale 2
enthusiasm 2
technologists 1
 </v>
      </c>
      <c r="FE117" s="21" t="str">
        <f t="shared" si="256"/>
        <v xml:space="preserve">law(1,50), sensors(1,50), security(1,50),  </v>
      </c>
      <c r="FF117" s="21" t="str">
        <f t="shared" si="246"/>
        <v xml:space="preserve">law 50
sensors 50
security 50
 </v>
      </c>
      <c r="FG117"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7" s="21" t="str">
        <f t="shared" si="258"/>
        <v xml:space="preserve">field knowledge(1,6.25), engineering knowledge(1,6.25), technologists(1,12.5), law(1,6.25), database(1,6.25), mobile apps(1,6.25), AI&amp; data analysis(1,6.25), mobile comm(1,6.25), for entrepreneurs(1,6.25),  </v>
      </c>
      <c r="FI117" s="21" t="str">
        <f t="shared" si="249"/>
        <v xml:space="preserve">field knowledge(6.25),engineering knowledge(6.25),technologists(12.5),law(6.25),database(6.25),mobile apps(6.25),AI&amp; data analysis(6.25),mobile comm(6.25),for entrepreneurs(6.25), </v>
      </c>
      <c r="FJ117" s="21" t="str">
        <f t="shared" si="244"/>
        <v xml:space="preserve">scale 2
enthusiasm 2
technologists 1
 </v>
      </c>
      <c r="FK117" s="21" t="str">
        <f t="shared" si="259"/>
        <v xml:space="preserve">wood processing(1,25), metal processing(1,25), plastic processing(1,25), fabric(1,25), safety(1,25), interaction(1,25),  </v>
      </c>
      <c r="FL117" s="21" t="str">
        <f t="shared" si="246"/>
        <v xml:space="preserve">project management 2
wood processing 25
metal processing 25
plastic processing 25
fabric 25
safety 25
interaction 25
 </v>
      </c>
      <c r="FM117"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7" s="21" t="str">
        <f t="shared" si="261"/>
        <v xml:space="preserve">field knowledge(1,6.25), engineering knowledge(1,6.25), technologists(1,12.5), for entrepreneurs(1,6.25),  </v>
      </c>
      <c r="FO117" s="21" t="str">
        <f t="shared" si="249"/>
        <v xml:space="preserve">field knowledge(6.25),engineering knowledge(6.25),technologists(12.5),for entrepreneurs(6.25), </v>
      </c>
      <c r="FP117" s="21" t="str">
        <f t="shared" si="244"/>
        <v xml:space="preserve">scale 2
enthusiasm 2
technologists 1
 </v>
      </c>
      <c r="FQ117" s="21" t="str">
        <f t="shared" si="262"/>
        <v xml:space="preserve">web(1,25), mobile apps(1,50), functions(1,25), interaction(1,25),  </v>
      </c>
      <c r="FR117" s="21" t="str">
        <f t="shared" si="246"/>
        <v xml:space="preserve">web 25
mobile apps 50
functions 25
interaction 25
 </v>
      </c>
      <c r="FS117"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7" s="21" t="str">
        <f t="shared" si="264"/>
        <v xml:space="preserve">field knowledge(1,6.25), engineering knowledge(1,6.25), technologists(1,12.5), for entrepreneurs(1,6.25),  </v>
      </c>
      <c r="FU117" s="21" t="str">
        <f t="shared" si="249"/>
        <v xml:space="preserve">field knowledge(6.25),engineering knowledge(6.25),technologists(12.5),for entrepreneurs(6.25), </v>
      </c>
      <c r="FV117" s="21" t="str">
        <f t="shared" si="244"/>
        <v xml:space="preserve">scale 2
enthusiasm 2
technologists 1
 </v>
      </c>
      <c r="FW117" s="21" t="str">
        <f t="shared" si="265"/>
        <v xml:space="preserve">mobile apps(1,50), sensors(1,50), wood processing(1,25), plastic processing(1,25), electronics(1,25), functions(1,25), interaction(1,25),  </v>
      </c>
      <c r="FX117" s="21" t="str">
        <f t="shared" si="246"/>
        <v xml:space="preserve">mobile apps 50
sensors 50
wood processing 25
plastic processing 25
electronics 25
functions 25
interaction 25
 </v>
      </c>
      <c r="FY117"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7" s="21" t="str">
        <f t="shared" si="267"/>
        <v xml:space="preserve">field knowledge(1,6.25), engineering knowledge(1,6.25), technologists(1,12.5), web(1,6.25), database(1,6.25), AI&amp; data analysis(1,6.25), mobile comm(1,6.25), for entrepreneurs(1,6.25),  </v>
      </c>
      <c r="GA117" s="21" t="str">
        <f t="shared" si="249"/>
        <v xml:space="preserve">field knowledge(6.25),engineering knowledge(6.25),technologists(12.5),web(6.25),database(6.25),AI&amp; data analysis(6.25),mobile comm(6.25),for entrepreneurs(6.25), </v>
      </c>
      <c r="GB117" s="21" t="str">
        <f t="shared" si="244"/>
        <v xml:space="preserve">scale 2
enthusiasm 2
technologists 1
 </v>
      </c>
      <c r="GC117" s="21" t="str">
        <f t="shared" si="268"/>
        <v xml:space="preserve">sensors(1,25), mobile comm(1,25), electronics(1,50), functions(1,25), safety(1,25),  </v>
      </c>
      <c r="GD117" s="21" t="str">
        <f t="shared" si="246"/>
        <v xml:space="preserve">sensors 25
mobile comm 25
electronics 50
functions 25
safety 25
 </v>
      </c>
      <c r="GE117"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7" s="21" t="str">
        <f t="shared" si="270"/>
        <v xml:space="preserve">field knowledge(1,6.25), engineering knowledge(1,6.25), technologists(1,12.5), database(1,6.25), mobile apps(1,6.25), AI&amp; data analysis(1,6.25), plastic processing(1,6.25), interaction(1,6.25), for entrepreneurs(1,6.25),  </v>
      </c>
      <c r="GG117" s="21" t="str">
        <f t="shared" si="249"/>
        <v xml:space="preserve">field knowledge(6.25),engineering knowledge(6.25),technologists(12.5),database(6.25),mobile apps(6.25),AI&amp; data analysis(6.25),plastic processing(6.25),interaction(6.25),for entrepreneurs(6.25), </v>
      </c>
      <c r="GH117" s="21" t="str">
        <f t="shared" si="244"/>
        <v xml:space="preserve">scale 2
enthusiasm 2
technologists 1
 </v>
      </c>
      <c r="GI117" s="21" t="str">
        <f t="shared" si="271"/>
        <v xml:space="preserve">web(1,25), mobile apps(1,50), functions(1,25), interaction(1,25),  </v>
      </c>
      <c r="GJ117" s="21" t="str">
        <f t="shared" si="246"/>
        <v xml:space="preserve">web 25
mobile apps 50
functions 25
interaction 25
 </v>
      </c>
      <c r="GK117"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7" s="21" t="str">
        <f t="shared" si="273"/>
        <v xml:space="preserve">field knowledge(1,6.25), engineering knowledge(1,6.25), technologists(1,12.5), for entrepreneurs(1,6.25),  </v>
      </c>
      <c r="GM117" s="21" t="str">
        <f t="shared" si="249"/>
        <v xml:space="preserve">field knowledge(6.25),engineering knowledge(6.25),technologists(12.5),for entrepreneurs(6.25), </v>
      </c>
      <c r="GN117" s="21" t="str">
        <f t="shared" si="244"/>
        <v xml:space="preserve">scale 2
enthusiasm 2
technologists 1
 </v>
      </c>
      <c r="GO117" s="21" t="str">
        <f t="shared" si="274"/>
        <v xml:space="preserve">web(1,25), mobile apps(1,25), VR&amp;AR(1,25), aesthetics(1,25), functions(1,25), interaction(1,50),  </v>
      </c>
      <c r="GP117" s="21" t="str">
        <f t="shared" si="246"/>
        <v xml:space="preserve">web 25
mobile apps 25
VR&amp;AR 25
aesthetics 25
functions 25
interaction 50
 </v>
      </c>
      <c r="GQ117"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7" s="21" t="str">
        <f t="shared" si="276"/>
        <v xml:space="preserve">field knowledge(1,6.25), technologists(1,12.5), for entrepreneurs(1,6.25),  </v>
      </c>
      <c r="GS117" s="21" t="str">
        <f t="shared" si="249"/>
        <v xml:space="preserve">field knowledge(6.25),technologists(12.5),for entrepreneurs(6.25), </v>
      </c>
      <c r="GT117" s="21" t="str">
        <f t="shared" si="244"/>
        <v xml:space="preserve">scale 3
scale 2
ease of access 1
reputation 2
web 1
mobile apps 1
mobile comm 1
 </v>
      </c>
      <c r="GU117" s="21" t="str">
        <f t="shared" si="277"/>
        <v xml:space="preserve"> </v>
      </c>
      <c r="GV117" s="21" t="str">
        <f t="shared" si="246"/>
        <v xml:space="preserve"> </v>
      </c>
      <c r="GW117" s="21" t="str">
        <f t="shared" si="278"/>
        <v xml:space="preserve">electronics(1), 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7"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7"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7" s="21" t="str">
        <f t="shared" si="280"/>
        <v xml:space="preserve">electronics 1
fabric 1
scale 2
enthusiasm 2
scale 2
enthusiasm 2
network 1
govt 1
non-profits 1
reputation 2
portfolio 1
 </v>
      </c>
      <c r="HA117" s="21" t="str">
        <f t="shared" si="281"/>
        <v xml:space="preserve"> </v>
      </c>
      <c r="HB117" s="21" t="str">
        <f t="shared" si="282"/>
        <v xml:space="preserve"> </v>
      </c>
      <c r="HC117"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7" s="21" t="str">
        <f t="shared" si="284"/>
        <v xml:space="preserve">scale(1,6.25), enthusiasm(1,6.25), learning capacities(1,6.25), field knowledge(1,6.25), enthusiasm(1,6.25), media(1,6.25), technologists(1,6.25), non-profits(1,6.25), reputation(1,6.25), start-up with customers(1,6.25), for basic literacy(1,6.25),  </v>
      </c>
      <c r="HE117" s="21" t="str">
        <f t="shared" si="285"/>
        <v xml:space="preserve">scale(6.25),enthusiasm(6.25),learning capacities(6.25),field knowledge(6.25),enthusiasm(6.25),media(6.25),technologists(6.25),non-profits(6.25),reputation(6.25),start-up with customers(6.25),for basic literacy(6.25), </v>
      </c>
      <c r="HF117" s="21" t="str">
        <f t="shared" si="280"/>
        <v xml:space="preserve"> </v>
      </c>
      <c r="HG117" s="21" t="str">
        <f t="shared" si="286"/>
        <v xml:space="preserve">scale(2,), enthusiasm(2,),  </v>
      </c>
      <c r="HH117" s="21" t="str">
        <f t="shared" si="282"/>
        <v xml:space="preserve"> </v>
      </c>
      <c r="HI117"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7" s="21" t="str">
        <f t="shared" si="288"/>
        <v xml:space="preserve">scale(1,6.25), enthusiasm(1,6.25), learning capacities(1,6.25), network among members(1,6.25), enthusiasm(1,6.25), fun-ness(1,6.25), seriousness(1,6.25), govt(1,6.25), media(1,6.25), non-profits(1,6.25), start-up with customers(1,6.25),  </v>
      </c>
      <c r="HK117" s="21" t="str">
        <f t="shared" si="285"/>
        <v xml:space="preserve">scale(6.25),enthusiasm(6.25),learning capacities(6.25),network among members(6.25),enthusiasm(6.25),fun-ness(6.25),seriousness(6.25),govt(6.25),media(6.25),non-profits(6.25),start-up with customers(6.25), </v>
      </c>
      <c r="HL117" s="21" t="str">
        <f t="shared" si="280"/>
        <v xml:space="preserve">scale 2
scale 2
community manager 1
PR 1
administrator 1
local biz 1
entrepreneurs 1
non-profits 1
reputation 2
portfolio 2
 </v>
      </c>
      <c r="HM117" s="21" t="str">
        <f t="shared" si="289"/>
        <v xml:space="preserve">scale(1,25), enthusiasm(1,25), network among members(1,25), scale(1,25), enthusiasm(1,25), ambition(1,25), fun-ness(1,25), seriousness(1,25),  </v>
      </c>
      <c r="HN117" s="21" t="str">
        <f t="shared" si="282"/>
        <v xml:space="preserve">scale 25
enthusiasm 25
network among members 25
scale 25
enthusiasm 25
ambition 25
fun-ness 25
seriousness 25
 </v>
      </c>
      <c r="HO117"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7"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7" s="47" t="str">
        <f t="shared" si="285"/>
        <v xml:space="preserve">scale(6.25),enthusiasm(6.25),enthusiasm(6.25),fun-ness(6.25),enthusiasm(6.25),level of understanding(6.25),local biz(6.25),biz group(6.25),govt(6.25),investors(6.25),media(6.25),entrepreneurs(6.25),technologists(6.25),suppliers(6.25),non-profits(6.25),reputation(6.25), </v>
      </c>
      <c r="HR117" s="47" t="str">
        <f t="shared" ref="HR117:HW117" si="346">IF(HR15="",HR118,$C117&amp;"("&amp;HR15&amp;"),"&amp;HR118)</f>
        <v xml:space="preserve">electronics(1),scale(2),enthusiasm(2),engineering knowledge(2),scale(2),enthusiasm(2),reputation(2),portfolio(2),mobile apps(1),sensors(1),wood processing(1),aesthetics(1), </v>
      </c>
      <c r="HS117" s="47" t="str">
        <f t="shared" si="346"/>
        <v xml:space="preserve"> </v>
      </c>
      <c r="HT117" s="47" t="str">
        <f t="shared" si="346"/>
        <v xml:space="preserve"> </v>
      </c>
      <c r="HU117" s="47" t="str">
        <f t="shared" si="34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7" s="47" t="str">
        <f t="shared" si="346"/>
        <v xml:space="preserve">gifted programmer(1),local biz(1),biz group(1),govt(1),investors(1),media(1),entrepreneurs(1),technologists(1),suppliers(1),non-profits(1),reputation(1), </v>
      </c>
      <c r="HW117" s="47" t="str">
        <f t="shared" si="346"/>
        <v xml:space="preserve">gifted programmer(6.25),local biz(6.25),biz group(6.25),govt(6.25),investors(6.25),media(6.25),entrepreneurs(6.25),technologists(12.5),suppliers(6.25),non-profits(6.25),reputation(6.25), </v>
      </c>
      <c r="HX117" s="47" t="str">
        <f t="shared" ref="HX117:IU117" si="347">IF(HX15="",HX118,$C117&amp;"("&amp;HX15&amp;"),"&amp;HX118)</f>
        <v xml:space="preserve">electronics(2),fabric(1),scale(2),enthusiasm(2),field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7" s="47" t="str">
        <f t="shared" si="347"/>
        <v xml:space="preserve">biz enhancement(1), </v>
      </c>
      <c r="HZ117" s="47" t="str">
        <f t="shared" si="347"/>
        <v xml:space="preserve">biz enhancement(100), </v>
      </c>
      <c r="IA117" s="47" t="str">
        <f t="shared" si="347"/>
        <v xml:space="preserve">community manager(1),PR(1),finance(1),administrator(1),enthusiasm(2),network(2),ambition(2),knowledge(2),spaciousness(2),ease of access(3),efficiency(2),portfolio(4),finance(2),business model(2),marketing(3),team building(2),project management(2),social media(3),negotiation(3), </v>
      </c>
      <c r="IB117" s="47" t="str">
        <f t="shared" si="34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7" s="47" t="str">
        <f t="shared" si="34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7" s="47" t="str">
        <f t="shared" si="347"/>
        <v xml:space="preserve">scale(2),enthusiasm(2),engineering knowledge(1),scale(1),technologists(2), </v>
      </c>
      <c r="IE117" s="47" t="str">
        <f t="shared" si="347"/>
        <v xml:space="preserve">engineering knowledge(1),web(1),mobile apps(1),security(1),AI&amp; data analysis(1), </v>
      </c>
      <c r="IF117" s="47" t="str">
        <f t="shared" si="347"/>
        <v xml:space="preserve">engineering knowledge(25),web(25),mobile apps(25),security(25),AI&amp; data analysis(25), </v>
      </c>
      <c r="IG117" s="47" t="str">
        <f t="shared" si="34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7" s="47" t="str">
        <f t="shared" si="347"/>
        <v xml:space="preserve">engineering knowledge(1),technologists(1),web(1),database(1),mobile apps(1),security(1),AI&amp; data analysis(1), </v>
      </c>
      <c r="II117" s="47" t="str">
        <f t="shared" si="347"/>
        <v xml:space="preserve">engineering knowledge(6.25),technologists(6.25),web(6.25),database(6.25),mobile apps(6.25),security(6.25),AI&amp; data analysis(6.25), </v>
      </c>
      <c r="IJ117" s="47" t="str">
        <f t="shared" si="347"/>
        <v xml:space="preserve">scale(2),enthusiasm(2),engineering knowledge(1),scale(1),technologists(2), </v>
      </c>
      <c r="IK117" s="47" t="str">
        <f t="shared" si="347"/>
        <v xml:space="preserve">engineering knowledge(1),wood processing(1),metal processing(1),functions(1),safety(1), </v>
      </c>
      <c r="IL117" s="47" t="str">
        <f t="shared" si="347"/>
        <v xml:space="preserve">engineering knowledge(25),wood processing(25),metal processing(25),functions(25),safety(25), </v>
      </c>
      <c r="IM117" s="47" t="str">
        <f t="shared" si="34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7" s="47" t="str">
        <f t="shared" si="347"/>
        <v xml:space="preserve">engineering knowledge(1),technologists(1),wood processing(1),metal processing(1),functions(1),safety(1),interaction(1), </v>
      </c>
      <c r="IO117" s="47" t="str">
        <f t="shared" si="347"/>
        <v xml:space="preserve">engineering knowledge(6.25),technologists(6.25),wood processing(6.25),metal processing(6.25),functions(6.25),safety(6.25),interaction(6.25), </v>
      </c>
      <c r="IP117" s="57" t="str">
        <f t="shared" si="347"/>
        <v xml:space="preserve">scale(2),enthusiasm(2),learning capacities(1),scale(2),local biz(2),reputation(1), </v>
      </c>
      <c r="IQ117" s="47" t="str">
        <f t="shared" si="347"/>
        <v xml:space="preserve">field knowledge(1),network among members(1),local biz(1),marketing(1), </v>
      </c>
      <c r="IR117" s="47" t="str">
        <f t="shared" si="347"/>
        <v xml:space="preserve">field knowledge(100),network among members(25),local biz(25),marketing(25), </v>
      </c>
      <c r="IS117" s="47" t="str">
        <f t="shared" si="34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7" s="47" t="str">
        <f t="shared" si="347"/>
        <v xml:space="preserve">field knowledge(1),network among members(1),enthusiasm(1),fun-ness(1),seriousness(1),local biz(1),biz group(1),govt(1),non-profits(1),marketing(1), </v>
      </c>
      <c r="IU117" s="47" t="str">
        <f t="shared" si="347"/>
        <v xml:space="preserve">field knowledge(6.25),network among members(6.25),enthusiasm(6.25),fun-ness(6.25),seriousness(6.25),local biz(6.25),biz group(6.25),govt(6.25),non-profits(6.25),marketing(6.25), </v>
      </c>
      <c r="IV117" s="57" t="str">
        <f t="shared" ref="IV117:LG117" si="348">IF(IV15="",IV118,$C117&amp;"("&amp;IV15&amp;"),"&amp;IV118)</f>
        <v xml:space="preserve">scale(2),enthusiasm(2),learning capacities(1),scale(2),local biz(2),reputation(1), </v>
      </c>
      <c r="IW117" s="47" t="str">
        <f t="shared" si="348"/>
        <v xml:space="preserve">field knowledge(1),network among members(1),local biz(1),marketing(1), </v>
      </c>
      <c r="IX117" s="47" t="str">
        <f t="shared" si="348"/>
        <v xml:space="preserve">field knowledge(100),network among members(25),local biz(25),marketing(25), </v>
      </c>
      <c r="IY117" s="47" t="str">
        <f t="shared" si="34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7" s="47" t="str">
        <f t="shared" si="348"/>
        <v xml:space="preserve">field knowledge(1),network among members(1),enthusiasm(1),fun-ness(1),seriousness(1),local biz(1),biz group(1),govt(1),marketing(1), </v>
      </c>
      <c r="JA117" s="47" t="str">
        <f t="shared" si="348"/>
        <v xml:space="preserve">field knowledge(6.25),network among members(6.25),enthusiasm(6.25),fun-ness(6.25),seriousness(6.25),local biz(6.25),biz group(6.25),govt(6.25),marketing(6.25), </v>
      </c>
      <c r="JB117" s="47" t="str">
        <f t="shared" si="348"/>
        <v xml:space="preserve">electronics(1),fabric(1),scale(2),enthusiasm(1),scale(1),enthusiasm(2), </v>
      </c>
      <c r="JC117" s="47" t="str">
        <f t="shared" si="348"/>
        <v xml:space="preserve">engineering knowledge(1), </v>
      </c>
      <c r="JD117" s="47" t="str">
        <f t="shared" si="348"/>
        <v xml:space="preserve">engineering knowledge(50), </v>
      </c>
      <c r="JE117" s="47" t="str">
        <f t="shared" si="348"/>
        <v xml:space="preserve">electronics(2),fabric(2),scale(3),enthusiasm(3),learning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7" s="47" t="str">
        <f t="shared" si="34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7" s="47" t="str">
        <f t="shared" si="34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7" s="47" t="str">
        <f t="shared" si="348"/>
        <v xml:space="preserve">scale(1),scale(1),enthusiasm(1),enthusiasm(1),local biz(1),non-profits(1),reputation(2), </v>
      </c>
      <c r="JI117" s="47" t="str">
        <f t="shared" si="348"/>
        <v xml:space="preserve"> </v>
      </c>
      <c r="JJ117" s="47" t="str">
        <f t="shared" si="348"/>
        <v xml:space="preserve"> </v>
      </c>
      <c r="JK117" s="47" t="str">
        <f t="shared" si="34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7" s="47" t="str">
        <f t="shared" si="348"/>
        <v xml:space="preserve">non-profits(1), </v>
      </c>
      <c r="JM117" s="47" t="str">
        <f t="shared" si="348"/>
        <v xml:space="preserve">non-profits(6.25), </v>
      </c>
      <c r="JN117" s="47" t="str">
        <f t="shared" si="348"/>
        <v xml:space="preserve">scale(2),enthusiasm(2),scale(2),enthusiasm(2),enthusiasm(1),network(1),local biz(1),investors(1),entrepreneurs(1),technologists(1),non-profits(1),reputation(2),portfolio(2), </v>
      </c>
      <c r="JO117" s="47" t="str">
        <f t="shared" si="348"/>
        <v xml:space="preserve"> </v>
      </c>
      <c r="JP117" s="47" t="str">
        <f t="shared" si="348"/>
        <v xml:space="preserve"> </v>
      </c>
      <c r="JQ117" s="47" t="str">
        <f t="shared" si="34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7" s="47" t="str">
        <f t="shared" si="348"/>
        <v xml:space="preserve"> </v>
      </c>
      <c r="JS117" s="47" t="str">
        <f t="shared" si="348"/>
        <v xml:space="preserve"> </v>
      </c>
      <c r="JT117" s="47" t="str">
        <f t="shared" si="348"/>
        <v xml:space="preserve">scale(3),enthusiasm(3),PR(1),administrator(1),enthusiasm(2),network(2),local biz(2),biz group(1),govt(2),investors(2),entrepreneurs(2),technologists(2),non-profits(2),reputation(2),portfolio(3), </v>
      </c>
      <c r="JU117" s="47" t="str">
        <f t="shared" si="348"/>
        <v xml:space="preserve"> </v>
      </c>
      <c r="JV117" s="47" t="str">
        <f t="shared" si="348"/>
        <v xml:space="preserve"> </v>
      </c>
      <c r="JW117" s="47" t="str">
        <f t="shared" si="34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7" s="47" t="str">
        <f t="shared" si="348"/>
        <v xml:space="preserve"> </v>
      </c>
      <c r="JY117" s="47" t="str">
        <f t="shared" si="348"/>
        <v xml:space="preserve"> </v>
      </c>
      <c r="JZ117" s="47" t="str">
        <f t="shared" si="348"/>
        <v xml:space="preserve">scale(1),enthusiasm(1),scale(1),enthusiasm(2),network(1),non-profits(1),reputation(2),social project(2), </v>
      </c>
      <c r="KA117" s="47" t="str">
        <f t="shared" si="348"/>
        <v xml:space="preserve">non-profits(1), </v>
      </c>
      <c r="KB117" s="47" t="str">
        <f t="shared" si="348"/>
        <v xml:space="preserve">non-profits(25), </v>
      </c>
      <c r="KC117" s="47" t="str">
        <f t="shared" si="34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7" s="47" t="str">
        <f t="shared" si="348"/>
        <v xml:space="preserve">non-profits(1), </v>
      </c>
      <c r="KE117" s="47" t="str">
        <f t="shared" si="348"/>
        <v xml:space="preserve">non-profits(6.25), </v>
      </c>
      <c r="KF117" s="47" t="str">
        <f t="shared" si="348"/>
        <v xml:space="preserve"> </v>
      </c>
      <c r="KG117" s="47" t="str">
        <f t="shared" si="348"/>
        <v xml:space="preserve"> </v>
      </c>
      <c r="KH117" s="47" t="str">
        <f t="shared" si="348"/>
        <v xml:space="preserve"> </v>
      </c>
      <c r="KI117" s="47" t="str">
        <f t="shared" si="348"/>
        <v xml:space="preserve"> </v>
      </c>
      <c r="KJ117" s="47" t="str">
        <f t="shared" si="348"/>
        <v xml:space="preserve"> </v>
      </c>
      <c r="KK117" s="47" t="str">
        <f t="shared" si="348"/>
        <v xml:space="preserve"> </v>
      </c>
      <c r="KL117" s="57" t="str">
        <f t="shared" si="348"/>
        <v xml:space="preserve"> </v>
      </c>
      <c r="KM117" s="47" t="str">
        <f t="shared" si="348"/>
        <v xml:space="preserve"> </v>
      </c>
      <c r="KN117" s="47" t="str">
        <f t="shared" si="348"/>
        <v xml:space="preserve"> </v>
      </c>
      <c r="KO117" s="47" t="str">
        <f t="shared" si="348"/>
        <v xml:space="preserve"> </v>
      </c>
      <c r="KP117" s="47" t="str">
        <f t="shared" si="348"/>
        <v xml:space="preserve"> </v>
      </c>
      <c r="KQ117" s="47" t="str">
        <f t="shared" si="348"/>
        <v xml:space="preserve"> </v>
      </c>
      <c r="KR117" s="57" t="str">
        <f t="shared" si="348"/>
        <v xml:space="preserve"> </v>
      </c>
      <c r="KS117" s="47" t="str">
        <f t="shared" si="348"/>
        <v xml:space="preserve"> </v>
      </c>
      <c r="KT117" s="47" t="str">
        <f t="shared" si="348"/>
        <v xml:space="preserve"> </v>
      </c>
      <c r="KU117" s="47" t="str">
        <f t="shared" si="348"/>
        <v xml:space="preserve"> </v>
      </c>
      <c r="KV117" s="47" t="str">
        <f t="shared" si="348"/>
        <v xml:space="preserve"> </v>
      </c>
      <c r="KW117" s="47" t="str">
        <f t="shared" si="348"/>
        <v xml:space="preserve"> </v>
      </c>
      <c r="KX117" s="57" t="str">
        <f t="shared" si="348"/>
        <v xml:space="preserve"> </v>
      </c>
      <c r="KY117" s="47" t="str">
        <f t="shared" si="348"/>
        <v xml:space="preserve"> </v>
      </c>
      <c r="KZ117" s="47" t="str">
        <f t="shared" si="348"/>
        <v xml:space="preserve"> </v>
      </c>
      <c r="LA117" s="47" t="str">
        <f t="shared" si="348"/>
        <v xml:space="preserve"> </v>
      </c>
      <c r="LB117" s="47" t="str">
        <f t="shared" si="348"/>
        <v xml:space="preserve"> </v>
      </c>
      <c r="LC117" s="47" t="str">
        <f t="shared" si="348"/>
        <v xml:space="preserve"> </v>
      </c>
      <c r="LD117" s="57" t="str">
        <f t="shared" si="348"/>
        <v xml:space="preserve"> </v>
      </c>
      <c r="LE117" s="47" t="str">
        <f t="shared" si="348"/>
        <v xml:space="preserve"> </v>
      </c>
      <c r="LF117" s="47" t="str">
        <f t="shared" si="348"/>
        <v xml:space="preserve"> </v>
      </c>
      <c r="LG117" s="47" t="str">
        <f t="shared" si="348"/>
        <v xml:space="preserve"> </v>
      </c>
      <c r="LH117" s="47" t="str">
        <f t="shared" ref="LH117:NM117" si="349">IF(LH15="",LH118,$C117&amp;"("&amp;LH15&amp;"),"&amp;LH118)</f>
        <v xml:space="preserve"> </v>
      </c>
      <c r="LI117" s="47" t="str">
        <f t="shared" si="349"/>
        <v xml:space="preserve"> </v>
      </c>
      <c r="LJ117" s="57" t="str">
        <f t="shared" si="349"/>
        <v xml:space="preserve"> </v>
      </c>
      <c r="LK117" s="47" t="str">
        <f t="shared" si="349"/>
        <v xml:space="preserve"> </v>
      </c>
      <c r="LL117" s="47" t="str">
        <f t="shared" si="349"/>
        <v xml:space="preserve"> </v>
      </c>
      <c r="LM117" s="47" t="str">
        <f t="shared" si="349"/>
        <v xml:space="preserve"> </v>
      </c>
      <c r="LN117" s="47" t="str">
        <f t="shared" si="349"/>
        <v xml:space="preserve"> </v>
      </c>
      <c r="LO117" s="47" t="str">
        <f t="shared" si="349"/>
        <v xml:space="preserve"> </v>
      </c>
      <c r="LP117" s="57" t="str">
        <f t="shared" si="349"/>
        <v xml:space="preserve"> </v>
      </c>
      <c r="LQ117" s="47" t="str">
        <f t="shared" si="349"/>
        <v xml:space="preserve"> </v>
      </c>
      <c r="LR117" s="47" t="str">
        <f t="shared" si="349"/>
        <v xml:space="preserve"> </v>
      </c>
      <c r="LS117" s="47" t="str">
        <f t="shared" si="349"/>
        <v xml:space="preserve"> </v>
      </c>
      <c r="LT117" s="47" t="str">
        <f t="shared" si="349"/>
        <v xml:space="preserve"> </v>
      </c>
      <c r="LU117" s="47" t="str">
        <f t="shared" si="349"/>
        <v xml:space="preserve"> </v>
      </c>
      <c r="LV117" s="57" t="str">
        <f t="shared" si="349"/>
        <v xml:space="preserve"> </v>
      </c>
      <c r="LW117" s="47" t="str">
        <f t="shared" si="349"/>
        <v xml:space="preserve"> </v>
      </c>
      <c r="LX117" s="47" t="str">
        <f t="shared" si="349"/>
        <v xml:space="preserve"> </v>
      </c>
      <c r="LY117" s="47" t="str">
        <f t="shared" si="349"/>
        <v xml:space="preserve"> </v>
      </c>
      <c r="LZ117" s="47" t="str">
        <f t="shared" si="349"/>
        <v xml:space="preserve"> </v>
      </c>
      <c r="MA117" s="47" t="str">
        <f t="shared" si="349"/>
        <v xml:space="preserve"> </v>
      </c>
      <c r="MB117" s="57" t="str">
        <f t="shared" si="349"/>
        <v xml:space="preserve"> </v>
      </c>
      <c r="MC117" s="47" t="str">
        <f t="shared" si="349"/>
        <v xml:space="preserve"> </v>
      </c>
      <c r="MD117" s="47" t="str">
        <f t="shared" si="349"/>
        <v xml:space="preserve"> </v>
      </c>
      <c r="ME117" s="47" t="str">
        <f t="shared" si="349"/>
        <v xml:space="preserve"> </v>
      </c>
      <c r="MF117" s="47" t="str">
        <f t="shared" si="349"/>
        <v xml:space="preserve"> </v>
      </c>
      <c r="MG117" s="47" t="str">
        <f t="shared" si="349"/>
        <v xml:space="preserve"> </v>
      </c>
      <c r="MH117" s="57" t="str">
        <f t="shared" si="349"/>
        <v xml:space="preserve"> </v>
      </c>
      <c r="MI117" s="47" t="str">
        <f t="shared" si="349"/>
        <v xml:space="preserve"> </v>
      </c>
      <c r="MJ117" s="47" t="str">
        <f t="shared" si="349"/>
        <v xml:space="preserve"> </v>
      </c>
      <c r="MK117" s="47" t="str">
        <f t="shared" si="349"/>
        <v xml:space="preserve"> </v>
      </c>
      <c r="ML117" s="47" t="str">
        <f t="shared" si="349"/>
        <v xml:space="preserve"> </v>
      </c>
      <c r="MM117" s="47" t="str">
        <f t="shared" si="349"/>
        <v xml:space="preserve"> </v>
      </c>
      <c r="MN117" s="57" t="str">
        <f t="shared" si="349"/>
        <v xml:space="preserve"> </v>
      </c>
      <c r="MO117" s="47" t="str">
        <f t="shared" si="349"/>
        <v xml:space="preserve"> </v>
      </c>
      <c r="MP117" s="47" t="str">
        <f t="shared" si="349"/>
        <v xml:space="preserve"> </v>
      </c>
      <c r="MQ117" s="47" t="str">
        <f t="shared" si="349"/>
        <v xml:space="preserve"> </v>
      </c>
      <c r="MR117" s="47" t="str">
        <f t="shared" si="349"/>
        <v xml:space="preserve"> </v>
      </c>
      <c r="MS117" s="47" t="str">
        <f t="shared" si="349"/>
        <v xml:space="preserve"> </v>
      </c>
      <c r="MT117" s="57" t="str">
        <f t="shared" si="349"/>
        <v xml:space="preserve"> </v>
      </c>
      <c r="MU117" s="47" t="str">
        <f t="shared" si="349"/>
        <v xml:space="preserve"> </v>
      </c>
      <c r="MV117" s="47" t="str">
        <f t="shared" si="349"/>
        <v xml:space="preserve"> </v>
      </c>
      <c r="MW117" s="47" t="str">
        <f t="shared" si="349"/>
        <v xml:space="preserve"> </v>
      </c>
      <c r="MX117" s="47" t="str">
        <f t="shared" si="349"/>
        <v xml:space="preserve"> </v>
      </c>
      <c r="MY117" s="47" t="str">
        <f t="shared" si="349"/>
        <v xml:space="preserve"> </v>
      </c>
      <c r="MZ117" s="57" t="str">
        <f t="shared" si="349"/>
        <v xml:space="preserve"> </v>
      </c>
      <c r="NA117" s="47" t="str">
        <f t="shared" si="349"/>
        <v xml:space="preserve"> </v>
      </c>
      <c r="NB117" s="47" t="str">
        <f t="shared" si="349"/>
        <v xml:space="preserve"> </v>
      </c>
      <c r="NC117" s="47" t="str">
        <f t="shared" si="349"/>
        <v xml:space="preserve"> </v>
      </c>
      <c r="ND117" s="47" t="str">
        <f t="shared" si="349"/>
        <v xml:space="preserve"> </v>
      </c>
      <c r="NE117" s="47" t="str">
        <f t="shared" si="349"/>
        <v xml:space="preserve"> </v>
      </c>
      <c r="NF117" s="57" t="str">
        <f t="shared" si="349"/>
        <v xml:space="preserve"> </v>
      </c>
      <c r="NG117" s="47" t="str">
        <f t="shared" si="349"/>
        <v xml:space="preserve"> </v>
      </c>
      <c r="NH117" s="47" t="str">
        <f t="shared" si="349"/>
        <v xml:space="preserve"> </v>
      </c>
      <c r="NI117" s="47" t="str">
        <f t="shared" si="349"/>
        <v xml:space="preserve"> </v>
      </c>
      <c r="NJ117" s="47" t="str">
        <f t="shared" si="349"/>
        <v xml:space="preserve"> </v>
      </c>
      <c r="NK117" s="47" t="str">
        <f t="shared" si="349"/>
        <v xml:space="preserve"> </v>
      </c>
      <c r="NL117" s="57" t="str">
        <f t="shared" si="349"/>
        <v xml:space="preserve"> </v>
      </c>
      <c r="NM117" s="47" t="str">
        <f t="shared" si="349"/>
        <v xml:space="preserve"> </v>
      </c>
    </row>
    <row r="118" spans="3:377" ht="15.75" customHeight="1">
      <c r="C118" s="7" t="str">
        <f t="shared" si="296"/>
        <v>fabric</v>
      </c>
      <c r="D118" s="21" t="str">
        <f t="shared" si="169"/>
        <v xml:space="preserve">scale 1
 </v>
      </c>
      <c r="E118" s="21" t="str">
        <f t="shared" si="297"/>
        <v xml:space="preserve">scale(1,100),  </v>
      </c>
      <c r="F118" s="21" t="str">
        <f t="shared" si="170"/>
        <v xml:space="preserve">scale 100
 </v>
      </c>
      <c r="G118" s="21" t="str">
        <f t="shared" si="298"/>
        <v xml:space="preserve">fabric(2), enthusiasm(1), enthusiasm(2), fun-ness(1), community manager(1), PR(1), fame(1), network(2), ease of access(1), reputation(2), social media(1),  </v>
      </c>
      <c r="H118" s="21" t="str">
        <f t="shared" si="299"/>
        <v xml:space="preserve">scale(1,6.25),  </v>
      </c>
      <c r="I118" s="21" t="str">
        <f t="shared" ref="I118" si="350">IF(I16="",I119,$C118&amp;"("&amp;I16&amp;"),"&amp;I119)</f>
        <v xml:space="preserve">scale(6.25), </v>
      </c>
      <c r="J118" s="21" t="str">
        <f t="shared" si="172"/>
        <v xml:space="preserve">scale 1
interaction 1
 </v>
      </c>
      <c r="K118" s="21" t="str">
        <f t="shared" si="173"/>
        <v xml:space="preserve">reputation(1,75),  </v>
      </c>
      <c r="L118" s="21" t="str">
        <f t="shared" si="174"/>
        <v xml:space="preserve">reputation 75
 </v>
      </c>
      <c r="M118" s="21" t="str">
        <f t="shared" si="175"/>
        <v xml:space="preserve">PR(1), portfolio(1), social innovation(1), non-profit biz(1),  </v>
      </c>
      <c r="N118" s="21" t="str">
        <f t="shared" si="176"/>
        <v xml:space="preserve">scale(1,6.25), enthusiasm(1,6.25), seriousness(1,25), non-profits(1,12.5), reputation(1,75), marketing(1,12.5),  </v>
      </c>
      <c r="O118" s="21" t="str">
        <f t="shared" si="177"/>
        <v xml:space="preserve">scale(6.25),enthusiasm(6.25),seriousness(25),non-profits(12.5),reputation(75),marketing(12.5), </v>
      </c>
      <c r="P118" s="21" t="str">
        <f t="shared" si="172"/>
        <v xml:space="preserve">scale 1
biz project 1
 </v>
      </c>
      <c r="Q118" s="21" t="str">
        <f t="shared" si="178"/>
        <v xml:space="preserve"> </v>
      </c>
      <c r="R118" s="21" t="str">
        <f t="shared" si="174"/>
        <v xml:space="preserve"> </v>
      </c>
      <c r="S118" s="21" t="str">
        <f t="shared" si="179"/>
        <v xml:space="preserve">portfolio(1), biz enhancement(1), business(1), start-up(1),  </v>
      </c>
      <c r="T118" s="21" t="str">
        <f t="shared" si="180"/>
        <v xml:space="preserve">scale(1,6.25), enthusiasm(1,6.25), seriousness(1,25), local biz(1,6.25), investors(1,6.25), reputation(1,6.25),  </v>
      </c>
      <c r="U118" s="21" t="str">
        <f t="shared" si="177"/>
        <v xml:space="preserve">scale(6.25),enthusiasm(6.25),seriousness(25),local biz(6.25),investors(6.25),reputation(6.25), </v>
      </c>
      <c r="V118" s="21" t="str">
        <f t="shared" si="172"/>
        <v xml:space="preserve">scale 1
 </v>
      </c>
      <c r="W118" s="21" t="str">
        <f t="shared" si="181"/>
        <v xml:space="preserve">local biz(1,),  </v>
      </c>
      <c r="X118" s="21" t="str">
        <f t="shared" si="174"/>
        <v xml:space="preserve"> </v>
      </c>
      <c r="Y118" s="21" t="str">
        <f t="shared" si="182"/>
        <v xml:space="preserve">enthusiasm(1), attention to details(1), PR(1), network(1), ease of access(1), reputation(1), portfolio(1), biz project(1), biz enhancement(1), job creation(1), business(1),  </v>
      </c>
      <c r="Z118" s="21" t="str">
        <f t="shared" si="183"/>
        <v xml:space="preserve">local biz(1,6.25),  </v>
      </c>
      <c r="AA118" s="21" t="str">
        <f t="shared" si="177"/>
        <v xml:space="preserve">local biz(6.25), </v>
      </c>
      <c r="AB118" s="21" t="str">
        <f t="shared" si="172"/>
        <v xml:space="preserve">scale 1
 </v>
      </c>
      <c r="AC118" s="21" t="str">
        <f t="shared" si="184"/>
        <v xml:space="preserve">non-profits(1,100),  </v>
      </c>
      <c r="AD118" s="21" t="str">
        <f t="shared" si="174"/>
        <v xml:space="preserve">non-profits 100
 </v>
      </c>
      <c r="AE118" s="21" t="str">
        <f t="shared" si="185"/>
        <v xml:space="preserve">enthusiasm(1), attention to details(1), PR(1), network(1), ease of access(1), reputation(1), portfolio(1), social project(1), social innovation(1), non-profit biz(1),  </v>
      </c>
      <c r="AF118" s="21" t="str">
        <f t="shared" si="186"/>
        <v xml:space="preserve">seriousness(1,6.25), non-profits(1,6.25),  </v>
      </c>
      <c r="AG118" s="21" t="str">
        <f t="shared" si="177"/>
        <v xml:space="preserve">seriousness(6.25),non-profits(6.25), </v>
      </c>
      <c r="AH118" s="21" t="str">
        <f t="shared" si="172"/>
        <v xml:space="preserve">scale 1
 </v>
      </c>
      <c r="AI118" s="21" t="str">
        <f t="shared" si="187"/>
        <v xml:space="preserve">govt(1,),  </v>
      </c>
      <c r="AJ118" s="21" t="str">
        <f t="shared" si="174"/>
        <v xml:space="preserve"> </v>
      </c>
      <c r="AK118" s="21" t="str">
        <f t="shared" si="188"/>
        <v xml:space="preserve">enthusiasm(1), attention to details(1), seriousness(1), fame(1), network(1), govt(1), ease of access(1), reputation(2), portfolio(1), social project(1), social innovation(1), non-profit biz(1),  </v>
      </c>
      <c r="AL118" s="21" t="str">
        <f t="shared" si="189"/>
        <v xml:space="preserve">govt(1,6.25),  </v>
      </c>
      <c r="AM118" s="21" t="str">
        <f t="shared" si="177"/>
        <v xml:space="preserve">govt(6.25), </v>
      </c>
      <c r="AN118" s="21" t="str">
        <f t="shared" si="172"/>
        <v xml:space="preserve">scale 1
enthusiasm 1
gifted leader 1
scale 1
enthusiasm 1
 </v>
      </c>
      <c r="AO118" s="21" t="str">
        <f t="shared" si="190"/>
        <v xml:space="preserve">fame(1,), network(1,), investors(1,6.25),  </v>
      </c>
      <c r="AP118" s="21" t="str">
        <f t="shared" si="174"/>
        <v xml:space="preserve">investors 6.25
 </v>
      </c>
      <c r="AQ118" s="21" t="str">
        <f t="shared" si="191"/>
        <v xml:space="preserve">investors(1), ease of access(1), reputation(1), portfolio(1), start-up(1), start-up with mvp(1), start-up with customers(1),  </v>
      </c>
      <c r="AR118" s="21" t="str">
        <f t="shared" si="192"/>
        <v xml:space="preserve"> </v>
      </c>
      <c r="AS118" s="21" t="str">
        <f t="shared" si="177"/>
        <v xml:space="preserve"> </v>
      </c>
      <c r="AT118" s="21" t="str">
        <f t="shared" si="172"/>
        <v xml:space="preserve">scale 1
enthusiasm 1
scale 2
enthusiasm 1
seriousness 1
administrator 1
non-profits 2
reputation 1
portfolio 1
social project 1
 </v>
      </c>
      <c r="AU118" s="21" t="str">
        <f t="shared" si="193"/>
        <v xml:space="preserve">ambition(1,), attention to details(1,),  </v>
      </c>
      <c r="AV118" s="21" t="str">
        <f t="shared" si="174"/>
        <v xml:space="preserve"> </v>
      </c>
      <c r="AW118" s="21" t="str">
        <f t="shared" si="194"/>
        <v xml:space="preserve">field knowledge(1), enthusiasm(3), PR(2), administrator(1), project management(2),  </v>
      </c>
      <c r="AX118" s="21" t="str">
        <f t="shared" si="195"/>
        <v xml:space="preserve">organizational rules and manuals(1,12.5), project management(1,12.5),  </v>
      </c>
      <c r="AY118" s="21" t="str">
        <f t="shared" si="177"/>
        <v xml:space="preserve">organizational rules and manuals(12.5),project management(12.5), </v>
      </c>
      <c r="AZ118" s="21" t="str">
        <f t="shared" si="172"/>
        <v xml:space="preserve">scale 1
enthusiasm 1
scale 1
enthusiasm 1
non-profits 1
 </v>
      </c>
      <c r="BA118" s="21" t="str">
        <f t="shared" si="196"/>
        <v xml:space="preserve"> </v>
      </c>
      <c r="BB118" s="21" t="str">
        <f t="shared" si="174"/>
        <v xml:space="preserve"> </v>
      </c>
      <c r="BC118" s="21" t="str">
        <f t="shared" si="197"/>
        <v xml:space="preserve"> </v>
      </c>
      <c r="BD118" s="21" t="str">
        <f t="shared" si="198"/>
        <v xml:space="preserve"> </v>
      </c>
      <c r="BE118" s="21" t="str">
        <f t="shared" si="177"/>
        <v xml:space="preserve"> </v>
      </c>
      <c r="BF118" s="21" t="str">
        <f t="shared" si="172"/>
        <v xml:space="preserve">scale 1
enthusiasm 1
scale 2
enthusiasm 1
seriousness 1
administrator 1
local biz 2
entrepreneurs 1
reputation 1
portfolio 1
biz project 1
 </v>
      </c>
      <c r="BG118" s="21" t="str">
        <f t="shared" si="199"/>
        <v xml:space="preserve">ambition(1,), attention to details(1,),  </v>
      </c>
      <c r="BH118" s="21" t="str">
        <f t="shared" si="174"/>
        <v xml:space="preserve"> </v>
      </c>
      <c r="BI118" s="21" t="str">
        <f t="shared" si="200"/>
        <v xml:space="preserve">field knowledge(1), enthusiasm(3), PR(2), administrator(1), project management(2),  </v>
      </c>
      <c r="BJ118" s="21" t="str">
        <f t="shared" si="201"/>
        <v xml:space="preserve">organizational rules and manuals(1,12.5), project management(1,12.5),  </v>
      </c>
      <c r="BK118" s="21" t="str">
        <f t="shared" si="177"/>
        <v xml:space="preserve">organizational rules and manuals(12.5),project management(12.5), </v>
      </c>
      <c r="BL118" s="21" t="str">
        <f t="shared" si="172"/>
        <v xml:space="preserve">scale 1
enthusiasm 1
scale 1
enthusiasm 1
local biz 1
reputation 1
portfolio 1
biz enhancement 1
 </v>
      </c>
      <c r="BM118" s="21" t="str">
        <f t="shared" si="202"/>
        <v xml:space="preserve"> </v>
      </c>
      <c r="BN118" s="21" t="str">
        <f t="shared" si="174"/>
        <v xml:space="preserve"> </v>
      </c>
      <c r="BO118" s="21" t="str">
        <f t="shared" si="203"/>
        <v xml:space="preserve"> </v>
      </c>
      <c r="BP118" s="21" t="str">
        <f t="shared" si="204"/>
        <v xml:space="preserve"> </v>
      </c>
      <c r="BQ118" s="21" t="str">
        <f t="shared" si="177"/>
        <v xml:space="preserve"> </v>
      </c>
      <c r="BR118" s="21" t="str">
        <f t="shared" si="172"/>
        <v xml:space="preserve"> </v>
      </c>
      <c r="BS118" s="21" t="str">
        <f t="shared" si="205"/>
        <v xml:space="preserve"> </v>
      </c>
      <c r="BT118" s="21" t="str">
        <f t="shared" si="174"/>
        <v xml:space="preserve"> </v>
      </c>
      <c r="BU118" s="21" t="str">
        <f t="shared" si="206"/>
        <v xml:space="preserve"> </v>
      </c>
      <c r="BV118" s="21" t="str">
        <f t="shared" si="207"/>
        <v xml:space="preserve"> </v>
      </c>
      <c r="BW118" s="21" t="str">
        <f t="shared" si="177"/>
        <v xml:space="preserve"> </v>
      </c>
      <c r="BX118" s="21" t="str">
        <f t="shared" si="208"/>
        <v xml:space="preserve">scale 1
network 1
 </v>
      </c>
      <c r="BY118" s="21" t="str">
        <f t="shared" si="209"/>
        <v xml:space="preserve">efficiency(1,),  </v>
      </c>
      <c r="BZ118" s="21" t="str">
        <f t="shared" si="210"/>
        <v xml:space="preserve"> </v>
      </c>
      <c r="CA118" s="21" t="str">
        <f t="shared" si="211"/>
        <v xml:space="preserve">scale(2), enthusiasm(1), attention to details(1), administrator(1), negotiation(1),  </v>
      </c>
      <c r="CB118" s="21" t="str">
        <f t="shared" si="212"/>
        <v xml:space="preserve">user rules and manuals(1,50), organizational rules and manuals(1,50),  </v>
      </c>
      <c r="CC118" s="21" t="str">
        <f t="shared" si="213"/>
        <v xml:space="preserve">user rules and manuals(50),organizational rules and manuals(50), </v>
      </c>
      <c r="CD118" s="21" t="str">
        <f t="shared" si="208"/>
        <v xml:space="preserve">scale 1
scale 1
enthusiasm 1
network 1
 </v>
      </c>
      <c r="CE118" s="21" t="str">
        <f t="shared" si="214"/>
        <v xml:space="preserve">field knowledge(1,), non-profits(1,),  </v>
      </c>
      <c r="CF118" s="21" t="str">
        <f t="shared" si="210"/>
        <v xml:space="preserve"> </v>
      </c>
      <c r="CG118" s="21" t="str">
        <f t="shared" si="215"/>
        <v xml:space="preserve">fabric(2), fun-ness(1), seriousness(1), ease of access(1), portfolio(1), user rules and manuals(1), negotiation(1), social project(1), biz project(1), for basic literacy(1), for the elites(1), for entrepreneurs(1),  </v>
      </c>
      <c r="CH118" s="21" t="str">
        <f t="shared" si="216"/>
        <v xml:space="preserve">scale(1,6.25), technologists(1,6.25), non-profits(1,6.25),  </v>
      </c>
      <c r="CI118" s="21" t="str">
        <f t="shared" si="213"/>
        <v xml:space="preserve">scale(6.25),technologists(6.25),non-profits(6.25), </v>
      </c>
      <c r="CJ118" s="21" t="str">
        <f t="shared" si="208"/>
        <v xml:space="preserve">scale 1
scale 1
 </v>
      </c>
      <c r="CK118" s="21" t="str">
        <f t="shared" si="217"/>
        <v xml:space="preserve">suppliers(1,),  </v>
      </c>
      <c r="CL118" s="21" t="str">
        <f t="shared" si="210"/>
        <v xml:space="preserve"> </v>
      </c>
      <c r="CM118" s="21" t="str">
        <f t="shared" si="218"/>
        <v xml:space="preserve">reputation(1), negotiation(1),  </v>
      </c>
      <c r="CN118" s="21" t="str">
        <f t="shared" si="219"/>
        <v xml:space="preserve">learning capacities(1,), engineering knowledge(1,), enthusiasm(2,), efficiency(1,6.25),  </v>
      </c>
      <c r="CO118" s="21" t="str">
        <f t="shared" si="213"/>
        <v xml:space="preserve">efficiency(6.25), </v>
      </c>
      <c r="CP118" s="21" t="str">
        <f t="shared" si="208"/>
        <v xml:space="preserve">scale 1
scale 1
 </v>
      </c>
      <c r="CQ118" s="21" t="str">
        <f t="shared" si="220"/>
        <v xml:space="preserve">technologists(1,),  </v>
      </c>
      <c r="CR118" s="21" t="str">
        <f t="shared" si="210"/>
        <v xml:space="preserve"> </v>
      </c>
      <c r="CS118" s="21" t="str">
        <f t="shared" si="221"/>
        <v xml:space="preserve">fabric(2), 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8" s="21" t="str">
        <f t="shared" si="222"/>
        <v xml:space="preserve">engineering knowledge(1,6.25), efficiency(1,6.25),  </v>
      </c>
      <c r="CU118" s="21" t="str">
        <f t="shared" si="213"/>
        <v xml:space="preserve">engineering knowledge(6.25),efficiency(6.25), </v>
      </c>
      <c r="CV118" s="21" t="str">
        <f t="shared" si="208"/>
        <v xml:space="preserve">scale 1
scale 1
 </v>
      </c>
      <c r="CW118" s="21" t="str">
        <f t="shared" si="223"/>
        <v xml:space="preserve">local biz(1,),  </v>
      </c>
      <c r="CX118" s="21" t="str">
        <f t="shared" si="210"/>
        <v xml:space="preserve"> </v>
      </c>
      <c r="CY118" s="21" t="str">
        <f t="shared" si="224"/>
        <v xml:space="preserve">fabric(2), ease of access(1), reputation(1), portfolio(1), negotiation(1),  </v>
      </c>
      <c r="CZ118" s="21" t="str">
        <f t="shared" si="225"/>
        <v xml:space="preserve">non-profits(1,6.25),  </v>
      </c>
      <c r="DA118" s="21" t="str">
        <f t="shared" si="213"/>
        <v xml:space="preserve">non-profits(6.25), </v>
      </c>
      <c r="DB118" s="21" t="str">
        <f t="shared" si="208"/>
        <v xml:space="preserve">scale 1
 </v>
      </c>
      <c r="DC118" s="21" t="str">
        <f t="shared" si="226"/>
        <v xml:space="preserve"> </v>
      </c>
      <c r="DD118" s="21" t="str">
        <f t="shared" si="210"/>
        <v xml:space="preserve"> </v>
      </c>
      <c r="DE118" s="21" t="str">
        <f t="shared" si="227"/>
        <v xml:space="preserve">fabric(2), 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8" s="21" t="str">
        <f t="shared" si="228"/>
        <v xml:space="preserve">network(1,), local biz(1,6.25), biz group(1,6.25), investors(1,6.25), entrepreneurs(1,6.25),  </v>
      </c>
      <c r="DG118" s="21" t="str">
        <f t="shared" si="213"/>
        <v xml:space="preserve">local biz(6.25),biz group(6.25),investors(6.25),entrepreneurs(6.25), </v>
      </c>
      <c r="DH118" s="21" t="str">
        <f t="shared" si="208"/>
        <v xml:space="preserve">scale 1
enthusiasm 1
scale 1
enthusiasm 1
network 1
non-profits 1
reputation 1
social project 1
 </v>
      </c>
      <c r="DI118" s="21" t="str">
        <f t="shared" si="229"/>
        <v xml:space="preserve"> </v>
      </c>
      <c r="DJ118" s="21" t="str">
        <f t="shared" si="210"/>
        <v xml:space="preserve"> </v>
      </c>
      <c r="DK118" s="21" t="str">
        <f t="shared" si="230"/>
        <v xml:space="preserve">fabric(1), 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8" s="21" t="str">
        <f t="shared" si="231"/>
        <v xml:space="preserve">field knowledge(1,12.5), network among members(1,12.5), reputation(1,6.25),  </v>
      </c>
      <c r="DM118" s="21" t="str">
        <f t="shared" si="213"/>
        <v xml:space="preserve">field knowledge(12.5),network among members(12.5),reputation(6.25), </v>
      </c>
      <c r="DN118" s="21" t="str">
        <f t="shared" si="208"/>
        <v xml:space="preserve">scale 1
enthusiasm 1
scale 1
enthusiasm 1
network 1
local biz 1
reputation 1
biz project 1
 </v>
      </c>
      <c r="DO118" s="21" t="str">
        <f t="shared" si="232"/>
        <v xml:space="preserve"> </v>
      </c>
      <c r="DP118" s="21" t="str">
        <f t="shared" si="210"/>
        <v xml:space="preserve"> </v>
      </c>
      <c r="DQ118" s="21" t="str">
        <f t="shared" si="233"/>
        <v xml:space="preserve">fabric(1), 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8" s="21" t="str">
        <f t="shared" si="234"/>
        <v xml:space="preserve">field knowledge(1,12.5), network among members(1,12.5), reputation(1,6.25),  </v>
      </c>
      <c r="DS118" s="21" t="str">
        <f t="shared" si="213"/>
        <v xml:space="preserve">field knowledge(12.5),network among members(12.5),reputation(6.25), </v>
      </c>
      <c r="DT118" s="21" t="str">
        <f t="shared" si="208"/>
        <v xml:space="preserve">scale 1
enthusiasm 1
scale 1
enthusiasm 1
network 1
reputation 1
 </v>
      </c>
      <c r="DU118" s="21" t="str">
        <f t="shared" si="235"/>
        <v xml:space="preserve"> </v>
      </c>
      <c r="DV118" s="21" t="str">
        <f t="shared" si="210"/>
        <v xml:space="preserve"> </v>
      </c>
      <c r="DW118"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8" s="21" t="str">
        <f t="shared" si="237"/>
        <v xml:space="preserve">enthusiasm(1,6.25), field knowledge(1,6.25), engineering knowledge(1,6.25), ambition(1,6.25), reputation(1,6.25), for basic literacy(1,6.25),  </v>
      </c>
      <c r="DY118" s="21" t="str">
        <f t="shared" si="213"/>
        <v xml:space="preserve">enthusiasm(6.25),field knowledge(6.25),engineering knowledge(6.25),ambition(6.25),reputation(6.25),for basic literacy(6.25), </v>
      </c>
      <c r="DZ118" s="21" t="str">
        <f t="shared" si="208"/>
        <v xml:space="preserve">scale 1
enthusiasm 1
scale 1
enthusiasm 1
network 1
reputation 1
 </v>
      </c>
      <c r="EA118" s="21" t="str">
        <f t="shared" si="238"/>
        <v xml:space="preserve"> </v>
      </c>
      <c r="EB118" s="21" t="str">
        <f t="shared" si="210"/>
        <v xml:space="preserve"> </v>
      </c>
      <c r="EC118"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8" s="21" t="str">
        <f t="shared" si="240"/>
        <v xml:space="preserve">enthusiasm(1,6.25), engineering knowledge(1,6.25), ambition(1,6.25), reputation(1,6.25), for basic literacy(1,6.25),  </v>
      </c>
      <c r="EE118" s="21" t="str">
        <f t="shared" si="213"/>
        <v xml:space="preserve">enthusiasm(6.25),engineering knowledge(6.25),ambition(6.25),reputation(6.25),for basic literacy(6.25), </v>
      </c>
      <c r="EF118" s="21" t="str">
        <f t="shared" si="208"/>
        <v xml:space="preserve">scale 2
enthusiasm 2
technologists 1
reputation 1
 </v>
      </c>
      <c r="EG118" s="21" t="str">
        <f t="shared" si="241"/>
        <v xml:space="preserve">web(1,50), mobile apps(1,50), interaction(1,50),  </v>
      </c>
      <c r="EH118" s="21" t="str">
        <f t="shared" si="210"/>
        <v xml:space="preserve">web 50
mobile apps 50
interaction 50
 </v>
      </c>
      <c r="EI118"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8" s="21" t="str">
        <f t="shared" si="243"/>
        <v xml:space="preserve">engineering knowledge(1,6.25), technologists(1,12.5), infrastructrue(1,12.5), database(1,12.5), mobile comm(1,12.5), for entrepreneurs(1,6.25),  </v>
      </c>
      <c r="EK118" s="21" t="str">
        <f t="shared" si="213"/>
        <v xml:space="preserve">engineering knowledge(6.25),technologists(12.5),infrastructrue(12.5),database(12.5),mobile comm(12.5),for entrepreneurs(6.25), </v>
      </c>
      <c r="EL118" s="21" t="str">
        <f t="shared" si="244"/>
        <v xml:space="preserve">scale 2
enthusiasm 2
technologists 1
reputation 1
 </v>
      </c>
      <c r="EM118" s="21" t="str">
        <f t="shared" si="245"/>
        <v xml:space="preserve">sensors(1,50),  </v>
      </c>
      <c r="EN118" s="21" t="str">
        <f t="shared" si="246"/>
        <v xml:space="preserve">sensors 50
 </v>
      </c>
      <c r="EO118"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8" s="21" t="str">
        <f t="shared" si="248"/>
        <v xml:space="preserve">engineering knowledge(1,6.25), technologists(1,12.5), infrastructrue(1,12.5), database(1,12.5), mobile comm(1,12.5), electronics(1,6.25), for entrepreneurs(1,6.25),  </v>
      </c>
      <c r="EQ118" s="21" t="str">
        <f t="shared" si="249"/>
        <v xml:space="preserve">engineering knowledge(6.25),technologists(12.5),infrastructrue(12.5),database(12.5),mobile comm(12.5),electronics(6.25),for entrepreneurs(6.25), </v>
      </c>
      <c r="ER118" s="21" t="str">
        <f t="shared" si="244"/>
        <v xml:space="preserve">scale 2
enthusiasm 2
technologists 1
 </v>
      </c>
      <c r="ES118" s="21" t="str">
        <f t="shared" si="250"/>
        <v xml:space="preserve">AI&amp; data analysis(1,50),  </v>
      </c>
      <c r="ET118" s="21" t="str">
        <f t="shared" si="246"/>
        <v xml:space="preserve">AI&amp; data analysis 50
 </v>
      </c>
      <c r="EU118"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8" s="21" t="str">
        <f t="shared" si="252"/>
        <v xml:space="preserve">engineering knowledge(1,6.25), technologists(1,12.5), database(1,12.5), sensors(1,12.5), mobile comm(1,12.5), for entrepreneurs(1,6.25),  </v>
      </c>
      <c r="EW118" s="21" t="str">
        <f t="shared" si="249"/>
        <v xml:space="preserve">engineering knowledge(6.25),technologists(12.5),database(12.5),sensors(12.5),mobile comm(12.5),for entrepreneurs(6.25), </v>
      </c>
      <c r="EX118" s="21" t="str">
        <f t="shared" si="244"/>
        <v xml:space="preserve">scale 2
enthusiasm 2
technologists 1
 </v>
      </c>
      <c r="EY118" s="21" t="str">
        <f t="shared" si="253"/>
        <v xml:space="preserve">law(1,50), security(1,50), interaction(1,25),  </v>
      </c>
      <c r="EZ118" s="21" t="str">
        <f t="shared" si="246"/>
        <v xml:space="preserve">law 50
security 50
interaction 25
 </v>
      </c>
      <c r="FA118"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8" s="21" t="str">
        <f t="shared" si="255"/>
        <v xml:space="preserve">field knowledge(1,6.25), engineering knowledge(1,6.25), technologists(1,12.5), law(1,6.25), database(1,12.5), mobile apps(1,12.5), security(1,12.5), mobile comm(1,12.5), for entrepreneurs(1,6.25),  </v>
      </c>
      <c r="FC118" s="21" t="str">
        <f t="shared" si="249"/>
        <v xml:space="preserve">field knowledge(6.25),engineering knowledge(6.25),technologists(12.5),law(6.25),database(12.5),mobile apps(12.5),security(12.5),mobile comm(12.5),for entrepreneurs(6.25), </v>
      </c>
      <c r="FD118" s="21" t="str">
        <f t="shared" si="244"/>
        <v xml:space="preserve">scale 2
enthusiasm 2
technologists 1
 </v>
      </c>
      <c r="FE118" s="21" t="str">
        <f t="shared" si="256"/>
        <v xml:space="preserve">law(1,50), sensors(1,50), security(1,50),  </v>
      </c>
      <c r="FF118" s="21" t="str">
        <f t="shared" si="246"/>
        <v xml:space="preserve">law 50
sensors 50
security 50
 </v>
      </c>
      <c r="FG118"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8" s="21" t="str">
        <f t="shared" si="258"/>
        <v xml:space="preserve">field knowledge(1,6.25), engineering knowledge(1,6.25), technologists(1,12.5), law(1,6.25), database(1,6.25), mobile apps(1,6.25), AI&amp; data analysis(1,6.25), mobile comm(1,6.25), for entrepreneurs(1,6.25),  </v>
      </c>
      <c r="FI118" s="21" t="str">
        <f t="shared" si="249"/>
        <v xml:space="preserve">field knowledge(6.25),engineering knowledge(6.25),technologists(12.5),law(6.25),database(6.25),mobile apps(6.25),AI&amp; data analysis(6.25),mobile comm(6.25),for entrepreneurs(6.25), </v>
      </c>
      <c r="FJ118" s="21" t="str">
        <f t="shared" si="244"/>
        <v xml:space="preserve">scale 2
enthusiasm 2
technologists 1
 </v>
      </c>
      <c r="FK118" s="21" t="str">
        <f t="shared" si="259"/>
        <v xml:space="preserve">wood processing(1,25), metal processing(1,25), plastic processing(1,25), fabric(1,25), safety(1,25), interaction(1,25),  </v>
      </c>
      <c r="FL118" s="21" t="str">
        <f t="shared" si="246"/>
        <v xml:space="preserve">project management 2
wood processing 25
metal processing 25
plastic processing 25
fabric 25
safety 25
interaction 25
 </v>
      </c>
      <c r="FM118"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8" s="21" t="str">
        <f t="shared" si="261"/>
        <v xml:space="preserve">field knowledge(1,6.25), engineering knowledge(1,6.25), technologists(1,12.5), for entrepreneurs(1,6.25),  </v>
      </c>
      <c r="FO118" s="21" t="str">
        <f t="shared" si="249"/>
        <v xml:space="preserve">field knowledge(6.25),engineering knowledge(6.25),technologists(12.5),for entrepreneurs(6.25), </v>
      </c>
      <c r="FP118" s="21" t="str">
        <f t="shared" si="244"/>
        <v xml:space="preserve">scale 2
enthusiasm 2
technologists 1
 </v>
      </c>
      <c r="FQ118" s="21" t="str">
        <f t="shared" si="262"/>
        <v xml:space="preserve">web(1,25), mobile apps(1,50), functions(1,25), interaction(1,25),  </v>
      </c>
      <c r="FR118" s="21" t="str">
        <f t="shared" si="246"/>
        <v xml:space="preserve">web 25
mobile apps 50
functions 25
interaction 25
 </v>
      </c>
      <c r="FS118"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8" s="21" t="str">
        <f t="shared" si="264"/>
        <v xml:space="preserve">field knowledge(1,6.25), engineering knowledge(1,6.25), technologists(1,12.5), for entrepreneurs(1,6.25),  </v>
      </c>
      <c r="FU118" s="21" t="str">
        <f t="shared" si="249"/>
        <v xml:space="preserve">field knowledge(6.25),engineering knowledge(6.25),technologists(12.5),for entrepreneurs(6.25), </v>
      </c>
      <c r="FV118" s="21" t="str">
        <f t="shared" si="244"/>
        <v xml:space="preserve">scale 2
enthusiasm 2
technologists 1
 </v>
      </c>
      <c r="FW118" s="21" t="str">
        <f t="shared" si="265"/>
        <v xml:space="preserve">mobile apps(1,50), sensors(1,50), wood processing(1,25), plastic processing(1,25), electronics(1,25), functions(1,25), interaction(1,25),  </v>
      </c>
      <c r="FX118" s="21" t="str">
        <f t="shared" si="246"/>
        <v xml:space="preserve">mobile apps 50
sensors 50
wood processing 25
plastic processing 25
electronics 25
functions 25
interaction 25
 </v>
      </c>
      <c r="FY118"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8" s="21" t="str">
        <f t="shared" si="267"/>
        <v xml:space="preserve">field knowledge(1,6.25), engineering knowledge(1,6.25), technologists(1,12.5), web(1,6.25), database(1,6.25), AI&amp; data analysis(1,6.25), mobile comm(1,6.25), for entrepreneurs(1,6.25),  </v>
      </c>
      <c r="GA118" s="21" t="str">
        <f t="shared" si="249"/>
        <v xml:space="preserve">field knowledge(6.25),engineering knowledge(6.25),technologists(12.5),web(6.25),database(6.25),AI&amp; data analysis(6.25),mobile comm(6.25),for entrepreneurs(6.25), </v>
      </c>
      <c r="GB118" s="21" t="str">
        <f t="shared" si="244"/>
        <v xml:space="preserve">scale 2
enthusiasm 2
technologists 1
 </v>
      </c>
      <c r="GC118" s="21" t="str">
        <f t="shared" si="268"/>
        <v xml:space="preserve">sensors(1,25), mobile comm(1,25), electronics(1,50), functions(1,25), safety(1,25),  </v>
      </c>
      <c r="GD118" s="21" t="str">
        <f t="shared" si="246"/>
        <v xml:space="preserve">sensors 25
mobile comm 25
electronics 50
functions 25
safety 25
 </v>
      </c>
      <c r="GE118"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8" s="21" t="str">
        <f t="shared" si="270"/>
        <v xml:space="preserve">field knowledge(1,6.25), engineering knowledge(1,6.25), technologists(1,12.5), database(1,6.25), mobile apps(1,6.25), AI&amp; data analysis(1,6.25), plastic processing(1,6.25), interaction(1,6.25), for entrepreneurs(1,6.25),  </v>
      </c>
      <c r="GG118" s="21" t="str">
        <f t="shared" si="249"/>
        <v xml:space="preserve">field knowledge(6.25),engineering knowledge(6.25),technologists(12.5),database(6.25),mobile apps(6.25),AI&amp; data analysis(6.25),plastic processing(6.25),interaction(6.25),for entrepreneurs(6.25), </v>
      </c>
      <c r="GH118" s="21" t="str">
        <f t="shared" si="244"/>
        <v xml:space="preserve">scale 2
enthusiasm 2
technologists 1
 </v>
      </c>
      <c r="GI118" s="21" t="str">
        <f t="shared" si="271"/>
        <v xml:space="preserve">web(1,25), mobile apps(1,50), functions(1,25), interaction(1,25),  </v>
      </c>
      <c r="GJ118" s="21" t="str">
        <f t="shared" si="246"/>
        <v xml:space="preserve">web 25
mobile apps 50
functions 25
interaction 25
 </v>
      </c>
      <c r="GK118"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8" s="21" t="str">
        <f t="shared" si="273"/>
        <v xml:space="preserve">field knowledge(1,6.25), engineering knowledge(1,6.25), technologists(1,12.5), for entrepreneurs(1,6.25),  </v>
      </c>
      <c r="GM118" s="21" t="str">
        <f t="shared" si="249"/>
        <v xml:space="preserve">field knowledge(6.25),engineering knowledge(6.25),technologists(12.5),for entrepreneurs(6.25), </v>
      </c>
      <c r="GN118" s="21" t="str">
        <f t="shared" si="244"/>
        <v xml:space="preserve">scale 2
enthusiasm 2
technologists 1
 </v>
      </c>
      <c r="GO118" s="21" t="str">
        <f t="shared" si="274"/>
        <v xml:space="preserve">web(1,25), mobile apps(1,25), VR&amp;AR(1,25), aesthetics(1,25), functions(1,25), interaction(1,50),  </v>
      </c>
      <c r="GP118" s="21" t="str">
        <f t="shared" si="246"/>
        <v xml:space="preserve">web 25
mobile apps 25
VR&amp;AR 25
aesthetics 25
functions 25
interaction 50
 </v>
      </c>
      <c r="GQ118"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8" s="21" t="str">
        <f t="shared" si="276"/>
        <v xml:space="preserve">field knowledge(1,6.25), technologists(1,12.5), for entrepreneurs(1,6.25),  </v>
      </c>
      <c r="GS118" s="21" t="str">
        <f t="shared" si="249"/>
        <v xml:space="preserve">field knowledge(6.25),technologists(12.5),for entrepreneurs(6.25), </v>
      </c>
      <c r="GT118" s="21" t="str">
        <f t="shared" si="244"/>
        <v xml:space="preserve">scale 3
scale 2
ease of access 1
reputation 2
web 1
mobile apps 1
mobile comm 1
 </v>
      </c>
      <c r="GU118" s="21" t="str">
        <f t="shared" si="277"/>
        <v xml:space="preserve"> </v>
      </c>
      <c r="GV118" s="21" t="str">
        <f t="shared" si="246"/>
        <v xml:space="preserve"> </v>
      </c>
      <c r="GW118" s="21" t="str">
        <f t="shared" si="278"/>
        <v xml:space="preserve">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8"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8"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8" s="21" t="str">
        <f t="shared" si="280"/>
        <v xml:space="preserve">fabric 1
scale 2
enthusiasm 2
scale 2
enthusiasm 2
network 1
govt 1
non-profits 1
reputation 2
portfolio 1
 </v>
      </c>
      <c r="HA118" s="21" t="str">
        <f t="shared" si="281"/>
        <v xml:space="preserve"> </v>
      </c>
      <c r="HB118" s="21" t="str">
        <f t="shared" si="282"/>
        <v xml:space="preserve"> </v>
      </c>
      <c r="HC118"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8" s="21" t="str">
        <f t="shared" si="284"/>
        <v xml:space="preserve">scale(1,6.25), enthusiasm(1,6.25), learning capacities(1,6.25), field knowledge(1,6.25), enthusiasm(1,6.25), media(1,6.25), technologists(1,6.25), non-profits(1,6.25), reputation(1,6.25), start-up with customers(1,6.25), for basic literacy(1,6.25),  </v>
      </c>
      <c r="HE118" s="21" t="str">
        <f t="shared" si="285"/>
        <v xml:space="preserve">scale(6.25),enthusiasm(6.25),learning capacities(6.25),field knowledge(6.25),enthusiasm(6.25),media(6.25),technologists(6.25),non-profits(6.25),reputation(6.25),start-up with customers(6.25),for basic literacy(6.25), </v>
      </c>
      <c r="HF118" s="21" t="str">
        <f t="shared" si="280"/>
        <v xml:space="preserve"> </v>
      </c>
      <c r="HG118" s="21" t="str">
        <f t="shared" si="286"/>
        <v xml:space="preserve">scale(2,), enthusiasm(2,),  </v>
      </c>
      <c r="HH118" s="21" t="str">
        <f t="shared" si="282"/>
        <v xml:space="preserve"> </v>
      </c>
      <c r="HI118"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8" s="21" t="str">
        <f t="shared" si="288"/>
        <v xml:space="preserve">scale(1,6.25), enthusiasm(1,6.25), learning capacities(1,6.25), network among members(1,6.25), enthusiasm(1,6.25), fun-ness(1,6.25), seriousness(1,6.25), govt(1,6.25), media(1,6.25), non-profits(1,6.25), start-up with customers(1,6.25),  </v>
      </c>
      <c r="HK118" s="21" t="str">
        <f t="shared" si="285"/>
        <v xml:space="preserve">scale(6.25),enthusiasm(6.25),learning capacities(6.25),network among members(6.25),enthusiasm(6.25),fun-ness(6.25),seriousness(6.25),govt(6.25),media(6.25),non-profits(6.25),start-up with customers(6.25), </v>
      </c>
      <c r="HL118" s="21" t="str">
        <f t="shared" si="280"/>
        <v xml:space="preserve">scale 2
scale 2
community manager 1
PR 1
administrator 1
local biz 1
entrepreneurs 1
non-profits 1
reputation 2
portfolio 2
 </v>
      </c>
      <c r="HM118" s="21" t="str">
        <f t="shared" si="289"/>
        <v xml:space="preserve">scale(1,25), enthusiasm(1,25), network among members(1,25), scale(1,25), enthusiasm(1,25), ambition(1,25), fun-ness(1,25), seriousness(1,25),  </v>
      </c>
      <c r="HN118" s="21" t="str">
        <f t="shared" si="282"/>
        <v xml:space="preserve">scale 25
enthusiasm 25
network among members 25
scale 25
enthusiasm 25
ambition 25
fun-ness 25
seriousness 25
 </v>
      </c>
      <c r="HO118"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8"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8" s="47" t="str">
        <f t="shared" si="285"/>
        <v xml:space="preserve">scale(6.25),enthusiasm(6.25),enthusiasm(6.25),fun-ness(6.25),enthusiasm(6.25),level of understanding(6.25),local biz(6.25),biz group(6.25),govt(6.25),investors(6.25),media(6.25),entrepreneurs(6.25),technologists(6.25),suppliers(6.25),non-profits(6.25),reputation(6.25), </v>
      </c>
      <c r="HR118" s="47" t="str">
        <f t="shared" ref="HR118:HW118" si="351">IF(HR16="",HR119,$C118&amp;"("&amp;HR16&amp;"),"&amp;HR119)</f>
        <v xml:space="preserve">scale(2),enthusiasm(2),engineering knowledge(2),scale(2),enthusiasm(2),reputation(2),portfolio(2),mobile apps(1),sensors(1),wood processing(1),aesthetics(1), </v>
      </c>
      <c r="HS118" s="47" t="str">
        <f t="shared" si="351"/>
        <v xml:space="preserve"> </v>
      </c>
      <c r="HT118" s="47" t="str">
        <f t="shared" si="351"/>
        <v xml:space="preserve"> </v>
      </c>
      <c r="HU118" s="47" t="str">
        <f t="shared" si="35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8" s="47" t="str">
        <f t="shared" si="351"/>
        <v xml:space="preserve">gifted programmer(1),local biz(1),biz group(1),govt(1),investors(1),media(1),entrepreneurs(1),technologists(1),suppliers(1),non-profits(1),reputation(1), </v>
      </c>
      <c r="HW118" s="47" t="str">
        <f t="shared" si="351"/>
        <v xml:space="preserve">gifted programmer(6.25),local biz(6.25),biz group(6.25),govt(6.25),investors(6.25),media(6.25),entrepreneurs(6.25),technologists(12.5),suppliers(6.25),non-profits(6.25),reputation(6.25), </v>
      </c>
      <c r="HX118" s="47" t="str">
        <f t="shared" ref="HX118:IU118" si="352">IF(HX16="",HX119,$C118&amp;"("&amp;HX16&amp;"),"&amp;HX119)</f>
        <v xml:space="preserve">fabric(1),scale(2),enthusiasm(2),field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8" s="47" t="str">
        <f t="shared" si="352"/>
        <v xml:space="preserve">biz enhancement(1), </v>
      </c>
      <c r="HZ118" s="47" t="str">
        <f t="shared" si="352"/>
        <v xml:space="preserve">biz enhancement(100), </v>
      </c>
      <c r="IA118" s="47" t="str">
        <f t="shared" si="352"/>
        <v xml:space="preserve">community manager(1),PR(1),finance(1),administrator(1),enthusiasm(2),network(2),ambition(2),knowledge(2),spaciousness(2),ease of access(3),efficiency(2),portfolio(4),finance(2),business model(2),marketing(3),team building(2),project management(2),social media(3),negotiation(3), </v>
      </c>
      <c r="IB118" s="47" t="str">
        <f t="shared" si="352"/>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8" s="47" t="str">
        <f t="shared" si="352"/>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8" s="47" t="str">
        <f t="shared" si="352"/>
        <v xml:space="preserve">scale(2),enthusiasm(2),engineering knowledge(1),scale(1),technologists(2), </v>
      </c>
      <c r="IE118" s="47" t="str">
        <f t="shared" si="352"/>
        <v xml:space="preserve">engineering knowledge(1),web(1),mobile apps(1),security(1),AI&amp; data analysis(1), </v>
      </c>
      <c r="IF118" s="47" t="str">
        <f t="shared" si="352"/>
        <v xml:space="preserve">engineering knowledge(25),web(25),mobile apps(25),security(25),AI&amp; data analysis(25), </v>
      </c>
      <c r="IG118" s="47" t="str">
        <f t="shared" si="352"/>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8" s="47" t="str">
        <f t="shared" si="352"/>
        <v xml:space="preserve">engineering knowledge(1),technologists(1),web(1),database(1),mobile apps(1),security(1),AI&amp; data analysis(1), </v>
      </c>
      <c r="II118" s="47" t="str">
        <f t="shared" si="352"/>
        <v xml:space="preserve">engineering knowledge(6.25),technologists(6.25),web(6.25),database(6.25),mobile apps(6.25),security(6.25),AI&amp; data analysis(6.25), </v>
      </c>
      <c r="IJ118" s="47" t="str">
        <f t="shared" si="352"/>
        <v xml:space="preserve">scale(2),enthusiasm(2),engineering knowledge(1),scale(1),technologists(2), </v>
      </c>
      <c r="IK118" s="47" t="str">
        <f t="shared" si="352"/>
        <v xml:space="preserve">engineering knowledge(1),wood processing(1),metal processing(1),functions(1),safety(1), </v>
      </c>
      <c r="IL118" s="47" t="str">
        <f t="shared" si="352"/>
        <v xml:space="preserve">engineering knowledge(25),wood processing(25),metal processing(25),functions(25),safety(25), </v>
      </c>
      <c r="IM118" s="47" t="str">
        <f t="shared" si="352"/>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8" s="47" t="str">
        <f t="shared" si="352"/>
        <v xml:space="preserve">engineering knowledge(1),technologists(1),wood processing(1),metal processing(1),functions(1),safety(1),interaction(1), </v>
      </c>
      <c r="IO118" s="47" t="str">
        <f t="shared" si="352"/>
        <v xml:space="preserve">engineering knowledge(6.25),technologists(6.25),wood processing(6.25),metal processing(6.25),functions(6.25),safety(6.25),interaction(6.25), </v>
      </c>
      <c r="IP118" s="57" t="str">
        <f t="shared" si="352"/>
        <v xml:space="preserve">scale(2),enthusiasm(2),learning capacities(1),scale(2),local biz(2),reputation(1), </v>
      </c>
      <c r="IQ118" s="47" t="str">
        <f t="shared" si="352"/>
        <v xml:space="preserve">field knowledge(1),network among members(1),local biz(1),marketing(1), </v>
      </c>
      <c r="IR118" s="47" t="str">
        <f t="shared" si="352"/>
        <v xml:space="preserve">field knowledge(100),network among members(25),local biz(25),marketing(25), </v>
      </c>
      <c r="IS118" s="47" t="str">
        <f t="shared" si="35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8" s="47" t="str">
        <f t="shared" si="352"/>
        <v xml:space="preserve">field knowledge(1),network among members(1),enthusiasm(1),fun-ness(1),seriousness(1),local biz(1),biz group(1),govt(1),non-profits(1),marketing(1), </v>
      </c>
      <c r="IU118" s="47" t="str">
        <f t="shared" si="352"/>
        <v xml:space="preserve">field knowledge(6.25),network among members(6.25),enthusiasm(6.25),fun-ness(6.25),seriousness(6.25),local biz(6.25),biz group(6.25),govt(6.25),non-profits(6.25),marketing(6.25), </v>
      </c>
      <c r="IV118" s="57" t="str">
        <f t="shared" ref="IV118:LG118" si="353">IF(IV16="",IV119,$C118&amp;"("&amp;IV16&amp;"),"&amp;IV119)</f>
        <v xml:space="preserve">scale(2),enthusiasm(2),learning capacities(1),scale(2),local biz(2),reputation(1), </v>
      </c>
      <c r="IW118" s="47" t="str">
        <f t="shared" si="353"/>
        <v xml:space="preserve">field knowledge(1),network among members(1),local biz(1),marketing(1), </v>
      </c>
      <c r="IX118" s="47" t="str">
        <f t="shared" si="353"/>
        <v xml:space="preserve">field knowledge(100),network among members(25),local biz(25),marketing(25), </v>
      </c>
      <c r="IY118" s="47" t="str">
        <f t="shared" si="35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8" s="47" t="str">
        <f t="shared" si="353"/>
        <v xml:space="preserve">field knowledge(1),network among members(1),enthusiasm(1),fun-ness(1),seriousness(1),local biz(1),biz group(1),govt(1),marketing(1), </v>
      </c>
      <c r="JA118" s="47" t="str">
        <f t="shared" si="353"/>
        <v xml:space="preserve">field knowledge(6.25),network among members(6.25),enthusiasm(6.25),fun-ness(6.25),seriousness(6.25),local biz(6.25),biz group(6.25),govt(6.25),marketing(6.25), </v>
      </c>
      <c r="JB118" s="47" t="str">
        <f t="shared" si="353"/>
        <v xml:space="preserve">fabric(1),scale(2),enthusiasm(1),scale(1),enthusiasm(2), </v>
      </c>
      <c r="JC118" s="47" t="str">
        <f t="shared" si="353"/>
        <v xml:space="preserve">engineering knowledge(1), </v>
      </c>
      <c r="JD118" s="47" t="str">
        <f t="shared" si="353"/>
        <v xml:space="preserve">engineering knowledge(50), </v>
      </c>
      <c r="JE118" s="47" t="str">
        <f t="shared" si="353"/>
        <v xml:space="preserve">fabric(2),scale(3),enthusiasm(3),learning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8" s="47" t="str">
        <f t="shared" si="35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8" s="47" t="str">
        <f t="shared" si="35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8" s="47" t="str">
        <f t="shared" si="353"/>
        <v xml:space="preserve">scale(1),scale(1),enthusiasm(1),enthusiasm(1),local biz(1),non-profits(1),reputation(2), </v>
      </c>
      <c r="JI118" s="47" t="str">
        <f t="shared" si="353"/>
        <v xml:space="preserve"> </v>
      </c>
      <c r="JJ118" s="47" t="str">
        <f t="shared" si="353"/>
        <v xml:space="preserve"> </v>
      </c>
      <c r="JK118" s="47" t="str">
        <f t="shared" si="353"/>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8" s="47" t="str">
        <f t="shared" si="353"/>
        <v xml:space="preserve">non-profits(1), </v>
      </c>
      <c r="JM118" s="47" t="str">
        <f t="shared" si="353"/>
        <v xml:space="preserve">non-profits(6.25), </v>
      </c>
      <c r="JN118" s="47" t="str">
        <f t="shared" si="353"/>
        <v xml:space="preserve">scale(2),enthusiasm(2),scale(2),enthusiasm(2),enthusiasm(1),network(1),local biz(1),investors(1),entrepreneurs(1),technologists(1),non-profits(1),reputation(2),portfolio(2), </v>
      </c>
      <c r="JO118" s="47" t="str">
        <f t="shared" si="353"/>
        <v xml:space="preserve"> </v>
      </c>
      <c r="JP118" s="47" t="str">
        <f t="shared" si="353"/>
        <v xml:space="preserve"> </v>
      </c>
      <c r="JQ118" s="47" t="str">
        <f t="shared" si="353"/>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8" s="47" t="str">
        <f t="shared" si="353"/>
        <v xml:space="preserve"> </v>
      </c>
      <c r="JS118" s="47" t="str">
        <f t="shared" si="353"/>
        <v xml:space="preserve"> </v>
      </c>
      <c r="JT118" s="47" t="str">
        <f t="shared" si="353"/>
        <v xml:space="preserve">scale(3),enthusiasm(3),PR(1),administrator(1),enthusiasm(2),network(2),local biz(2),biz group(1),govt(2),investors(2),entrepreneurs(2),technologists(2),non-profits(2),reputation(2),portfolio(3), </v>
      </c>
      <c r="JU118" s="47" t="str">
        <f t="shared" si="353"/>
        <v xml:space="preserve"> </v>
      </c>
      <c r="JV118" s="47" t="str">
        <f t="shared" si="353"/>
        <v xml:space="preserve"> </v>
      </c>
      <c r="JW118" s="47" t="str">
        <f t="shared" si="35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8" s="47" t="str">
        <f t="shared" si="353"/>
        <v xml:space="preserve"> </v>
      </c>
      <c r="JY118" s="47" t="str">
        <f t="shared" si="353"/>
        <v xml:space="preserve"> </v>
      </c>
      <c r="JZ118" s="47" t="str">
        <f t="shared" si="353"/>
        <v xml:space="preserve">scale(1),enthusiasm(1),scale(1),enthusiasm(2),network(1),non-profits(1),reputation(2),social project(2), </v>
      </c>
      <c r="KA118" s="47" t="str">
        <f t="shared" si="353"/>
        <v xml:space="preserve">non-profits(1), </v>
      </c>
      <c r="KB118" s="47" t="str">
        <f t="shared" si="353"/>
        <v xml:space="preserve">non-profits(25), </v>
      </c>
      <c r="KC118" s="47" t="str">
        <f t="shared" si="353"/>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8" s="47" t="str">
        <f t="shared" si="353"/>
        <v xml:space="preserve">non-profits(1), </v>
      </c>
      <c r="KE118" s="47" t="str">
        <f t="shared" si="353"/>
        <v xml:space="preserve">non-profits(6.25), </v>
      </c>
      <c r="KF118" s="47" t="str">
        <f t="shared" si="353"/>
        <v xml:space="preserve"> </v>
      </c>
      <c r="KG118" s="47" t="str">
        <f t="shared" si="353"/>
        <v xml:space="preserve"> </v>
      </c>
      <c r="KH118" s="47" t="str">
        <f t="shared" si="353"/>
        <v xml:space="preserve"> </v>
      </c>
      <c r="KI118" s="47" t="str">
        <f t="shared" si="353"/>
        <v xml:space="preserve"> </v>
      </c>
      <c r="KJ118" s="47" t="str">
        <f t="shared" si="353"/>
        <v xml:space="preserve"> </v>
      </c>
      <c r="KK118" s="47" t="str">
        <f t="shared" si="353"/>
        <v xml:space="preserve"> </v>
      </c>
      <c r="KL118" s="57" t="str">
        <f t="shared" si="353"/>
        <v xml:space="preserve"> </v>
      </c>
      <c r="KM118" s="47" t="str">
        <f t="shared" si="353"/>
        <v xml:space="preserve"> </v>
      </c>
      <c r="KN118" s="47" t="str">
        <f t="shared" si="353"/>
        <v xml:space="preserve"> </v>
      </c>
      <c r="KO118" s="47" t="str">
        <f t="shared" si="353"/>
        <v xml:space="preserve"> </v>
      </c>
      <c r="KP118" s="47" t="str">
        <f t="shared" si="353"/>
        <v xml:space="preserve"> </v>
      </c>
      <c r="KQ118" s="47" t="str">
        <f t="shared" si="353"/>
        <v xml:space="preserve"> </v>
      </c>
      <c r="KR118" s="57" t="str">
        <f t="shared" si="353"/>
        <v xml:space="preserve"> </v>
      </c>
      <c r="KS118" s="47" t="str">
        <f t="shared" si="353"/>
        <v xml:space="preserve"> </v>
      </c>
      <c r="KT118" s="47" t="str">
        <f t="shared" si="353"/>
        <v xml:space="preserve"> </v>
      </c>
      <c r="KU118" s="47" t="str">
        <f t="shared" si="353"/>
        <v xml:space="preserve"> </v>
      </c>
      <c r="KV118" s="47" t="str">
        <f t="shared" si="353"/>
        <v xml:space="preserve"> </v>
      </c>
      <c r="KW118" s="47" t="str">
        <f t="shared" si="353"/>
        <v xml:space="preserve"> </v>
      </c>
      <c r="KX118" s="57" t="str">
        <f t="shared" si="353"/>
        <v xml:space="preserve"> </v>
      </c>
      <c r="KY118" s="47" t="str">
        <f t="shared" si="353"/>
        <v xml:space="preserve"> </v>
      </c>
      <c r="KZ118" s="47" t="str">
        <f t="shared" si="353"/>
        <v xml:space="preserve"> </v>
      </c>
      <c r="LA118" s="47" t="str">
        <f t="shared" si="353"/>
        <v xml:space="preserve"> </v>
      </c>
      <c r="LB118" s="47" t="str">
        <f t="shared" si="353"/>
        <v xml:space="preserve"> </v>
      </c>
      <c r="LC118" s="47" t="str">
        <f t="shared" si="353"/>
        <v xml:space="preserve"> </v>
      </c>
      <c r="LD118" s="57" t="str">
        <f t="shared" si="353"/>
        <v xml:space="preserve"> </v>
      </c>
      <c r="LE118" s="47" t="str">
        <f t="shared" si="353"/>
        <v xml:space="preserve"> </v>
      </c>
      <c r="LF118" s="47" t="str">
        <f t="shared" si="353"/>
        <v xml:space="preserve"> </v>
      </c>
      <c r="LG118" s="47" t="str">
        <f t="shared" si="353"/>
        <v xml:space="preserve"> </v>
      </c>
      <c r="LH118" s="47" t="str">
        <f t="shared" ref="LH118:NM118" si="354">IF(LH16="",LH119,$C118&amp;"("&amp;LH16&amp;"),"&amp;LH119)</f>
        <v xml:space="preserve"> </v>
      </c>
      <c r="LI118" s="47" t="str">
        <f t="shared" si="354"/>
        <v xml:space="preserve"> </v>
      </c>
      <c r="LJ118" s="57" t="str">
        <f t="shared" si="354"/>
        <v xml:space="preserve"> </v>
      </c>
      <c r="LK118" s="47" t="str">
        <f t="shared" si="354"/>
        <v xml:space="preserve"> </v>
      </c>
      <c r="LL118" s="47" t="str">
        <f t="shared" si="354"/>
        <v xml:space="preserve"> </v>
      </c>
      <c r="LM118" s="47" t="str">
        <f t="shared" si="354"/>
        <v xml:space="preserve"> </v>
      </c>
      <c r="LN118" s="47" t="str">
        <f t="shared" si="354"/>
        <v xml:space="preserve"> </v>
      </c>
      <c r="LO118" s="47" t="str">
        <f t="shared" si="354"/>
        <v xml:space="preserve"> </v>
      </c>
      <c r="LP118" s="57" t="str">
        <f t="shared" si="354"/>
        <v xml:space="preserve"> </v>
      </c>
      <c r="LQ118" s="47" t="str">
        <f t="shared" si="354"/>
        <v xml:space="preserve"> </v>
      </c>
      <c r="LR118" s="47" t="str">
        <f t="shared" si="354"/>
        <v xml:space="preserve"> </v>
      </c>
      <c r="LS118" s="47" t="str">
        <f t="shared" si="354"/>
        <v xml:space="preserve"> </v>
      </c>
      <c r="LT118" s="47" t="str">
        <f t="shared" si="354"/>
        <v xml:space="preserve"> </v>
      </c>
      <c r="LU118" s="47" t="str">
        <f t="shared" si="354"/>
        <v xml:space="preserve"> </v>
      </c>
      <c r="LV118" s="57" t="str">
        <f t="shared" si="354"/>
        <v xml:space="preserve"> </v>
      </c>
      <c r="LW118" s="47" t="str">
        <f t="shared" si="354"/>
        <v xml:space="preserve"> </v>
      </c>
      <c r="LX118" s="47" t="str">
        <f t="shared" si="354"/>
        <v xml:space="preserve"> </v>
      </c>
      <c r="LY118" s="47" t="str">
        <f t="shared" si="354"/>
        <v xml:space="preserve"> </v>
      </c>
      <c r="LZ118" s="47" t="str">
        <f t="shared" si="354"/>
        <v xml:space="preserve"> </v>
      </c>
      <c r="MA118" s="47" t="str">
        <f t="shared" si="354"/>
        <v xml:space="preserve"> </v>
      </c>
      <c r="MB118" s="57" t="str">
        <f t="shared" si="354"/>
        <v xml:space="preserve"> </v>
      </c>
      <c r="MC118" s="47" t="str">
        <f t="shared" si="354"/>
        <v xml:space="preserve"> </v>
      </c>
      <c r="MD118" s="47" t="str">
        <f t="shared" si="354"/>
        <v xml:space="preserve"> </v>
      </c>
      <c r="ME118" s="47" t="str">
        <f t="shared" si="354"/>
        <v xml:space="preserve"> </v>
      </c>
      <c r="MF118" s="47" t="str">
        <f t="shared" si="354"/>
        <v xml:space="preserve"> </v>
      </c>
      <c r="MG118" s="47" t="str">
        <f t="shared" si="354"/>
        <v xml:space="preserve"> </v>
      </c>
      <c r="MH118" s="57" t="str">
        <f t="shared" si="354"/>
        <v xml:space="preserve"> </v>
      </c>
      <c r="MI118" s="47" t="str">
        <f t="shared" si="354"/>
        <v xml:space="preserve"> </v>
      </c>
      <c r="MJ118" s="47" t="str">
        <f t="shared" si="354"/>
        <v xml:space="preserve"> </v>
      </c>
      <c r="MK118" s="47" t="str">
        <f t="shared" si="354"/>
        <v xml:space="preserve"> </v>
      </c>
      <c r="ML118" s="47" t="str">
        <f t="shared" si="354"/>
        <v xml:space="preserve"> </v>
      </c>
      <c r="MM118" s="47" t="str">
        <f t="shared" si="354"/>
        <v xml:space="preserve"> </v>
      </c>
      <c r="MN118" s="57" t="str">
        <f t="shared" si="354"/>
        <v xml:space="preserve"> </v>
      </c>
      <c r="MO118" s="47" t="str">
        <f t="shared" si="354"/>
        <v xml:space="preserve"> </v>
      </c>
      <c r="MP118" s="47" t="str">
        <f t="shared" si="354"/>
        <v xml:space="preserve"> </v>
      </c>
      <c r="MQ118" s="47" t="str">
        <f t="shared" si="354"/>
        <v xml:space="preserve"> </v>
      </c>
      <c r="MR118" s="47" t="str">
        <f t="shared" si="354"/>
        <v xml:space="preserve"> </v>
      </c>
      <c r="MS118" s="47" t="str">
        <f t="shared" si="354"/>
        <v xml:space="preserve"> </v>
      </c>
      <c r="MT118" s="57" t="str">
        <f t="shared" si="354"/>
        <v xml:space="preserve"> </v>
      </c>
      <c r="MU118" s="47" t="str">
        <f t="shared" si="354"/>
        <v xml:space="preserve"> </v>
      </c>
      <c r="MV118" s="47" t="str">
        <f t="shared" si="354"/>
        <v xml:space="preserve"> </v>
      </c>
      <c r="MW118" s="47" t="str">
        <f t="shared" si="354"/>
        <v xml:space="preserve"> </v>
      </c>
      <c r="MX118" s="47" t="str">
        <f t="shared" si="354"/>
        <v xml:space="preserve"> </v>
      </c>
      <c r="MY118" s="47" t="str">
        <f t="shared" si="354"/>
        <v xml:space="preserve"> </v>
      </c>
      <c r="MZ118" s="57" t="str">
        <f t="shared" si="354"/>
        <v xml:space="preserve"> </v>
      </c>
      <c r="NA118" s="47" t="str">
        <f t="shared" si="354"/>
        <v xml:space="preserve"> </v>
      </c>
      <c r="NB118" s="47" t="str">
        <f t="shared" si="354"/>
        <v xml:space="preserve"> </v>
      </c>
      <c r="NC118" s="47" t="str">
        <f t="shared" si="354"/>
        <v xml:space="preserve"> </v>
      </c>
      <c r="ND118" s="47" t="str">
        <f t="shared" si="354"/>
        <v xml:space="preserve"> </v>
      </c>
      <c r="NE118" s="47" t="str">
        <f t="shared" si="354"/>
        <v xml:space="preserve"> </v>
      </c>
      <c r="NF118" s="57" t="str">
        <f t="shared" si="354"/>
        <v xml:space="preserve"> </v>
      </c>
      <c r="NG118" s="47" t="str">
        <f t="shared" si="354"/>
        <v xml:space="preserve"> </v>
      </c>
      <c r="NH118" s="47" t="str">
        <f t="shared" si="354"/>
        <v xml:space="preserve"> </v>
      </c>
      <c r="NI118" s="47" t="str">
        <f t="shared" si="354"/>
        <v xml:space="preserve"> </v>
      </c>
      <c r="NJ118" s="47" t="str">
        <f t="shared" si="354"/>
        <v xml:space="preserve"> </v>
      </c>
      <c r="NK118" s="47" t="str">
        <f t="shared" si="354"/>
        <v xml:space="preserve"> </v>
      </c>
      <c r="NL118" s="57" t="str">
        <f t="shared" si="354"/>
        <v xml:space="preserve"> </v>
      </c>
      <c r="NM118" s="47" t="str">
        <f t="shared" si="354"/>
        <v xml:space="preserve"> </v>
      </c>
    </row>
    <row r="119" spans="3:377" ht="15.75" customHeight="1">
      <c r="C119" s="7" t="str">
        <f t="shared" si="296"/>
        <v>scale</v>
      </c>
      <c r="D119" s="21" t="str">
        <f t="shared" si="169"/>
        <v xml:space="preserve">scale 1
 </v>
      </c>
      <c r="E119" s="21" t="str">
        <f t="shared" si="297"/>
        <v xml:space="preserve">scale(1,100),  </v>
      </c>
      <c r="F119" s="21" t="str">
        <f t="shared" si="170"/>
        <v xml:space="preserve">scale 100
 </v>
      </c>
      <c r="G119" s="21" t="str">
        <f t="shared" si="298"/>
        <v xml:space="preserve">enthusiasm(1), enthusiasm(2), fun-ness(1), community manager(1), PR(1), fame(1), network(2), ease of access(1), reputation(2), social media(1),  </v>
      </c>
      <c r="H119" s="21" t="str">
        <f t="shared" si="299"/>
        <v xml:space="preserve">scale(1,6.25),  </v>
      </c>
      <c r="I119" s="21" t="str">
        <f t="shared" ref="I119" si="355">IF(I17="",I120,$C119&amp;"("&amp;I17&amp;"),"&amp;I120)</f>
        <v xml:space="preserve">scale(6.25), </v>
      </c>
      <c r="J119" s="21" t="str">
        <f t="shared" si="172"/>
        <v xml:space="preserve">scale 1
interaction 1
 </v>
      </c>
      <c r="K119" s="21" t="str">
        <f t="shared" si="173"/>
        <v xml:space="preserve">reputation(1,75),  </v>
      </c>
      <c r="L119" s="21" t="str">
        <f t="shared" si="174"/>
        <v xml:space="preserve">reputation 75
 </v>
      </c>
      <c r="M119" s="21" t="str">
        <f t="shared" si="175"/>
        <v xml:space="preserve">PR(1), portfolio(1), social innovation(1), non-profit biz(1),  </v>
      </c>
      <c r="N119" s="21" t="str">
        <f t="shared" si="176"/>
        <v xml:space="preserve">scale(1,6.25), enthusiasm(1,6.25), seriousness(1,25), non-profits(1,12.5), reputation(1,75), marketing(1,12.5),  </v>
      </c>
      <c r="O119" s="21" t="str">
        <f t="shared" si="177"/>
        <v xml:space="preserve">scale(6.25),enthusiasm(6.25),seriousness(25),non-profits(12.5),reputation(75),marketing(12.5), </v>
      </c>
      <c r="P119" s="21" t="str">
        <f t="shared" si="172"/>
        <v xml:space="preserve">scale 1
biz project 1
 </v>
      </c>
      <c r="Q119" s="21" t="str">
        <f t="shared" si="178"/>
        <v xml:space="preserve"> </v>
      </c>
      <c r="R119" s="21" t="str">
        <f t="shared" si="174"/>
        <v xml:space="preserve"> </v>
      </c>
      <c r="S119" s="21" t="str">
        <f t="shared" si="179"/>
        <v xml:space="preserve">portfolio(1), biz enhancement(1), business(1), start-up(1),  </v>
      </c>
      <c r="T119" s="21" t="str">
        <f t="shared" si="180"/>
        <v xml:space="preserve">scale(1,6.25), enthusiasm(1,6.25), seriousness(1,25), local biz(1,6.25), investors(1,6.25), reputation(1,6.25),  </v>
      </c>
      <c r="U119" s="21" t="str">
        <f t="shared" si="177"/>
        <v xml:space="preserve">scale(6.25),enthusiasm(6.25),seriousness(25),local biz(6.25),investors(6.25),reputation(6.25), </v>
      </c>
      <c r="V119" s="21" t="str">
        <f t="shared" si="172"/>
        <v xml:space="preserve">scale 1
 </v>
      </c>
      <c r="W119" s="21" t="str">
        <f t="shared" si="181"/>
        <v xml:space="preserve">local biz(1,),  </v>
      </c>
      <c r="X119" s="21" t="str">
        <f t="shared" si="174"/>
        <v xml:space="preserve"> </v>
      </c>
      <c r="Y119" s="21" t="str">
        <f t="shared" si="182"/>
        <v xml:space="preserve">enthusiasm(1), attention to details(1), PR(1), network(1), ease of access(1), reputation(1), portfolio(1), biz project(1), biz enhancement(1), job creation(1), business(1),  </v>
      </c>
      <c r="Z119" s="21" t="str">
        <f t="shared" si="183"/>
        <v xml:space="preserve">local biz(1,6.25),  </v>
      </c>
      <c r="AA119" s="21" t="str">
        <f t="shared" si="177"/>
        <v xml:space="preserve">local biz(6.25), </v>
      </c>
      <c r="AB119" s="21" t="str">
        <f t="shared" si="172"/>
        <v xml:space="preserve">scale 1
 </v>
      </c>
      <c r="AC119" s="21" t="str">
        <f t="shared" si="184"/>
        <v xml:space="preserve">non-profits(1,100),  </v>
      </c>
      <c r="AD119" s="21" t="str">
        <f t="shared" si="174"/>
        <v xml:space="preserve">non-profits 100
 </v>
      </c>
      <c r="AE119" s="21" t="str">
        <f t="shared" si="185"/>
        <v xml:space="preserve">enthusiasm(1), attention to details(1), PR(1), network(1), ease of access(1), reputation(1), portfolio(1), social project(1), social innovation(1), non-profit biz(1),  </v>
      </c>
      <c r="AF119" s="21" t="str">
        <f t="shared" si="186"/>
        <v xml:space="preserve">seriousness(1,6.25), non-profits(1,6.25),  </v>
      </c>
      <c r="AG119" s="21" t="str">
        <f t="shared" si="177"/>
        <v xml:space="preserve">seriousness(6.25),non-profits(6.25), </v>
      </c>
      <c r="AH119" s="21" t="str">
        <f t="shared" si="172"/>
        <v xml:space="preserve">scale 1
 </v>
      </c>
      <c r="AI119" s="21" t="str">
        <f t="shared" si="187"/>
        <v xml:space="preserve">govt(1,),  </v>
      </c>
      <c r="AJ119" s="21" t="str">
        <f t="shared" si="174"/>
        <v xml:space="preserve"> </v>
      </c>
      <c r="AK119" s="21" t="str">
        <f t="shared" si="188"/>
        <v xml:space="preserve">enthusiasm(1), attention to details(1), seriousness(1), fame(1), network(1), govt(1), ease of access(1), reputation(2), portfolio(1), social project(1), social innovation(1), non-profit biz(1),  </v>
      </c>
      <c r="AL119" s="21" t="str">
        <f t="shared" si="189"/>
        <v xml:space="preserve">govt(1,6.25),  </v>
      </c>
      <c r="AM119" s="21" t="str">
        <f t="shared" si="177"/>
        <v xml:space="preserve">govt(6.25), </v>
      </c>
      <c r="AN119" s="21" t="str">
        <f t="shared" si="172"/>
        <v xml:space="preserve">scale 1
enthusiasm 1
gifted leader 1
scale 1
enthusiasm 1
 </v>
      </c>
      <c r="AO119" s="21" t="str">
        <f t="shared" si="190"/>
        <v xml:space="preserve">fame(1,), network(1,), investors(1,6.25),  </v>
      </c>
      <c r="AP119" s="21" t="str">
        <f t="shared" si="174"/>
        <v xml:space="preserve">investors 6.25
 </v>
      </c>
      <c r="AQ119" s="21" t="str">
        <f t="shared" si="191"/>
        <v xml:space="preserve">investors(1), ease of access(1), reputation(1), portfolio(1), start-up(1), start-up with mvp(1), start-up with customers(1),  </v>
      </c>
      <c r="AR119" s="21" t="str">
        <f t="shared" si="192"/>
        <v xml:space="preserve"> </v>
      </c>
      <c r="AS119" s="21" t="str">
        <f t="shared" si="177"/>
        <v xml:space="preserve"> </v>
      </c>
      <c r="AT119" s="21" t="str">
        <f t="shared" si="172"/>
        <v xml:space="preserve">scale 1
enthusiasm 1
scale 2
enthusiasm 1
seriousness 1
administrator 1
non-profits 2
reputation 1
portfolio 1
social project 1
 </v>
      </c>
      <c r="AU119" s="21" t="str">
        <f t="shared" si="193"/>
        <v xml:space="preserve">ambition(1,), attention to details(1,),  </v>
      </c>
      <c r="AV119" s="21" t="str">
        <f t="shared" si="174"/>
        <v xml:space="preserve"> </v>
      </c>
      <c r="AW119" s="21" t="str">
        <f t="shared" si="194"/>
        <v xml:space="preserve">field knowledge(1), enthusiasm(3), PR(2), administrator(1), project management(2),  </v>
      </c>
      <c r="AX119" s="21" t="str">
        <f t="shared" si="195"/>
        <v xml:space="preserve">organizational rules and manuals(1,12.5), project management(1,12.5),  </v>
      </c>
      <c r="AY119" s="21" t="str">
        <f t="shared" si="177"/>
        <v xml:space="preserve">organizational rules and manuals(12.5),project management(12.5), </v>
      </c>
      <c r="AZ119" s="21" t="str">
        <f t="shared" si="172"/>
        <v xml:space="preserve">scale 1
enthusiasm 1
scale 1
enthusiasm 1
non-profits 1
 </v>
      </c>
      <c r="BA119" s="21" t="str">
        <f t="shared" si="196"/>
        <v xml:space="preserve"> </v>
      </c>
      <c r="BB119" s="21" t="str">
        <f t="shared" si="174"/>
        <v xml:space="preserve"> </v>
      </c>
      <c r="BC119" s="21" t="str">
        <f t="shared" si="197"/>
        <v xml:space="preserve"> </v>
      </c>
      <c r="BD119" s="21" t="str">
        <f t="shared" si="198"/>
        <v xml:space="preserve"> </v>
      </c>
      <c r="BE119" s="21" t="str">
        <f t="shared" si="177"/>
        <v xml:space="preserve"> </v>
      </c>
      <c r="BF119" s="21" t="str">
        <f t="shared" si="172"/>
        <v xml:space="preserve">scale 1
enthusiasm 1
scale 2
enthusiasm 1
seriousness 1
administrator 1
local biz 2
entrepreneurs 1
reputation 1
portfolio 1
biz project 1
 </v>
      </c>
      <c r="BG119" s="21" t="str">
        <f t="shared" si="199"/>
        <v xml:space="preserve">ambition(1,), attention to details(1,),  </v>
      </c>
      <c r="BH119" s="21" t="str">
        <f t="shared" si="174"/>
        <v xml:space="preserve"> </v>
      </c>
      <c r="BI119" s="21" t="str">
        <f t="shared" si="200"/>
        <v xml:space="preserve">field knowledge(1), enthusiasm(3), PR(2), administrator(1), project management(2),  </v>
      </c>
      <c r="BJ119" s="21" t="str">
        <f t="shared" si="201"/>
        <v xml:space="preserve">organizational rules and manuals(1,12.5), project management(1,12.5),  </v>
      </c>
      <c r="BK119" s="21" t="str">
        <f t="shared" si="177"/>
        <v xml:space="preserve">organizational rules and manuals(12.5),project management(12.5), </v>
      </c>
      <c r="BL119" s="21" t="str">
        <f t="shared" si="172"/>
        <v xml:space="preserve">scale 1
enthusiasm 1
scale 1
enthusiasm 1
local biz 1
reputation 1
portfolio 1
biz enhancement 1
 </v>
      </c>
      <c r="BM119" s="21" t="str">
        <f t="shared" si="202"/>
        <v xml:space="preserve"> </v>
      </c>
      <c r="BN119" s="21" t="str">
        <f t="shared" si="174"/>
        <v xml:space="preserve"> </v>
      </c>
      <c r="BO119" s="21" t="str">
        <f t="shared" si="203"/>
        <v xml:space="preserve"> </v>
      </c>
      <c r="BP119" s="21" t="str">
        <f t="shared" si="204"/>
        <v xml:space="preserve"> </v>
      </c>
      <c r="BQ119" s="21" t="str">
        <f t="shared" si="177"/>
        <v xml:space="preserve"> </v>
      </c>
      <c r="BR119" s="21" t="str">
        <f t="shared" si="172"/>
        <v xml:space="preserve"> </v>
      </c>
      <c r="BS119" s="21" t="str">
        <f t="shared" si="205"/>
        <v xml:space="preserve"> </v>
      </c>
      <c r="BT119" s="21" t="str">
        <f t="shared" si="174"/>
        <v xml:space="preserve"> </v>
      </c>
      <c r="BU119" s="21" t="str">
        <f t="shared" si="206"/>
        <v xml:space="preserve"> </v>
      </c>
      <c r="BV119" s="21" t="str">
        <f t="shared" si="207"/>
        <v xml:space="preserve"> </v>
      </c>
      <c r="BW119" s="21" t="str">
        <f t="shared" si="177"/>
        <v xml:space="preserve"> </v>
      </c>
      <c r="BX119" s="21" t="str">
        <f t="shared" si="208"/>
        <v xml:space="preserve">scale 1
network 1
 </v>
      </c>
      <c r="BY119" s="21" t="str">
        <f t="shared" si="209"/>
        <v xml:space="preserve">efficiency(1,),  </v>
      </c>
      <c r="BZ119" s="21" t="str">
        <f t="shared" si="210"/>
        <v xml:space="preserve"> </v>
      </c>
      <c r="CA119" s="21" t="str">
        <f t="shared" si="211"/>
        <v xml:space="preserve">scale(2), enthusiasm(1), attention to details(1), administrator(1), negotiation(1),  </v>
      </c>
      <c r="CB119" s="21" t="str">
        <f t="shared" si="212"/>
        <v xml:space="preserve">user rules and manuals(1,50), organizational rules and manuals(1,50),  </v>
      </c>
      <c r="CC119" s="21" t="str">
        <f t="shared" si="213"/>
        <v xml:space="preserve">user rules and manuals(50),organizational rules and manuals(50), </v>
      </c>
      <c r="CD119" s="21" t="str">
        <f t="shared" si="208"/>
        <v xml:space="preserve">scale 1
scale 1
enthusiasm 1
network 1
 </v>
      </c>
      <c r="CE119" s="21" t="str">
        <f t="shared" si="214"/>
        <v xml:space="preserve">field knowledge(1,), non-profits(1,),  </v>
      </c>
      <c r="CF119" s="21" t="str">
        <f t="shared" si="210"/>
        <v xml:space="preserve"> </v>
      </c>
      <c r="CG119" s="21" t="str">
        <f t="shared" si="215"/>
        <v xml:space="preserve">fun-ness(1), seriousness(1), ease of access(1), portfolio(1), user rules and manuals(1), negotiation(1), social project(1), biz project(1), for basic literacy(1), for the elites(1), for entrepreneurs(1),  </v>
      </c>
      <c r="CH119" s="21" t="str">
        <f t="shared" si="216"/>
        <v xml:space="preserve">scale(1,6.25), technologists(1,6.25), non-profits(1,6.25),  </v>
      </c>
      <c r="CI119" s="21" t="str">
        <f t="shared" si="213"/>
        <v xml:space="preserve">scale(6.25),technologists(6.25),non-profits(6.25), </v>
      </c>
      <c r="CJ119" s="21" t="str">
        <f t="shared" si="208"/>
        <v xml:space="preserve">scale 1
scale 1
 </v>
      </c>
      <c r="CK119" s="21" t="str">
        <f t="shared" si="217"/>
        <v xml:space="preserve">suppliers(1,),  </v>
      </c>
      <c r="CL119" s="21" t="str">
        <f t="shared" si="210"/>
        <v xml:space="preserve"> </v>
      </c>
      <c r="CM119" s="21" t="str">
        <f t="shared" si="218"/>
        <v xml:space="preserve">reputation(1), negotiation(1),  </v>
      </c>
      <c r="CN119" s="21" t="str">
        <f t="shared" si="219"/>
        <v xml:space="preserve">learning capacities(1,), engineering knowledge(1,), enthusiasm(2,), efficiency(1,6.25),  </v>
      </c>
      <c r="CO119" s="21" t="str">
        <f t="shared" si="213"/>
        <v xml:space="preserve">efficiency(6.25), </v>
      </c>
      <c r="CP119" s="21" t="str">
        <f t="shared" si="208"/>
        <v xml:space="preserve">scale 1
scale 1
 </v>
      </c>
      <c r="CQ119" s="21" t="str">
        <f t="shared" si="220"/>
        <v xml:space="preserve">technologists(1,),  </v>
      </c>
      <c r="CR119" s="21" t="str">
        <f t="shared" si="210"/>
        <v xml:space="preserve"> </v>
      </c>
      <c r="CS119" s="21" t="str">
        <f t="shared" si="221"/>
        <v xml:space="preserve">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19" s="21" t="str">
        <f t="shared" si="222"/>
        <v xml:space="preserve">engineering knowledge(1,6.25), efficiency(1,6.25),  </v>
      </c>
      <c r="CU119" s="21" t="str">
        <f t="shared" si="213"/>
        <v xml:space="preserve">engineering knowledge(6.25),efficiency(6.25), </v>
      </c>
      <c r="CV119" s="21" t="str">
        <f t="shared" si="208"/>
        <v xml:space="preserve">scale 1
scale 1
 </v>
      </c>
      <c r="CW119" s="21" t="str">
        <f t="shared" si="223"/>
        <v xml:space="preserve">local biz(1,),  </v>
      </c>
      <c r="CX119" s="21" t="str">
        <f t="shared" si="210"/>
        <v xml:space="preserve"> </v>
      </c>
      <c r="CY119" s="21" t="str">
        <f t="shared" si="224"/>
        <v xml:space="preserve">ease of access(1), reputation(1), portfolio(1), negotiation(1),  </v>
      </c>
      <c r="CZ119" s="21" t="str">
        <f t="shared" si="225"/>
        <v xml:space="preserve">non-profits(1,6.25),  </v>
      </c>
      <c r="DA119" s="21" t="str">
        <f t="shared" si="213"/>
        <v xml:space="preserve">non-profits(6.25), </v>
      </c>
      <c r="DB119" s="21" t="str">
        <f t="shared" si="208"/>
        <v xml:space="preserve">scale 1
 </v>
      </c>
      <c r="DC119" s="21" t="str">
        <f t="shared" si="226"/>
        <v xml:space="preserve"> </v>
      </c>
      <c r="DD119" s="21" t="str">
        <f t="shared" si="210"/>
        <v xml:space="preserve"> </v>
      </c>
      <c r="DE119" s="21" t="str">
        <f t="shared" si="227"/>
        <v xml:space="preserve">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19" s="21" t="str">
        <f t="shared" si="228"/>
        <v xml:space="preserve">network(1,), local biz(1,6.25), biz group(1,6.25), investors(1,6.25), entrepreneurs(1,6.25),  </v>
      </c>
      <c r="DG119" s="21" t="str">
        <f t="shared" si="213"/>
        <v xml:space="preserve">local biz(6.25),biz group(6.25),investors(6.25),entrepreneurs(6.25), </v>
      </c>
      <c r="DH119" s="21" t="str">
        <f t="shared" si="208"/>
        <v xml:space="preserve">scale 1
enthusiasm 1
scale 1
enthusiasm 1
network 1
non-profits 1
reputation 1
social project 1
 </v>
      </c>
      <c r="DI119" s="21" t="str">
        <f t="shared" si="229"/>
        <v xml:space="preserve"> </v>
      </c>
      <c r="DJ119" s="21" t="str">
        <f t="shared" si="210"/>
        <v xml:space="preserve"> </v>
      </c>
      <c r="DK119" s="21" t="str">
        <f t="shared" si="230"/>
        <v xml:space="preserve">scale(3), 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19" s="21" t="str">
        <f t="shared" si="231"/>
        <v xml:space="preserve">field knowledge(1,12.5), network among members(1,12.5), reputation(1,6.25),  </v>
      </c>
      <c r="DM119" s="21" t="str">
        <f t="shared" si="213"/>
        <v xml:space="preserve">field knowledge(12.5),network among members(12.5),reputation(6.25), </v>
      </c>
      <c r="DN119" s="21" t="str">
        <f t="shared" si="208"/>
        <v xml:space="preserve">scale 1
enthusiasm 1
scale 1
enthusiasm 1
network 1
local biz 1
reputation 1
biz project 1
 </v>
      </c>
      <c r="DO119" s="21" t="str">
        <f t="shared" si="232"/>
        <v xml:space="preserve"> </v>
      </c>
      <c r="DP119" s="21" t="str">
        <f t="shared" si="210"/>
        <v xml:space="preserve"> </v>
      </c>
      <c r="DQ119" s="21" t="str">
        <f t="shared" si="233"/>
        <v xml:space="preserve">scale(3), 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19" s="21" t="str">
        <f t="shared" si="234"/>
        <v xml:space="preserve">field knowledge(1,12.5), network among members(1,12.5), reputation(1,6.25),  </v>
      </c>
      <c r="DS119" s="21" t="str">
        <f t="shared" si="213"/>
        <v xml:space="preserve">field knowledge(12.5),network among members(12.5),reputation(6.25), </v>
      </c>
      <c r="DT119" s="21" t="str">
        <f t="shared" si="208"/>
        <v xml:space="preserve">scale 1
enthusiasm 1
scale 1
enthusiasm 1
network 1
reputation 1
 </v>
      </c>
      <c r="DU119" s="21" t="str">
        <f t="shared" si="235"/>
        <v xml:space="preserve"> </v>
      </c>
      <c r="DV119" s="21" t="str">
        <f t="shared" si="210"/>
        <v xml:space="preserve"> </v>
      </c>
      <c r="DW119" s="21" t="str">
        <f t="shared" si="236"/>
        <v xml:space="preserve">scale(3), 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19" s="21" t="str">
        <f t="shared" si="237"/>
        <v xml:space="preserve">enthusiasm(1,6.25), field knowledge(1,6.25), engineering knowledge(1,6.25), ambition(1,6.25), reputation(1,6.25), for basic literacy(1,6.25),  </v>
      </c>
      <c r="DY119" s="21" t="str">
        <f t="shared" si="213"/>
        <v xml:space="preserve">enthusiasm(6.25),field knowledge(6.25),engineering knowledge(6.25),ambition(6.25),reputation(6.25),for basic literacy(6.25), </v>
      </c>
      <c r="DZ119" s="21" t="str">
        <f t="shared" si="208"/>
        <v xml:space="preserve">scale 1
enthusiasm 1
scale 1
enthusiasm 1
network 1
reputation 1
 </v>
      </c>
      <c r="EA119" s="21" t="str">
        <f t="shared" si="238"/>
        <v xml:space="preserve"> </v>
      </c>
      <c r="EB119" s="21" t="str">
        <f t="shared" si="210"/>
        <v xml:space="preserve"> </v>
      </c>
      <c r="EC119" s="21" t="str">
        <f t="shared" si="239"/>
        <v xml:space="preserve">scale(3), 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19" s="21" t="str">
        <f t="shared" si="240"/>
        <v xml:space="preserve">enthusiasm(1,6.25), engineering knowledge(1,6.25), ambition(1,6.25), reputation(1,6.25), for basic literacy(1,6.25),  </v>
      </c>
      <c r="EE119" s="21" t="str">
        <f t="shared" si="213"/>
        <v xml:space="preserve">enthusiasm(6.25),engineering knowledge(6.25),ambition(6.25),reputation(6.25),for basic literacy(6.25), </v>
      </c>
      <c r="EF119" s="21" t="str">
        <f t="shared" si="208"/>
        <v xml:space="preserve">scale 2
enthusiasm 2
technologists 1
reputation 1
 </v>
      </c>
      <c r="EG119" s="21" t="str">
        <f t="shared" si="241"/>
        <v xml:space="preserve">web(1,50), mobile apps(1,50), interaction(1,50),  </v>
      </c>
      <c r="EH119" s="21" t="str">
        <f t="shared" si="210"/>
        <v xml:space="preserve">web 50
mobile apps 50
interaction 50
 </v>
      </c>
      <c r="EI119"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19" s="21" t="str">
        <f t="shared" si="243"/>
        <v xml:space="preserve">engineering knowledge(1,6.25), technologists(1,12.5), infrastructrue(1,12.5), database(1,12.5), mobile comm(1,12.5), for entrepreneurs(1,6.25),  </v>
      </c>
      <c r="EK119" s="21" t="str">
        <f t="shared" si="213"/>
        <v xml:space="preserve">engineering knowledge(6.25),technologists(12.5),infrastructrue(12.5),database(12.5),mobile comm(12.5),for entrepreneurs(6.25), </v>
      </c>
      <c r="EL119" s="21" t="str">
        <f t="shared" si="244"/>
        <v xml:space="preserve">scale 2
enthusiasm 2
technologists 1
reputation 1
 </v>
      </c>
      <c r="EM119" s="21" t="str">
        <f t="shared" si="245"/>
        <v xml:space="preserve">sensors(1,50),  </v>
      </c>
      <c r="EN119" s="21" t="str">
        <f t="shared" si="246"/>
        <v xml:space="preserve">sensors 50
 </v>
      </c>
      <c r="EO119"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19" s="21" t="str">
        <f t="shared" si="248"/>
        <v xml:space="preserve">engineering knowledge(1,6.25), technologists(1,12.5), infrastructrue(1,12.5), database(1,12.5), mobile comm(1,12.5), electronics(1,6.25), for entrepreneurs(1,6.25),  </v>
      </c>
      <c r="EQ119" s="21" t="str">
        <f t="shared" si="249"/>
        <v xml:space="preserve">engineering knowledge(6.25),technologists(12.5),infrastructrue(12.5),database(12.5),mobile comm(12.5),electronics(6.25),for entrepreneurs(6.25), </v>
      </c>
      <c r="ER119" s="21" t="str">
        <f t="shared" si="244"/>
        <v xml:space="preserve">scale 2
enthusiasm 2
technologists 1
 </v>
      </c>
      <c r="ES119" s="21" t="str">
        <f t="shared" si="250"/>
        <v xml:space="preserve">AI&amp; data analysis(1,50),  </v>
      </c>
      <c r="ET119" s="21" t="str">
        <f t="shared" si="246"/>
        <v xml:space="preserve">AI&amp; data analysis 50
 </v>
      </c>
      <c r="EU119"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19" s="21" t="str">
        <f t="shared" si="252"/>
        <v xml:space="preserve">engineering knowledge(1,6.25), technologists(1,12.5), database(1,12.5), sensors(1,12.5), mobile comm(1,12.5), for entrepreneurs(1,6.25),  </v>
      </c>
      <c r="EW119" s="21" t="str">
        <f t="shared" si="249"/>
        <v xml:space="preserve">engineering knowledge(6.25),technologists(12.5),database(12.5),sensors(12.5),mobile comm(12.5),for entrepreneurs(6.25), </v>
      </c>
      <c r="EX119" s="21" t="str">
        <f t="shared" si="244"/>
        <v xml:space="preserve">scale 2
enthusiasm 2
technologists 1
 </v>
      </c>
      <c r="EY119" s="21" t="str">
        <f t="shared" si="253"/>
        <v xml:space="preserve">law(1,50), security(1,50), interaction(1,25),  </v>
      </c>
      <c r="EZ119" s="21" t="str">
        <f t="shared" si="246"/>
        <v xml:space="preserve">law 50
security 50
interaction 25
 </v>
      </c>
      <c r="FA119"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19" s="21" t="str">
        <f t="shared" si="255"/>
        <v xml:space="preserve">field knowledge(1,6.25), engineering knowledge(1,6.25), technologists(1,12.5), law(1,6.25), database(1,12.5), mobile apps(1,12.5), security(1,12.5), mobile comm(1,12.5), for entrepreneurs(1,6.25),  </v>
      </c>
      <c r="FC119" s="21" t="str">
        <f t="shared" si="249"/>
        <v xml:space="preserve">field knowledge(6.25),engineering knowledge(6.25),technologists(12.5),law(6.25),database(12.5),mobile apps(12.5),security(12.5),mobile comm(12.5),for entrepreneurs(6.25), </v>
      </c>
      <c r="FD119" s="21" t="str">
        <f t="shared" si="244"/>
        <v xml:space="preserve">scale 2
enthusiasm 2
technologists 1
 </v>
      </c>
      <c r="FE119" s="21" t="str">
        <f t="shared" si="256"/>
        <v xml:space="preserve">law(1,50), sensors(1,50), security(1,50),  </v>
      </c>
      <c r="FF119" s="21" t="str">
        <f t="shared" si="246"/>
        <v xml:space="preserve">law 50
sensors 50
security 50
 </v>
      </c>
      <c r="FG119"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19" s="21" t="str">
        <f t="shared" si="258"/>
        <v xml:space="preserve">field knowledge(1,6.25), engineering knowledge(1,6.25), technologists(1,12.5), law(1,6.25), database(1,6.25), mobile apps(1,6.25), AI&amp; data analysis(1,6.25), mobile comm(1,6.25), for entrepreneurs(1,6.25),  </v>
      </c>
      <c r="FI119" s="21" t="str">
        <f t="shared" si="249"/>
        <v xml:space="preserve">field knowledge(6.25),engineering knowledge(6.25),technologists(12.5),law(6.25),database(6.25),mobile apps(6.25),AI&amp; data analysis(6.25),mobile comm(6.25),for entrepreneurs(6.25), </v>
      </c>
      <c r="FJ119" s="21" t="str">
        <f t="shared" si="244"/>
        <v xml:space="preserve">scale 2
enthusiasm 2
technologists 1
 </v>
      </c>
      <c r="FK119" s="21" t="str">
        <f t="shared" si="259"/>
        <v xml:space="preserve">wood processing(1,25), metal processing(1,25), plastic processing(1,25), fabric(1,25), safety(1,25), interaction(1,25),  </v>
      </c>
      <c r="FL119" s="21" t="str">
        <f t="shared" si="246"/>
        <v xml:space="preserve">project management 2
wood processing 25
metal processing 25
plastic processing 25
fabric 25
safety 25
interaction 25
 </v>
      </c>
      <c r="FM119"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19" s="21" t="str">
        <f t="shared" si="261"/>
        <v xml:space="preserve">field knowledge(1,6.25), engineering knowledge(1,6.25), technologists(1,12.5), for entrepreneurs(1,6.25),  </v>
      </c>
      <c r="FO119" s="21" t="str">
        <f t="shared" si="249"/>
        <v xml:space="preserve">field knowledge(6.25),engineering knowledge(6.25),technologists(12.5),for entrepreneurs(6.25), </v>
      </c>
      <c r="FP119" s="21" t="str">
        <f t="shared" si="244"/>
        <v xml:space="preserve">scale 2
enthusiasm 2
technologists 1
 </v>
      </c>
      <c r="FQ119" s="21" t="str">
        <f t="shared" si="262"/>
        <v xml:space="preserve">web(1,25), mobile apps(1,50), functions(1,25), interaction(1,25),  </v>
      </c>
      <c r="FR119" s="21" t="str">
        <f t="shared" si="246"/>
        <v xml:space="preserve">web 25
mobile apps 50
functions 25
interaction 25
 </v>
      </c>
      <c r="FS119"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19" s="21" t="str">
        <f t="shared" si="264"/>
        <v xml:space="preserve">field knowledge(1,6.25), engineering knowledge(1,6.25), technologists(1,12.5), for entrepreneurs(1,6.25),  </v>
      </c>
      <c r="FU119" s="21" t="str">
        <f t="shared" si="249"/>
        <v xml:space="preserve">field knowledge(6.25),engineering knowledge(6.25),technologists(12.5),for entrepreneurs(6.25), </v>
      </c>
      <c r="FV119" s="21" t="str">
        <f t="shared" si="244"/>
        <v xml:space="preserve">scale 2
enthusiasm 2
technologists 1
 </v>
      </c>
      <c r="FW119" s="21" t="str">
        <f t="shared" si="265"/>
        <v xml:space="preserve">mobile apps(1,50), sensors(1,50), wood processing(1,25), plastic processing(1,25), electronics(1,25), functions(1,25), interaction(1,25),  </v>
      </c>
      <c r="FX119" s="21" t="str">
        <f t="shared" si="246"/>
        <v xml:space="preserve">mobile apps 50
sensors 50
wood processing 25
plastic processing 25
electronics 25
functions 25
interaction 25
 </v>
      </c>
      <c r="FY119"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19" s="21" t="str">
        <f t="shared" si="267"/>
        <v xml:space="preserve">field knowledge(1,6.25), engineering knowledge(1,6.25), technologists(1,12.5), web(1,6.25), database(1,6.25), AI&amp; data analysis(1,6.25), mobile comm(1,6.25), for entrepreneurs(1,6.25),  </v>
      </c>
      <c r="GA119" s="21" t="str">
        <f t="shared" si="249"/>
        <v xml:space="preserve">field knowledge(6.25),engineering knowledge(6.25),technologists(12.5),web(6.25),database(6.25),AI&amp; data analysis(6.25),mobile comm(6.25),for entrepreneurs(6.25), </v>
      </c>
      <c r="GB119" s="21" t="str">
        <f t="shared" si="244"/>
        <v xml:space="preserve">scale 2
enthusiasm 2
technologists 1
 </v>
      </c>
      <c r="GC119" s="21" t="str">
        <f t="shared" si="268"/>
        <v xml:space="preserve">sensors(1,25), mobile comm(1,25), electronics(1,50), functions(1,25), safety(1,25),  </v>
      </c>
      <c r="GD119" s="21" t="str">
        <f t="shared" si="246"/>
        <v xml:space="preserve">sensors 25
mobile comm 25
electronics 50
functions 25
safety 25
 </v>
      </c>
      <c r="GE119"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19" s="21" t="str">
        <f t="shared" si="270"/>
        <v xml:space="preserve">field knowledge(1,6.25), engineering knowledge(1,6.25), technologists(1,12.5), database(1,6.25), mobile apps(1,6.25), AI&amp; data analysis(1,6.25), plastic processing(1,6.25), interaction(1,6.25), for entrepreneurs(1,6.25),  </v>
      </c>
      <c r="GG119" s="21" t="str">
        <f t="shared" si="249"/>
        <v xml:space="preserve">field knowledge(6.25),engineering knowledge(6.25),technologists(12.5),database(6.25),mobile apps(6.25),AI&amp; data analysis(6.25),plastic processing(6.25),interaction(6.25),for entrepreneurs(6.25), </v>
      </c>
      <c r="GH119" s="21" t="str">
        <f t="shared" si="244"/>
        <v xml:space="preserve">scale 2
enthusiasm 2
technologists 1
 </v>
      </c>
      <c r="GI119" s="21" t="str">
        <f t="shared" si="271"/>
        <v xml:space="preserve">web(1,25), mobile apps(1,50), functions(1,25), interaction(1,25),  </v>
      </c>
      <c r="GJ119" s="21" t="str">
        <f t="shared" si="246"/>
        <v xml:space="preserve">web 25
mobile apps 50
functions 25
interaction 25
 </v>
      </c>
      <c r="GK119"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19" s="21" t="str">
        <f t="shared" si="273"/>
        <v xml:space="preserve">field knowledge(1,6.25), engineering knowledge(1,6.25), technologists(1,12.5), for entrepreneurs(1,6.25),  </v>
      </c>
      <c r="GM119" s="21" t="str">
        <f t="shared" si="249"/>
        <v xml:space="preserve">field knowledge(6.25),engineering knowledge(6.25),technologists(12.5),for entrepreneurs(6.25), </v>
      </c>
      <c r="GN119" s="21" t="str">
        <f t="shared" si="244"/>
        <v xml:space="preserve">scale 2
enthusiasm 2
technologists 1
 </v>
      </c>
      <c r="GO119" s="21" t="str">
        <f t="shared" si="274"/>
        <v xml:space="preserve">web(1,25), mobile apps(1,25), VR&amp;AR(1,25), aesthetics(1,25), functions(1,25), interaction(1,50),  </v>
      </c>
      <c r="GP119" s="21" t="str">
        <f t="shared" si="246"/>
        <v xml:space="preserve">web 25
mobile apps 25
VR&amp;AR 25
aesthetics 25
functions 25
interaction 50
 </v>
      </c>
      <c r="GQ119"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19" s="21" t="str">
        <f t="shared" si="276"/>
        <v xml:space="preserve">field knowledge(1,6.25), technologists(1,12.5), for entrepreneurs(1,6.25),  </v>
      </c>
      <c r="GS119" s="21" t="str">
        <f t="shared" si="249"/>
        <v xml:space="preserve">field knowledge(6.25),technologists(12.5),for entrepreneurs(6.25), </v>
      </c>
      <c r="GT119" s="21" t="str">
        <f t="shared" si="244"/>
        <v xml:space="preserve">scale 3
scale 2
ease of access 1
reputation 2
web 1
mobile apps 1
mobile comm 1
 </v>
      </c>
      <c r="GU119" s="21" t="str">
        <f t="shared" si="277"/>
        <v xml:space="preserve"> </v>
      </c>
      <c r="GV119" s="21" t="str">
        <f t="shared" si="246"/>
        <v xml:space="preserve"> </v>
      </c>
      <c r="GW119" s="21" t="str">
        <f t="shared" si="278"/>
        <v xml:space="preserve">scale(4), 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19" s="21" t="str">
        <f t="shared" si="279"/>
        <v xml:space="preserve">scale(1,6.25), 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19" s="21" t="str">
        <f t="shared" si="249"/>
        <v xml:space="preserve">scale(6.25),enthusiasm(12.5),learning capacities(6.25),field knowledge(6.25),engineering knowledge(6.25),network among members(6.25),gifted leader(6.25),gifted programmer(6.25),enthusiasm(6.25),media(6.25),entrepreneurs(6.25),technologists(6.25),project management(6.25),social media(6.25),web(6.25),mobile apps(6.25), </v>
      </c>
      <c r="GZ119" s="21" t="str">
        <f t="shared" si="280"/>
        <v xml:space="preserve">scale 2
enthusiasm 2
scale 2
enthusiasm 2
network 1
govt 1
non-profits 1
reputation 2
portfolio 1
 </v>
      </c>
      <c r="HA119" s="21" t="str">
        <f t="shared" si="281"/>
        <v xml:space="preserve"> </v>
      </c>
      <c r="HB119" s="21" t="str">
        <f t="shared" si="282"/>
        <v xml:space="preserve"> </v>
      </c>
      <c r="HC119"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19" s="21" t="str">
        <f t="shared" si="284"/>
        <v xml:space="preserve">scale(1,6.25), enthusiasm(1,6.25), learning capacities(1,6.25), field knowledge(1,6.25), enthusiasm(1,6.25), media(1,6.25), technologists(1,6.25), non-profits(1,6.25), reputation(1,6.25), start-up with customers(1,6.25), for basic literacy(1,6.25),  </v>
      </c>
      <c r="HE119" s="21" t="str">
        <f t="shared" si="285"/>
        <v xml:space="preserve">scale(6.25),enthusiasm(6.25),learning capacities(6.25),field knowledge(6.25),enthusiasm(6.25),media(6.25),technologists(6.25),non-profits(6.25),reputation(6.25),start-up with customers(6.25),for basic literacy(6.25), </v>
      </c>
      <c r="HF119" s="21" t="str">
        <f t="shared" si="280"/>
        <v xml:space="preserve"> </v>
      </c>
      <c r="HG119" s="21" t="str">
        <f t="shared" si="286"/>
        <v xml:space="preserve">scale(2,), enthusiasm(2,),  </v>
      </c>
      <c r="HH119" s="21" t="str">
        <f t="shared" si="282"/>
        <v xml:space="preserve"> </v>
      </c>
      <c r="HI119" s="21" t="str">
        <f t="shared" si="287"/>
        <v xml:space="preserve">scale(2), 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19" s="21" t="str">
        <f t="shared" si="288"/>
        <v xml:space="preserve">scale(1,6.25), enthusiasm(1,6.25), learning capacities(1,6.25), network among members(1,6.25), enthusiasm(1,6.25), fun-ness(1,6.25), seriousness(1,6.25), govt(1,6.25), media(1,6.25), non-profits(1,6.25), start-up with customers(1,6.25),  </v>
      </c>
      <c r="HK119" s="21" t="str">
        <f t="shared" si="285"/>
        <v xml:space="preserve">scale(6.25),enthusiasm(6.25),learning capacities(6.25),network among members(6.25),enthusiasm(6.25),fun-ness(6.25),seriousness(6.25),govt(6.25),media(6.25),non-profits(6.25),start-up with customers(6.25), </v>
      </c>
      <c r="HL119" s="21" t="str">
        <f t="shared" si="280"/>
        <v xml:space="preserve">scale 2
scale 2
community manager 1
PR 1
administrator 1
local biz 1
entrepreneurs 1
non-profits 1
reputation 2
portfolio 2
 </v>
      </c>
      <c r="HM119" s="21" t="str">
        <f t="shared" si="289"/>
        <v xml:space="preserve">scale(1,25), enthusiasm(1,25), network among members(1,25), scale(1,25), enthusiasm(1,25), ambition(1,25), fun-ness(1,25), seriousness(1,25),  </v>
      </c>
      <c r="HN119" s="21" t="str">
        <f t="shared" si="282"/>
        <v xml:space="preserve">scale 25
enthusiasm 25
network among members 25
scale 25
enthusiasm 25
ambition 25
fun-ness 25
seriousness 25
 </v>
      </c>
      <c r="HO119"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19" s="21" t="str">
        <f t="shared" si="291"/>
        <v xml:space="preserve">scale(1,6.25), enthusiasm(1,6.25), enthusiasm(1,6.25), fun-ness(1,6.25), enthusiasm(1,6.25), level of understanding(1,6.25), local biz(1,6.25), biz group(1,6.25), govt(1,6.25), investors(1,6.25), media(1,6.25), entrepreneurs(1,6.25), technologists(1,6.25), suppliers(1,6.25), non-profits(1,6.25), reputation(1,6.25),  </v>
      </c>
      <c r="HQ119" s="47" t="str">
        <f t="shared" si="285"/>
        <v xml:space="preserve">scale(6.25),enthusiasm(6.25),enthusiasm(6.25),fun-ness(6.25),enthusiasm(6.25),level of understanding(6.25),local biz(6.25),biz group(6.25),govt(6.25),investors(6.25),media(6.25),entrepreneurs(6.25),technologists(6.25),suppliers(6.25),non-profits(6.25),reputation(6.25), </v>
      </c>
      <c r="HR119" s="47" t="str">
        <f t="shared" ref="HR119:HW119" si="356">IF(HR17="",HR120,$C119&amp;"("&amp;HR17&amp;"),"&amp;HR120)</f>
        <v xml:space="preserve">scale(2),enthusiasm(2),engineering knowledge(2),scale(2),enthusiasm(2),reputation(2),portfolio(2),mobile apps(1),sensors(1),wood processing(1),aesthetics(1), </v>
      </c>
      <c r="HS119" s="47" t="str">
        <f t="shared" si="356"/>
        <v xml:space="preserve"> </v>
      </c>
      <c r="HT119" s="47" t="str">
        <f t="shared" si="356"/>
        <v xml:space="preserve"> </v>
      </c>
      <c r="HU119" s="47" t="str">
        <f t="shared" si="35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19" s="47" t="str">
        <f t="shared" si="356"/>
        <v xml:space="preserve">gifted programmer(1),local biz(1),biz group(1),govt(1),investors(1),media(1),entrepreneurs(1),technologists(1),suppliers(1),non-profits(1),reputation(1), </v>
      </c>
      <c r="HW119" s="47" t="str">
        <f t="shared" si="356"/>
        <v xml:space="preserve">gifted programmer(6.25),local biz(6.25),biz group(6.25),govt(6.25),investors(6.25),media(6.25),entrepreneurs(6.25),technologists(12.5),suppliers(6.25),non-profits(6.25),reputation(6.25), </v>
      </c>
      <c r="HX119" s="47" t="str">
        <f t="shared" ref="HX119:IU119" si="357">IF(HX17="",HX120,$C119&amp;"("&amp;HX17&amp;"),"&amp;HX120)</f>
        <v xml:space="preserve">scale(2),enthusiasm(2),field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19" s="47" t="str">
        <f t="shared" si="357"/>
        <v xml:space="preserve">biz enhancement(1), </v>
      </c>
      <c r="HZ119" s="47" t="str">
        <f t="shared" si="357"/>
        <v xml:space="preserve">biz enhancement(100), </v>
      </c>
      <c r="IA119" s="47" t="str">
        <f t="shared" si="357"/>
        <v xml:space="preserve">community manager(1),PR(1),finance(1),administrator(1),enthusiasm(2),network(2),ambition(2),knowledge(2),spaciousness(2),ease of access(3),efficiency(2),portfolio(4),finance(2),business model(2),marketing(3),team building(2),project management(2),social media(3),negotiation(3), </v>
      </c>
      <c r="IB119" s="47" t="str">
        <f t="shared" si="357"/>
        <v xml:space="preserve">scale(1),enthusiasm(1),field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19" s="47" t="str">
        <f t="shared" si="357"/>
        <v xml:space="preserve">scale(6.25),enthusiasm(6.25),field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19" s="47" t="str">
        <f t="shared" si="357"/>
        <v xml:space="preserve">scale(2),enthusiasm(2),engineering knowledge(1),scale(1),technologists(2), </v>
      </c>
      <c r="IE119" s="47" t="str">
        <f t="shared" si="357"/>
        <v xml:space="preserve">engineering knowledge(1),web(1),mobile apps(1),security(1),AI&amp; data analysis(1), </v>
      </c>
      <c r="IF119" s="47" t="str">
        <f t="shared" si="357"/>
        <v xml:space="preserve">engineering knowledge(25),web(25),mobile apps(25),security(25),AI&amp; data analysis(25), </v>
      </c>
      <c r="IG119" s="47" t="str">
        <f t="shared" si="357"/>
        <v xml:space="preserve">scale(3),enthusiasm(3),learning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19" s="47" t="str">
        <f t="shared" si="357"/>
        <v xml:space="preserve">engineering knowledge(1),technologists(1),web(1),database(1),mobile apps(1),security(1),AI&amp; data analysis(1), </v>
      </c>
      <c r="II119" s="47" t="str">
        <f t="shared" si="357"/>
        <v xml:space="preserve">engineering knowledge(6.25),technologists(6.25),web(6.25),database(6.25),mobile apps(6.25),security(6.25),AI&amp; data analysis(6.25), </v>
      </c>
      <c r="IJ119" s="47" t="str">
        <f t="shared" si="357"/>
        <v xml:space="preserve">scale(2),enthusiasm(2),engineering knowledge(1),scale(1),technologists(2), </v>
      </c>
      <c r="IK119" s="47" t="str">
        <f t="shared" si="357"/>
        <v xml:space="preserve">engineering knowledge(1),wood processing(1),metal processing(1),functions(1),safety(1), </v>
      </c>
      <c r="IL119" s="47" t="str">
        <f t="shared" si="357"/>
        <v xml:space="preserve">engineering knowledge(25),wood processing(25),metal processing(25),functions(25),safety(25), </v>
      </c>
      <c r="IM119" s="47" t="str">
        <f t="shared" si="357"/>
        <v xml:space="preserve">scale(3),enthusiasm(3),learning capacities(2),scale(2),enthusiasm(3),attention to details(2),seriousness(2),community manager(1),administrator(1),network(2),entrepreneurs(3),technologists(4),spaciousness(2),ease of access(2),reputation(3),efficiency(2),portfolio(3),wood processing(2),metal processing(2),functions(2),safety(2), </v>
      </c>
      <c r="IN119" s="47" t="str">
        <f t="shared" si="357"/>
        <v xml:space="preserve">engineering knowledge(1),technologists(1),wood processing(1),metal processing(1),functions(1),safety(1),interaction(1), </v>
      </c>
      <c r="IO119" s="47" t="str">
        <f t="shared" si="357"/>
        <v xml:space="preserve">engineering knowledge(6.25),technologists(6.25),wood processing(6.25),metal processing(6.25),functions(6.25),safety(6.25),interaction(6.25), </v>
      </c>
      <c r="IP119" s="57" t="str">
        <f t="shared" si="357"/>
        <v xml:space="preserve">scale(2),enthusiasm(2),learning capacities(1),scale(2),local biz(2),reputation(1), </v>
      </c>
      <c r="IQ119" s="47" t="str">
        <f t="shared" si="357"/>
        <v xml:space="preserve">field knowledge(1),network among members(1),local biz(1),marketing(1), </v>
      </c>
      <c r="IR119" s="47" t="str">
        <f t="shared" si="357"/>
        <v xml:space="preserve">field knowledge(100),network among members(25),local biz(25),marketing(25), </v>
      </c>
      <c r="IS119" s="47" t="str">
        <f t="shared" si="35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19" s="47" t="str">
        <f t="shared" si="357"/>
        <v xml:space="preserve">field knowledge(1),network among members(1),enthusiasm(1),fun-ness(1),seriousness(1),local biz(1),biz group(1),govt(1),non-profits(1),marketing(1), </v>
      </c>
      <c r="IU119" s="47" t="str">
        <f t="shared" si="357"/>
        <v xml:space="preserve">field knowledge(6.25),network among members(6.25),enthusiasm(6.25),fun-ness(6.25),seriousness(6.25),local biz(6.25),biz group(6.25),govt(6.25),non-profits(6.25),marketing(6.25), </v>
      </c>
      <c r="IV119" s="57" t="str">
        <f t="shared" ref="IV119:LG119" si="358">IF(IV17="",IV120,$C119&amp;"("&amp;IV17&amp;"),"&amp;IV120)</f>
        <v xml:space="preserve">scale(2),enthusiasm(2),learning capacities(1),scale(2),local biz(2),reputation(1), </v>
      </c>
      <c r="IW119" s="47" t="str">
        <f t="shared" si="358"/>
        <v xml:space="preserve">field knowledge(1),network among members(1),local biz(1),marketing(1), </v>
      </c>
      <c r="IX119" s="47" t="str">
        <f t="shared" si="358"/>
        <v xml:space="preserve">field knowledge(100),network among members(25),local biz(25),marketing(25), </v>
      </c>
      <c r="IY119" s="47" t="str">
        <f t="shared" si="35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19" s="47" t="str">
        <f t="shared" si="358"/>
        <v xml:space="preserve">field knowledge(1),network among members(1),enthusiasm(1),fun-ness(1),seriousness(1),local biz(1),biz group(1),govt(1),marketing(1), </v>
      </c>
      <c r="JA119" s="47" t="str">
        <f t="shared" si="358"/>
        <v xml:space="preserve">field knowledge(6.25),network among members(6.25),enthusiasm(6.25),fun-ness(6.25),seriousness(6.25),local biz(6.25),biz group(6.25),govt(6.25),marketing(6.25), </v>
      </c>
      <c r="JB119" s="47" t="str">
        <f t="shared" si="358"/>
        <v xml:space="preserve">scale(2),enthusiasm(1),scale(1),enthusiasm(2), </v>
      </c>
      <c r="JC119" s="47" t="str">
        <f t="shared" si="358"/>
        <v xml:space="preserve">engineering knowledge(1), </v>
      </c>
      <c r="JD119" s="47" t="str">
        <f t="shared" si="358"/>
        <v xml:space="preserve">engineering knowledge(50), </v>
      </c>
      <c r="JE119" s="47" t="str">
        <f t="shared" si="358"/>
        <v xml:space="preserve">scale(3),enthusiasm(3),learning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19" s="47" t="str">
        <f t="shared" si="358"/>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19" s="47" t="str">
        <f t="shared" si="358"/>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19" s="47" t="str">
        <f t="shared" si="358"/>
        <v xml:space="preserve">scale(1),scale(1),enthusiasm(1),enthusiasm(1),local biz(1),non-profits(1),reputation(2), </v>
      </c>
      <c r="JI119" s="47" t="str">
        <f t="shared" si="358"/>
        <v xml:space="preserve"> </v>
      </c>
      <c r="JJ119" s="47" t="str">
        <f t="shared" si="358"/>
        <v xml:space="preserve"> </v>
      </c>
      <c r="JK119" s="47" t="str">
        <f t="shared" si="358"/>
        <v xml:space="preserve">scale(2),scale(2),enthusiasm(2),agility(2),ambition(2),PR(1),finance(1),enthusiasm(2),fame(2),network(2),ambition(2),local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19" s="47" t="str">
        <f t="shared" si="358"/>
        <v xml:space="preserve">non-profits(1), </v>
      </c>
      <c r="JM119" s="47" t="str">
        <f t="shared" si="358"/>
        <v xml:space="preserve">non-profits(6.25), </v>
      </c>
      <c r="JN119" s="47" t="str">
        <f t="shared" si="358"/>
        <v xml:space="preserve">scale(2),enthusiasm(2),scale(2),enthusiasm(2),enthusiasm(1),network(1),local biz(1),investors(1),entrepreneurs(1),technologists(1),non-profits(1),reputation(2),portfolio(2), </v>
      </c>
      <c r="JO119" s="47" t="str">
        <f t="shared" si="358"/>
        <v xml:space="preserve"> </v>
      </c>
      <c r="JP119" s="47" t="str">
        <f t="shared" si="358"/>
        <v xml:space="preserve"> </v>
      </c>
      <c r="JQ119" s="47" t="str">
        <f t="shared" si="358"/>
        <v xml:space="preserve">scale(3),enthusiasm(3),gifted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19" s="47" t="str">
        <f t="shared" si="358"/>
        <v xml:space="preserve"> </v>
      </c>
      <c r="JS119" s="47" t="str">
        <f t="shared" si="358"/>
        <v xml:space="preserve"> </v>
      </c>
      <c r="JT119" s="47" t="str">
        <f t="shared" si="358"/>
        <v xml:space="preserve">scale(3),enthusiasm(3),PR(1),administrator(1),enthusiasm(2),network(2),local biz(2),biz group(1),govt(2),investors(2),entrepreneurs(2),technologists(2),non-profits(2),reputation(2),portfolio(3), </v>
      </c>
      <c r="JU119" s="47" t="str">
        <f t="shared" si="358"/>
        <v xml:space="preserve"> </v>
      </c>
      <c r="JV119" s="47" t="str">
        <f t="shared" si="358"/>
        <v xml:space="preserve"> </v>
      </c>
      <c r="JW119" s="47" t="str">
        <f t="shared" si="35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19" s="47" t="str">
        <f t="shared" si="358"/>
        <v xml:space="preserve"> </v>
      </c>
      <c r="JY119" s="47" t="str">
        <f t="shared" si="358"/>
        <v xml:space="preserve"> </v>
      </c>
      <c r="JZ119" s="47" t="str">
        <f t="shared" si="358"/>
        <v xml:space="preserve">scale(1),enthusiasm(1),scale(1),enthusiasm(2),network(1),non-profits(1),reputation(2),social project(2), </v>
      </c>
      <c r="KA119" s="47" t="str">
        <f t="shared" si="358"/>
        <v xml:space="preserve">non-profits(1), </v>
      </c>
      <c r="KB119" s="47" t="str">
        <f t="shared" si="358"/>
        <v xml:space="preserve">non-profits(25), </v>
      </c>
      <c r="KC119" s="47" t="str">
        <f t="shared" si="358"/>
        <v xml:space="preserve">scale(2),enthusiasm(2),gifted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19" s="47" t="str">
        <f t="shared" si="358"/>
        <v xml:space="preserve">non-profits(1), </v>
      </c>
      <c r="KE119" s="47" t="str">
        <f t="shared" si="358"/>
        <v xml:space="preserve">non-profits(6.25), </v>
      </c>
      <c r="KF119" s="47" t="str">
        <f t="shared" si="358"/>
        <v xml:space="preserve"> </v>
      </c>
      <c r="KG119" s="47" t="str">
        <f t="shared" si="358"/>
        <v xml:space="preserve"> </v>
      </c>
      <c r="KH119" s="47" t="str">
        <f t="shared" si="358"/>
        <v xml:space="preserve"> </v>
      </c>
      <c r="KI119" s="47" t="str">
        <f t="shared" si="358"/>
        <v xml:space="preserve"> </v>
      </c>
      <c r="KJ119" s="47" t="str">
        <f t="shared" si="358"/>
        <v xml:space="preserve"> </v>
      </c>
      <c r="KK119" s="47" t="str">
        <f t="shared" si="358"/>
        <v xml:space="preserve"> </v>
      </c>
      <c r="KL119" s="57" t="str">
        <f t="shared" si="358"/>
        <v xml:space="preserve"> </v>
      </c>
      <c r="KM119" s="47" t="str">
        <f t="shared" si="358"/>
        <v xml:space="preserve"> </v>
      </c>
      <c r="KN119" s="47" t="str">
        <f t="shared" si="358"/>
        <v xml:space="preserve"> </v>
      </c>
      <c r="KO119" s="47" t="str">
        <f t="shared" si="358"/>
        <v xml:space="preserve"> </v>
      </c>
      <c r="KP119" s="47" t="str">
        <f t="shared" si="358"/>
        <v xml:space="preserve"> </v>
      </c>
      <c r="KQ119" s="47" t="str">
        <f t="shared" si="358"/>
        <v xml:space="preserve"> </v>
      </c>
      <c r="KR119" s="57" t="str">
        <f t="shared" si="358"/>
        <v xml:space="preserve"> </v>
      </c>
      <c r="KS119" s="47" t="str">
        <f t="shared" si="358"/>
        <v xml:space="preserve"> </v>
      </c>
      <c r="KT119" s="47" t="str">
        <f t="shared" si="358"/>
        <v xml:space="preserve"> </v>
      </c>
      <c r="KU119" s="47" t="str">
        <f t="shared" si="358"/>
        <v xml:space="preserve"> </v>
      </c>
      <c r="KV119" s="47" t="str">
        <f t="shared" si="358"/>
        <v xml:space="preserve"> </v>
      </c>
      <c r="KW119" s="47" t="str">
        <f t="shared" si="358"/>
        <v xml:space="preserve"> </v>
      </c>
      <c r="KX119" s="57" t="str">
        <f t="shared" si="358"/>
        <v xml:space="preserve"> </v>
      </c>
      <c r="KY119" s="47" t="str">
        <f t="shared" si="358"/>
        <v xml:space="preserve"> </v>
      </c>
      <c r="KZ119" s="47" t="str">
        <f t="shared" si="358"/>
        <v xml:space="preserve"> </v>
      </c>
      <c r="LA119" s="47" t="str">
        <f t="shared" si="358"/>
        <v xml:space="preserve"> </v>
      </c>
      <c r="LB119" s="47" t="str">
        <f t="shared" si="358"/>
        <v xml:space="preserve"> </v>
      </c>
      <c r="LC119" s="47" t="str">
        <f t="shared" si="358"/>
        <v xml:space="preserve"> </v>
      </c>
      <c r="LD119" s="57" t="str">
        <f t="shared" si="358"/>
        <v xml:space="preserve"> </v>
      </c>
      <c r="LE119" s="47" t="str">
        <f t="shared" si="358"/>
        <v xml:space="preserve"> </v>
      </c>
      <c r="LF119" s="47" t="str">
        <f t="shared" si="358"/>
        <v xml:space="preserve"> </v>
      </c>
      <c r="LG119" s="47" t="str">
        <f t="shared" si="358"/>
        <v xml:space="preserve"> </v>
      </c>
      <c r="LH119" s="47" t="str">
        <f t="shared" ref="LH119:NM119" si="359">IF(LH17="",LH120,$C119&amp;"("&amp;LH17&amp;"),"&amp;LH120)</f>
        <v xml:space="preserve"> </v>
      </c>
      <c r="LI119" s="47" t="str">
        <f t="shared" si="359"/>
        <v xml:space="preserve"> </v>
      </c>
      <c r="LJ119" s="57" t="str">
        <f t="shared" si="359"/>
        <v xml:space="preserve"> </v>
      </c>
      <c r="LK119" s="47" t="str">
        <f t="shared" si="359"/>
        <v xml:space="preserve"> </v>
      </c>
      <c r="LL119" s="47" t="str">
        <f t="shared" si="359"/>
        <v xml:space="preserve"> </v>
      </c>
      <c r="LM119" s="47" t="str">
        <f t="shared" si="359"/>
        <v xml:space="preserve"> </v>
      </c>
      <c r="LN119" s="47" t="str">
        <f t="shared" si="359"/>
        <v xml:space="preserve"> </v>
      </c>
      <c r="LO119" s="47" t="str">
        <f t="shared" si="359"/>
        <v xml:space="preserve"> </v>
      </c>
      <c r="LP119" s="57" t="str">
        <f t="shared" si="359"/>
        <v xml:space="preserve"> </v>
      </c>
      <c r="LQ119" s="47" t="str">
        <f t="shared" si="359"/>
        <v xml:space="preserve"> </v>
      </c>
      <c r="LR119" s="47" t="str">
        <f t="shared" si="359"/>
        <v xml:space="preserve"> </v>
      </c>
      <c r="LS119" s="47" t="str">
        <f t="shared" si="359"/>
        <v xml:space="preserve"> </v>
      </c>
      <c r="LT119" s="47" t="str">
        <f t="shared" si="359"/>
        <v xml:space="preserve"> </v>
      </c>
      <c r="LU119" s="47" t="str">
        <f t="shared" si="359"/>
        <v xml:space="preserve"> </v>
      </c>
      <c r="LV119" s="57" t="str">
        <f t="shared" si="359"/>
        <v xml:space="preserve"> </v>
      </c>
      <c r="LW119" s="47" t="str">
        <f t="shared" si="359"/>
        <v xml:space="preserve"> </v>
      </c>
      <c r="LX119" s="47" t="str">
        <f t="shared" si="359"/>
        <v xml:space="preserve"> </v>
      </c>
      <c r="LY119" s="47" t="str">
        <f t="shared" si="359"/>
        <v xml:space="preserve"> </v>
      </c>
      <c r="LZ119" s="47" t="str">
        <f t="shared" si="359"/>
        <v xml:space="preserve"> </v>
      </c>
      <c r="MA119" s="47" t="str">
        <f t="shared" si="359"/>
        <v xml:space="preserve"> </v>
      </c>
      <c r="MB119" s="57" t="str">
        <f t="shared" si="359"/>
        <v xml:space="preserve"> </v>
      </c>
      <c r="MC119" s="47" t="str">
        <f t="shared" si="359"/>
        <v xml:space="preserve"> </v>
      </c>
      <c r="MD119" s="47" t="str">
        <f t="shared" si="359"/>
        <v xml:space="preserve"> </v>
      </c>
      <c r="ME119" s="47" t="str">
        <f t="shared" si="359"/>
        <v xml:space="preserve"> </v>
      </c>
      <c r="MF119" s="47" t="str">
        <f t="shared" si="359"/>
        <v xml:space="preserve"> </v>
      </c>
      <c r="MG119" s="47" t="str">
        <f t="shared" si="359"/>
        <v xml:space="preserve"> </v>
      </c>
      <c r="MH119" s="57" t="str">
        <f t="shared" si="359"/>
        <v xml:space="preserve"> </v>
      </c>
      <c r="MI119" s="47" t="str">
        <f t="shared" si="359"/>
        <v xml:space="preserve"> </v>
      </c>
      <c r="MJ119" s="47" t="str">
        <f t="shared" si="359"/>
        <v xml:space="preserve"> </v>
      </c>
      <c r="MK119" s="47" t="str">
        <f t="shared" si="359"/>
        <v xml:space="preserve"> </v>
      </c>
      <c r="ML119" s="47" t="str">
        <f t="shared" si="359"/>
        <v xml:space="preserve"> </v>
      </c>
      <c r="MM119" s="47" t="str">
        <f t="shared" si="359"/>
        <v xml:space="preserve"> </v>
      </c>
      <c r="MN119" s="57" t="str">
        <f t="shared" si="359"/>
        <v xml:space="preserve"> </v>
      </c>
      <c r="MO119" s="47" t="str">
        <f t="shared" si="359"/>
        <v xml:space="preserve"> </v>
      </c>
      <c r="MP119" s="47" t="str">
        <f t="shared" si="359"/>
        <v xml:space="preserve"> </v>
      </c>
      <c r="MQ119" s="47" t="str">
        <f t="shared" si="359"/>
        <v xml:space="preserve"> </v>
      </c>
      <c r="MR119" s="47" t="str">
        <f t="shared" si="359"/>
        <v xml:space="preserve"> </v>
      </c>
      <c r="MS119" s="47" t="str">
        <f t="shared" si="359"/>
        <v xml:space="preserve"> </v>
      </c>
      <c r="MT119" s="57" t="str">
        <f t="shared" si="359"/>
        <v xml:space="preserve"> </v>
      </c>
      <c r="MU119" s="47" t="str">
        <f t="shared" si="359"/>
        <v xml:space="preserve"> </v>
      </c>
      <c r="MV119" s="47" t="str">
        <f t="shared" si="359"/>
        <v xml:space="preserve"> </v>
      </c>
      <c r="MW119" s="47" t="str">
        <f t="shared" si="359"/>
        <v xml:space="preserve"> </v>
      </c>
      <c r="MX119" s="47" t="str">
        <f t="shared" si="359"/>
        <v xml:space="preserve"> </v>
      </c>
      <c r="MY119" s="47" t="str">
        <f t="shared" si="359"/>
        <v xml:space="preserve"> </v>
      </c>
      <c r="MZ119" s="57" t="str">
        <f t="shared" si="359"/>
        <v xml:space="preserve"> </v>
      </c>
      <c r="NA119" s="47" t="str">
        <f t="shared" si="359"/>
        <v xml:space="preserve"> </v>
      </c>
      <c r="NB119" s="47" t="str">
        <f t="shared" si="359"/>
        <v xml:space="preserve"> </v>
      </c>
      <c r="NC119" s="47" t="str">
        <f t="shared" si="359"/>
        <v xml:space="preserve"> </v>
      </c>
      <c r="ND119" s="47" t="str">
        <f t="shared" si="359"/>
        <v xml:space="preserve"> </v>
      </c>
      <c r="NE119" s="47" t="str">
        <f t="shared" si="359"/>
        <v xml:space="preserve"> </v>
      </c>
      <c r="NF119" s="57" t="str">
        <f t="shared" si="359"/>
        <v xml:space="preserve"> </v>
      </c>
      <c r="NG119" s="47" t="str">
        <f t="shared" si="359"/>
        <v xml:space="preserve"> </v>
      </c>
      <c r="NH119" s="47" t="str">
        <f t="shared" si="359"/>
        <v xml:space="preserve"> </v>
      </c>
      <c r="NI119" s="47" t="str">
        <f t="shared" si="359"/>
        <v xml:space="preserve"> </v>
      </c>
      <c r="NJ119" s="47" t="str">
        <f t="shared" si="359"/>
        <v xml:space="preserve"> </v>
      </c>
      <c r="NK119" s="47" t="str">
        <f t="shared" si="359"/>
        <v xml:space="preserve"> </v>
      </c>
      <c r="NL119" s="57" t="str">
        <f t="shared" si="359"/>
        <v xml:space="preserve"> </v>
      </c>
      <c r="NM119" s="47" t="str">
        <f t="shared" si="359"/>
        <v xml:space="preserve"> </v>
      </c>
    </row>
    <row r="120" spans="3:377" ht="15.75" customHeight="1">
      <c r="C120" s="7" t="str">
        <f t="shared" si="296"/>
        <v>enthusiasm</v>
      </c>
      <c r="D120" s="21" t="str">
        <f t="shared" si="169"/>
        <v xml:space="preserve">scale 1
 </v>
      </c>
      <c r="E120" s="21" t="str">
        <f t="shared" si="297"/>
        <v xml:space="preserve"> </v>
      </c>
      <c r="F120" s="21" t="str">
        <f t="shared" si="170"/>
        <v xml:space="preserve"> </v>
      </c>
      <c r="G120" s="21" t="str">
        <f t="shared" si="298"/>
        <v xml:space="preserve">enthusiasm(1), enthusiasm(2), fun-ness(1), community manager(1), PR(1), fame(1), network(2), ease of access(1), reputation(2), social media(1),  </v>
      </c>
      <c r="H120" s="21" t="str">
        <f t="shared" si="299"/>
        <v xml:space="preserve"> </v>
      </c>
      <c r="I120" s="21" t="str">
        <f t="shared" ref="I120" si="360">IF(I18="",I121,$C120&amp;"("&amp;I18&amp;"),"&amp;I121)</f>
        <v xml:space="preserve"> </v>
      </c>
      <c r="J120" s="21" t="str">
        <f t="shared" si="172"/>
        <v xml:space="preserve">scale 1
interaction 1
 </v>
      </c>
      <c r="K120" s="21" t="str">
        <f t="shared" si="173"/>
        <v xml:space="preserve">reputation(1,75),  </v>
      </c>
      <c r="L120" s="21" t="str">
        <f t="shared" si="174"/>
        <v xml:space="preserve">reputation 75
 </v>
      </c>
      <c r="M120" s="21" t="str">
        <f t="shared" si="175"/>
        <v xml:space="preserve">PR(1), portfolio(1), social innovation(1), non-profit biz(1),  </v>
      </c>
      <c r="N120" s="21" t="str">
        <f t="shared" si="176"/>
        <v xml:space="preserve">enthusiasm(1,6.25), seriousness(1,25), non-profits(1,12.5), reputation(1,75), marketing(1,12.5),  </v>
      </c>
      <c r="O120" s="21" t="str">
        <f t="shared" si="177"/>
        <v xml:space="preserve">enthusiasm(6.25),seriousness(25),non-profits(12.5),reputation(75),marketing(12.5), </v>
      </c>
      <c r="P120" s="21" t="str">
        <f t="shared" si="172"/>
        <v xml:space="preserve">scale 1
biz project 1
 </v>
      </c>
      <c r="Q120" s="21" t="str">
        <f t="shared" si="178"/>
        <v xml:space="preserve"> </v>
      </c>
      <c r="R120" s="21" t="str">
        <f t="shared" si="174"/>
        <v xml:space="preserve"> </v>
      </c>
      <c r="S120" s="21" t="str">
        <f t="shared" si="179"/>
        <v xml:space="preserve">portfolio(1), biz enhancement(1), business(1), start-up(1),  </v>
      </c>
      <c r="T120" s="21" t="str">
        <f t="shared" si="180"/>
        <v xml:space="preserve">enthusiasm(1,6.25), seriousness(1,25), local biz(1,6.25), investors(1,6.25), reputation(1,6.25),  </v>
      </c>
      <c r="U120" s="21" t="str">
        <f t="shared" si="177"/>
        <v xml:space="preserve">enthusiasm(6.25),seriousness(25),local biz(6.25),investors(6.25),reputation(6.25), </v>
      </c>
      <c r="V120" s="21" t="str">
        <f t="shared" si="172"/>
        <v xml:space="preserve">scale 1
 </v>
      </c>
      <c r="W120" s="21" t="str">
        <f t="shared" si="181"/>
        <v xml:space="preserve">local biz(1,),  </v>
      </c>
      <c r="X120" s="21" t="str">
        <f t="shared" si="174"/>
        <v xml:space="preserve"> </v>
      </c>
      <c r="Y120" s="21" t="str">
        <f t="shared" si="182"/>
        <v xml:space="preserve">enthusiasm(1), attention to details(1), PR(1), network(1), ease of access(1), reputation(1), portfolio(1), biz project(1), biz enhancement(1), job creation(1), business(1),  </v>
      </c>
      <c r="Z120" s="21" t="str">
        <f t="shared" si="183"/>
        <v xml:space="preserve">local biz(1,6.25),  </v>
      </c>
      <c r="AA120" s="21" t="str">
        <f t="shared" si="177"/>
        <v xml:space="preserve">local biz(6.25), </v>
      </c>
      <c r="AB120" s="21" t="str">
        <f t="shared" si="172"/>
        <v xml:space="preserve">scale 1
 </v>
      </c>
      <c r="AC120" s="21" t="str">
        <f t="shared" si="184"/>
        <v xml:space="preserve">non-profits(1,100),  </v>
      </c>
      <c r="AD120" s="21" t="str">
        <f t="shared" si="174"/>
        <v xml:space="preserve">non-profits 100
 </v>
      </c>
      <c r="AE120" s="21" t="str">
        <f t="shared" si="185"/>
        <v xml:space="preserve">enthusiasm(1), attention to details(1), PR(1), network(1), ease of access(1), reputation(1), portfolio(1), social project(1), social innovation(1), non-profit biz(1),  </v>
      </c>
      <c r="AF120" s="21" t="str">
        <f t="shared" si="186"/>
        <v xml:space="preserve">seriousness(1,6.25), non-profits(1,6.25),  </v>
      </c>
      <c r="AG120" s="21" t="str">
        <f t="shared" si="177"/>
        <v xml:space="preserve">seriousness(6.25),non-profits(6.25), </v>
      </c>
      <c r="AH120" s="21" t="str">
        <f t="shared" si="172"/>
        <v xml:space="preserve">scale 1
 </v>
      </c>
      <c r="AI120" s="21" t="str">
        <f t="shared" si="187"/>
        <v xml:space="preserve">govt(1,),  </v>
      </c>
      <c r="AJ120" s="21" t="str">
        <f t="shared" si="174"/>
        <v xml:space="preserve"> </v>
      </c>
      <c r="AK120" s="21" t="str">
        <f t="shared" si="188"/>
        <v xml:space="preserve">enthusiasm(1), attention to details(1), seriousness(1), fame(1), network(1), govt(1), ease of access(1), reputation(2), portfolio(1), social project(1), social innovation(1), non-profit biz(1),  </v>
      </c>
      <c r="AL120" s="21" t="str">
        <f t="shared" si="189"/>
        <v xml:space="preserve">govt(1,6.25),  </v>
      </c>
      <c r="AM120" s="21" t="str">
        <f t="shared" si="177"/>
        <v xml:space="preserve">govt(6.25), </v>
      </c>
      <c r="AN120" s="21" t="str">
        <f t="shared" si="172"/>
        <v xml:space="preserve">enthusiasm 1
gifted leader 1
scale 1
enthusiasm 1
 </v>
      </c>
      <c r="AO120" s="21" t="str">
        <f t="shared" si="190"/>
        <v xml:space="preserve">fame(1,), network(1,), investors(1,6.25),  </v>
      </c>
      <c r="AP120" s="21" t="str">
        <f t="shared" si="174"/>
        <v xml:space="preserve">investors 6.25
 </v>
      </c>
      <c r="AQ120" s="21" t="str">
        <f t="shared" si="191"/>
        <v xml:space="preserve">investors(1), ease of access(1), reputation(1), portfolio(1), start-up(1), start-up with mvp(1), start-up with customers(1),  </v>
      </c>
      <c r="AR120" s="21" t="str">
        <f t="shared" si="192"/>
        <v xml:space="preserve"> </v>
      </c>
      <c r="AS120" s="21" t="str">
        <f t="shared" si="177"/>
        <v xml:space="preserve"> </v>
      </c>
      <c r="AT120" s="21" t="str">
        <f t="shared" si="172"/>
        <v xml:space="preserve">enthusiasm 1
scale 2
enthusiasm 1
seriousness 1
administrator 1
non-profits 2
reputation 1
portfolio 1
social project 1
 </v>
      </c>
      <c r="AU120" s="21" t="str">
        <f t="shared" si="193"/>
        <v xml:space="preserve">ambition(1,), attention to details(1,),  </v>
      </c>
      <c r="AV120" s="21" t="str">
        <f t="shared" si="174"/>
        <v xml:space="preserve"> </v>
      </c>
      <c r="AW120" s="21" t="str">
        <f t="shared" si="194"/>
        <v xml:space="preserve">field knowledge(1), enthusiasm(3), PR(2), administrator(1), project management(2),  </v>
      </c>
      <c r="AX120" s="21" t="str">
        <f t="shared" si="195"/>
        <v xml:space="preserve">organizational rules and manuals(1,12.5), project management(1,12.5),  </v>
      </c>
      <c r="AY120" s="21" t="str">
        <f t="shared" si="177"/>
        <v xml:space="preserve">organizational rules and manuals(12.5),project management(12.5), </v>
      </c>
      <c r="AZ120" s="21" t="str">
        <f t="shared" si="172"/>
        <v xml:space="preserve">enthusiasm 1
scale 1
enthusiasm 1
non-profits 1
 </v>
      </c>
      <c r="BA120" s="21" t="str">
        <f t="shared" si="196"/>
        <v xml:space="preserve"> </v>
      </c>
      <c r="BB120" s="21" t="str">
        <f t="shared" si="174"/>
        <v xml:space="preserve"> </v>
      </c>
      <c r="BC120" s="21" t="str">
        <f t="shared" si="197"/>
        <v xml:space="preserve"> </v>
      </c>
      <c r="BD120" s="21" t="str">
        <f t="shared" si="198"/>
        <v xml:space="preserve"> </v>
      </c>
      <c r="BE120" s="21" t="str">
        <f t="shared" si="177"/>
        <v xml:space="preserve"> </v>
      </c>
      <c r="BF120" s="21" t="str">
        <f t="shared" si="172"/>
        <v xml:space="preserve">enthusiasm 1
scale 2
enthusiasm 1
seriousness 1
administrator 1
local biz 2
entrepreneurs 1
reputation 1
portfolio 1
biz project 1
 </v>
      </c>
      <c r="BG120" s="21" t="str">
        <f t="shared" si="199"/>
        <v xml:space="preserve">ambition(1,), attention to details(1,),  </v>
      </c>
      <c r="BH120" s="21" t="str">
        <f t="shared" si="174"/>
        <v xml:space="preserve"> </v>
      </c>
      <c r="BI120" s="21" t="str">
        <f t="shared" si="200"/>
        <v xml:space="preserve">field knowledge(1), enthusiasm(3), PR(2), administrator(1), project management(2),  </v>
      </c>
      <c r="BJ120" s="21" t="str">
        <f t="shared" si="201"/>
        <v xml:space="preserve">organizational rules and manuals(1,12.5), project management(1,12.5),  </v>
      </c>
      <c r="BK120" s="21" t="str">
        <f t="shared" si="177"/>
        <v xml:space="preserve">organizational rules and manuals(12.5),project management(12.5), </v>
      </c>
      <c r="BL120" s="21" t="str">
        <f t="shared" si="172"/>
        <v xml:space="preserve">enthusiasm 1
scale 1
enthusiasm 1
local biz 1
reputation 1
portfolio 1
biz enhancement 1
 </v>
      </c>
      <c r="BM120" s="21" t="str">
        <f t="shared" si="202"/>
        <v xml:space="preserve"> </v>
      </c>
      <c r="BN120" s="21" t="str">
        <f t="shared" si="174"/>
        <v xml:space="preserve"> </v>
      </c>
      <c r="BO120" s="21" t="str">
        <f t="shared" si="203"/>
        <v xml:space="preserve"> </v>
      </c>
      <c r="BP120" s="21" t="str">
        <f t="shared" si="204"/>
        <v xml:space="preserve"> </v>
      </c>
      <c r="BQ120" s="21" t="str">
        <f t="shared" si="177"/>
        <v xml:space="preserve"> </v>
      </c>
      <c r="BR120" s="21" t="str">
        <f t="shared" si="172"/>
        <v xml:space="preserve"> </v>
      </c>
      <c r="BS120" s="21" t="str">
        <f t="shared" si="205"/>
        <v xml:space="preserve"> </v>
      </c>
      <c r="BT120" s="21" t="str">
        <f t="shared" si="174"/>
        <v xml:space="preserve"> </v>
      </c>
      <c r="BU120" s="21" t="str">
        <f t="shared" si="206"/>
        <v xml:space="preserve"> </v>
      </c>
      <c r="BV120" s="21" t="str">
        <f t="shared" si="207"/>
        <v xml:space="preserve"> </v>
      </c>
      <c r="BW120" s="21" t="str">
        <f t="shared" si="177"/>
        <v xml:space="preserve"> </v>
      </c>
      <c r="BX120" s="21" t="str">
        <f t="shared" si="208"/>
        <v xml:space="preserve">scale 1
network 1
 </v>
      </c>
      <c r="BY120" s="21" t="str">
        <f t="shared" si="209"/>
        <v xml:space="preserve">efficiency(1,),  </v>
      </c>
      <c r="BZ120" s="21" t="str">
        <f t="shared" si="210"/>
        <v xml:space="preserve"> </v>
      </c>
      <c r="CA120" s="21" t="str">
        <f t="shared" si="211"/>
        <v xml:space="preserve">scale(2), enthusiasm(1), attention to details(1), administrator(1), negotiation(1),  </v>
      </c>
      <c r="CB120" s="21" t="str">
        <f t="shared" si="212"/>
        <v xml:space="preserve">user rules and manuals(1,50), organizational rules and manuals(1,50),  </v>
      </c>
      <c r="CC120" s="21" t="str">
        <f t="shared" si="213"/>
        <v xml:space="preserve">user rules and manuals(50),organizational rules and manuals(50), </v>
      </c>
      <c r="CD120" s="21" t="str">
        <f t="shared" si="208"/>
        <v xml:space="preserve">scale 1
enthusiasm 1
network 1
 </v>
      </c>
      <c r="CE120" s="21" t="str">
        <f t="shared" si="214"/>
        <v xml:space="preserve">field knowledge(1,), non-profits(1,),  </v>
      </c>
      <c r="CF120" s="21" t="str">
        <f t="shared" si="210"/>
        <v xml:space="preserve"> </v>
      </c>
      <c r="CG120" s="21" t="str">
        <f t="shared" si="215"/>
        <v xml:space="preserve">fun-ness(1), seriousness(1), ease of access(1), portfolio(1), user rules and manuals(1), negotiation(1), social project(1), biz project(1), for basic literacy(1), for the elites(1), for entrepreneurs(1),  </v>
      </c>
      <c r="CH120" s="21" t="str">
        <f t="shared" si="216"/>
        <v xml:space="preserve">technologists(1,6.25), non-profits(1,6.25),  </v>
      </c>
      <c r="CI120" s="21" t="str">
        <f t="shared" si="213"/>
        <v xml:space="preserve">technologists(6.25),non-profits(6.25), </v>
      </c>
      <c r="CJ120" s="21" t="str">
        <f t="shared" si="208"/>
        <v xml:space="preserve">scale 1
 </v>
      </c>
      <c r="CK120" s="21" t="str">
        <f t="shared" si="217"/>
        <v xml:space="preserve">suppliers(1,),  </v>
      </c>
      <c r="CL120" s="21" t="str">
        <f t="shared" si="210"/>
        <v xml:space="preserve"> </v>
      </c>
      <c r="CM120" s="21" t="str">
        <f t="shared" si="218"/>
        <v xml:space="preserve">reputation(1), negotiation(1),  </v>
      </c>
      <c r="CN120" s="21" t="str">
        <f t="shared" si="219"/>
        <v xml:space="preserve">learning capacities(1,), engineering knowledge(1,), enthusiasm(2,), efficiency(1,6.25),  </v>
      </c>
      <c r="CO120" s="21" t="str">
        <f t="shared" si="213"/>
        <v xml:space="preserve">efficiency(6.25), </v>
      </c>
      <c r="CP120" s="21" t="str">
        <f t="shared" si="208"/>
        <v xml:space="preserve">scale 1
 </v>
      </c>
      <c r="CQ120" s="21" t="str">
        <f t="shared" si="220"/>
        <v xml:space="preserve">technologists(1,),  </v>
      </c>
      <c r="CR120" s="21" t="str">
        <f t="shared" si="210"/>
        <v xml:space="preserve"> </v>
      </c>
      <c r="CS120" s="21" t="str">
        <f t="shared" si="221"/>
        <v xml:space="preserve">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20" s="21" t="str">
        <f t="shared" si="222"/>
        <v xml:space="preserve">engineering knowledge(1,6.25), efficiency(1,6.25),  </v>
      </c>
      <c r="CU120" s="21" t="str">
        <f t="shared" si="213"/>
        <v xml:space="preserve">engineering knowledge(6.25),efficiency(6.25), </v>
      </c>
      <c r="CV120" s="21" t="str">
        <f t="shared" si="208"/>
        <v xml:space="preserve">scale 1
 </v>
      </c>
      <c r="CW120" s="21" t="str">
        <f t="shared" si="223"/>
        <v xml:space="preserve">local biz(1,),  </v>
      </c>
      <c r="CX120" s="21" t="str">
        <f t="shared" si="210"/>
        <v xml:space="preserve"> </v>
      </c>
      <c r="CY120" s="21" t="str">
        <f t="shared" si="224"/>
        <v xml:space="preserve">ease of access(1), reputation(1), portfolio(1), negotiation(1),  </v>
      </c>
      <c r="CZ120" s="21" t="str">
        <f t="shared" si="225"/>
        <v xml:space="preserve">non-profits(1,6.25),  </v>
      </c>
      <c r="DA120" s="21" t="str">
        <f t="shared" si="213"/>
        <v xml:space="preserve">non-profits(6.25), </v>
      </c>
      <c r="DB120" s="21" t="str">
        <f t="shared" si="208"/>
        <v xml:space="preserve"> </v>
      </c>
      <c r="DC120" s="21" t="str">
        <f t="shared" si="226"/>
        <v xml:space="preserve"> </v>
      </c>
      <c r="DD120" s="21" t="str">
        <f t="shared" si="210"/>
        <v xml:space="preserve"> </v>
      </c>
      <c r="DE120" s="21" t="str">
        <f t="shared" si="227"/>
        <v xml:space="preserve">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0" s="21" t="str">
        <f t="shared" si="228"/>
        <v xml:space="preserve">network(1,), local biz(1,6.25), biz group(1,6.25), investors(1,6.25), entrepreneurs(1,6.25),  </v>
      </c>
      <c r="DG120" s="21" t="str">
        <f t="shared" si="213"/>
        <v xml:space="preserve">local biz(6.25),biz group(6.25),investors(6.25),entrepreneurs(6.25), </v>
      </c>
      <c r="DH120" s="21" t="str">
        <f t="shared" si="208"/>
        <v xml:space="preserve">enthusiasm 1
scale 1
enthusiasm 1
network 1
non-profits 1
reputation 1
social project 1
 </v>
      </c>
      <c r="DI120" s="21" t="str">
        <f t="shared" si="229"/>
        <v xml:space="preserve"> </v>
      </c>
      <c r="DJ120" s="21" t="str">
        <f t="shared" si="210"/>
        <v xml:space="preserve"> </v>
      </c>
      <c r="DK120" s="21" t="str">
        <f t="shared" si="230"/>
        <v xml:space="preserve">enthusiasm(3), 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0" s="21" t="str">
        <f t="shared" si="231"/>
        <v xml:space="preserve">field knowledge(1,12.5), network among members(1,12.5), reputation(1,6.25),  </v>
      </c>
      <c r="DM120" s="21" t="str">
        <f t="shared" si="213"/>
        <v xml:space="preserve">field knowledge(12.5),network among members(12.5),reputation(6.25), </v>
      </c>
      <c r="DN120" s="21" t="str">
        <f t="shared" si="208"/>
        <v xml:space="preserve">enthusiasm 1
scale 1
enthusiasm 1
network 1
local biz 1
reputation 1
biz project 1
 </v>
      </c>
      <c r="DO120" s="21" t="str">
        <f t="shared" si="232"/>
        <v xml:space="preserve"> </v>
      </c>
      <c r="DP120" s="21" t="str">
        <f t="shared" si="210"/>
        <v xml:space="preserve"> </v>
      </c>
      <c r="DQ120" s="21" t="str">
        <f t="shared" si="233"/>
        <v xml:space="preserve">enthusiasm(3), 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0" s="21" t="str">
        <f t="shared" si="234"/>
        <v xml:space="preserve">field knowledge(1,12.5), network among members(1,12.5), reputation(1,6.25),  </v>
      </c>
      <c r="DS120" s="21" t="str">
        <f t="shared" si="213"/>
        <v xml:space="preserve">field knowledge(12.5),network among members(12.5),reputation(6.25), </v>
      </c>
      <c r="DT120" s="21" t="str">
        <f t="shared" si="208"/>
        <v xml:space="preserve">enthusiasm 1
scale 1
enthusiasm 1
network 1
reputation 1
 </v>
      </c>
      <c r="DU120" s="21" t="str">
        <f t="shared" si="235"/>
        <v xml:space="preserve"> </v>
      </c>
      <c r="DV120" s="21" t="str">
        <f t="shared" si="210"/>
        <v xml:space="preserve"> </v>
      </c>
      <c r="DW120" s="21" t="str">
        <f t="shared" si="236"/>
        <v xml:space="preserve">enthusiasm(2), 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0" s="21" t="str">
        <f t="shared" si="237"/>
        <v xml:space="preserve">enthusiasm(1,6.25), field knowledge(1,6.25), engineering knowledge(1,6.25), ambition(1,6.25), reputation(1,6.25), for basic literacy(1,6.25),  </v>
      </c>
      <c r="DY120" s="21" t="str">
        <f t="shared" si="213"/>
        <v xml:space="preserve">enthusiasm(6.25),field knowledge(6.25),engineering knowledge(6.25),ambition(6.25),reputation(6.25),for basic literacy(6.25), </v>
      </c>
      <c r="DZ120" s="21" t="str">
        <f t="shared" si="208"/>
        <v xml:space="preserve">enthusiasm 1
scale 1
enthusiasm 1
network 1
reputation 1
 </v>
      </c>
      <c r="EA120" s="21" t="str">
        <f t="shared" si="238"/>
        <v xml:space="preserve"> </v>
      </c>
      <c r="EB120" s="21" t="str">
        <f t="shared" si="210"/>
        <v xml:space="preserve"> </v>
      </c>
      <c r="EC120" s="21" t="str">
        <f t="shared" si="239"/>
        <v xml:space="preserve">enthusiasm(2), 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0" s="21" t="str">
        <f t="shared" si="240"/>
        <v xml:space="preserve">enthusiasm(1,6.25), engineering knowledge(1,6.25), ambition(1,6.25), reputation(1,6.25), for basic literacy(1,6.25),  </v>
      </c>
      <c r="EE120" s="21" t="str">
        <f t="shared" si="213"/>
        <v xml:space="preserve">enthusiasm(6.25),engineering knowledge(6.25),ambition(6.25),reputation(6.25),for basic literacy(6.25), </v>
      </c>
      <c r="EF120" s="21" t="str">
        <f t="shared" si="208"/>
        <v xml:space="preserve">enthusiasm 2
technologists 1
reputation 1
 </v>
      </c>
      <c r="EG120" s="21" t="str">
        <f t="shared" si="241"/>
        <v xml:space="preserve">web(1,50), mobile apps(1,50), interaction(1,50),  </v>
      </c>
      <c r="EH120" s="21" t="str">
        <f t="shared" si="210"/>
        <v xml:space="preserve">web 50
mobile apps 50
interaction 50
 </v>
      </c>
      <c r="EI120"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20" s="21" t="str">
        <f t="shared" si="243"/>
        <v xml:space="preserve">engineering knowledge(1,6.25), technologists(1,12.5), infrastructrue(1,12.5), database(1,12.5), mobile comm(1,12.5), for entrepreneurs(1,6.25),  </v>
      </c>
      <c r="EK120" s="21" t="str">
        <f t="shared" si="213"/>
        <v xml:space="preserve">engineering knowledge(6.25),technologists(12.5),infrastructrue(12.5),database(12.5),mobile comm(12.5),for entrepreneurs(6.25), </v>
      </c>
      <c r="EL120" s="21" t="str">
        <f t="shared" si="244"/>
        <v xml:space="preserve">enthusiasm 2
technologists 1
reputation 1
 </v>
      </c>
      <c r="EM120" s="21" t="str">
        <f t="shared" si="245"/>
        <v xml:space="preserve">sensors(1,50),  </v>
      </c>
      <c r="EN120" s="21" t="str">
        <f t="shared" si="246"/>
        <v xml:space="preserve">sensors 50
 </v>
      </c>
      <c r="EO120"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0" s="21" t="str">
        <f t="shared" si="248"/>
        <v xml:space="preserve">engineering knowledge(1,6.25), technologists(1,12.5), infrastructrue(1,12.5), database(1,12.5), mobile comm(1,12.5), electronics(1,6.25), for entrepreneurs(1,6.25),  </v>
      </c>
      <c r="EQ120" s="21" t="str">
        <f t="shared" si="249"/>
        <v xml:space="preserve">engineering knowledge(6.25),technologists(12.5),infrastructrue(12.5),database(12.5),mobile comm(12.5),electronics(6.25),for entrepreneurs(6.25), </v>
      </c>
      <c r="ER120" s="21" t="str">
        <f t="shared" si="244"/>
        <v xml:space="preserve">enthusiasm 2
technologists 1
 </v>
      </c>
      <c r="ES120" s="21" t="str">
        <f t="shared" si="250"/>
        <v xml:space="preserve">AI&amp; data analysis(1,50),  </v>
      </c>
      <c r="ET120" s="21" t="str">
        <f t="shared" si="246"/>
        <v xml:space="preserve">AI&amp; data analysis 50
 </v>
      </c>
      <c r="EU120"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20" s="21" t="str">
        <f t="shared" si="252"/>
        <v xml:space="preserve">engineering knowledge(1,6.25), technologists(1,12.5), database(1,12.5), sensors(1,12.5), mobile comm(1,12.5), for entrepreneurs(1,6.25),  </v>
      </c>
      <c r="EW120" s="21" t="str">
        <f t="shared" si="249"/>
        <v xml:space="preserve">engineering knowledge(6.25),technologists(12.5),database(12.5),sensors(12.5),mobile comm(12.5),for entrepreneurs(6.25), </v>
      </c>
      <c r="EX120" s="21" t="str">
        <f t="shared" si="244"/>
        <v xml:space="preserve">enthusiasm 2
technologists 1
 </v>
      </c>
      <c r="EY120" s="21" t="str">
        <f t="shared" si="253"/>
        <v xml:space="preserve">law(1,50), security(1,50), interaction(1,25),  </v>
      </c>
      <c r="EZ120" s="21" t="str">
        <f t="shared" si="246"/>
        <v xml:space="preserve">law 50
security 50
interaction 25
 </v>
      </c>
      <c r="FA120"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20" s="21" t="str">
        <f t="shared" si="255"/>
        <v xml:space="preserve">field knowledge(1,6.25), engineering knowledge(1,6.25), technologists(1,12.5), law(1,6.25), database(1,12.5), mobile apps(1,12.5), security(1,12.5), mobile comm(1,12.5), for entrepreneurs(1,6.25),  </v>
      </c>
      <c r="FC120" s="21" t="str">
        <f t="shared" si="249"/>
        <v xml:space="preserve">field knowledge(6.25),engineering knowledge(6.25),technologists(12.5),law(6.25),database(12.5),mobile apps(12.5),security(12.5),mobile comm(12.5),for entrepreneurs(6.25), </v>
      </c>
      <c r="FD120" s="21" t="str">
        <f t="shared" si="244"/>
        <v xml:space="preserve">enthusiasm 2
technologists 1
 </v>
      </c>
      <c r="FE120" s="21" t="str">
        <f t="shared" si="256"/>
        <v xml:space="preserve">law(1,50), sensors(1,50), security(1,50),  </v>
      </c>
      <c r="FF120" s="21" t="str">
        <f t="shared" si="246"/>
        <v xml:space="preserve">law 50
sensors 50
security 50
 </v>
      </c>
      <c r="FG120"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20" s="21" t="str">
        <f t="shared" si="258"/>
        <v xml:space="preserve">field knowledge(1,6.25), engineering knowledge(1,6.25), technologists(1,12.5), law(1,6.25), database(1,6.25), mobile apps(1,6.25), AI&amp; data analysis(1,6.25), mobile comm(1,6.25), for entrepreneurs(1,6.25),  </v>
      </c>
      <c r="FI120" s="21" t="str">
        <f t="shared" si="249"/>
        <v xml:space="preserve">field knowledge(6.25),engineering knowledge(6.25),technologists(12.5),law(6.25),database(6.25),mobile apps(6.25),AI&amp; data analysis(6.25),mobile comm(6.25),for entrepreneurs(6.25), </v>
      </c>
      <c r="FJ120" s="21" t="str">
        <f t="shared" si="244"/>
        <v xml:space="preserve">enthusiasm 2
technologists 1
 </v>
      </c>
      <c r="FK120" s="21" t="str">
        <f t="shared" si="259"/>
        <v xml:space="preserve">wood processing(1,25), metal processing(1,25), plastic processing(1,25), fabric(1,25), safety(1,25), interaction(1,25),  </v>
      </c>
      <c r="FL120" s="21" t="str">
        <f t="shared" si="246"/>
        <v xml:space="preserve">project management 2
wood processing 25
metal processing 25
plastic processing 25
fabric 25
safety 25
interaction 25
 </v>
      </c>
      <c r="FM120"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20" s="21" t="str">
        <f t="shared" si="261"/>
        <v xml:space="preserve">field knowledge(1,6.25), engineering knowledge(1,6.25), technologists(1,12.5), for entrepreneurs(1,6.25),  </v>
      </c>
      <c r="FO120" s="21" t="str">
        <f t="shared" si="249"/>
        <v xml:space="preserve">field knowledge(6.25),engineering knowledge(6.25),technologists(12.5),for entrepreneurs(6.25), </v>
      </c>
      <c r="FP120" s="21" t="str">
        <f t="shared" si="244"/>
        <v xml:space="preserve">enthusiasm 2
technologists 1
 </v>
      </c>
      <c r="FQ120" s="21" t="str">
        <f t="shared" si="262"/>
        <v xml:space="preserve">web(1,25), mobile apps(1,50), functions(1,25), interaction(1,25),  </v>
      </c>
      <c r="FR120" s="21" t="str">
        <f t="shared" si="246"/>
        <v xml:space="preserve">web 25
mobile apps 50
functions 25
interaction 25
 </v>
      </c>
      <c r="FS120"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20" s="21" t="str">
        <f t="shared" si="264"/>
        <v xml:space="preserve">field knowledge(1,6.25), engineering knowledge(1,6.25), technologists(1,12.5), for entrepreneurs(1,6.25),  </v>
      </c>
      <c r="FU120" s="21" t="str">
        <f t="shared" si="249"/>
        <v xml:space="preserve">field knowledge(6.25),engineering knowledge(6.25),technologists(12.5),for entrepreneurs(6.25), </v>
      </c>
      <c r="FV120" s="21" t="str">
        <f t="shared" si="244"/>
        <v xml:space="preserve">enthusiasm 2
technologists 1
 </v>
      </c>
      <c r="FW120" s="21" t="str">
        <f t="shared" si="265"/>
        <v xml:space="preserve">mobile apps(1,50), sensors(1,50), wood processing(1,25), plastic processing(1,25), electronics(1,25), functions(1,25), interaction(1,25),  </v>
      </c>
      <c r="FX120" s="21" t="str">
        <f t="shared" si="246"/>
        <v xml:space="preserve">mobile apps 50
sensors 50
wood processing 25
plastic processing 25
electronics 25
functions 25
interaction 25
 </v>
      </c>
      <c r="FY120"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20" s="21" t="str">
        <f t="shared" si="267"/>
        <v xml:space="preserve">field knowledge(1,6.25), engineering knowledge(1,6.25), technologists(1,12.5), web(1,6.25), database(1,6.25), AI&amp; data analysis(1,6.25), mobile comm(1,6.25), for entrepreneurs(1,6.25),  </v>
      </c>
      <c r="GA120" s="21" t="str">
        <f t="shared" si="249"/>
        <v xml:space="preserve">field knowledge(6.25),engineering knowledge(6.25),technologists(12.5),web(6.25),database(6.25),AI&amp; data analysis(6.25),mobile comm(6.25),for entrepreneurs(6.25), </v>
      </c>
      <c r="GB120" s="21" t="str">
        <f t="shared" si="244"/>
        <v xml:space="preserve">enthusiasm 2
technologists 1
 </v>
      </c>
      <c r="GC120" s="21" t="str">
        <f t="shared" si="268"/>
        <v xml:space="preserve">sensors(1,25), mobile comm(1,25), electronics(1,50), functions(1,25), safety(1,25),  </v>
      </c>
      <c r="GD120" s="21" t="str">
        <f t="shared" si="246"/>
        <v xml:space="preserve">sensors 25
mobile comm 25
electronics 50
functions 25
safety 25
 </v>
      </c>
      <c r="GE120"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20" s="21" t="str">
        <f t="shared" si="270"/>
        <v xml:space="preserve">field knowledge(1,6.25), engineering knowledge(1,6.25), technologists(1,12.5), database(1,6.25), mobile apps(1,6.25), AI&amp; data analysis(1,6.25), plastic processing(1,6.25), interaction(1,6.25), for entrepreneurs(1,6.25),  </v>
      </c>
      <c r="GG120" s="21" t="str">
        <f t="shared" si="249"/>
        <v xml:space="preserve">field knowledge(6.25),engineering knowledge(6.25),technologists(12.5),database(6.25),mobile apps(6.25),AI&amp; data analysis(6.25),plastic processing(6.25),interaction(6.25),for entrepreneurs(6.25), </v>
      </c>
      <c r="GH120" s="21" t="str">
        <f t="shared" si="244"/>
        <v xml:space="preserve">enthusiasm 2
technologists 1
 </v>
      </c>
      <c r="GI120" s="21" t="str">
        <f t="shared" si="271"/>
        <v xml:space="preserve">web(1,25), mobile apps(1,50), functions(1,25), interaction(1,25),  </v>
      </c>
      <c r="GJ120" s="21" t="str">
        <f t="shared" si="246"/>
        <v xml:space="preserve">web 25
mobile apps 50
functions 25
interaction 25
 </v>
      </c>
      <c r="GK120"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20" s="21" t="str">
        <f t="shared" si="273"/>
        <v xml:space="preserve">field knowledge(1,6.25), engineering knowledge(1,6.25), technologists(1,12.5), for entrepreneurs(1,6.25),  </v>
      </c>
      <c r="GM120" s="21" t="str">
        <f t="shared" si="249"/>
        <v xml:space="preserve">field knowledge(6.25),engineering knowledge(6.25),technologists(12.5),for entrepreneurs(6.25), </v>
      </c>
      <c r="GN120" s="21" t="str">
        <f t="shared" si="244"/>
        <v xml:space="preserve">enthusiasm 2
technologists 1
 </v>
      </c>
      <c r="GO120" s="21" t="str">
        <f t="shared" si="274"/>
        <v xml:space="preserve">web(1,25), mobile apps(1,25), VR&amp;AR(1,25), aesthetics(1,25), functions(1,25), interaction(1,50),  </v>
      </c>
      <c r="GP120" s="21" t="str">
        <f t="shared" si="246"/>
        <v xml:space="preserve">web 25
mobile apps 25
VR&amp;AR 25
aesthetics 25
functions 25
interaction 50
 </v>
      </c>
      <c r="GQ120"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20" s="21" t="str">
        <f t="shared" si="276"/>
        <v xml:space="preserve">field knowledge(1,6.25), technologists(1,12.5), for entrepreneurs(1,6.25),  </v>
      </c>
      <c r="GS120" s="21" t="str">
        <f t="shared" si="249"/>
        <v xml:space="preserve">field knowledge(6.25),technologists(12.5),for entrepreneurs(6.25), </v>
      </c>
      <c r="GT120" s="21" t="str">
        <f t="shared" si="244"/>
        <v xml:space="preserve">scale 2
ease of access 1
reputation 2
web 1
mobile apps 1
mobile comm 1
 </v>
      </c>
      <c r="GU120" s="21" t="str">
        <f t="shared" si="277"/>
        <v xml:space="preserve"> </v>
      </c>
      <c r="GV120" s="21" t="str">
        <f t="shared" si="246"/>
        <v xml:space="preserve"> </v>
      </c>
      <c r="GW120" s="21" t="str">
        <f t="shared" si="278"/>
        <v xml:space="preserve">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0" s="21" t="str">
        <f t="shared" si="279"/>
        <v xml:space="preserve">enthusiasm(1,12.5), learning capacities(1,6.25), field knowledge(1,6.25), engineering knowledge(1,6.25), network among members(1,6.25), gifted leader(1,6.25), gifted programmer(1,6.25), enthusiasm(1,6.25), media(1,6.25), entrepreneurs(1,6.25), technologists(1,6.25), project management(1,6.25), social media(1,6.25), web(1,6.25), mobile apps(1,6.25),  </v>
      </c>
      <c r="GY120" s="21" t="str">
        <f t="shared" si="249"/>
        <v xml:space="preserve">enthusiasm(12.5),learning capacities(6.25),field knowledge(6.25),engineering knowledge(6.25),network among members(6.25),gifted leader(6.25),gifted programmer(6.25),enthusiasm(6.25),media(6.25),entrepreneurs(6.25),technologists(6.25),project management(6.25),social media(6.25),web(6.25),mobile apps(6.25), </v>
      </c>
      <c r="GZ120" s="21" t="str">
        <f t="shared" si="280"/>
        <v xml:space="preserve">enthusiasm 2
scale 2
enthusiasm 2
network 1
govt 1
non-profits 1
reputation 2
portfolio 1
 </v>
      </c>
      <c r="HA120" s="21" t="str">
        <f t="shared" si="281"/>
        <v xml:space="preserve"> </v>
      </c>
      <c r="HB120" s="21" t="str">
        <f t="shared" si="282"/>
        <v xml:space="preserve"> </v>
      </c>
      <c r="HC120"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0" s="21" t="str">
        <f t="shared" si="284"/>
        <v xml:space="preserve">enthusiasm(1,6.25), learning capacities(1,6.25), field knowledge(1,6.25), enthusiasm(1,6.25), media(1,6.25), technologists(1,6.25), non-profits(1,6.25), reputation(1,6.25), start-up with customers(1,6.25), for basic literacy(1,6.25),  </v>
      </c>
      <c r="HE120" s="21" t="str">
        <f t="shared" si="285"/>
        <v xml:space="preserve">enthusiasm(6.25),learning capacities(6.25),field knowledge(6.25),enthusiasm(6.25),media(6.25),technologists(6.25),non-profits(6.25),reputation(6.25),start-up with customers(6.25),for basic literacy(6.25), </v>
      </c>
      <c r="HF120" s="21" t="str">
        <f t="shared" si="280"/>
        <v xml:space="preserve"> </v>
      </c>
      <c r="HG120" s="21" t="str">
        <f t="shared" si="286"/>
        <v xml:space="preserve">scale(2,), enthusiasm(2,),  </v>
      </c>
      <c r="HH120" s="21" t="str">
        <f t="shared" si="282"/>
        <v xml:space="preserve"> </v>
      </c>
      <c r="HI120" s="21" t="str">
        <f t="shared" si="287"/>
        <v xml:space="preserve">enthusiasm(3), 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0" s="21" t="str">
        <f t="shared" si="288"/>
        <v xml:space="preserve">enthusiasm(1,6.25), learning capacities(1,6.25), network among members(1,6.25), enthusiasm(1,6.25), fun-ness(1,6.25), seriousness(1,6.25), govt(1,6.25), media(1,6.25), non-profits(1,6.25), start-up with customers(1,6.25),  </v>
      </c>
      <c r="HK120" s="21" t="str">
        <f t="shared" si="285"/>
        <v xml:space="preserve">enthusiasm(6.25),learning capacities(6.25),network among members(6.25),enthusiasm(6.25),fun-ness(6.25),seriousness(6.25),govt(6.25),media(6.25),non-profits(6.25),start-up with customers(6.25), </v>
      </c>
      <c r="HL120" s="21" t="str">
        <f t="shared" si="280"/>
        <v xml:space="preserve">scale 2
community manager 1
PR 1
administrator 1
local biz 1
entrepreneurs 1
non-profits 1
reputation 2
portfolio 2
 </v>
      </c>
      <c r="HM120" s="21" t="str">
        <f t="shared" si="289"/>
        <v xml:space="preserve">enthusiasm(1,25), network among members(1,25), scale(1,25), enthusiasm(1,25), ambition(1,25), fun-ness(1,25), seriousness(1,25),  </v>
      </c>
      <c r="HN120" s="21" t="str">
        <f t="shared" si="282"/>
        <v xml:space="preserve">enthusiasm 25
network among members 25
scale 25
enthusiasm 25
ambition 25
fun-ness 25
seriousness 25
 </v>
      </c>
      <c r="HO120"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0" s="21" t="str">
        <f t="shared" si="291"/>
        <v xml:space="preserve">enthusiasm(1,6.25), enthusiasm(1,6.25), fun-ness(1,6.25), enthusiasm(1,6.25), level of understanding(1,6.25), local biz(1,6.25), biz group(1,6.25), govt(1,6.25), investors(1,6.25), media(1,6.25), entrepreneurs(1,6.25), technologists(1,6.25), suppliers(1,6.25), non-profits(1,6.25), reputation(1,6.25),  </v>
      </c>
      <c r="HQ120" s="47" t="str">
        <f t="shared" si="285"/>
        <v xml:space="preserve">enthusiasm(6.25),enthusiasm(6.25),fun-ness(6.25),enthusiasm(6.25),level of understanding(6.25),local biz(6.25),biz group(6.25),govt(6.25),investors(6.25),media(6.25),entrepreneurs(6.25),technologists(6.25),suppliers(6.25),non-profits(6.25),reputation(6.25), </v>
      </c>
      <c r="HR120" s="47" t="str">
        <f t="shared" ref="HR120:HW120" si="361">IF(HR18="",HR121,$C120&amp;"("&amp;HR18&amp;"),"&amp;HR121)</f>
        <v xml:space="preserve">enthusiasm(2),engineering knowledge(2),scale(2),enthusiasm(2),reputation(2),portfolio(2),mobile apps(1),sensors(1),wood processing(1),aesthetics(1), </v>
      </c>
      <c r="HS120" s="47" t="str">
        <f t="shared" si="361"/>
        <v xml:space="preserve"> </v>
      </c>
      <c r="HT120" s="47" t="str">
        <f t="shared" si="361"/>
        <v xml:space="preserve"> </v>
      </c>
      <c r="HU120" s="47" t="str">
        <f t="shared" si="36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0" s="47" t="str">
        <f t="shared" si="361"/>
        <v xml:space="preserve">gifted programmer(1),local biz(1),biz group(1),govt(1),investors(1),media(1),entrepreneurs(1),technologists(1),suppliers(1),non-profits(1),reputation(1), </v>
      </c>
      <c r="HW120" s="47" t="str">
        <f t="shared" si="361"/>
        <v xml:space="preserve">gifted programmer(6.25),local biz(6.25),biz group(6.25),govt(6.25),investors(6.25),media(6.25),entrepreneurs(6.25),technologists(12.5),suppliers(6.25),non-profits(6.25),reputation(6.25), </v>
      </c>
      <c r="HX120" s="47" t="str">
        <f t="shared" ref="HX120:IU120" si="362">IF(HX18="",HX121,$C120&amp;"("&amp;HX18&amp;"),"&amp;HX121)</f>
        <v xml:space="preserve">enthusiasm(2),field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0" s="47" t="str">
        <f t="shared" si="362"/>
        <v xml:space="preserve">biz enhancement(1), </v>
      </c>
      <c r="HZ120" s="47" t="str">
        <f t="shared" si="362"/>
        <v xml:space="preserve">biz enhancement(100), </v>
      </c>
      <c r="IA120" s="47" t="str">
        <f t="shared" si="362"/>
        <v xml:space="preserve">community manager(1),PR(1),finance(1),administrator(1),enthusiasm(2),network(2),ambition(2),knowledge(2),spaciousness(2),ease of access(3),efficiency(2),portfolio(4),finance(2),business model(2),marketing(3),team building(2),project management(2),social media(3),negotiation(3), </v>
      </c>
      <c r="IB120" s="47" t="str">
        <f t="shared" si="362"/>
        <v xml:space="preserve">enthusiasm(1),field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0" s="47" t="str">
        <f t="shared" si="362"/>
        <v xml:space="preserve">enthusiasm(6.25),field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0" s="47" t="str">
        <f t="shared" si="362"/>
        <v xml:space="preserve">enthusiasm(2),engineering knowledge(1),scale(1),technologists(2), </v>
      </c>
      <c r="IE120" s="47" t="str">
        <f t="shared" si="362"/>
        <v xml:space="preserve">engineering knowledge(1),web(1),mobile apps(1),security(1),AI&amp; data analysis(1), </v>
      </c>
      <c r="IF120" s="47" t="str">
        <f t="shared" si="362"/>
        <v xml:space="preserve">engineering knowledge(25),web(25),mobile apps(25),security(25),AI&amp; data analysis(25), </v>
      </c>
      <c r="IG120" s="47" t="str">
        <f t="shared" si="362"/>
        <v xml:space="preserve">enthusiasm(3),learning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20" s="47" t="str">
        <f t="shared" si="362"/>
        <v xml:space="preserve">engineering knowledge(1),technologists(1),web(1),database(1),mobile apps(1),security(1),AI&amp; data analysis(1), </v>
      </c>
      <c r="II120" s="47" t="str">
        <f t="shared" si="362"/>
        <v xml:space="preserve">engineering knowledge(6.25),technologists(6.25),web(6.25),database(6.25),mobile apps(6.25),security(6.25),AI&amp; data analysis(6.25), </v>
      </c>
      <c r="IJ120" s="47" t="str">
        <f t="shared" si="362"/>
        <v xml:space="preserve">enthusiasm(2),engineering knowledge(1),scale(1),technologists(2), </v>
      </c>
      <c r="IK120" s="47" t="str">
        <f t="shared" si="362"/>
        <v xml:space="preserve">engineering knowledge(1),wood processing(1),metal processing(1),functions(1),safety(1), </v>
      </c>
      <c r="IL120" s="47" t="str">
        <f t="shared" si="362"/>
        <v xml:space="preserve">engineering knowledge(25),wood processing(25),metal processing(25),functions(25),safety(25), </v>
      </c>
      <c r="IM120" s="47" t="str">
        <f t="shared" si="362"/>
        <v xml:space="preserve">enthusiasm(3),learning capacities(2),scale(2),enthusiasm(3),attention to details(2),seriousness(2),community manager(1),administrator(1),network(2),entrepreneurs(3),technologists(4),spaciousness(2),ease of access(2),reputation(3),efficiency(2),portfolio(3),wood processing(2),metal processing(2),functions(2),safety(2), </v>
      </c>
      <c r="IN120" s="47" t="str">
        <f t="shared" si="362"/>
        <v xml:space="preserve">engineering knowledge(1),technologists(1),wood processing(1),metal processing(1),functions(1),safety(1),interaction(1), </v>
      </c>
      <c r="IO120" s="47" t="str">
        <f t="shared" si="362"/>
        <v xml:space="preserve">engineering knowledge(6.25),technologists(6.25),wood processing(6.25),metal processing(6.25),functions(6.25),safety(6.25),interaction(6.25), </v>
      </c>
      <c r="IP120" s="57" t="str">
        <f t="shared" si="362"/>
        <v xml:space="preserve">enthusiasm(2),learning capacities(1),scale(2),local biz(2),reputation(1), </v>
      </c>
      <c r="IQ120" s="47" t="str">
        <f t="shared" si="362"/>
        <v xml:space="preserve">field knowledge(1),network among members(1),local biz(1),marketing(1), </v>
      </c>
      <c r="IR120" s="47" t="str">
        <f t="shared" si="362"/>
        <v xml:space="preserve">field knowledge(100),network among members(25),local biz(25),marketing(25), </v>
      </c>
      <c r="IS120" s="47" t="str">
        <f t="shared" si="362"/>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20" s="47" t="str">
        <f t="shared" si="362"/>
        <v xml:space="preserve">field knowledge(1),network among members(1),enthusiasm(1),fun-ness(1),seriousness(1),local biz(1),biz group(1),govt(1),non-profits(1),marketing(1), </v>
      </c>
      <c r="IU120" s="47" t="str">
        <f t="shared" si="362"/>
        <v xml:space="preserve">field knowledge(6.25),network among members(6.25),enthusiasm(6.25),fun-ness(6.25),seriousness(6.25),local biz(6.25),biz group(6.25),govt(6.25),non-profits(6.25),marketing(6.25), </v>
      </c>
      <c r="IV120" s="57" t="str">
        <f t="shared" ref="IV120:LG120" si="363">IF(IV18="",IV121,$C120&amp;"("&amp;IV18&amp;"),"&amp;IV121)</f>
        <v xml:space="preserve">enthusiasm(2),learning capacities(1),scale(2),local biz(2),reputation(1), </v>
      </c>
      <c r="IW120" s="47" t="str">
        <f t="shared" si="363"/>
        <v xml:space="preserve">field knowledge(1),network among members(1),local biz(1),marketing(1), </v>
      </c>
      <c r="IX120" s="47" t="str">
        <f t="shared" si="363"/>
        <v xml:space="preserve">field knowledge(100),network among members(25),local biz(25),marketing(25), </v>
      </c>
      <c r="IY120" s="47" t="str">
        <f t="shared" si="363"/>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20" s="47" t="str">
        <f t="shared" si="363"/>
        <v xml:space="preserve">field knowledge(1),network among members(1),enthusiasm(1),fun-ness(1),seriousness(1),local biz(1),biz group(1),govt(1),marketing(1), </v>
      </c>
      <c r="JA120" s="47" t="str">
        <f t="shared" si="363"/>
        <v xml:space="preserve">field knowledge(6.25),network among members(6.25),enthusiasm(6.25),fun-ness(6.25),seriousness(6.25),local biz(6.25),biz group(6.25),govt(6.25),marketing(6.25), </v>
      </c>
      <c r="JB120" s="47" t="str">
        <f t="shared" si="363"/>
        <v xml:space="preserve">enthusiasm(1),scale(1),enthusiasm(2), </v>
      </c>
      <c r="JC120" s="47" t="str">
        <f t="shared" si="363"/>
        <v xml:space="preserve">engineering knowledge(1), </v>
      </c>
      <c r="JD120" s="47" t="str">
        <f t="shared" si="363"/>
        <v xml:space="preserve">engineering knowledge(50), </v>
      </c>
      <c r="JE120" s="47" t="str">
        <f t="shared" si="363"/>
        <v xml:space="preserve">enthusiasm(3),learning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20" s="47" t="str">
        <f t="shared" si="363"/>
        <v xml:space="preserve">enthusiasm(1),learning capacities(1),engineering knowledge(1),web(1),infrastructrue(1),database(1),mobile apps(1),sensors(1),security(1),AI&amp; data analysis(1),mobile comm(1),VR&amp;AR(1),wood processing(1),metal processing(1),plastic processing(1),electronics(1),fabric(1),aesthetics(1),functions(1),safety(1),interaction(1), </v>
      </c>
      <c r="JG120" s="47" t="str">
        <f t="shared" si="363"/>
        <v xml:space="preserve">enthusiasm(6.25),learning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20" s="47" t="str">
        <f t="shared" si="363"/>
        <v xml:space="preserve">scale(1),enthusiasm(1),enthusiasm(1),local biz(1),non-profits(1),reputation(2), </v>
      </c>
      <c r="JI120" s="47" t="str">
        <f t="shared" si="363"/>
        <v xml:space="preserve"> </v>
      </c>
      <c r="JJ120" s="47" t="str">
        <f t="shared" si="363"/>
        <v xml:space="preserve"> </v>
      </c>
      <c r="JK120" s="47" t="str">
        <f t="shared" si="363"/>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0" s="47" t="str">
        <f t="shared" si="363"/>
        <v xml:space="preserve">non-profits(1), </v>
      </c>
      <c r="JM120" s="47" t="str">
        <f t="shared" si="363"/>
        <v xml:space="preserve">non-profits(6.25), </v>
      </c>
      <c r="JN120" s="47" t="str">
        <f t="shared" si="363"/>
        <v xml:space="preserve">enthusiasm(2),scale(2),enthusiasm(2),enthusiasm(1),network(1),local biz(1),investors(1),entrepreneurs(1),technologists(1),non-profits(1),reputation(2),portfolio(2), </v>
      </c>
      <c r="JO120" s="47" t="str">
        <f t="shared" si="363"/>
        <v xml:space="preserve"> </v>
      </c>
      <c r="JP120" s="47" t="str">
        <f t="shared" si="363"/>
        <v xml:space="preserve"> </v>
      </c>
      <c r="JQ120" s="47" t="str">
        <f t="shared" si="363"/>
        <v xml:space="preserve">enthusiasm(3),gifted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0" s="47" t="str">
        <f t="shared" si="363"/>
        <v xml:space="preserve"> </v>
      </c>
      <c r="JS120" s="47" t="str">
        <f t="shared" si="363"/>
        <v xml:space="preserve"> </v>
      </c>
      <c r="JT120" s="47" t="str">
        <f t="shared" si="363"/>
        <v xml:space="preserve">scale(3),enthusiasm(3),PR(1),administrator(1),enthusiasm(2),network(2),local biz(2),biz group(1),govt(2),investors(2),entrepreneurs(2),technologists(2),non-profits(2),reputation(2),portfolio(3), </v>
      </c>
      <c r="JU120" s="47" t="str">
        <f t="shared" si="363"/>
        <v xml:space="preserve"> </v>
      </c>
      <c r="JV120" s="47" t="str">
        <f t="shared" si="363"/>
        <v xml:space="preserve"> </v>
      </c>
      <c r="JW120" s="47" t="str">
        <f t="shared" si="36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0" s="47" t="str">
        <f t="shared" si="363"/>
        <v xml:space="preserve"> </v>
      </c>
      <c r="JY120" s="47" t="str">
        <f t="shared" si="363"/>
        <v xml:space="preserve"> </v>
      </c>
      <c r="JZ120" s="47" t="str">
        <f t="shared" si="363"/>
        <v xml:space="preserve">enthusiasm(1),scale(1),enthusiasm(2),network(1),non-profits(1),reputation(2),social project(2), </v>
      </c>
      <c r="KA120" s="47" t="str">
        <f t="shared" si="363"/>
        <v xml:space="preserve">non-profits(1), </v>
      </c>
      <c r="KB120" s="47" t="str">
        <f t="shared" si="363"/>
        <v xml:space="preserve">non-profits(25), </v>
      </c>
      <c r="KC120" s="47" t="str">
        <f t="shared" si="363"/>
        <v xml:space="preserve">enthusiasm(2),gifted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0" s="47" t="str">
        <f t="shared" si="363"/>
        <v xml:space="preserve">non-profits(1), </v>
      </c>
      <c r="KE120" s="47" t="str">
        <f t="shared" si="363"/>
        <v xml:space="preserve">non-profits(6.25), </v>
      </c>
      <c r="KF120" s="47" t="str">
        <f t="shared" si="363"/>
        <v xml:space="preserve"> </v>
      </c>
      <c r="KG120" s="47" t="str">
        <f t="shared" si="363"/>
        <v xml:space="preserve"> </v>
      </c>
      <c r="KH120" s="47" t="str">
        <f t="shared" si="363"/>
        <v xml:space="preserve"> </v>
      </c>
      <c r="KI120" s="47" t="str">
        <f t="shared" si="363"/>
        <v xml:space="preserve"> </v>
      </c>
      <c r="KJ120" s="47" t="str">
        <f t="shared" si="363"/>
        <v xml:space="preserve"> </v>
      </c>
      <c r="KK120" s="47" t="str">
        <f t="shared" si="363"/>
        <v xml:space="preserve"> </v>
      </c>
      <c r="KL120" s="57" t="str">
        <f t="shared" si="363"/>
        <v xml:space="preserve"> </v>
      </c>
      <c r="KM120" s="47" t="str">
        <f t="shared" si="363"/>
        <v xml:space="preserve"> </v>
      </c>
      <c r="KN120" s="47" t="str">
        <f t="shared" si="363"/>
        <v xml:space="preserve"> </v>
      </c>
      <c r="KO120" s="47" t="str">
        <f t="shared" si="363"/>
        <v xml:space="preserve"> </v>
      </c>
      <c r="KP120" s="47" t="str">
        <f t="shared" si="363"/>
        <v xml:space="preserve"> </v>
      </c>
      <c r="KQ120" s="47" t="str">
        <f t="shared" si="363"/>
        <v xml:space="preserve"> </v>
      </c>
      <c r="KR120" s="57" t="str">
        <f t="shared" si="363"/>
        <v xml:space="preserve"> </v>
      </c>
      <c r="KS120" s="47" t="str">
        <f t="shared" si="363"/>
        <v xml:space="preserve"> </v>
      </c>
      <c r="KT120" s="47" t="str">
        <f t="shared" si="363"/>
        <v xml:space="preserve"> </v>
      </c>
      <c r="KU120" s="47" t="str">
        <f t="shared" si="363"/>
        <v xml:space="preserve"> </v>
      </c>
      <c r="KV120" s="47" t="str">
        <f t="shared" si="363"/>
        <v xml:space="preserve"> </v>
      </c>
      <c r="KW120" s="47" t="str">
        <f t="shared" si="363"/>
        <v xml:space="preserve"> </v>
      </c>
      <c r="KX120" s="57" t="str">
        <f t="shared" si="363"/>
        <v xml:space="preserve"> </v>
      </c>
      <c r="KY120" s="47" t="str">
        <f t="shared" si="363"/>
        <v xml:space="preserve"> </v>
      </c>
      <c r="KZ120" s="47" t="str">
        <f t="shared" si="363"/>
        <v xml:space="preserve"> </v>
      </c>
      <c r="LA120" s="47" t="str">
        <f t="shared" si="363"/>
        <v xml:space="preserve"> </v>
      </c>
      <c r="LB120" s="47" t="str">
        <f t="shared" si="363"/>
        <v xml:space="preserve"> </v>
      </c>
      <c r="LC120" s="47" t="str">
        <f t="shared" si="363"/>
        <v xml:space="preserve"> </v>
      </c>
      <c r="LD120" s="57" t="str">
        <f t="shared" si="363"/>
        <v xml:space="preserve"> </v>
      </c>
      <c r="LE120" s="47" t="str">
        <f t="shared" si="363"/>
        <v xml:space="preserve"> </v>
      </c>
      <c r="LF120" s="47" t="str">
        <f t="shared" si="363"/>
        <v xml:space="preserve"> </v>
      </c>
      <c r="LG120" s="47" t="str">
        <f t="shared" si="363"/>
        <v xml:space="preserve"> </v>
      </c>
      <c r="LH120" s="47" t="str">
        <f t="shared" ref="LH120:NM120" si="364">IF(LH18="",LH121,$C120&amp;"("&amp;LH18&amp;"),"&amp;LH121)</f>
        <v xml:space="preserve"> </v>
      </c>
      <c r="LI120" s="47" t="str">
        <f t="shared" si="364"/>
        <v xml:space="preserve"> </v>
      </c>
      <c r="LJ120" s="57" t="str">
        <f t="shared" si="364"/>
        <v xml:space="preserve"> </v>
      </c>
      <c r="LK120" s="47" t="str">
        <f t="shared" si="364"/>
        <v xml:space="preserve"> </v>
      </c>
      <c r="LL120" s="47" t="str">
        <f t="shared" si="364"/>
        <v xml:space="preserve"> </v>
      </c>
      <c r="LM120" s="47" t="str">
        <f t="shared" si="364"/>
        <v xml:space="preserve"> </v>
      </c>
      <c r="LN120" s="47" t="str">
        <f t="shared" si="364"/>
        <v xml:space="preserve"> </v>
      </c>
      <c r="LO120" s="47" t="str">
        <f t="shared" si="364"/>
        <v xml:space="preserve"> </v>
      </c>
      <c r="LP120" s="57" t="str">
        <f t="shared" si="364"/>
        <v xml:space="preserve"> </v>
      </c>
      <c r="LQ120" s="47" t="str">
        <f t="shared" si="364"/>
        <v xml:space="preserve"> </v>
      </c>
      <c r="LR120" s="47" t="str">
        <f t="shared" si="364"/>
        <v xml:space="preserve"> </v>
      </c>
      <c r="LS120" s="47" t="str">
        <f t="shared" si="364"/>
        <v xml:space="preserve"> </v>
      </c>
      <c r="LT120" s="47" t="str">
        <f t="shared" si="364"/>
        <v xml:space="preserve"> </v>
      </c>
      <c r="LU120" s="47" t="str">
        <f t="shared" si="364"/>
        <v xml:space="preserve"> </v>
      </c>
      <c r="LV120" s="57" t="str">
        <f t="shared" si="364"/>
        <v xml:space="preserve"> </v>
      </c>
      <c r="LW120" s="47" t="str">
        <f t="shared" si="364"/>
        <v xml:space="preserve"> </v>
      </c>
      <c r="LX120" s="47" t="str">
        <f t="shared" si="364"/>
        <v xml:space="preserve"> </v>
      </c>
      <c r="LY120" s="47" t="str">
        <f t="shared" si="364"/>
        <v xml:space="preserve"> </v>
      </c>
      <c r="LZ120" s="47" t="str">
        <f t="shared" si="364"/>
        <v xml:space="preserve"> </v>
      </c>
      <c r="MA120" s="47" t="str">
        <f t="shared" si="364"/>
        <v xml:space="preserve"> </v>
      </c>
      <c r="MB120" s="57" t="str">
        <f t="shared" si="364"/>
        <v xml:space="preserve"> </v>
      </c>
      <c r="MC120" s="47" t="str">
        <f t="shared" si="364"/>
        <v xml:space="preserve"> </v>
      </c>
      <c r="MD120" s="47" t="str">
        <f t="shared" si="364"/>
        <v xml:space="preserve"> </v>
      </c>
      <c r="ME120" s="47" t="str">
        <f t="shared" si="364"/>
        <v xml:space="preserve"> </v>
      </c>
      <c r="MF120" s="47" t="str">
        <f t="shared" si="364"/>
        <v xml:space="preserve"> </v>
      </c>
      <c r="MG120" s="47" t="str">
        <f t="shared" si="364"/>
        <v xml:space="preserve"> </v>
      </c>
      <c r="MH120" s="57" t="str">
        <f t="shared" si="364"/>
        <v xml:space="preserve"> </v>
      </c>
      <c r="MI120" s="47" t="str">
        <f t="shared" si="364"/>
        <v xml:space="preserve"> </v>
      </c>
      <c r="MJ120" s="47" t="str">
        <f t="shared" si="364"/>
        <v xml:space="preserve"> </v>
      </c>
      <c r="MK120" s="47" t="str">
        <f t="shared" si="364"/>
        <v xml:space="preserve"> </v>
      </c>
      <c r="ML120" s="47" t="str">
        <f t="shared" si="364"/>
        <v xml:space="preserve"> </v>
      </c>
      <c r="MM120" s="47" t="str">
        <f t="shared" si="364"/>
        <v xml:space="preserve"> </v>
      </c>
      <c r="MN120" s="57" t="str">
        <f t="shared" si="364"/>
        <v xml:space="preserve"> </v>
      </c>
      <c r="MO120" s="47" t="str">
        <f t="shared" si="364"/>
        <v xml:space="preserve"> </v>
      </c>
      <c r="MP120" s="47" t="str">
        <f t="shared" si="364"/>
        <v xml:space="preserve"> </v>
      </c>
      <c r="MQ120" s="47" t="str">
        <f t="shared" si="364"/>
        <v xml:space="preserve"> </v>
      </c>
      <c r="MR120" s="47" t="str">
        <f t="shared" si="364"/>
        <v xml:space="preserve"> </v>
      </c>
      <c r="MS120" s="47" t="str">
        <f t="shared" si="364"/>
        <v xml:space="preserve"> </v>
      </c>
      <c r="MT120" s="57" t="str">
        <f t="shared" si="364"/>
        <v xml:space="preserve"> </v>
      </c>
      <c r="MU120" s="47" t="str">
        <f t="shared" si="364"/>
        <v xml:space="preserve"> </v>
      </c>
      <c r="MV120" s="47" t="str">
        <f t="shared" si="364"/>
        <v xml:space="preserve"> </v>
      </c>
      <c r="MW120" s="47" t="str">
        <f t="shared" si="364"/>
        <v xml:space="preserve"> </v>
      </c>
      <c r="MX120" s="47" t="str">
        <f t="shared" si="364"/>
        <v xml:space="preserve"> </v>
      </c>
      <c r="MY120" s="47" t="str">
        <f t="shared" si="364"/>
        <v xml:space="preserve"> </v>
      </c>
      <c r="MZ120" s="57" t="str">
        <f t="shared" si="364"/>
        <v xml:space="preserve"> </v>
      </c>
      <c r="NA120" s="47" t="str">
        <f t="shared" si="364"/>
        <v xml:space="preserve"> </v>
      </c>
      <c r="NB120" s="47" t="str">
        <f t="shared" si="364"/>
        <v xml:space="preserve"> </v>
      </c>
      <c r="NC120" s="47" t="str">
        <f t="shared" si="364"/>
        <v xml:space="preserve"> </v>
      </c>
      <c r="ND120" s="47" t="str">
        <f t="shared" si="364"/>
        <v xml:space="preserve"> </v>
      </c>
      <c r="NE120" s="47" t="str">
        <f t="shared" si="364"/>
        <v xml:space="preserve"> </v>
      </c>
      <c r="NF120" s="57" t="str">
        <f t="shared" si="364"/>
        <v xml:space="preserve"> </v>
      </c>
      <c r="NG120" s="47" t="str">
        <f t="shared" si="364"/>
        <v xml:space="preserve"> </v>
      </c>
      <c r="NH120" s="47" t="str">
        <f t="shared" si="364"/>
        <v xml:space="preserve"> </v>
      </c>
      <c r="NI120" s="47" t="str">
        <f t="shared" si="364"/>
        <v xml:space="preserve"> </v>
      </c>
      <c r="NJ120" s="47" t="str">
        <f t="shared" si="364"/>
        <v xml:space="preserve"> </v>
      </c>
      <c r="NK120" s="47" t="str">
        <f t="shared" si="364"/>
        <v xml:space="preserve"> </v>
      </c>
      <c r="NL120" s="57" t="str">
        <f t="shared" si="364"/>
        <v xml:space="preserve"> </v>
      </c>
      <c r="NM120" s="47" t="str">
        <f t="shared" si="364"/>
        <v xml:space="preserve"> </v>
      </c>
    </row>
    <row r="121" spans="3:377" ht="15.75" customHeight="1">
      <c r="C121" s="7" t="str">
        <f t="shared" si="296"/>
        <v>learning capacities</v>
      </c>
      <c r="D121" s="21" t="str">
        <f t="shared" si="169"/>
        <v xml:space="preserve">scale 1
 </v>
      </c>
      <c r="E121" s="21" t="str">
        <f t="shared" si="297"/>
        <v xml:space="preserve"> </v>
      </c>
      <c r="F121" s="21" t="str">
        <f t="shared" si="170"/>
        <v xml:space="preserve"> </v>
      </c>
      <c r="G121" s="21" t="str">
        <f t="shared" si="298"/>
        <v xml:space="preserve">enthusiasm(2), fun-ness(1), community manager(1), PR(1), fame(1), network(2), ease of access(1), reputation(2), social media(1),  </v>
      </c>
      <c r="H121" s="21" t="str">
        <f t="shared" si="299"/>
        <v xml:space="preserve"> </v>
      </c>
      <c r="I121" s="21" t="str">
        <f t="shared" ref="I121" si="365">IF(I19="",I122,$C121&amp;"("&amp;I19&amp;"),"&amp;I122)</f>
        <v xml:space="preserve"> </v>
      </c>
      <c r="J121" s="21" t="str">
        <f t="shared" si="172"/>
        <v xml:space="preserve">scale 1
interaction 1
 </v>
      </c>
      <c r="K121" s="21" t="str">
        <f t="shared" si="173"/>
        <v xml:space="preserve">reputation(1,75),  </v>
      </c>
      <c r="L121" s="21" t="str">
        <f t="shared" si="174"/>
        <v xml:space="preserve">reputation 75
 </v>
      </c>
      <c r="M121" s="21" t="str">
        <f t="shared" si="175"/>
        <v xml:space="preserve">PR(1), portfolio(1), social innovation(1), non-profit biz(1),  </v>
      </c>
      <c r="N121" s="21" t="str">
        <f t="shared" si="176"/>
        <v xml:space="preserve">seriousness(1,25), non-profits(1,12.5), reputation(1,75), marketing(1,12.5),  </v>
      </c>
      <c r="O121" s="21" t="str">
        <f t="shared" si="177"/>
        <v xml:space="preserve">seriousness(25),non-profits(12.5),reputation(75),marketing(12.5), </v>
      </c>
      <c r="P121" s="21" t="str">
        <f t="shared" si="172"/>
        <v xml:space="preserve">scale 1
biz project 1
 </v>
      </c>
      <c r="Q121" s="21" t="str">
        <f t="shared" si="178"/>
        <v xml:space="preserve"> </v>
      </c>
      <c r="R121" s="21" t="str">
        <f t="shared" si="174"/>
        <v xml:space="preserve"> </v>
      </c>
      <c r="S121" s="21" t="str">
        <f t="shared" si="179"/>
        <v xml:space="preserve">portfolio(1), biz enhancement(1), business(1), start-up(1),  </v>
      </c>
      <c r="T121" s="21" t="str">
        <f t="shared" si="180"/>
        <v xml:space="preserve">seriousness(1,25), local biz(1,6.25), investors(1,6.25), reputation(1,6.25),  </v>
      </c>
      <c r="U121" s="21" t="str">
        <f t="shared" si="177"/>
        <v xml:space="preserve">seriousness(25),local biz(6.25),investors(6.25),reputation(6.25), </v>
      </c>
      <c r="V121" s="21" t="str">
        <f t="shared" si="172"/>
        <v xml:space="preserve">scale 1
 </v>
      </c>
      <c r="W121" s="21" t="str">
        <f t="shared" si="181"/>
        <v xml:space="preserve">local biz(1,),  </v>
      </c>
      <c r="X121" s="21" t="str">
        <f t="shared" si="174"/>
        <v xml:space="preserve"> </v>
      </c>
      <c r="Y121" s="21" t="str">
        <f t="shared" si="182"/>
        <v xml:space="preserve">enthusiasm(1), attention to details(1), PR(1), network(1), ease of access(1), reputation(1), portfolio(1), biz project(1), biz enhancement(1), job creation(1), business(1),  </v>
      </c>
      <c r="Z121" s="21" t="str">
        <f t="shared" si="183"/>
        <v xml:space="preserve">local biz(1,6.25),  </v>
      </c>
      <c r="AA121" s="21" t="str">
        <f t="shared" si="177"/>
        <v xml:space="preserve">local biz(6.25), </v>
      </c>
      <c r="AB121" s="21" t="str">
        <f t="shared" si="172"/>
        <v xml:space="preserve">scale 1
 </v>
      </c>
      <c r="AC121" s="21" t="str">
        <f t="shared" si="184"/>
        <v xml:space="preserve">non-profits(1,100),  </v>
      </c>
      <c r="AD121" s="21" t="str">
        <f t="shared" si="174"/>
        <v xml:space="preserve">non-profits 100
 </v>
      </c>
      <c r="AE121" s="21" t="str">
        <f t="shared" si="185"/>
        <v xml:space="preserve">enthusiasm(1), attention to details(1), PR(1), network(1), ease of access(1), reputation(1), portfolio(1), social project(1), social innovation(1), non-profit biz(1),  </v>
      </c>
      <c r="AF121" s="21" t="str">
        <f t="shared" si="186"/>
        <v xml:space="preserve">seriousness(1,6.25), non-profits(1,6.25),  </v>
      </c>
      <c r="AG121" s="21" t="str">
        <f t="shared" si="177"/>
        <v xml:space="preserve">seriousness(6.25),non-profits(6.25), </v>
      </c>
      <c r="AH121" s="21" t="str">
        <f t="shared" si="172"/>
        <v xml:space="preserve">scale 1
 </v>
      </c>
      <c r="AI121" s="21" t="str">
        <f t="shared" si="187"/>
        <v xml:space="preserve">govt(1,),  </v>
      </c>
      <c r="AJ121" s="21" t="str">
        <f t="shared" si="174"/>
        <v xml:space="preserve"> </v>
      </c>
      <c r="AK121" s="21" t="str">
        <f t="shared" si="188"/>
        <v xml:space="preserve">enthusiasm(1), attention to details(1), seriousness(1), fame(1), network(1), govt(1), ease of access(1), reputation(2), portfolio(1), social project(1), social innovation(1), non-profit biz(1),  </v>
      </c>
      <c r="AL121" s="21" t="str">
        <f t="shared" si="189"/>
        <v xml:space="preserve">govt(1,6.25),  </v>
      </c>
      <c r="AM121" s="21" t="str">
        <f t="shared" si="177"/>
        <v xml:space="preserve">govt(6.25), </v>
      </c>
      <c r="AN121" s="21" t="str">
        <f t="shared" si="172"/>
        <v xml:space="preserve">gifted leader 1
scale 1
enthusiasm 1
 </v>
      </c>
      <c r="AO121" s="21" t="str">
        <f t="shared" si="190"/>
        <v xml:space="preserve">fame(1,), network(1,), investors(1,6.25),  </v>
      </c>
      <c r="AP121" s="21" t="str">
        <f t="shared" si="174"/>
        <v xml:space="preserve">investors 6.25
 </v>
      </c>
      <c r="AQ121" s="21" t="str">
        <f t="shared" si="191"/>
        <v xml:space="preserve">investors(1), ease of access(1), reputation(1), portfolio(1), start-up(1), start-up with mvp(1), start-up with customers(1),  </v>
      </c>
      <c r="AR121" s="21" t="str">
        <f t="shared" si="192"/>
        <v xml:space="preserve"> </v>
      </c>
      <c r="AS121" s="21" t="str">
        <f t="shared" si="177"/>
        <v xml:space="preserve"> </v>
      </c>
      <c r="AT121" s="21" t="str">
        <f t="shared" si="172"/>
        <v xml:space="preserve">scale 2
enthusiasm 1
seriousness 1
administrator 1
non-profits 2
reputation 1
portfolio 1
social project 1
 </v>
      </c>
      <c r="AU121" s="21" t="str">
        <f t="shared" si="193"/>
        <v xml:space="preserve">ambition(1,), attention to details(1,),  </v>
      </c>
      <c r="AV121" s="21" t="str">
        <f t="shared" si="174"/>
        <v xml:space="preserve"> </v>
      </c>
      <c r="AW121" s="21" t="str">
        <f t="shared" si="194"/>
        <v xml:space="preserve">field knowledge(1), enthusiasm(3), PR(2), administrator(1), project management(2),  </v>
      </c>
      <c r="AX121" s="21" t="str">
        <f t="shared" si="195"/>
        <v xml:space="preserve">organizational rules and manuals(1,12.5), project management(1,12.5),  </v>
      </c>
      <c r="AY121" s="21" t="str">
        <f t="shared" si="177"/>
        <v xml:space="preserve">organizational rules and manuals(12.5),project management(12.5), </v>
      </c>
      <c r="AZ121" s="21" t="str">
        <f t="shared" si="172"/>
        <v xml:space="preserve">scale 1
enthusiasm 1
non-profits 1
 </v>
      </c>
      <c r="BA121" s="21" t="str">
        <f t="shared" si="196"/>
        <v xml:space="preserve"> </v>
      </c>
      <c r="BB121" s="21" t="str">
        <f t="shared" si="174"/>
        <v xml:space="preserve"> </v>
      </c>
      <c r="BC121" s="21" t="str">
        <f t="shared" si="197"/>
        <v xml:space="preserve"> </v>
      </c>
      <c r="BD121" s="21" t="str">
        <f t="shared" si="198"/>
        <v xml:space="preserve"> </v>
      </c>
      <c r="BE121" s="21" t="str">
        <f t="shared" si="177"/>
        <v xml:space="preserve"> </v>
      </c>
      <c r="BF121" s="21" t="str">
        <f t="shared" si="172"/>
        <v xml:space="preserve">scale 2
enthusiasm 1
seriousness 1
administrator 1
local biz 2
entrepreneurs 1
reputation 1
portfolio 1
biz project 1
 </v>
      </c>
      <c r="BG121" s="21" t="str">
        <f t="shared" si="199"/>
        <v xml:space="preserve">ambition(1,), attention to details(1,),  </v>
      </c>
      <c r="BH121" s="21" t="str">
        <f t="shared" si="174"/>
        <v xml:space="preserve"> </v>
      </c>
      <c r="BI121" s="21" t="str">
        <f t="shared" si="200"/>
        <v xml:space="preserve">field knowledge(1), enthusiasm(3), PR(2), administrator(1), project management(2),  </v>
      </c>
      <c r="BJ121" s="21" t="str">
        <f t="shared" si="201"/>
        <v xml:space="preserve">organizational rules and manuals(1,12.5), project management(1,12.5),  </v>
      </c>
      <c r="BK121" s="21" t="str">
        <f t="shared" si="177"/>
        <v xml:space="preserve">organizational rules and manuals(12.5),project management(12.5), </v>
      </c>
      <c r="BL121" s="21" t="str">
        <f t="shared" si="172"/>
        <v xml:space="preserve">scale 1
enthusiasm 1
local biz 1
reputation 1
portfolio 1
biz enhancement 1
 </v>
      </c>
      <c r="BM121" s="21" t="str">
        <f t="shared" si="202"/>
        <v xml:space="preserve"> </v>
      </c>
      <c r="BN121" s="21" t="str">
        <f t="shared" si="174"/>
        <v xml:space="preserve"> </v>
      </c>
      <c r="BO121" s="21" t="str">
        <f t="shared" si="203"/>
        <v xml:space="preserve"> </v>
      </c>
      <c r="BP121" s="21" t="str">
        <f t="shared" si="204"/>
        <v xml:space="preserve"> </v>
      </c>
      <c r="BQ121" s="21" t="str">
        <f t="shared" si="177"/>
        <v xml:space="preserve"> </v>
      </c>
      <c r="BR121" s="21" t="str">
        <f t="shared" si="172"/>
        <v xml:space="preserve"> </v>
      </c>
      <c r="BS121" s="21" t="str">
        <f t="shared" si="205"/>
        <v xml:space="preserve"> </v>
      </c>
      <c r="BT121" s="21" t="str">
        <f t="shared" si="174"/>
        <v xml:space="preserve"> </v>
      </c>
      <c r="BU121" s="21" t="str">
        <f t="shared" si="206"/>
        <v xml:space="preserve"> </v>
      </c>
      <c r="BV121" s="21" t="str">
        <f t="shared" si="207"/>
        <v xml:space="preserve"> </v>
      </c>
      <c r="BW121" s="21" t="str">
        <f t="shared" si="177"/>
        <v xml:space="preserve"> </v>
      </c>
      <c r="BX121" s="21" t="str">
        <f t="shared" si="208"/>
        <v xml:space="preserve">scale 1
network 1
 </v>
      </c>
      <c r="BY121" s="21" t="str">
        <f t="shared" si="209"/>
        <v xml:space="preserve">efficiency(1,),  </v>
      </c>
      <c r="BZ121" s="21" t="str">
        <f t="shared" si="210"/>
        <v xml:space="preserve"> </v>
      </c>
      <c r="CA121" s="21" t="str">
        <f t="shared" si="211"/>
        <v xml:space="preserve">scale(2), enthusiasm(1), attention to details(1), administrator(1), negotiation(1),  </v>
      </c>
      <c r="CB121" s="21" t="str">
        <f t="shared" si="212"/>
        <v xml:space="preserve">user rules and manuals(1,50), organizational rules and manuals(1,50),  </v>
      </c>
      <c r="CC121" s="21" t="str">
        <f t="shared" si="213"/>
        <v xml:space="preserve">user rules and manuals(50),organizational rules and manuals(50), </v>
      </c>
      <c r="CD121" s="21" t="str">
        <f t="shared" si="208"/>
        <v xml:space="preserve">scale 1
enthusiasm 1
network 1
 </v>
      </c>
      <c r="CE121" s="21" t="str">
        <f t="shared" si="214"/>
        <v xml:space="preserve">field knowledge(1,), non-profits(1,),  </v>
      </c>
      <c r="CF121" s="21" t="str">
        <f t="shared" si="210"/>
        <v xml:space="preserve"> </v>
      </c>
      <c r="CG121" s="21" t="str">
        <f t="shared" si="215"/>
        <v xml:space="preserve">fun-ness(1), seriousness(1), ease of access(1), portfolio(1), user rules and manuals(1), negotiation(1), social project(1), biz project(1), for basic literacy(1), for the elites(1), for entrepreneurs(1),  </v>
      </c>
      <c r="CH121" s="21" t="str">
        <f t="shared" si="216"/>
        <v xml:space="preserve">technologists(1,6.25), non-profits(1,6.25),  </v>
      </c>
      <c r="CI121" s="21" t="str">
        <f t="shared" si="213"/>
        <v xml:space="preserve">technologists(6.25),non-profits(6.25), </v>
      </c>
      <c r="CJ121" s="21" t="str">
        <f t="shared" si="208"/>
        <v xml:space="preserve">scale 1
 </v>
      </c>
      <c r="CK121" s="21" t="str">
        <f t="shared" si="217"/>
        <v xml:space="preserve">suppliers(1,),  </v>
      </c>
      <c r="CL121" s="21" t="str">
        <f t="shared" si="210"/>
        <v xml:space="preserve"> </v>
      </c>
      <c r="CM121" s="21" t="str">
        <f t="shared" si="218"/>
        <v xml:space="preserve">reputation(1), negotiation(1),  </v>
      </c>
      <c r="CN121" s="21" t="str">
        <f t="shared" si="219"/>
        <v xml:space="preserve">learning capacities(1,), engineering knowledge(1,), enthusiasm(2,), efficiency(1,6.25),  </v>
      </c>
      <c r="CO121" s="21" t="str">
        <f t="shared" si="213"/>
        <v xml:space="preserve">efficiency(6.25), </v>
      </c>
      <c r="CP121" s="21" t="str">
        <f t="shared" si="208"/>
        <v xml:space="preserve">scale 1
 </v>
      </c>
      <c r="CQ121" s="21" t="str">
        <f t="shared" si="220"/>
        <v xml:space="preserve">technologists(1,),  </v>
      </c>
      <c r="CR121" s="21" t="str">
        <f t="shared" si="210"/>
        <v xml:space="preserve"> </v>
      </c>
      <c r="CS121" s="21" t="str">
        <f t="shared" si="221"/>
        <v xml:space="preserve">learning capacities(1), engineering knowledge(2), gifted programmer(2), enthusiasm(1), network(1), portfolio(1), negotiation(1), web(1), infrastructrue(1), database(1), mobile apps(1), sensors(1), security(1), AI&amp; data analysis(1), mobile comm(1), VR&amp;AR(1), wood processing(1), metal processing(1), plastic processing(1), electronics(1), fabric(1),  </v>
      </c>
      <c r="CT121" s="21" t="str">
        <f t="shared" si="222"/>
        <v xml:space="preserve">engineering knowledge(1,6.25), efficiency(1,6.25),  </v>
      </c>
      <c r="CU121" s="21" t="str">
        <f t="shared" si="213"/>
        <v xml:space="preserve">engineering knowledge(6.25),efficiency(6.25), </v>
      </c>
      <c r="CV121" s="21" t="str">
        <f t="shared" si="208"/>
        <v xml:space="preserve">scale 1
 </v>
      </c>
      <c r="CW121" s="21" t="str">
        <f t="shared" si="223"/>
        <v xml:space="preserve">local biz(1,),  </v>
      </c>
      <c r="CX121" s="21" t="str">
        <f t="shared" si="210"/>
        <v xml:space="preserve"> </v>
      </c>
      <c r="CY121" s="21" t="str">
        <f t="shared" si="224"/>
        <v xml:space="preserve">ease of access(1), reputation(1), portfolio(1), negotiation(1),  </v>
      </c>
      <c r="CZ121" s="21" t="str">
        <f t="shared" si="225"/>
        <v xml:space="preserve">non-profits(1,6.25),  </v>
      </c>
      <c r="DA121" s="21" t="str">
        <f t="shared" si="213"/>
        <v xml:space="preserve">non-profits(6.25), </v>
      </c>
      <c r="DB121" s="21" t="str">
        <f t="shared" si="208"/>
        <v xml:space="preserve"> </v>
      </c>
      <c r="DC121" s="21" t="str">
        <f t="shared" si="226"/>
        <v xml:space="preserve"> </v>
      </c>
      <c r="DD121" s="21" t="str">
        <f t="shared" si="210"/>
        <v xml:space="preserve"> </v>
      </c>
      <c r="DE121" s="21" t="str">
        <f t="shared" si="227"/>
        <v xml:space="preserve">learning capacities(1), 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1" s="21" t="str">
        <f t="shared" si="228"/>
        <v xml:space="preserve">network(1,), local biz(1,6.25), biz group(1,6.25), investors(1,6.25), entrepreneurs(1,6.25),  </v>
      </c>
      <c r="DG121" s="21" t="str">
        <f t="shared" si="213"/>
        <v xml:space="preserve">local biz(6.25),biz group(6.25),investors(6.25),entrepreneurs(6.25), </v>
      </c>
      <c r="DH121" s="21" t="str">
        <f t="shared" si="208"/>
        <v xml:space="preserve">scale 1
enthusiasm 1
network 1
non-profits 1
reputation 1
social project 1
 </v>
      </c>
      <c r="DI121" s="21" t="str">
        <f t="shared" si="229"/>
        <v xml:space="preserve"> </v>
      </c>
      <c r="DJ121" s="21" t="str">
        <f t="shared" si="210"/>
        <v xml:space="preserve"> </v>
      </c>
      <c r="DK121" s="21" t="str">
        <f t="shared" si="230"/>
        <v xml:space="preserve">learning capacities(1), 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1" s="21" t="str">
        <f t="shared" si="231"/>
        <v xml:space="preserve">field knowledge(1,12.5), network among members(1,12.5), reputation(1,6.25),  </v>
      </c>
      <c r="DM121" s="21" t="str">
        <f t="shared" si="213"/>
        <v xml:space="preserve">field knowledge(12.5),network among members(12.5),reputation(6.25), </v>
      </c>
      <c r="DN121" s="21" t="str">
        <f t="shared" si="208"/>
        <v xml:space="preserve">scale 1
enthusiasm 1
network 1
local biz 1
reputation 1
biz project 1
 </v>
      </c>
      <c r="DO121" s="21" t="str">
        <f t="shared" si="232"/>
        <v xml:space="preserve"> </v>
      </c>
      <c r="DP121" s="21" t="str">
        <f t="shared" si="210"/>
        <v xml:space="preserve"> </v>
      </c>
      <c r="DQ121" s="21" t="str">
        <f t="shared" si="233"/>
        <v xml:space="preserve">learning capacities(1), 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1" s="21" t="str">
        <f t="shared" si="234"/>
        <v xml:space="preserve">field knowledge(1,12.5), network among members(1,12.5), reputation(1,6.25),  </v>
      </c>
      <c r="DS121" s="21" t="str">
        <f t="shared" si="213"/>
        <v xml:space="preserve">field knowledge(12.5),network among members(12.5),reputation(6.25), </v>
      </c>
      <c r="DT121" s="21" t="str">
        <f t="shared" si="208"/>
        <v xml:space="preserve">scale 1
enthusiasm 1
network 1
reputation 1
 </v>
      </c>
      <c r="DU121" s="21" t="str">
        <f t="shared" si="235"/>
        <v xml:space="preserve"> </v>
      </c>
      <c r="DV121" s="21" t="str">
        <f t="shared" si="210"/>
        <v xml:space="preserve"> </v>
      </c>
      <c r="DW121" s="21" t="str">
        <f t="shared" si="236"/>
        <v xml:space="preserve">learning capacities(2), 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1" s="21" t="str">
        <f t="shared" si="237"/>
        <v xml:space="preserve">field knowledge(1,6.25), engineering knowledge(1,6.25), ambition(1,6.25), reputation(1,6.25), for basic literacy(1,6.25),  </v>
      </c>
      <c r="DY121" s="21" t="str">
        <f t="shared" si="213"/>
        <v xml:space="preserve">field knowledge(6.25),engineering knowledge(6.25),ambition(6.25),reputation(6.25),for basic literacy(6.25), </v>
      </c>
      <c r="DZ121" s="21" t="str">
        <f t="shared" si="208"/>
        <v xml:space="preserve">scale 1
enthusiasm 1
network 1
reputation 1
 </v>
      </c>
      <c r="EA121" s="21" t="str">
        <f t="shared" si="238"/>
        <v xml:space="preserve"> </v>
      </c>
      <c r="EB121" s="21" t="str">
        <f t="shared" si="210"/>
        <v xml:space="preserve"> </v>
      </c>
      <c r="EC121" s="21" t="str">
        <f t="shared" si="239"/>
        <v xml:space="preserve">learning capacities(2), 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1" s="21" t="str">
        <f t="shared" si="240"/>
        <v xml:space="preserve">engineering knowledge(1,6.25), ambition(1,6.25), reputation(1,6.25), for basic literacy(1,6.25),  </v>
      </c>
      <c r="EE121" s="21" t="str">
        <f t="shared" si="213"/>
        <v xml:space="preserve">engineering knowledge(6.25),ambition(6.25),reputation(6.25),for basic literacy(6.25), </v>
      </c>
      <c r="EF121" s="21" t="str">
        <f t="shared" si="208"/>
        <v xml:space="preserve">technologists 1
reputation 1
 </v>
      </c>
      <c r="EG121" s="21" t="str">
        <f t="shared" si="241"/>
        <v xml:space="preserve">web(1,50), mobile apps(1,50), interaction(1,50),  </v>
      </c>
      <c r="EH121" s="21" t="str">
        <f t="shared" si="210"/>
        <v xml:space="preserve">web 50
mobile apps 50
interaction 50
 </v>
      </c>
      <c r="EI121" s="21" t="str">
        <f t="shared" si="242"/>
        <v xml:space="preserve">learning capacities(2), gifted programmer(1), scale(2), enthusiasm(2), seriousness(2), initiative(1), community manager(1), administrator(1), enthusiasm(1), fame(1), network(2), level of understanding(1), technologists(2), ease of access(1), reputation(2), infrastructrue(1), database(1), mobile comm(1), for entrepreneurs(1),  </v>
      </c>
      <c r="EJ121" s="21" t="str">
        <f t="shared" si="243"/>
        <v xml:space="preserve">engineering knowledge(1,6.25), technologists(1,12.5), infrastructrue(1,12.5), database(1,12.5), mobile comm(1,12.5), for entrepreneurs(1,6.25),  </v>
      </c>
      <c r="EK121" s="21" t="str">
        <f t="shared" si="213"/>
        <v xml:space="preserve">engineering knowledge(6.25),technologists(12.5),infrastructrue(12.5),database(12.5),mobile comm(12.5),for entrepreneurs(6.25), </v>
      </c>
      <c r="EL121" s="21" t="str">
        <f t="shared" si="244"/>
        <v xml:space="preserve">technologists 1
reputation 1
 </v>
      </c>
      <c r="EM121" s="21" t="str">
        <f t="shared" si="245"/>
        <v xml:space="preserve">sensors(1,50),  </v>
      </c>
      <c r="EN121" s="21" t="str">
        <f t="shared" si="246"/>
        <v xml:space="preserve">sensors 50
 </v>
      </c>
      <c r="EO121" s="21" t="str">
        <f t="shared" si="247"/>
        <v xml:space="preserve">learning capacities(2), 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1" s="21" t="str">
        <f t="shared" si="248"/>
        <v xml:space="preserve">engineering knowledge(1,6.25), technologists(1,12.5), infrastructrue(1,12.5), database(1,12.5), mobile comm(1,12.5), electronics(1,6.25), for entrepreneurs(1,6.25),  </v>
      </c>
      <c r="EQ121" s="21" t="str">
        <f t="shared" si="249"/>
        <v xml:space="preserve">engineering knowledge(6.25),technologists(12.5),infrastructrue(12.5),database(12.5),mobile comm(12.5),electronics(6.25),for entrepreneurs(6.25), </v>
      </c>
      <c r="ER121" s="21" t="str">
        <f t="shared" si="244"/>
        <v xml:space="preserve">technologists 1
 </v>
      </c>
      <c r="ES121" s="21" t="str">
        <f t="shared" si="250"/>
        <v xml:space="preserve">AI&amp; data analysis(1,50),  </v>
      </c>
      <c r="ET121" s="21" t="str">
        <f t="shared" si="246"/>
        <v xml:space="preserve">AI&amp; data analysis 50
 </v>
      </c>
      <c r="EU121" s="21" t="str">
        <f t="shared" si="251"/>
        <v xml:space="preserve">learning capacities(2), gifted programmer(1), scale(2), enthusiasm(2), seriousness(2), initiative(1), community manager(1), administrator(1), enthusiasm(1), fame(1), network(2), level of understanding(1), technologists(2), ease of access(1), reputation(2), database(1), sensors(1), mobile comm(1), for entrepreneurs(1),  </v>
      </c>
      <c r="EV121" s="21" t="str">
        <f t="shared" si="252"/>
        <v xml:space="preserve">engineering knowledge(1,6.25), technologists(1,12.5), database(1,12.5), sensors(1,12.5), mobile comm(1,12.5), for entrepreneurs(1,6.25),  </v>
      </c>
      <c r="EW121" s="21" t="str">
        <f t="shared" si="249"/>
        <v xml:space="preserve">engineering knowledge(6.25),technologists(12.5),database(12.5),sensors(12.5),mobile comm(12.5),for entrepreneurs(6.25), </v>
      </c>
      <c r="EX121" s="21" t="str">
        <f t="shared" si="244"/>
        <v xml:space="preserve">technologists 1
 </v>
      </c>
      <c r="EY121" s="21" t="str">
        <f t="shared" si="253"/>
        <v xml:space="preserve">law(1,50), security(1,50), interaction(1,25),  </v>
      </c>
      <c r="EZ121" s="21" t="str">
        <f t="shared" si="246"/>
        <v xml:space="preserve">law 50
security 50
interaction 25
 </v>
      </c>
      <c r="FA121" s="21" t="str">
        <f t="shared" si="254"/>
        <v xml:space="preserve">learning capacities(2), gifted programmer(1), scale(2), enthusiasm(2), seriousness(2), initiative(1), community manager(1), administrator(1), enthusiasm(1), fame(1), network(2), level of understanding(1), technologists(2), ease of access(1), reputation(2), law(2), for entrepreneurs(1),  </v>
      </c>
      <c r="FB121" s="21" t="str">
        <f t="shared" si="255"/>
        <v xml:space="preserve">field knowledge(1,6.25), engineering knowledge(1,6.25), technologists(1,12.5), law(1,6.25), database(1,12.5), mobile apps(1,12.5), security(1,12.5), mobile comm(1,12.5), for entrepreneurs(1,6.25),  </v>
      </c>
      <c r="FC121" s="21" t="str">
        <f t="shared" si="249"/>
        <v xml:space="preserve">field knowledge(6.25),engineering knowledge(6.25),technologists(12.5),law(6.25),database(12.5),mobile apps(12.5),security(12.5),mobile comm(12.5),for entrepreneurs(6.25), </v>
      </c>
      <c r="FD121" s="21" t="str">
        <f t="shared" si="244"/>
        <v xml:space="preserve">technologists 1
 </v>
      </c>
      <c r="FE121" s="21" t="str">
        <f t="shared" si="256"/>
        <v xml:space="preserve">law(1,50), sensors(1,50), security(1,50),  </v>
      </c>
      <c r="FF121" s="21" t="str">
        <f t="shared" si="246"/>
        <v xml:space="preserve">law 50
sensors 50
security 50
 </v>
      </c>
      <c r="FG121" s="21" t="str">
        <f t="shared" si="257"/>
        <v xml:space="preserve">learning capacities(2), gifted programmer(1), scale(2), enthusiasm(2), seriousness(2), initiative(1), community manager(1), administrator(1), enthusiasm(1), fame(1), network(2), level of understanding(1), technologists(2), ease of access(1), reputation(2), law(2), project management(2), for entrepreneurs(1),  </v>
      </c>
      <c r="FH121" s="21" t="str">
        <f t="shared" si="258"/>
        <v xml:space="preserve">field knowledge(1,6.25), engineering knowledge(1,6.25), technologists(1,12.5), law(1,6.25), database(1,6.25), mobile apps(1,6.25), AI&amp; data analysis(1,6.25), mobile comm(1,6.25), for entrepreneurs(1,6.25),  </v>
      </c>
      <c r="FI121" s="21" t="str">
        <f t="shared" si="249"/>
        <v xml:space="preserve">field knowledge(6.25),engineering knowledge(6.25),technologists(12.5),law(6.25),database(6.25),mobile apps(6.25),AI&amp; data analysis(6.25),mobile comm(6.25),for entrepreneurs(6.25), </v>
      </c>
      <c r="FJ121" s="21" t="str">
        <f t="shared" si="244"/>
        <v xml:space="preserve">technologists 1
 </v>
      </c>
      <c r="FK121" s="21" t="str">
        <f t="shared" si="259"/>
        <v xml:space="preserve">wood processing(1,25), metal processing(1,25), plastic processing(1,25), fabric(1,25), safety(1,25), interaction(1,25),  </v>
      </c>
      <c r="FL121" s="21" t="str">
        <f t="shared" si="246"/>
        <v xml:space="preserve">project management 2
wood processing 25
metal processing 25
plastic processing 25
fabric 25
safety 25
interaction 25
 </v>
      </c>
      <c r="FM121" s="21" t="str">
        <f t="shared" si="260"/>
        <v xml:space="preserve">learning capacities(2), gifted programmer(1), scale(2), enthusiasm(2), seriousness(2), initiative(1), community manager(1), administrator(1), enthusiasm(1), fame(1), network(2), level of understanding(1), technologists(2), spaciousness(1), ease of access(1), reputation(2), for entrepreneurs(1),  </v>
      </c>
      <c r="FN121" s="21" t="str">
        <f t="shared" si="261"/>
        <v xml:space="preserve">field knowledge(1,6.25), engineering knowledge(1,6.25), technologists(1,12.5), for entrepreneurs(1,6.25),  </v>
      </c>
      <c r="FO121" s="21" t="str">
        <f t="shared" si="249"/>
        <v xml:space="preserve">field knowledge(6.25),engineering knowledge(6.25),technologists(12.5),for entrepreneurs(6.25), </v>
      </c>
      <c r="FP121" s="21" t="str">
        <f t="shared" si="244"/>
        <v xml:space="preserve">technologists 1
 </v>
      </c>
      <c r="FQ121" s="21" t="str">
        <f t="shared" si="262"/>
        <v xml:space="preserve">web(1,25), mobile apps(1,50), functions(1,25), interaction(1,25),  </v>
      </c>
      <c r="FR121" s="21" t="str">
        <f t="shared" si="246"/>
        <v xml:space="preserve">web 25
mobile apps 50
functions 25
interaction 25
 </v>
      </c>
      <c r="FS121" s="21" t="str">
        <f t="shared" si="263"/>
        <v xml:space="preserve">learning capacities(2), gifted programmer(1), scale(2), enthusiasm(2), seriousness(2), initiative(1), community manager(1), administrator(1), enthusiasm(1), fame(1), network(2), level of understanding(1), technologists(2), spaciousness(1), ease of access(1), reputation(2), for entrepreneurs(1),  </v>
      </c>
      <c r="FT121" s="21" t="str">
        <f t="shared" si="264"/>
        <v xml:space="preserve">field knowledge(1,6.25), engineering knowledge(1,6.25), technologists(1,12.5), for entrepreneurs(1,6.25),  </v>
      </c>
      <c r="FU121" s="21" t="str">
        <f t="shared" si="249"/>
        <v xml:space="preserve">field knowledge(6.25),engineering knowledge(6.25),technologists(12.5),for entrepreneurs(6.25), </v>
      </c>
      <c r="FV121" s="21" t="str">
        <f t="shared" si="244"/>
        <v xml:space="preserve">technologists 1
 </v>
      </c>
      <c r="FW121" s="21" t="str">
        <f t="shared" si="265"/>
        <v xml:space="preserve">mobile apps(1,50), sensors(1,50), wood processing(1,25), plastic processing(1,25), electronics(1,25), functions(1,25), interaction(1,25),  </v>
      </c>
      <c r="FX121" s="21" t="str">
        <f t="shared" si="246"/>
        <v xml:space="preserve">mobile apps 50
sensors 50
wood processing 25
plastic processing 25
electronics 25
functions 25
interaction 25
 </v>
      </c>
      <c r="FY121" s="21" t="str">
        <f t="shared" si="266"/>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FZ121" s="21" t="str">
        <f t="shared" si="267"/>
        <v xml:space="preserve">field knowledge(1,6.25), engineering knowledge(1,6.25), technologists(1,12.5), web(1,6.25), database(1,6.25), AI&amp; data analysis(1,6.25), mobile comm(1,6.25), for entrepreneurs(1,6.25),  </v>
      </c>
      <c r="GA121" s="21" t="str">
        <f t="shared" si="249"/>
        <v xml:space="preserve">field knowledge(6.25),engineering knowledge(6.25),technologists(12.5),web(6.25),database(6.25),AI&amp; data analysis(6.25),mobile comm(6.25),for entrepreneurs(6.25), </v>
      </c>
      <c r="GB121" s="21" t="str">
        <f t="shared" si="244"/>
        <v xml:space="preserve">technologists 1
 </v>
      </c>
      <c r="GC121" s="21" t="str">
        <f t="shared" si="268"/>
        <v xml:space="preserve">sensors(1,25), mobile comm(1,25), electronics(1,50), functions(1,25), safety(1,25),  </v>
      </c>
      <c r="GD121" s="21" t="str">
        <f t="shared" si="246"/>
        <v xml:space="preserve">sensors 25
mobile comm 25
electronics 50
functions 25
safety 25
 </v>
      </c>
      <c r="GE121" s="21" t="str">
        <f t="shared" si="269"/>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F121" s="21" t="str">
        <f t="shared" si="270"/>
        <v xml:space="preserve">field knowledge(1,6.25), engineering knowledge(1,6.25), technologists(1,12.5), database(1,6.25), mobile apps(1,6.25), AI&amp; data analysis(1,6.25), plastic processing(1,6.25), interaction(1,6.25), for entrepreneurs(1,6.25),  </v>
      </c>
      <c r="GG121" s="21" t="str">
        <f t="shared" si="249"/>
        <v xml:space="preserve">field knowledge(6.25),engineering knowledge(6.25),technologists(12.5),database(6.25),mobile apps(6.25),AI&amp; data analysis(6.25),plastic processing(6.25),interaction(6.25),for entrepreneurs(6.25), </v>
      </c>
      <c r="GH121" s="21" t="str">
        <f t="shared" si="244"/>
        <v xml:space="preserve">technologists 1
 </v>
      </c>
      <c r="GI121" s="21" t="str">
        <f t="shared" si="271"/>
        <v xml:space="preserve">web(1,25), mobile apps(1,50), functions(1,25), interaction(1,25),  </v>
      </c>
      <c r="GJ121" s="21" t="str">
        <f t="shared" si="246"/>
        <v xml:space="preserve">web 25
mobile apps 50
functions 25
interaction 25
 </v>
      </c>
      <c r="GK121" s="21" t="str">
        <f t="shared" si="272"/>
        <v xml:space="preserve">learning capacities(2), gifted programmer(1), scale(2), enthusiasm(2), seriousness(2), initiative(1), community manager(1), administrator(1), enthusiasm(1), fame(1), network(2), level of understanding(1), technologists(2), spaciousness(1), ease of access(1), reputation(2), project management(2), for entrepreneurs(1),  </v>
      </c>
      <c r="GL121" s="21" t="str">
        <f t="shared" si="273"/>
        <v xml:space="preserve">field knowledge(1,6.25), engineering knowledge(1,6.25), technologists(1,12.5), for entrepreneurs(1,6.25),  </v>
      </c>
      <c r="GM121" s="21" t="str">
        <f t="shared" si="249"/>
        <v xml:space="preserve">field knowledge(6.25),engineering knowledge(6.25),technologists(12.5),for entrepreneurs(6.25), </v>
      </c>
      <c r="GN121" s="21" t="str">
        <f t="shared" si="244"/>
        <v xml:space="preserve">technologists 1
 </v>
      </c>
      <c r="GO121" s="21" t="str">
        <f t="shared" si="274"/>
        <v xml:space="preserve">web(1,25), mobile apps(1,25), VR&amp;AR(1,25), aesthetics(1,25), functions(1,25), interaction(1,50),  </v>
      </c>
      <c r="GP121" s="21" t="str">
        <f t="shared" si="246"/>
        <v xml:space="preserve">web 25
mobile apps 25
VR&amp;AR 25
aesthetics 25
functions 25
interaction 50
 </v>
      </c>
      <c r="GQ121" s="21" t="str">
        <f t="shared" si="275"/>
        <v xml:space="preserve">learning capacities(2), gifted programmer(1), gifted designer(1), scale(2), enthusiasm(2), seriousness(2), initiative(1), community manager(1), administrator(1), enthusiasm(1), fame(1), network(2), level of understanding(1), technologists(2), spaciousness(1), ease of access(1), reputation(2), project management(2), for entrepreneurs(1),  </v>
      </c>
      <c r="GR121" s="21" t="str">
        <f t="shared" si="276"/>
        <v xml:space="preserve">field knowledge(1,6.25), technologists(1,12.5), for entrepreneurs(1,6.25),  </v>
      </c>
      <c r="GS121" s="21" t="str">
        <f t="shared" si="249"/>
        <v xml:space="preserve">field knowledge(6.25),technologists(12.5),for entrepreneurs(6.25), </v>
      </c>
      <c r="GT121" s="21" t="str">
        <f t="shared" si="244"/>
        <v xml:space="preserve">scale 2
ease of access 1
reputation 2
web 1
mobile apps 1
mobile comm 1
 </v>
      </c>
      <c r="GU121" s="21" t="str">
        <f t="shared" si="277"/>
        <v xml:space="preserve"> </v>
      </c>
      <c r="GV121" s="21" t="str">
        <f t="shared" si="246"/>
        <v xml:space="preserve"> </v>
      </c>
      <c r="GW121" s="21" t="str">
        <f t="shared" si="278"/>
        <v xml:space="preserve">learning capacities(2), 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1" s="21" t="str">
        <f t="shared" si="279"/>
        <v xml:space="preserve">learning capacities(1,6.25), field knowledge(1,6.25), engineering knowledge(1,6.25), network among members(1,6.25), gifted leader(1,6.25), gifted programmer(1,6.25), enthusiasm(1,6.25), media(1,6.25), entrepreneurs(1,6.25), technologists(1,6.25), project management(1,6.25), social media(1,6.25), web(1,6.25), mobile apps(1,6.25),  </v>
      </c>
      <c r="GY121" s="21" t="str">
        <f t="shared" si="249"/>
        <v xml:space="preserve">learning capacities(6.25),field knowledge(6.25),engineering knowledge(6.25),network among members(6.25),gifted leader(6.25),gifted programmer(6.25),enthusiasm(6.25),media(6.25),entrepreneurs(6.25),technologists(6.25),project management(6.25),social media(6.25),web(6.25),mobile apps(6.25), </v>
      </c>
      <c r="GZ121" s="21" t="str">
        <f t="shared" si="280"/>
        <v xml:space="preserve">scale 2
enthusiasm 2
network 1
govt 1
non-profits 1
reputation 2
portfolio 1
 </v>
      </c>
      <c r="HA121" s="21" t="str">
        <f t="shared" si="281"/>
        <v xml:space="preserve"> </v>
      </c>
      <c r="HB121" s="21" t="str">
        <f t="shared" si="282"/>
        <v xml:space="preserve"> </v>
      </c>
      <c r="HC121"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1" s="21" t="str">
        <f t="shared" si="284"/>
        <v xml:space="preserve">learning capacities(1,6.25), field knowledge(1,6.25), enthusiasm(1,6.25), media(1,6.25), technologists(1,6.25), non-profits(1,6.25), reputation(1,6.25), start-up with customers(1,6.25), for basic literacy(1,6.25),  </v>
      </c>
      <c r="HE121" s="21" t="str">
        <f t="shared" si="285"/>
        <v xml:space="preserve">learning capacities(6.25),field knowledge(6.25),enthusiasm(6.25),media(6.25),technologists(6.25),non-profits(6.25),reputation(6.25),start-up with customers(6.25),for basic literacy(6.25), </v>
      </c>
      <c r="HF121" s="21" t="str">
        <f t="shared" si="280"/>
        <v xml:space="preserve"> </v>
      </c>
      <c r="HG121" s="21" t="str">
        <f t="shared" si="286"/>
        <v xml:space="preserve">scale(2,), enthusiasm(2,),  </v>
      </c>
      <c r="HH121" s="21" t="str">
        <f t="shared" si="282"/>
        <v xml:space="preserve"> </v>
      </c>
      <c r="HI121" s="21" t="str">
        <f t="shared" si="287"/>
        <v xml:space="preserve">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1" s="21" t="str">
        <f t="shared" si="288"/>
        <v xml:space="preserve">learning capacities(1,6.25), network among members(1,6.25), enthusiasm(1,6.25), fun-ness(1,6.25), seriousness(1,6.25), govt(1,6.25), media(1,6.25), non-profits(1,6.25), start-up with customers(1,6.25),  </v>
      </c>
      <c r="HK121" s="21" t="str">
        <f t="shared" si="285"/>
        <v xml:space="preserve">learning capacities(6.25),network among members(6.25),enthusiasm(6.25),fun-ness(6.25),seriousness(6.25),govt(6.25),media(6.25),non-profits(6.25),start-up with customers(6.25), </v>
      </c>
      <c r="HL121" s="21" t="str">
        <f t="shared" si="280"/>
        <v xml:space="preserve">scale 2
community manager 1
PR 1
administrator 1
local biz 1
entrepreneurs 1
non-profits 1
reputation 2
portfolio 2
 </v>
      </c>
      <c r="HM121" s="21" t="str">
        <f t="shared" si="289"/>
        <v xml:space="preserve">network among members(1,25), scale(1,25), enthusiasm(1,25), ambition(1,25), fun-ness(1,25), seriousness(1,25),  </v>
      </c>
      <c r="HN121" s="21" t="str">
        <f t="shared" si="282"/>
        <v xml:space="preserve">network among members 25
scale 25
enthusiasm 25
ambition 25
fun-ness 25
seriousness 25
 </v>
      </c>
      <c r="HO121"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1" s="21" t="str">
        <f t="shared" si="291"/>
        <v xml:space="preserve">enthusiasm(1,6.25), fun-ness(1,6.25), enthusiasm(1,6.25), level of understanding(1,6.25), local biz(1,6.25), biz group(1,6.25), govt(1,6.25), investors(1,6.25), media(1,6.25), entrepreneurs(1,6.25), technologists(1,6.25), suppliers(1,6.25), non-profits(1,6.25), reputation(1,6.25),  </v>
      </c>
      <c r="HQ121" s="47" t="str">
        <f t="shared" si="285"/>
        <v xml:space="preserve">enthusiasm(6.25),fun-ness(6.25),enthusiasm(6.25),level of understanding(6.25),local biz(6.25),biz group(6.25),govt(6.25),investors(6.25),media(6.25),entrepreneurs(6.25),technologists(6.25),suppliers(6.25),non-profits(6.25),reputation(6.25), </v>
      </c>
      <c r="HR121" s="47" t="str">
        <f t="shared" ref="HR121:HW121" si="366">IF(HR19="",HR122,$C121&amp;"("&amp;HR19&amp;"),"&amp;HR122)</f>
        <v xml:space="preserve">engineering knowledge(2),scale(2),enthusiasm(2),reputation(2),portfolio(2),mobile apps(1),sensors(1),wood processing(1),aesthetics(1), </v>
      </c>
      <c r="HS121" s="47" t="str">
        <f t="shared" si="366"/>
        <v xml:space="preserve"> </v>
      </c>
      <c r="HT121" s="47" t="str">
        <f t="shared" si="366"/>
        <v xml:space="preserve"> </v>
      </c>
      <c r="HU121" s="47" t="str">
        <f t="shared" si="366"/>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1" s="47" t="str">
        <f t="shared" si="366"/>
        <v xml:space="preserve">gifted programmer(1),local biz(1),biz group(1),govt(1),investors(1),media(1),entrepreneurs(1),technologists(1),suppliers(1),non-profits(1),reputation(1), </v>
      </c>
      <c r="HW121" s="47" t="str">
        <f t="shared" si="366"/>
        <v xml:space="preserve">gifted programmer(6.25),local biz(6.25),biz group(6.25),govt(6.25),investors(6.25),media(6.25),entrepreneurs(6.25),technologists(12.5),suppliers(6.25),non-profits(6.25),reputation(6.25), </v>
      </c>
      <c r="HX121" s="47" t="str">
        <f t="shared" ref="HX121:IU121" si="367">IF(HX19="",HX122,$C121&amp;"("&amp;HX19&amp;"),"&amp;HX122)</f>
        <v xml:space="preserve">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1" s="47" t="str">
        <f t="shared" si="367"/>
        <v xml:space="preserve">biz enhancement(1), </v>
      </c>
      <c r="HZ121" s="47" t="str">
        <f t="shared" si="367"/>
        <v xml:space="preserve">biz enhancement(100), </v>
      </c>
      <c r="IA121" s="47" t="str">
        <f t="shared" si="367"/>
        <v xml:space="preserve">community manager(1),PR(1),finance(1),administrator(1),enthusiasm(2),network(2),ambition(2),knowledge(2),spaciousness(2),ease of access(3),efficiency(2),portfolio(4),finance(2),business model(2),marketing(3),team building(2),project management(2),social media(3),negotiation(3), </v>
      </c>
      <c r="IB121" s="47" t="str">
        <f t="shared" si="367"/>
        <v xml:space="preserve">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1" s="47" t="str">
        <f t="shared" si="367"/>
        <v xml:space="preserve">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1" s="47" t="str">
        <f t="shared" si="367"/>
        <v xml:space="preserve">engineering knowledge(1),scale(1),technologists(2), </v>
      </c>
      <c r="IE121" s="47" t="str">
        <f t="shared" si="367"/>
        <v xml:space="preserve">engineering knowledge(1),web(1),mobile apps(1),security(1),AI&amp; data analysis(1), </v>
      </c>
      <c r="IF121" s="47" t="str">
        <f t="shared" si="367"/>
        <v xml:space="preserve">engineering knowledge(25),web(25),mobile apps(25),security(25),AI&amp; data analysis(25), </v>
      </c>
      <c r="IG121" s="47" t="str">
        <f t="shared" si="367"/>
        <v xml:space="preserve">learning capacities(2),gifted programmer(1),scale(2),enthusiasm(3),attention to details(2),seriousness(2),community manager(1),administrator(1),network(2),entrepreneurs(3),technologists(4),spaciousness(2),ease of access(2),reputation(3),efficiency(2),portfolio(3),web(2),database(2),mobile apps(2),security(2),AI&amp; data analysis(2), </v>
      </c>
      <c r="IH121" s="47" t="str">
        <f t="shared" si="367"/>
        <v xml:space="preserve">engineering knowledge(1),technologists(1),web(1),database(1),mobile apps(1),security(1),AI&amp; data analysis(1), </v>
      </c>
      <c r="II121" s="47" t="str">
        <f t="shared" si="367"/>
        <v xml:space="preserve">engineering knowledge(6.25),technologists(6.25),web(6.25),database(6.25),mobile apps(6.25),security(6.25),AI&amp; data analysis(6.25), </v>
      </c>
      <c r="IJ121" s="47" t="str">
        <f t="shared" si="367"/>
        <v xml:space="preserve">engineering knowledge(1),scale(1),technologists(2), </v>
      </c>
      <c r="IK121" s="47" t="str">
        <f t="shared" si="367"/>
        <v xml:space="preserve">engineering knowledge(1),wood processing(1),metal processing(1),functions(1),safety(1), </v>
      </c>
      <c r="IL121" s="47" t="str">
        <f t="shared" si="367"/>
        <v xml:space="preserve">engineering knowledge(25),wood processing(25),metal processing(25),functions(25),safety(25), </v>
      </c>
      <c r="IM121" s="47" t="str">
        <f t="shared" si="367"/>
        <v xml:space="preserve">learning capacities(2),scale(2),enthusiasm(3),attention to details(2),seriousness(2),community manager(1),administrator(1),network(2),entrepreneurs(3),technologists(4),spaciousness(2),ease of access(2),reputation(3),efficiency(2),portfolio(3),wood processing(2),metal processing(2),functions(2),safety(2), </v>
      </c>
      <c r="IN121" s="47" t="str">
        <f t="shared" si="367"/>
        <v xml:space="preserve">engineering knowledge(1),technologists(1),wood processing(1),metal processing(1),functions(1),safety(1),interaction(1), </v>
      </c>
      <c r="IO121" s="47" t="str">
        <f t="shared" si="367"/>
        <v xml:space="preserve">engineering knowledge(6.25),technologists(6.25),wood processing(6.25),metal processing(6.25),functions(6.25),safety(6.25),interaction(6.25), </v>
      </c>
      <c r="IP121" s="57" t="str">
        <f t="shared" si="367"/>
        <v xml:space="preserve">learning capacities(1),scale(2),local biz(2),reputation(1), </v>
      </c>
      <c r="IQ121" s="47" t="str">
        <f t="shared" si="367"/>
        <v xml:space="preserve">field knowledge(1),network among members(1),local biz(1),marketing(1), </v>
      </c>
      <c r="IR121" s="47" t="str">
        <f t="shared" si="367"/>
        <v xml:space="preserve">field knowledge(100),network among members(25),local biz(25),marketing(25), </v>
      </c>
      <c r="IS121" s="47" t="str">
        <f t="shared" si="367"/>
        <v xml:space="preserve">learning capacities(2),engineering knowledge(2),gifted business strategist(2),enthusiasm(2),agility(2),attention to details(2),fun-ness(2),seriousness(2),leader(1),community manager(1),finance(1),administrator(1),enthusiasm(3),network(2),level of understanding(3),local biz(3),biz group(2),govt(2),non-profits(2),reputation(3),efficiency(2),marketing(2), </v>
      </c>
      <c r="IT121" s="47" t="str">
        <f t="shared" si="367"/>
        <v xml:space="preserve">field knowledge(1),network among members(1),enthusiasm(1),fun-ness(1),seriousness(1),local biz(1),biz group(1),govt(1),non-profits(1),marketing(1), </v>
      </c>
      <c r="IU121" s="47" t="str">
        <f t="shared" si="367"/>
        <v xml:space="preserve">field knowledge(6.25),network among members(6.25),enthusiasm(6.25),fun-ness(6.25),seriousness(6.25),local biz(6.25),biz group(6.25),govt(6.25),non-profits(6.25),marketing(6.25), </v>
      </c>
      <c r="IV121" s="57" t="str">
        <f t="shared" ref="IV121:LG121" si="368">IF(IV19="",IV122,$C121&amp;"("&amp;IV19&amp;"),"&amp;IV122)</f>
        <v xml:space="preserve">learning capacities(1),scale(2),local biz(2),reputation(1), </v>
      </c>
      <c r="IW121" s="47" t="str">
        <f t="shared" si="368"/>
        <v xml:space="preserve">field knowledge(1),network among members(1),local biz(1),marketing(1), </v>
      </c>
      <c r="IX121" s="47" t="str">
        <f t="shared" si="368"/>
        <v xml:space="preserve">field knowledge(100),network among members(25),local biz(25),marketing(25), </v>
      </c>
      <c r="IY121" s="47" t="str">
        <f t="shared" si="368"/>
        <v xml:space="preserve">learning capacities(2),engineering knowledge(2),gifted business strategist(2),enthusiasm(2),agility(2),attention to details(2),fun-ness(2),seriousness(2),leader(1),community manager(1),finance(1),administrator(1),enthusiasm(3),network(2),level of understanding(3),local biz(3),biz group(2),govt(2),reputation(3),efficiency(2),marketing(2), </v>
      </c>
      <c r="IZ121" s="47" t="str">
        <f t="shared" si="368"/>
        <v xml:space="preserve">field knowledge(1),network among members(1),enthusiasm(1),fun-ness(1),seriousness(1),local biz(1),biz group(1),govt(1),marketing(1), </v>
      </c>
      <c r="JA121" s="47" t="str">
        <f t="shared" si="368"/>
        <v xml:space="preserve">field knowledge(6.25),network among members(6.25),enthusiasm(6.25),fun-ness(6.25),seriousness(6.25),local biz(6.25),biz group(6.25),govt(6.25),marketing(6.25), </v>
      </c>
      <c r="JB121" s="47" t="str">
        <f t="shared" si="368"/>
        <v xml:space="preserve">scale(1),enthusiasm(2), </v>
      </c>
      <c r="JC121" s="47" t="str">
        <f t="shared" si="368"/>
        <v xml:space="preserve">engineering knowledge(1), </v>
      </c>
      <c r="JD121" s="47" t="str">
        <f t="shared" si="368"/>
        <v xml:space="preserve">engineering knowledge(50), </v>
      </c>
      <c r="JE121" s="47" t="str">
        <f t="shared" si="368"/>
        <v xml:space="preserve">learning capacities(2),engineering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21" s="47" t="str">
        <f t="shared" si="368"/>
        <v xml:space="preserve">learning capacities(1),engineering knowledge(1),web(1),infrastructrue(1),database(1),mobile apps(1),sensors(1),security(1),AI&amp; data analysis(1),mobile comm(1),VR&amp;AR(1),wood processing(1),metal processing(1),plastic processing(1),electronics(1),fabric(1),aesthetics(1),functions(1),safety(1),interaction(1), </v>
      </c>
      <c r="JG121" s="47" t="str">
        <f t="shared" si="368"/>
        <v xml:space="preserve">learning capacities(6.25),engineering knowledge(6.25),web(6.25),infrastructrue(6.25),database(6.25),mobile apps(6.25),sensors(6.25),security(6.25),AI&amp; data analysis(6.25),mobile comm(6.25),VR&amp;AR(6.25),wood processing(6.25),metal processing(6.25),plastic processing(6.25),electronics(6.25),fabric(6.25),aesthetics(6.25),functions(6.25),safety(6.25),interaction(6.25), </v>
      </c>
      <c r="JH121" s="47" t="str">
        <f t="shared" si="368"/>
        <v xml:space="preserve">scale(1),enthusiasm(1),enthusiasm(1),local biz(1),non-profits(1),reputation(2), </v>
      </c>
      <c r="JI121" s="47" t="str">
        <f t="shared" si="368"/>
        <v xml:space="preserve"> </v>
      </c>
      <c r="JJ121" s="47" t="str">
        <f t="shared" si="368"/>
        <v xml:space="preserve"> </v>
      </c>
      <c r="JK121" s="47" t="str">
        <f t="shared" si="368"/>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1" s="47" t="str">
        <f t="shared" si="368"/>
        <v xml:space="preserve">non-profits(1), </v>
      </c>
      <c r="JM121" s="47" t="str">
        <f t="shared" si="368"/>
        <v xml:space="preserve">non-profits(6.25), </v>
      </c>
      <c r="JN121" s="47" t="str">
        <f t="shared" si="368"/>
        <v xml:space="preserve">scale(2),enthusiasm(2),enthusiasm(1),network(1),local biz(1),investors(1),entrepreneurs(1),technologists(1),non-profits(1),reputation(2),portfolio(2), </v>
      </c>
      <c r="JO121" s="47" t="str">
        <f t="shared" si="368"/>
        <v xml:space="preserve"> </v>
      </c>
      <c r="JP121" s="47" t="str">
        <f t="shared" si="368"/>
        <v xml:space="preserve"> </v>
      </c>
      <c r="JQ121" s="47" t="str">
        <f t="shared" si="368"/>
        <v xml:space="preserve">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1" s="47" t="str">
        <f t="shared" si="368"/>
        <v xml:space="preserve"> </v>
      </c>
      <c r="JS121" s="47" t="str">
        <f t="shared" si="368"/>
        <v xml:space="preserve"> </v>
      </c>
      <c r="JT121" s="47" t="str">
        <f t="shared" si="368"/>
        <v xml:space="preserve">scale(3),enthusiasm(3),PR(1),administrator(1),enthusiasm(2),network(2),local biz(2),biz group(1),govt(2),investors(2),entrepreneurs(2),technologists(2),non-profits(2),reputation(2),portfolio(3), </v>
      </c>
      <c r="JU121" s="47" t="str">
        <f t="shared" si="368"/>
        <v xml:space="preserve"> </v>
      </c>
      <c r="JV121" s="47" t="str">
        <f t="shared" si="368"/>
        <v xml:space="preserve"> </v>
      </c>
      <c r="JW121" s="47" t="str">
        <f t="shared" si="368"/>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1" s="47" t="str">
        <f t="shared" si="368"/>
        <v xml:space="preserve"> </v>
      </c>
      <c r="JY121" s="47" t="str">
        <f t="shared" si="368"/>
        <v xml:space="preserve"> </v>
      </c>
      <c r="JZ121" s="47" t="str">
        <f t="shared" si="368"/>
        <v xml:space="preserve">scale(1),enthusiasm(2),network(1),non-profits(1),reputation(2),social project(2), </v>
      </c>
      <c r="KA121" s="47" t="str">
        <f t="shared" si="368"/>
        <v xml:space="preserve">non-profits(1), </v>
      </c>
      <c r="KB121" s="47" t="str">
        <f t="shared" si="368"/>
        <v xml:space="preserve">non-profits(25), </v>
      </c>
      <c r="KC121" s="47" t="str">
        <f t="shared" si="368"/>
        <v xml:space="preserve">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1" s="47" t="str">
        <f t="shared" si="368"/>
        <v xml:space="preserve">non-profits(1), </v>
      </c>
      <c r="KE121" s="47" t="str">
        <f t="shared" si="368"/>
        <v xml:space="preserve">non-profits(6.25), </v>
      </c>
      <c r="KF121" s="47" t="str">
        <f t="shared" si="368"/>
        <v xml:space="preserve"> </v>
      </c>
      <c r="KG121" s="47" t="str">
        <f t="shared" si="368"/>
        <v xml:space="preserve"> </v>
      </c>
      <c r="KH121" s="47" t="str">
        <f t="shared" si="368"/>
        <v xml:space="preserve"> </v>
      </c>
      <c r="KI121" s="47" t="str">
        <f t="shared" si="368"/>
        <v xml:space="preserve"> </v>
      </c>
      <c r="KJ121" s="47" t="str">
        <f t="shared" si="368"/>
        <v xml:space="preserve"> </v>
      </c>
      <c r="KK121" s="47" t="str">
        <f t="shared" si="368"/>
        <v xml:space="preserve"> </v>
      </c>
      <c r="KL121" s="57" t="str">
        <f t="shared" si="368"/>
        <v xml:space="preserve"> </v>
      </c>
      <c r="KM121" s="47" t="str">
        <f t="shared" si="368"/>
        <v xml:space="preserve"> </v>
      </c>
      <c r="KN121" s="47" t="str">
        <f t="shared" si="368"/>
        <v xml:space="preserve"> </v>
      </c>
      <c r="KO121" s="47" t="str">
        <f t="shared" si="368"/>
        <v xml:space="preserve"> </v>
      </c>
      <c r="KP121" s="47" t="str">
        <f t="shared" si="368"/>
        <v xml:space="preserve"> </v>
      </c>
      <c r="KQ121" s="47" t="str">
        <f t="shared" si="368"/>
        <v xml:space="preserve"> </v>
      </c>
      <c r="KR121" s="57" t="str">
        <f t="shared" si="368"/>
        <v xml:space="preserve"> </v>
      </c>
      <c r="KS121" s="47" t="str">
        <f t="shared" si="368"/>
        <v xml:space="preserve"> </v>
      </c>
      <c r="KT121" s="47" t="str">
        <f t="shared" si="368"/>
        <v xml:space="preserve"> </v>
      </c>
      <c r="KU121" s="47" t="str">
        <f t="shared" si="368"/>
        <v xml:space="preserve"> </v>
      </c>
      <c r="KV121" s="47" t="str">
        <f t="shared" si="368"/>
        <v xml:space="preserve"> </v>
      </c>
      <c r="KW121" s="47" t="str">
        <f t="shared" si="368"/>
        <v xml:space="preserve"> </v>
      </c>
      <c r="KX121" s="57" t="str">
        <f t="shared" si="368"/>
        <v xml:space="preserve"> </v>
      </c>
      <c r="KY121" s="47" t="str">
        <f t="shared" si="368"/>
        <v xml:space="preserve"> </v>
      </c>
      <c r="KZ121" s="47" t="str">
        <f t="shared" si="368"/>
        <v xml:space="preserve"> </v>
      </c>
      <c r="LA121" s="47" t="str">
        <f t="shared" si="368"/>
        <v xml:space="preserve"> </v>
      </c>
      <c r="LB121" s="47" t="str">
        <f t="shared" si="368"/>
        <v xml:space="preserve"> </v>
      </c>
      <c r="LC121" s="47" t="str">
        <f t="shared" si="368"/>
        <v xml:space="preserve"> </v>
      </c>
      <c r="LD121" s="57" t="str">
        <f t="shared" si="368"/>
        <v xml:space="preserve"> </v>
      </c>
      <c r="LE121" s="47" t="str">
        <f t="shared" si="368"/>
        <v xml:space="preserve"> </v>
      </c>
      <c r="LF121" s="47" t="str">
        <f t="shared" si="368"/>
        <v xml:space="preserve"> </v>
      </c>
      <c r="LG121" s="47" t="str">
        <f t="shared" si="368"/>
        <v xml:space="preserve"> </v>
      </c>
      <c r="LH121" s="47" t="str">
        <f t="shared" ref="LH121:NM121" si="369">IF(LH19="",LH122,$C121&amp;"("&amp;LH19&amp;"),"&amp;LH122)</f>
        <v xml:space="preserve"> </v>
      </c>
      <c r="LI121" s="47" t="str">
        <f t="shared" si="369"/>
        <v xml:space="preserve"> </v>
      </c>
      <c r="LJ121" s="57" t="str">
        <f t="shared" si="369"/>
        <v xml:space="preserve"> </v>
      </c>
      <c r="LK121" s="47" t="str">
        <f t="shared" si="369"/>
        <v xml:space="preserve"> </v>
      </c>
      <c r="LL121" s="47" t="str">
        <f t="shared" si="369"/>
        <v xml:space="preserve"> </v>
      </c>
      <c r="LM121" s="47" t="str">
        <f t="shared" si="369"/>
        <v xml:space="preserve"> </v>
      </c>
      <c r="LN121" s="47" t="str">
        <f t="shared" si="369"/>
        <v xml:space="preserve"> </v>
      </c>
      <c r="LO121" s="47" t="str">
        <f t="shared" si="369"/>
        <v xml:space="preserve"> </v>
      </c>
      <c r="LP121" s="57" t="str">
        <f t="shared" si="369"/>
        <v xml:space="preserve"> </v>
      </c>
      <c r="LQ121" s="47" t="str">
        <f t="shared" si="369"/>
        <v xml:space="preserve"> </v>
      </c>
      <c r="LR121" s="47" t="str">
        <f t="shared" si="369"/>
        <v xml:space="preserve"> </v>
      </c>
      <c r="LS121" s="47" t="str">
        <f t="shared" si="369"/>
        <v xml:space="preserve"> </v>
      </c>
      <c r="LT121" s="47" t="str">
        <f t="shared" si="369"/>
        <v xml:space="preserve"> </v>
      </c>
      <c r="LU121" s="47" t="str">
        <f t="shared" si="369"/>
        <v xml:space="preserve"> </v>
      </c>
      <c r="LV121" s="57" t="str">
        <f t="shared" si="369"/>
        <v xml:space="preserve"> </v>
      </c>
      <c r="LW121" s="47" t="str">
        <f t="shared" si="369"/>
        <v xml:space="preserve"> </v>
      </c>
      <c r="LX121" s="47" t="str">
        <f t="shared" si="369"/>
        <v xml:space="preserve"> </v>
      </c>
      <c r="LY121" s="47" t="str">
        <f t="shared" si="369"/>
        <v xml:space="preserve"> </v>
      </c>
      <c r="LZ121" s="47" t="str">
        <f t="shared" si="369"/>
        <v xml:space="preserve"> </v>
      </c>
      <c r="MA121" s="47" t="str">
        <f t="shared" si="369"/>
        <v xml:space="preserve"> </v>
      </c>
      <c r="MB121" s="57" t="str">
        <f t="shared" si="369"/>
        <v xml:space="preserve"> </v>
      </c>
      <c r="MC121" s="47" t="str">
        <f t="shared" si="369"/>
        <v xml:space="preserve"> </v>
      </c>
      <c r="MD121" s="47" t="str">
        <f t="shared" si="369"/>
        <v xml:space="preserve"> </v>
      </c>
      <c r="ME121" s="47" t="str">
        <f t="shared" si="369"/>
        <v xml:space="preserve"> </v>
      </c>
      <c r="MF121" s="47" t="str">
        <f t="shared" si="369"/>
        <v xml:space="preserve"> </v>
      </c>
      <c r="MG121" s="47" t="str">
        <f t="shared" si="369"/>
        <v xml:space="preserve"> </v>
      </c>
      <c r="MH121" s="57" t="str">
        <f t="shared" si="369"/>
        <v xml:space="preserve"> </v>
      </c>
      <c r="MI121" s="47" t="str">
        <f t="shared" si="369"/>
        <v xml:space="preserve"> </v>
      </c>
      <c r="MJ121" s="47" t="str">
        <f t="shared" si="369"/>
        <v xml:space="preserve"> </v>
      </c>
      <c r="MK121" s="47" t="str">
        <f t="shared" si="369"/>
        <v xml:space="preserve"> </v>
      </c>
      <c r="ML121" s="47" t="str">
        <f t="shared" si="369"/>
        <v xml:space="preserve"> </v>
      </c>
      <c r="MM121" s="47" t="str">
        <f t="shared" si="369"/>
        <v xml:space="preserve"> </v>
      </c>
      <c r="MN121" s="57" t="str">
        <f t="shared" si="369"/>
        <v xml:space="preserve"> </v>
      </c>
      <c r="MO121" s="47" t="str">
        <f t="shared" si="369"/>
        <v xml:space="preserve"> </v>
      </c>
      <c r="MP121" s="47" t="str">
        <f t="shared" si="369"/>
        <v xml:space="preserve"> </v>
      </c>
      <c r="MQ121" s="47" t="str">
        <f t="shared" si="369"/>
        <v xml:space="preserve"> </v>
      </c>
      <c r="MR121" s="47" t="str">
        <f t="shared" si="369"/>
        <v xml:space="preserve"> </v>
      </c>
      <c r="MS121" s="47" t="str">
        <f t="shared" si="369"/>
        <v xml:space="preserve"> </v>
      </c>
      <c r="MT121" s="57" t="str">
        <f t="shared" si="369"/>
        <v xml:space="preserve"> </v>
      </c>
      <c r="MU121" s="47" t="str">
        <f t="shared" si="369"/>
        <v xml:space="preserve"> </v>
      </c>
      <c r="MV121" s="47" t="str">
        <f t="shared" si="369"/>
        <v xml:space="preserve"> </v>
      </c>
      <c r="MW121" s="47" t="str">
        <f t="shared" si="369"/>
        <v xml:space="preserve"> </v>
      </c>
      <c r="MX121" s="47" t="str">
        <f t="shared" si="369"/>
        <v xml:space="preserve"> </v>
      </c>
      <c r="MY121" s="47" t="str">
        <f t="shared" si="369"/>
        <v xml:space="preserve"> </v>
      </c>
      <c r="MZ121" s="57" t="str">
        <f t="shared" si="369"/>
        <v xml:space="preserve"> </v>
      </c>
      <c r="NA121" s="47" t="str">
        <f t="shared" si="369"/>
        <v xml:space="preserve"> </v>
      </c>
      <c r="NB121" s="47" t="str">
        <f t="shared" si="369"/>
        <v xml:space="preserve"> </v>
      </c>
      <c r="NC121" s="47" t="str">
        <f t="shared" si="369"/>
        <v xml:space="preserve"> </v>
      </c>
      <c r="ND121" s="47" t="str">
        <f t="shared" si="369"/>
        <v xml:space="preserve"> </v>
      </c>
      <c r="NE121" s="47" t="str">
        <f t="shared" si="369"/>
        <v xml:space="preserve"> </v>
      </c>
      <c r="NF121" s="57" t="str">
        <f t="shared" si="369"/>
        <v xml:space="preserve"> </v>
      </c>
      <c r="NG121" s="47" t="str">
        <f t="shared" si="369"/>
        <v xml:space="preserve"> </v>
      </c>
      <c r="NH121" s="47" t="str">
        <f t="shared" si="369"/>
        <v xml:space="preserve"> </v>
      </c>
      <c r="NI121" s="47" t="str">
        <f t="shared" si="369"/>
        <v xml:space="preserve"> </v>
      </c>
      <c r="NJ121" s="47" t="str">
        <f t="shared" si="369"/>
        <v xml:space="preserve"> </v>
      </c>
      <c r="NK121" s="47" t="str">
        <f t="shared" si="369"/>
        <v xml:space="preserve"> </v>
      </c>
      <c r="NL121" s="57" t="str">
        <f t="shared" si="369"/>
        <v xml:space="preserve"> </v>
      </c>
      <c r="NM121" s="47" t="str">
        <f t="shared" si="369"/>
        <v xml:space="preserve"> </v>
      </c>
    </row>
    <row r="122" spans="3:377" ht="15.75" customHeight="1">
      <c r="C122" s="7" t="str">
        <f t="shared" si="296"/>
        <v>field knowledge</v>
      </c>
      <c r="D122" s="21" t="str">
        <f t="shared" si="169"/>
        <v xml:space="preserve">scale 1
 </v>
      </c>
      <c r="E122" s="21" t="str">
        <f t="shared" si="297"/>
        <v xml:space="preserve"> </v>
      </c>
      <c r="F122" s="21" t="str">
        <f t="shared" si="170"/>
        <v xml:space="preserve"> </v>
      </c>
      <c r="G122" s="21" t="str">
        <f t="shared" si="298"/>
        <v xml:space="preserve">enthusiasm(2), fun-ness(1), community manager(1), PR(1), fame(1), network(2), ease of access(1), reputation(2), social media(1),  </v>
      </c>
      <c r="H122" s="21" t="str">
        <f t="shared" si="299"/>
        <v xml:space="preserve"> </v>
      </c>
      <c r="I122" s="21" t="str">
        <f t="shared" ref="I122" si="370">IF(I20="",I123,$C122&amp;"("&amp;I20&amp;"),"&amp;I123)</f>
        <v xml:space="preserve"> </v>
      </c>
      <c r="J122" s="21" t="str">
        <f t="shared" si="172"/>
        <v xml:space="preserve">scale 1
interaction 1
 </v>
      </c>
      <c r="K122" s="21" t="str">
        <f t="shared" si="173"/>
        <v xml:space="preserve">reputation(1,75),  </v>
      </c>
      <c r="L122" s="21" t="str">
        <f t="shared" si="174"/>
        <v xml:space="preserve">reputation 75
 </v>
      </c>
      <c r="M122" s="21" t="str">
        <f t="shared" si="175"/>
        <v xml:space="preserve">PR(1), portfolio(1), social innovation(1), non-profit biz(1),  </v>
      </c>
      <c r="N122" s="21" t="str">
        <f t="shared" si="176"/>
        <v xml:space="preserve">seriousness(1,25), non-profits(1,12.5), reputation(1,75), marketing(1,12.5),  </v>
      </c>
      <c r="O122" s="21" t="str">
        <f t="shared" si="177"/>
        <v xml:space="preserve">seriousness(25),non-profits(12.5),reputation(75),marketing(12.5), </v>
      </c>
      <c r="P122" s="21" t="str">
        <f t="shared" si="172"/>
        <v xml:space="preserve">scale 1
biz project 1
 </v>
      </c>
      <c r="Q122" s="21" t="str">
        <f t="shared" si="178"/>
        <v xml:space="preserve"> </v>
      </c>
      <c r="R122" s="21" t="str">
        <f t="shared" si="174"/>
        <v xml:space="preserve"> </v>
      </c>
      <c r="S122" s="21" t="str">
        <f t="shared" si="179"/>
        <v xml:space="preserve">portfolio(1), biz enhancement(1), business(1), start-up(1),  </v>
      </c>
      <c r="T122" s="21" t="str">
        <f t="shared" si="180"/>
        <v xml:space="preserve">seriousness(1,25), local biz(1,6.25), investors(1,6.25), reputation(1,6.25),  </v>
      </c>
      <c r="U122" s="21" t="str">
        <f t="shared" si="177"/>
        <v xml:space="preserve">seriousness(25),local biz(6.25),investors(6.25),reputation(6.25), </v>
      </c>
      <c r="V122" s="21" t="str">
        <f t="shared" si="172"/>
        <v xml:space="preserve">scale 1
 </v>
      </c>
      <c r="W122" s="21" t="str">
        <f t="shared" si="181"/>
        <v xml:space="preserve">local biz(1,),  </v>
      </c>
      <c r="X122" s="21" t="str">
        <f t="shared" si="174"/>
        <v xml:space="preserve"> </v>
      </c>
      <c r="Y122" s="21" t="str">
        <f t="shared" si="182"/>
        <v xml:space="preserve">enthusiasm(1), attention to details(1), PR(1), network(1), ease of access(1), reputation(1), portfolio(1), biz project(1), biz enhancement(1), job creation(1), business(1),  </v>
      </c>
      <c r="Z122" s="21" t="str">
        <f t="shared" si="183"/>
        <v xml:space="preserve">local biz(1,6.25),  </v>
      </c>
      <c r="AA122" s="21" t="str">
        <f t="shared" si="177"/>
        <v xml:space="preserve">local biz(6.25), </v>
      </c>
      <c r="AB122" s="21" t="str">
        <f t="shared" si="172"/>
        <v xml:space="preserve">scale 1
 </v>
      </c>
      <c r="AC122" s="21" t="str">
        <f t="shared" si="184"/>
        <v xml:space="preserve">non-profits(1,100),  </v>
      </c>
      <c r="AD122" s="21" t="str">
        <f t="shared" si="174"/>
        <v xml:space="preserve">non-profits 100
 </v>
      </c>
      <c r="AE122" s="21" t="str">
        <f t="shared" si="185"/>
        <v xml:space="preserve">enthusiasm(1), attention to details(1), PR(1), network(1), ease of access(1), reputation(1), portfolio(1), social project(1), social innovation(1), non-profit biz(1),  </v>
      </c>
      <c r="AF122" s="21" t="str">
        <f t="shared" si="186"/>
        <v xml:space="preserve">seriousness(1,6.25), non-profits(1,6.25),  </v>
      </c>
      <c r="AG122" s="21" t="str">
        <f t="shared" si="177"/>
        <v xml:space="preserve">seriousness(6.25),non-profits(6.25), </v>
      </c>
      <c r="AH122" s="21" t="str">
        <f t="shared" si="172"/>
        <v xml:space="preserve">scale 1
 </v>
      </c>
      <c r="AI122" s="21" t="str">
        <f t="shared" si="187"/>
        <v xml:space="preserve">govt(1,),  </v>
      </c>
      <c r="AJ122" s="21" t="str">
        <f t="shared" si="174"/>
        <v xml:space="preserve"> </v>
      </c>
      <c r="AK122" s="21" t="str">
        <f t="shared" si="188"/>
        <v xml:space="preserve">enthusiasm(1), attention to details(1), seriousness(1), fame(1), network(1), govt(1), ease of access(1), reputation(2), portfolio(1), social project(1), social innovation(1), non-profit biz(1),  </v>
      </c>
      <c r="AL122" s="21" t="str">
        <f t="shared" si="189"/>
        <v xml:space="preserve">govt(1,6.25),  </v>
      </c>
      <c r="AM122" s="21" t="str">
        <f t="shared" si="177"/>
        <v xml:space="preserve">govt(6.25), </v>
      </c>
      <c r="AN122" s="21" t="str">
        <f t="shared" si="172"/>
        <v xml:space="preserve">gifted leader 1
scale 1
enthusiasm 1
 </v>
      </c>
      <c r="AO122" s="21" t="str">
        <f t="shared" si="190"/>
        <v xml:space="preserve">fame(1,), network(1,), investors(1,6.25),  </v>
      </c>
      <c r="AP122" s="21" t="str">
        <f t="shared" si="174"/>
        <v xml:space="preserve">investors 6.25
 </v>
      </c>
      <c r="AQ122" s="21" t="str">
        <f t="shared" si="191"/>
        <v xml:space="preserve">investors(1), ease of access(1), reputation(1), portfolio(1), start-up(1), start-up with mvp(1), start-up with customers(1),  </v>
      </c>
      <c r="AR122" s="21" t="str">
        <f t="shared" si="192"/>
        <v xml:space="preserve"> </v>
      </c>
      <c r="AS122" s="21" t="str">
        <f t="shared" si="177"/>
        <v xml:space="preserve"> </v>
      </c>
      <c r="AT122" s="21" t="str">
        <f t="shared" si="172"/>
        <v xml:space="preserve">scale 2
enthusiasm 1
seriousness 1
administrator 1
non-profits 2
reputation 1
portfolio 1
social project 1
 </v>
      </c>
      <c r="AU122" s="21" t="str">
        <f t="shared" si="193"/>
        <v xml:space="preserve">ambition(1,), attention to details(1,),  </v>
      </c>
      <c r="AV122" s="21" t="str">
        <f t="shared" si="174"/>
        <v xml:space="preserve"> </v>
      </c>
      <c r="AW122" s="21" t="str">
        <f t="shared" si="194"/>
        <v xml:space="preserve">field knowledge(1), enthusiasm(3), PR(2), administrator(1), project management(2),  </v>
      </c>
      <c r="AX122" s="21" t="str">
        <f t="shared" si="195"/>
        <v xml:space="preserve">organizational rules and manuals(1,12.5), project management(1,12.5),  </v>
      </c>
      <c r="AY122" s="21" t="str">
        <f t="shared" si="177"/>
        <v xml:space="preserve">organizational rules and manuals(12.5),project management(12.5), </v>
      </c>
      <c r="AZ122" s="21" t="str">
        <f t="shared" si="172"/>
        <v xml:space="preserve">scale 1
enthusiasm 1
non-profits 1
 </v>
      </c>
      <c r="BA122" s="21" t="str">
        <f t="shared" si="196"/>
        <v xml:space="preserve"> </v>
      </c>
      <c r="BB122" s="21" t="str">
        <f t="shared" si="174"/>
        <v xml:space="preserve"> </v>
      </c>
      <c r="BC122" s="21" t="str">
        <f t="shared" si="197"/>
        <v xml:space="preserve"> </v>
      </c>
      <c r="BD122" s="21" t="str">
        <f t="shared" si="198"/>
        <v xml:space="preserve"> </v>
      </c>
      <c r="BE122" s="21" t="str">
        <f t="shared" si="177"/>
        <v xml:space="preserve"> </v>
      </c>
      <c r="BF122" s="21" t="str">
        <f t="shared" si="172"/>
        <v xml:space="preserve">scale 2
enthusiasm 1
seriousness 1
administrator 1
local biz 2
entrepreneurs 1
reputation 1
portfolio 1
biz project 1
 </v>
      </c>
      <c r="BG122" s="21" t="str">
        <f t="shared" si="199"/>
        <v xml:space="preserve">ambition(1,), attention to details(1,),  </v>
      </c>
      <c r="BH122" s="21" t="str">
        <f t="shared" si="174"/>
        <v xml:space="preserve"> </v>
      </c>
      <c r="BI122" s="21" t="str">
        <f t="shared" si="200"/>
        <v xml:space="preserve">field knowledge(1), enthusiasm(3), PR(2), administrator(1), project management(2),  </v>
      </c>
      <c r="BJ122" s="21" t="str">
        <f t="shared" si="201"/>
        <v xml:space="preserve">organizational rules and manuals(1,12.5), project management(1,12.5),  </v>
      </c>
      <c r="BK122" s="21" t="str">
        <f t="shared" si="177"/>
        <v xml:space="preserve">organizational rules and manuals(12.5),project management(12.5), </v>
      </c>
      <c r="BL122" s="21" t="str">
        <f t="shared" si="172"/>
        <v xml:space="preserve">scale 1
enthusiasm 1
local biz 1
reputation 1
portfolio 1
biz enhancement 1
 </v>
      </c>
      <c r="BM122" s="21" t="str">
        <f t="shared" si="202"/>
        <v xml:space="preserve"> </v>
      </c>
      <c r="BN122" s="21" t="str">
        <f t="shared" si="174"/>
        <v xml:space="preserve"> </v>
      </c>
      <c r="BO122" s="21" t="str">
        <f t="shared" si="203"/>
        <v xml:space="preserve"> </v>
      </c>
      <c r="BP122" s="21" t="str">
        <f t="shared" si="204"/>
        <v xml:space="preserve"> </v>
      </c>
      <c r="BQ122" s="21" t="str">
        <f t="shared" si="177"/>
        <v xml:space="preserve"> </v>
      </c>
      <c r="BR122" s="21" t="str">
        <f t="shared" si="172"/>
        <v xml:space="preserve"> </v>
      </c>
      <c r="BS122" s="21" t="str">
        <f t="shared" si="205"/>
        <v xml:space="preserve"> </v>
      </c>
      <c r="BT122" s="21" t="str">
        <f t="shared" si="174"/>
        <v xml:space="preserve"> </v>
      </c>
      <c r="BU122" s="21" t="str">
        <f t="shared" si="206"/>
        <v xml:space="preserve"> </v>
      </c>
      <c r="BV122" s="21" t="str">
        <f t="shared" si="207"/>
        <v xml:space="preserve"> </v>
      </c>
      <c r="BW122" s="21" t="str">
        <f t="shared" si="177"/>
        <v xml:space="preserve"> </v>
      </c>
      <c r="BX122" s="21" t="str">
        <f t="shared" si="208"/>
        <v xml:space="preserve">scale 1
network 1
 </v>
      </c>
      <c r="BY122" s="21" t="str">
        <f t="shared" si="209"/>
        <v xml:space="preserve">efficiency(1,),  </v>
      </c>
      <c r="BZ122" s="21" t="str">
        <f t="shared" si="210"/>
        <v xml:space="preserve"> </v>
      </c>
      <c r="CA122" s="21" t="str">
        <f t="shared" si="211"/>
        <v xml:space="preserve">scale(2), enthusiasm(1), attention to details(1), administrator(1), negotiation(1),  </v>
      </c>
      <c r="CB122" s="21" t="str">
        <f t="shared" si="212"/>
        <v xml:space="preserve">user rules and manuals(1,50), organizational rules and manuals(1,50),  </v>
      </c>
      <c r="CC122" s="21" t="str">
        <f t="shared" si="213"/>
        <v xml:space="preserve">user rules and manuals(50),organizational rules and manuals(50), </v>
      </c>
      <c r="CD122" s="21" t="str">
        <f t="shared" si="208"/>
        <v xml:space="preserve">scale 1
enthusiasm 1
network 1
 </v>
      </c>
      <c r="CE122" s="21" t="str">
        <f t="shared" si="214"/>
        <v xml:space="preserve">field knowledge(1,), non-profits(1,),  </v>
      </c>
      <c r="CF122" s="21" t="str">
        <f t="shared" si="210"/>
        <v xml:space="preserve"> </v>
      </c>
      <c r="CG122" s="21" t="str">
        <f t="shared" si="215"/>
        <v xml:space="preserve">fun-ness(1), seriousness(1), ease of access(1), portfolio(1), user rules and manuals(1), negotiation(1), social project(1), biz project(1), for basic literacy(1), for the elites(1), for entrepreneurs(1),  </v>
      </c>
      <c r="CH122" s="21" t="str">
        <f t="shared" si="216"/>
        <v xml:space="preserve">technologists(1,6.25), non-profits(1,6.25),  </v>
      </c>
      <c r="CI122" s="21" t="str">
        <f t="shared" si="213"/>
        <v xml:space="preserve">technologists(6.25),non-profits(6.25), </v>
      </c>
      <c r="CJ122" s="21" t="str">
        <f t="shared" si="208"/>
        <v xml:space="preserve">scale 1
 </v>
      </c>
      <c r="CK122" s="21" t="str">
        <f t="shared" si="217"/>
        <v xml:space="preserve">suppliers(1,),  </v>
      </c>
      <c r="CL122" s="21" t="str">
        <f t="shared" si="210"/>
        <v xml:space="preserve"> </v>
      </c>
      <c r="CM122" s="21" t="str">
        <f t="shared" si="218"/>
        <v xml:space="preserve">reputation(1), negotiation(1),  </v>
      </c>
      <c r="CN122" s="21" t="str">
        <f t="shared" si="219"/>
        <v xml:space="preserve">engineering knowledge(1,), enthusiasm(2,), efficiency(1,6.25),  </v>
      </c>
      <c r="CO122" s="21" t="str">
        <f t="shared" si="213"/>
        <v xml:space="preserve">efficiency(6.25), </v>
      </c>
      <c r="CP122" s="21" t="str">
        <f t="shared" si="208"/>
        <v xml:space="preserve">scale 1
 </v>
      </c>
      <c r="CQ122" s="21" t="str">
        <f t="shared" si="220"/>
        <v xml:space="preserve">technologists(1,),  </v>
      </c>
      <c r="CR122" s="21" t="str">
        <f t="shared" si="210"/>
        <v xml:space="preserve"> </v>
      </c>
      <c r="CS122" s="21" t="str">
        <f t="shared" si="221"/>
        <v xml:space="preserve">engineering knowledge(2), gifted programmer(2), enthusiasm(1), network(1), portfolio(1), negotiation(1), web(1), infrastructrue(1), database(1), mobile apps(1), sensors(1), security(1), AI&amp; data analysis(1), mobile comm(1), VR&amp;AR(1), wood processing(1), metal processing(1), plastic processing(1), electronics(1), fabric(1),  </v>
      </c>
      <c r="CT122" s="21" t="str">
        <f t="shared" si="222"/>
        <v xml:space="preserve">engineering knowledge(1,6.25), efficiency(1,6.25),  </v>
      </c>
      <c r="CU122" s="21" t="str">
        <f t="shared" si="213"/>
        <v xml:space="preserve">engineering knowledge(6.25),efficiency(6.25), </v>
      </c>
      <c r="CV122" s="21" t="str">
        <f t="shared" si="208"/>
        <v xml:space="preserve">scale 1
 </v>
      </c>
      <c r="CW122" s="21" t="str">
        <f t="shared" si="223"/>
        <v xml:space="preserve">local biz(1,),  </v>
      </c>
      <c r="CX122" s="21" t="str">
        <f t="shared" si="210"/>
        <v xml:space="preserve"> </v>
      </c>
      <c r="CY122" s="21" t="str">
        <f t="shared" si="224"/>
        <v xml:space="preserve">ease of access(1), reputation(1), portfolio(1), negotiation(1),  </v>
      </c>
      <c r="CZ122" s="21" t="str">
        <f t="shared" si="225"/>
        <v xml:space="preserve">non-profits(1,6.25),  </v>
      </c>
      <c r="DA122" s="21" t="str">
        <f t="shared" si="213"/>
        <v xml:space="preserve">non-profits(6.25), </v>
      </c>
      <c r="DB122" s="21" t="str">
        <f t="shared" si="208"/>
        <v xml:space="preserve"> </v>
      </c>
      <c r="DC122" s="21" t="str">
        <f t="shared" si="226"/>
        <v xml:space="preserve"> </v>
      </c>
      <c r="DD122" s="21" t="str">
        <f t="shared" si="210"/>
        <v xml:space="preserve"> </v>
      </c>
      <c r="DE122"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2" s="21" t="str">
        <f t="shared" si="228"/>
        <v xml:space="preserve">network(1,), local biz(1,6.25), biz group(1,6.25), investors(1,6.25), entrepreneurs(1,6.25),  </v>
      </c>
      <c r="DG122" s="21" t="str">
        <f t="shared" si="213"/>
        <v xml:space="preserve">local biz(6.25),biz group(6.25),investors(6.25),entrepreneurs(6.25), </v>
      </c>
      <c r="DH122" s="21" t="str">
        <f t="shared" si="208"/>
        <v xml:space="preserve">scale 1
enthusiasm 1
network 1
non-profits 1
reputation 1
social project 1
 </v>
      </c>
      <c r="DI122" s="21" t="str">
        <f t="shared" si="229"/>
        <v xml:space="preserve"> </v>
      </c>
      <c r="DJ122" s="21" t="str">
        <f t="shared" si="210"/>
        <v xml:space="preserve"> </v>
      </c>
      <c r="DK122" s="21" t="str">
        <f t="shared" si="230"/>
        <v xml:space="preserve">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2" s="21" t="str">
        <f t="shared" si="231"/>
        <v xml:space="preserve">field knowledge(1,12.5), network among members(1,12.5), reputation(1,6.25),  </v>
      </c>
      <c r="DM122" s="21" t="str">
        <f t="shared" si="213"/>
        <v xml:space="preserve">field knowledge(12.5),network among members(12.5),reputation(6.25), </v>
      </c>
      <c r="DN122" s="21" t="str">
        <f t="shared" si="208"/>
        <v xml:space="preserve">scale 1
enthusiasm 1
network 1
local biz 1
reputation 1
biz project 1
 </v>
      </c>
      <c r="DO122" s="21" t="str">
        <f t="shared" si="232"/>
        <v xml:space="preserve"> </v>
      </c>
      <c r="DP122" s="21" t="str">
        <f t="shared" si="210"/>
        <v xml:space="preserve"> </v>
      </c>
      <c r="DQ122" s="21" t="str">
        <f t="shared" si="233"/>
        <v xml:space="preserve">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2" s="21" t="str">
        <f t="shared" si="234"/>
        <v xml:space="preserve">field knowledge(1,12.5), network among members(1,12.5), reputation(1,6.25),  </v>
      </c>
      <c r="DS122" s="21" t="str">
        <f t="shared" si="213"/>
        <v xml:space="preserve">field knowledge(12.5),network among members(12.5),reputation(6.25), </v>
      </c>
      <c r="DT122" s="21" t="str">
        <f t="shared" si="208"/>
        <v xml:space="preserve">scale 1
enthusiasm 1
network 1
reputation 1
 </v>
      </c>
      <c r="DU122" s="21" t="str">
        <f t="shared" si="235"/>
        <v xml:space="preserve"> </v>
      </c>
      <c r="DV122" s="21" t="str">
        <f t="shared" si="210"/>
        <v xml:space="preserve"> </v>
      </c>
      <c r="DW122" s="21" t="str">
        <f t="shared" si="236"/>
        <v xml:space="preserve">field knowledge(2), 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2" s="21" t="str">
        <f t="shared" si="237"/>
        <v xml:space="preserve">field knowledge(1,6.25), engineering knowledge(1,6.25), ambition(1,6.25), reputation(1,6.25), for basic literacy(1,6.25),  </v>
      </c>
      <c r="DY122" s="21" t="str">
        <f t="shared" si="213"/>
        <v xml:space="preserve">field knowledge(6.25),engineering knowledge(6.25),ambition(6.25),reputation(6.25),for basic literacy(6.25), </v>
      </c>
      <c r="DZ122" s="21" t="str">
        <f t="shared" si="208"/>
        <v xml:space="preserve">scale 1
enthusiasm 1
network 1
reputation 1
 </v>
      </c>
      <c r="EA122" s="21" t="str">
        <f t="shared" si="238"/>
        <v xml:space="preserve"> </v>
      </c>
      <c r="EB122" s="21" t="str">
        <f t="shared" si="210"/>
        <v xml:space="preserve"> </v>
      </c>
      <c r="EC122" s="21" t="str">
        <f t="shared" si="239"/>
        <v xml:space="preserve">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2" s="21" t="str">
        <f t="shared" si="240"/>
        <v xml:space="preserve">engineering knowledge(1,6.25), ambition(1,6.25), reputation(1,6.25), for basic literacy(1,6.25),  </v>
      </c>
      <c r="EE122" s="21" t="str">
        <f t="shared" si="213"/>
        <v xml:space="preserve">engineering knowledge(6.25),ambition(6.25),reputation(6.25),for basic literacy(6.25), </v>
      </c>
      <c r="EF122" s="21" t="str">
        <f t="shared" si="208"/>
        <v xml:space="preserve">technologists 1
reputation 1
 </v>
      </c>
      <c r="EG122" s="21" t="str">
        <f t="shared" si="241"/>
        <v xml:space="preserve">web(1,50), mobile apps(1,50), interaction(1,50),  </v>
      </c>
      <c r="EH122" s="21" t="str">
        <f t="shared" si="210"/>
        <v xml:space="preserve">web 50
mobile apps 50
interaction 50
 </v>
      </c>
      <c r="EI122"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2" s="21" t="str">
        <f t="shared" si="243"/>
        <v xml:space="preserve">engineering knowledge(1,6.25), technologists(1,12.5), infrastructrue(1,12.5), database(1,12.5), mobile comm(1,12.5), for entrepreneurs(1,6.25),  </v>
      </c>
      <c r="EK122" s="21" t="str">
        <f t="shared" si="213"/>
        <v xml:space="preserve">engineering knowledge(6.25),technologists(12.5),infrastructrue(12.5),database(12.5),mobile comm(12.5),for entrepreneurs(6.25), </v>
      </c>
      <c r="EL122" s="21" t="str">
        <f t="shared" si="244"/>
        <v xml:space="preserve">technologists 1
reputation 1
 </v>
      </c>
      <c r="EM122" s="21" t="str">
        <f t="shared" si="245"/>
        <v xml:space="preserve">sensors(1,50),  </v>
      </c>
      <c r="EN122" s="21" t="str">
        <f t="shared" si="246"/>
        <v xml:space="preserve">sensors 50
 </v>
      </c>
      <c r="EO122"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2" s="21" t="str">
        <f t="shared" si="248"/>
        <v xml:space="preserve">engineering knowledge(1,6.25), technologists(1,12.5), infrastructrue(1,12.5), database(1,12.5), mobile comm(1,12.5), electronics(1,6.25), for entrepreneurs(1,6.25),  </v>
      </c>
      <c r="EQ122" s="21" t="str">
        <f t="shared" si="249"/>
        <v xml:space="preserve">engineering knowledge(6.25),technologists(12.5),infrastructrue(12.5),database(12.5),mobile comm(12.5),electronics(6.25),for entrepreneurs(6.25), </v>
      </c>
      <c r="ER122" s="21" t="str">
        <f t="shared" si="244"/>
        <v xml:space="preserve">technologists 1
 </v>
      </c>
      <c r="ES122" s="21" t="str">
        <f t="shared" si="250"/>
        <v xml:space="preserve">AI&amp; data analysis(1,50),  </v>
      </c>
      <c r="ET122" s="21" t="str">
        <f t="shared" si="246"/>
        <v xml:space="preserve">AI&amp; data analysis 50
 </v>
      </c>
      <c r="EU122"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2" s="21" t="str">
        <f t="shared" si="252"/>
        <v xml:space="preserve">engineering knowledge(1,6.25), technologists(1,12.5), database(1,12.5), sensors(1,12.5), mobile comm(1,12.5), for entrepreneurs(1,6.25),  </v>
      </c>
      <c r="EW122" s="21" t="str">
        <f t="shared" si="249"/>
        <v xml:space="preserve">engineering knowledge(6.25),technologists(12.5),database(12.5),sensors(12.5),mobile comm(12.5),for entrepreneurs(6.25), </v>
      </c>
      <c r="EX122" s="21" t="str">
        <f t="shared" si="244"/>
        <v xml:space="preserve">technologists 1
 </v>
      </c>
      <c r="EY122" s="21" t="str">
        <f t="shared" si="253"/>
        <v xml:space="preserve">law(1,50), security(1,50), interaction(1,25),  </v>
      </c>
      <c r="EZ122" s="21" t="str">
        <f t="shared" si="246"/>
        <v xml:space="preserve">law 50
security 50
interaction 25
 </v>
      </c>
      <c r="FA122" s="21" t="str">
        <f t="shared" si="254"/>
        <v xml:space="preserve">gifted programmer(1), scale(2), enthusiasm(2), seriousness(2), initiative(1), community manager(1), administrator(1), enthusiasm(1), fame(1), network(2), level of understanding(1), technologists(2), ease of access(1), reputation(2), law(2), for entrepreneurs(1),  </v>
      </c>
      <c r="FB122" s="21" t="str">
        <f t="shared" si="255"/>
        <v xml:space="preserve">field knowledge(1,6.25), engineering knowledge(1,6.25), technologists(1,12.5), law(1,6.25), database(1,12.5), mobile apps(1,12.5), security(1,12.5), mobile comm(1,12.5), for entrepreneurs(1,6.25),  </v>
      </c>
      <c r="FC122" s="21" t="str">
        <f t="shared" si="249"/>
        <v xml:space="preserve">field knowledge(6.25),engineering knowledge(6.25),technologists(12.5),law(6.25),database(12.5),mobile apps(12.5),security(12.5),mobile comm(12.5),for entrepreneurs(6.25), </v>
      </c>
      <c r="FD122" s="21" t="str">
        <f t="shared" si="244"/>
        <v xml:space="preserve">technologists 1
 </v>
      </c>
      <c r="FE122" s="21" t="str">
        <f t="shared" si="256"/>
        <v xml:space="preserve">law(1,50), sensors(1,50), security(1,50),  </v>
      </c>
      <c r="FF122" s="21" t="str">
        <f t="shared" si="246"/>
        <v xml:space="preserve">law 50
sensors 50
security 50
 </v>
      </c>
      <c r="FG122"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2" s="21" t="str">
        <f t="shared" si="258"/>
        <v xml:space="preserve">field knowledge(1,6.25), engineering knowledge(1,6.25), technologists(1,12.5), law(1,6.25), database(1,6.25), mobile apps(1,6.25), AI&amp; data analysis(1,6.25), mobile comm(1,6.25), for entrepreneurs(1,6.25),  </v>
      </c>
      <c r="FI122" s="21" t="str">
        <f t="shared" si="249"/>
        <v xml:space="preserve">field knowledge(6.25),engineering knowledge(6.25),technologists(12.5),law(6.25),database(6.25),mobile apps(6.25),AI&amp; data analysis(6.25),mobile comm(6.25),for entrepreneurs(6.25), </v>
      </c>
      <c r="FJ122" s="21" t="str">
        <f t="shared" si="244"/>
        <v xml:space="preserve">technologists 1
 </v>
      </c>
      <c r="FK122" s="21" t="str">
        <f t="shared" si="259"/>
        <v xml:space="preserve">wood processing(1,25), metal processing(1,25), plastic processing(1,25), fabric(1,25), safety(1,25), interaction(1,25),  </v>
      </c>
      <c r="FL122" s="21" t="str">
        <f t="shared" si="246"/>
        <v xml:space="preserve">project management 2
wood processing 25
metal processing 25
plastic processing 25
fabric 25
safety 25
interaction 25
 </v>
      </c>
      <c r="FM122" s="21" t="str">
        <f t="shared" si="260"/>
        <v xml:space="preserve">gifted programmer(1), scale(2), enthusiasm(2), seriousness(2), initiative(1), community manager(1), administrator(1), enthusiasm(1), fame(1), network(2), level of understanding(1), technologists(2), spaciousness(1), ease of access(1), reputation(2), for entrepreneurs(1),  </v>
      </c>
      <c r="FN122" s="21" t="str">
        <f t="shared" si="261"/>
        <v xml:space="preserve">field knowledge(1,6.25), engineering knowledge(1,6.25), technologists(1,12.5), for entrepreneurs(1,6.25),  </v>
      </c>
      <c r="FO122" s="21" t="str">
        <f t="shared" si="249"/>
        <v xml:space="preserve">field knowledge(6.25),engineering knowledge(6.25),technologists(12.5),for entrepreneurs(6.25), </v>
      </c>
      <c r="FP122" s="21" t="str">
        <f t="shared" si="244"/>
        <v xml:space="preserve">technologists 1
 </v>
      </c>
      <c r="FQ122" s="21" t="str">
        <f t="shared" si="262"/>
        <v xml:space="preserve">web(1,25), mobile apps(1,50), functions(1,25), interaction(1,25),  </v>
      </c>
      <c r="FR122" s="21" t="str">
        <f t="shared" si="246"/>
        <v xml:space="preserve">web 25
mobile apps 50
functions 25
interaction 25
 </v>
      </c>
      <c r="FS122" s="21" t="str">
        <f t="shared" si="263"/>
        <v xml:space="preserve">gifted programmer(1), scale(2), enthusiasm(2), seriousness(2), initiative(1), community manager(1), administrator(1), enthusiasm(1), fame(1), network(2), level of understanding(1), technologists(2), spaciousness(1), ease of access(1), reputation(2), for entrepreneurs(1),  </v>
      </c>
      <c r="FT122" s="21" t="str">
        <f t="shared" si="264"/>
        <v xml:space="preserve">field knowledge(1,6.25), engineering knowledge(1,6.25), technologists(1,12.5), for entrepreneurs(1,6.25),  </v>
      </c>
      <c r="FU122" s="21" t="str">
        <f t="shared" si="249"/>
        <v xml:space="preserve">field knowledge(6.25),engineering knowledge(6.25),technologists(12.5),for entrepreneurs(6.25), </v>
      </c>
      <c r="FV122" s="21" t="str">
        <f t="shared" si="244"/>
        <v xml:space="preserve">technologists 1
 </v>
      </c>
      <c r="FW122" s="21" t="str">
        <f t="shared" si="265"/>
        <v xml:space="preserve">mobile apps(1,50), sensors(1,50), wood processing(1,25), plastic processing(1,25), electronics(1,25), functions(1,25), interaction(1,25),  </v>
      </c>
      <c r="FX122" s="21" t="str">
        <f t="shared" si="246"/>
        <v xml:space="preserve">mobile apps 50
sensors 50
wood processing 25
plastic processing 25
electronics 25
functions 25
interaction 25
 </v>
      </c>
      <c r="FY122"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2" s="21" t="str">
        <f t="shared" si="267"/>
        <v xml:space="preserve">field knowledge(1,6.25), engineering knowledge(1,6.25), technologists(1,12.5), web(1,6.25), database(1,6.25), AI&amp; data analysis(1,6.25), mobile comm(1,6.25), for entrepreneurs(1,6.25),  </v>
      </c>
      <c r="GA122" s="21" t="str">
        <f t="shared" si="249"/>
        <v xml:space="preserve">field knowledge(6.25),engineering knowledge(6.25),technologists(12.5),web(6.25),database(6.25),AI&amp; data analysis(6.25),mobile comm(6.25),for entrepreneurs(6.25), </v>
      </c>
      <c r="GB122" s="21" t="str">
        <f t="shared" si="244"/>
        <v xml:space="preserve">technologists 1
 </v>
      </c>
      <c r="GC122" s="21" t="str">
        <f t="shared" si="268"/>
        <v xml:space="preserve">sensors(1,25), mobile comm(1,25), electronics(1,50), functions(1,25), safety(1,25),  </v>
      </c>
      <c r="GD122" s="21" t="str">
        <f t="shared" si="246"/>
        <v xml:space="preserve">sensors 25
mobile comm 25
electronics 50
functions 25
safety 25
 </v>
      </c>
      <c r="GE122"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2" s="21" t="str">
        <f t="shared" si="270"/>
        <v xml:space="preserve">field knowledge(1,6.25), engineering knowledge(1,6.25), technologists(1,12.5), database(1,6.25), mobile apps(1,6.25), AI&amp; data analysis(1,6.25), plastic processing(1,6.25), interaction(1,6.25), for entrepreneurs(1,6.25),  </v>
      </c>
      <c r="GG122" s="21" t="str">
        <f t="shared" si="249"/>
        <v xml:space="preserve">field knowledge(6.25),engineering knowledge(6.25),technologists(12.5),database(6.25),mobile apps(6.25),AI&amp; data analysis(6.25),plastic processing(6.25),interaction(6.25),for entrepreneurs(6.25), </v>
      </c>
      <c r="GH122" s="21" t="str">
        <f t="shared" si="244"/>
        <v xml:space="preserve">technologists 1
 </v>
      </c>
      <c r="GI122" s="21" t="str">
        <f t="shared" si="271"/>
        <v xml:space="preserve">web(1,25), mobile apps(1,50), functions(1,25), interaction(1,25),  </v>
      </c>
      <c r="GJ122" s="21" t="str">
        <f t="shared" si="246"/>
        <v xml:space="preserve">web 25
mobile apps 50
functions 25
interaction 25
 </v>
      </c>
      <c r="GK122"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2" s="21" t="str">
        <f t="shared" si="273"/>
        <v xml:space="preserve">field knowledge(1,6.25), engineering knowledge(1,6.25), technologists(1,12.5), for entrepreneurs(1,6.25),  </v>
      </c>
      <c r="GM122" s="21" t="str">
        <f t="shared" si="249"/>
        <v xml:space="preserve">field knowledge(6.25),engineering knowledge(6.25),technologists(12.5),for entrepreneurs(6.25), </v>
      </c>
      <c r="GN122" s="21" t="str">
        <f t="shared" si="244"/>
        <v xml:space="preserve">technologists 1
 </v>
      </c>
      <c r="GO122" s="21" t="str">
        <f t="shared" si="274"/>
        <v xml:space="preserve">web(1,25), mobile apps(1,25), VR&amp;AR(1,25), aesthetics(1,25), functions(1,25), interaction(1,50),  </v>
      </c>
      <c r="GP122" s="21" t="str">
        <f t="shared" si="246"/>
        <v xml:space="preserve">web 25
mobile apps 25
VR&amp;AR 25
aesthetics 25
functions 25
interaction 50
 </v>
      </c>
      <c r="GQ122"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2" s="21" t="str">
        <f t="shared" si="276"/>
        <v xml:space="preserve">field knowledge(1,6.25), technologists(1,12.5), for entrepreneurs(1,6.25),  </v>
      </c>
      <c r="GS122" s="21" t="str">
        <f t="shared" si="249"/>
        <v xml:space="preserve">field knowledge(6.25),technologists(12.5),for entrepreneurs(6.25), </v>
      </c>
      <c r="GT122" s="21" t="str">
        <f t="shared" si="244"/>
        <v xml:space="preserve">scale 2
ease of access 1
reputation 2
web 1
mobile apps 1
mobile comm 1
 </v>
      </c>
      <c r="GU122" s="21" t="str">
        <f t="shared" si="277"/>
        <v xml:space="preserve"> </v>
      </c>
      <c r="GV122" s="21" t="str">
        <f t="shared" si="246"/>
        <v xml:space="preserve"> </v>
      </c>
      <c r="GW122" s="21" t="str">
        <f t="shared" si="278"/>
        <v xml:space="preserve">field knowledge(2), 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2" s="21" t="str">
        <f t="shared" si="279"/>
        <v xml:space="preserve">field knowledge(1,6.25), engineering knowledge(1,6.25), network among members(1,6.25), gifted leader(1,6.25), gifted programmer(1,6.25), enthusiasm(1,6.25), media(1,6.25), entrepreneurs(1,6.25), technologists(1,6.25), project management(1,6.25), social media(1,6.25), web(1,6.25), mobile apps(1,6.25),  </v>
      </c>
      <c r="GY122" s="21" t="str">
        <f t="shared" si="249"/>
        <v xml:space="preserve">field knowledge(6.25),engineering knowledge(6.25),network among members(6.25),gifted leader(6.25),gifted programmer(6.25),enthusiasm(6.25),media(6.25),entrepreneurs(6.25),technologists(6.25),project management(6.25),social media(6.25),web(6.25),mobile apps(6.25), </v>
      </c>
      <c r="GZ122" s="21" t="str">
        <f t="shared" si="280"/>
        <v xml:space="preserve">scale 2
enthusiasm 2
network 1
govt 1
non-profits 1
reputation 2
portfolio 1
 </v>
      </c>
      <c r="HA122" s="21" t="str">
        <f t="shared" si="281"/>
        <v xml:space="preserve"> </v>
      </c>
      <c r="HB122" s="21" t="str">
        <f t="shared" si="282"/>
        <v xml:space="preserve"> </v>
      </c>
      <c r="HC122" s="21" t="str">
        <f t="shared" si="283"/>
        <v xml:space="preserve">field knowledge(2), 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2" s="21" t="str">
        <f t="shared" si="284"/>
        <v xml:space="preserve">field knowledge(1,6.25), enthusiasm(1,6.25), media(1,6.25), technologists(1,6.25), non-profits(1,6.25), reputation(1,6.25), start-up with customers(1,6.25), for basic literacy(1,6.25),  </v>
      </c>
      <c r="HE122" s="21" t="str">
        <f t="shared" si="285"/>
        <v xml:space="preserve">field knowledge(6.25),enthusiasm(6.25),media(6.25),technologists(6.25),non-profits(6.25),reputation(6.25),start-up with customers(6.25),for basic literacy(6.25), </v>
      </c>
      <c r="HF122" s="21" t="str">
        <f t="shared" si="280"/>
        <v xml:space="preserve"> </v>
      </c>
      <c r="HG122" s="21" t="str">
        <f t="shared" si="286"/>
        <v xml:space="preserve">scale(2,), enthusiasm(2,),  </v>
      </c>
      <c r="HH122" s="21" t="str">
        <f t="shared" si="282"/>
        <v xml:space="preserve"> </v>
      </c>
      <c r="HI122" s="21" t="str">
        <f t="shared" si="287"/>
        <v xml:space="preserve">field knowledge(2), 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2" s="21" t="str">
        <f t="shared" si="288"/>
        <v xml:space="preserve">network among members(1,6.25), enthusiasm(1,6.25), fun-ness(1,6.25), seriousness(1,6.25), govt(1,6.25), media(1,6.25), non-profits(1,6.25), start-up with customers(1,6.25),  </v>
      </c>
      <c r="HK122" s="21" t="str">
        <f t="shared" si="285"/>
        <v xml:space="preserve">network among members(6.25),enthusiasm(6.25),fun-ness(6.25),seriousness(6.25),govt(6.25),media(6.25),non-profits(6.25),start-up with customers(6.25), </v>
      </c>
      <c r="HL122" s="21" t="str">
        <f t="shared" si="280"/>
        <v xml:space="preserve">scale 2
community manager 1
PR 1
administrator 1
local biz 1
entrepreneurs 1
non-profits 1
reputation 2
portfolio 2
 </v>
      </c>
      <c r="HM122" s="21" t="str">
        <f t="shared" si="289"/>
        <v xml:space="preserve">network among members(1,25), scale(1,25), enthusiasm(1,25), ambition(1,25), fun-ness(1,25), seriousness(1,25),  </v>
      </c>
      <c r="HN122" s="21" t="str">
        <f t="shared" si="282"/>
        <v xml:space="preserve">network among members 25
scale 25
enthusiasm 25
ambition 25
fun-ness 25
seriousness 25
 </v>
      </c>
      <c r="HO122"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2" s="21" t="str">
        <f t="shared" si="291"/>
        <v xml:space="preserve">enthusiasm(1,6.25), fun-ness(1,6.25), enthusiasm(1,6.25), level of understanding(1,6.25), local biz(1,6.25), biz group(1,6.25), govt(1,6.25), investors(1,6.25), media(1,6.25), entrepreneurs(1,6.25), technologists(1,6.25), suppliers(1,6.25), non-profits(1,6.25), reputation(1,6.25),  </v>
      </c>
      <c r="HQ122" s="47" t="str">
        <f t="shared" si="285"/>
        <v xml:space="preserve">enthusiasm(6.25),fun-ness(6.25),enthusiasm(6.25),level of understanding(6.25),local biz(6.25),biz group(6.25),govt(6.25),investors(6.25),media(6.25),entrepreneurs(6.25),technologists(6.25),suppliers(6.25),non-profits(6.25),reputation(6.25), </v>
      </c>
      <c r="HR122" s="47" t="str">
        <f t="shared" ref="HR122:HW122" si="371">IF(HR20="",HR123,$C122&amp;"("&amp;HR20&amp;"),"&amp;HR123)</f>
        <v xml:space="preserve">engineering knowledge(2),scale(2),enthusiasm(2),reputation(2),portfolio(2),mobile apps(1),sensors(1),wood processing(1),aesthetics(1), </v>
      </c>
      <c r="HS122" s="47" t="str">
        <f t="shared" si="371"/>
        <v xml:space="preserve"> </v>
      </c>
      <c r="HT122" s="47" t="str">
        <f t="shared" si="371"/>
        <v xml:space="preserve"> </v>
      </c>
      <c r="HU122" s="47" t="str">
        <f t="shared" si="371"/>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2" s="47" t="str">
        <f t="shared" si="371"/>
        <v xml:space="preserve">gifted programmer(1),local biz(1),biz group(1),govt(1),investors(1),media(1),entrepreneurs(1),technologists(1),suppliers(1),non-profits(1),reputation(1), </v>
      </c>
      <c r="HW122" s="47" t="str">
        <f t="shared" si="371"/>
        <v xml:space="preserve">gifted programmer(6.25),local biz(6.25),biz group(6.25),govt(6.25),investors(6.25),media(6.25),entrepreneurs(6.25),technologists(12.5),suppliers(6.25),non-profits(6.25),reputation(6.25), </v>
      </c>
      <c r="HX122" s="47" t="str">
        <f t="shared" ref="HX122:IU122" si="372">IF(HX20="",HX123,$C122&amp;"("&amp;HX20&amp;"),"&amp;HX123)</f>
        <v xml:space="preserve">field knowledge(2),engineering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2" s="47" t="str">
        <f t="shared" si="372"/>
        <v xml:space="preserve">biz enhancement(1), </v>
      </c>
      <c r="HZ122" s="47" t="str">
        <f t="shared" si="372"/>
        <v xml:space="preserve">biz enhancement(100), </v>
      </c>
      <c r="IA122" s="47" t="str">
        <f t="shared" si="372"/>
        <v xml:space="preserve">community manager(1),PR(1),finance(1),administrator(1),enthusiasm(2),network(2),ambition(2),knowledge(2),spaciousness(2),ease of access(3),efficiency(2),portfolio(4),finance(2),business model(2),marketing(3),team building(2),project management(2),social media(3),negotiation(3), </v>
      </c>
      <c r="IB122" s="47" t="str">
        <f t="shared" si="372"/>
        <v xml:space="preserve">field knowledge(1),engineering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2" s="47" t="str">
        <f t="shared" si="372"/>
        <v xml:space="preserve">field knowledge(6.25),engineering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2" s="47" t="str">
        <f t="shared" si="372"/>
        <v xml:space="preserve">engineering knowledge(1),scale(1),technologists(2), </v>
      </c>
      <c r="IE122" s="47" t="str">
        <f t="shared" si="372"/>
        <v xml:space="preserve">engineering knowledge(1),web(1),mobile apps(1),security(1),AI&amp; data analysis(1), </v>
      </c>
      <c r="IF122" s="47" t="str">
        <f t="shared" si="372"/>
        <v xml:space="preserve">engineering knowledge(25),web(25),mobile apps(25),security(25),AI&amp; data analysis(25), </v>
      </c>
      <c r="IG122" s="47" t="str">
        <f t="shared" si="372"/>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2" s="47" t="str">
        <f t="shared" si="372"/>
        <v xml:space="preserve">engineering knowledge(1),technologists(1),web(1),database(1),mobile apps(1),security(1),AI&amp; data analysis(1), </v>
      </c>
      <c r="II122" s="47" t="str">
        <f t="shared" si="372"/>
        <v xml:space="preserve">engineering knowledge(6.25),technologists(6.25),web(6.25),database(6.25),mobile apps(6.25),security(6.25),AI&amp; data analysis(6.25), </v>
      </c>
      <c r="IJ122" s="47" t="str">
        <f t="shared" si="372"/>
        <v xml:space="preserve">engineering knowledge(1),scale(1),technologists(2), </v>
      </c>
      <c r="IK122" s="47" t="str">
        <f t="shared" si="372"/>
        <v xml:space="preserve">engineering knowledge(1),wood processing(1),metal processing(1),functions(1),safety(1), </v>
      </c>
      <c r="IL122" s="47" t="str">
        <f t="shared" si="372"/>
        <v xml:space="preserve">engineering knowledge(25),wood processing(25),metal processing(25),functions(25),safety(25), </v>
      </c>
      <c r="IM122" s="47" t="str">
        <f t="shared" si="372"/>
        <v xml:space="preserve">scale(2),enthusiasm(3),attention to details(2),seriousness(2),community manager(1),administrator(1),network(2),entrepreneurs(3),technologists(4),spaciousness(2),ease of access(2),reputation(3),efficiency(2),portfolio(3),wood processing(2),metal processing(2),functions(2),safety(2), </v>
      </c>
      <c r="IN122" s="47" t="str">
        <f t="shared" si="372"/>
        <v xml:space="preserve">engineering knowledge(1),technologists(1),wood processing(1),metal processing(1),functions(1),safety(1),interaction(1), </v>
      </c>
      <c r="IO122" s="47" t="str">
        <f t="shared" si="372"/>
        <v xml:space="preserve">engineering knowledge(6.25),technologists(6.25),wood processing(6.25),metal processing(6.25),functions(6.25),safety(6.25),interaction(6.25), </v>
      </c>
      <c r="IP122" s="57" t="str">
        <f t="shared" si="372"/>
        <v xml:space="preserve">scale(2),local biz(2),reputation(1), </v>
      </c>
      <c r="IQ122" s="47" t="str">
        <f t="shared" si="372"/>
        <v xml:space="preserve">field knowledge(1),network among members(1),local biz(1),marketing(1), </v>
      </c>
      <c r="IR122" s="47" t="str">
        <f t="shared" si="372"/>
        <v xml:space="preserve">field knowledge(100),network among members(25),local biz(25),marketing(25), </v>
      </c>
      <c r="IS122" s="47" t="str">
        <f t="shared" si="372"/>
        <v xml:space="preserve">engineering knowledge(2),gifted business strategist(2),enthusiasm(2),agility(2),attention to details(2),fun-ness(2),seriousness(2),leader(1),community manager(1),finance(1),administrator(1),enthusiasm(3),network(2),level of understanding(3),local biz(3),biz group(2),govt(2),non-profits(2),reputation(3),efficiency(2),marketing(2), </v>
      </c>
      <c r="IT122" s="47" t="str">
        <f t="shared" si="372"/>
        <v xml:space="preserve">field knowledge(1),network among members(1),enthusiasm(1),fun-ness(1),seriousness(1),local biz(1),biz group(1),govt(1),non-profits(1),marketing(1), </v>
      </c>
      <c r="IU122" s="47" t="str">
        <f t="shared" si="372"/>
        <v xml:space="preserve">field knowledge(6.25),network among members(6.25),enthusiasm(6.25),fun-ness(6.25),seriousness(6.25),local biz(6.25),biz group(6.25),govt(6.25),non-profits(6.25),marketing(6.25), </v>
      </c>
      <c r="IV122" s="57" t="str">
        <f t="shared" ref="IV122:LG122" si="373">IF(IV20="",IV123,$C122&amp;"("&amp;IV20&amp;"),"&amp;IV123)</f>
        <v xml:space="preserve">scale(2),local biz(2),reputation(1), </v>
      </c>
      <c r="IW122" s="47" t="str">
        <f t="shared" si="373"/>
        <v xml:space="preserve">field knowledge(1),network among members(1),local biz(1),marketing(1), </v>
      </c>
      <c r="IX122" s="47" t="str">
        <f t="shared" si="373"/>
        <v xml:space="preserve">field knowledge(100),network among members(25),local biz(25),marketing(25), </v>
      </c>
      <c r="IY122" s="47" t="str">
        <f t="shared" si="373"/>
        <v xml:space="preserve">engineering knowledge(2),gifted business strategist(2),enthusiasm(2),agility(2),attention to details(2),fun-ness(2),seriousness(2),leader(1),community manager(1),finance(1),administrator(1),enthusiasm(3),network(2),level of understanding(3),local biz(3),biz group(2),govt(2),reputation(3),efficiency(2),marketing(2), </v>
      </c>
      <c r="IZ122" s="47" t="str">
        <f t="shared" si="373"/>
        <v xml:space="preserve">field knowledge(1),network among members(1),enthusiasm(1),fun-ness(1),seriousness(1),local biz(1),biz group(1),govt(1),marketing(1), </v>
      </c>
      <c r="JA122" s="47" t="str">
        <f t="shared" si="373"/>
        <v xml:space="preserve">field knowledge(6.25),network among members(6.25),enthusiasm(6.25),fun-ness(6.25),seriousness(6.25),local biz(6.25),biz group(6.25),govt(6.25),marketing(6.25), </v>
      </c>
      <c r="JB122" s="47" t="str">
        <f t="shared" si="373"/>
        <v xml:space="preserve">scale(1),enthusiasm(2), </v>
      </c>
      <c r="JC122" s="47" t="str">
        <f t="shared" si="373"/>
        <v xml:space="preserve">engineering knowledge(1), </v>
      </c>
      <c r="JD122" s="47" t="str">
        <f t="shared" si="373"/>
        <v xml:space="preserve">engineering knowledge(50), </v>
      </c>
      <c r="JE122" s="47" t="str">
        <f t="shared" si="373"/>
        <v xml:space="preserve">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22" s="47" t="str">
        <f t="shared" si="373"/>
        <v xml:space="preserve">engineering knowledge(1),web(1),infrastructrue(1),database(1),mobile apps(1),sensors(1),security(1),AI&amp; data analysis(1),mobile comm(1),VR&amp;AR(1),wood processing(1),metal processing(1),plastic processing(1),electronics(1),fabric(1),aesthetics(1),functions(1),safety(1),interaction(1), </v>
      </c>
      <c r="JG122" s="47" t="str">
        <f t="shared" si="373"/>
        <v xml:space="preserve">engineering knowledge(6.25),web(6.25),infrastructrue(6.25),database(6.25),mobile apps(6.25),sensors(6.25),security(6.25),AI&amp; data analysis(6.25),mobile comm(6.25),VR&amp;AR(6.25),wood processing(6.25),metal processing(6.25),plastic processing(6.25),electronics(6.25),fabric(6.25),aesthetics(6.25),functions(6.25),safety(6.25),interaction(6.25), </v>
      </c>
      <c r="JH122" s="47" t="str">
        <f t="shared" si="373"/>
        <v xml:space="preserve">scale(1),enthusiasm(1),enthusiasm(1),local biz(1),non-profits(1),reputation(2), </v>
      </c>
      <c r="JI122" s="47" t="str">
        <f t="shared" si="373"/>
        <v xml:space="preserve"> </v>
      </c>
      <c r="JJ122" s="47" t="str">
        <f t="shared" si="373"/>
        <v xml:space="preserve"> </v>
      </c>
      <c r="JK122" s="47" t="str">
        <f t="shared" si="373"/>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2" s="47" t="str">
        <f t="shared" si="373"/>
        <v xml:space="preserve">non-profits(1), </v>
      </c>
      <c r="JM122" s="47" t="str">
        <f t="shared" si="373"/>
        <v xml:space="preserve">non-profits(6.25), </v>
      </c>
      <c r="JN122" s="47" t="str">
        <f t="shared" si="373"/>
        <v xml:space="preserve">scale(2),enthusiasm(2),enthusiasm(1),network(1),local biz(1),investors(1),entrepreneurs(1),technologists(1),non-profits(1),reputation(2),portfolio(2), </v>
      </c>
      <c r="JO122" s="47" t="str">
        <f t="shared" si="373"/>
        <v xml:space="preserve"> </v>
      </c>
      <c r="JP122" s="47" t="str">
        <f t="shared" si="373"/>
        <v xml:space="preserve"> </v>
      </c>
      <c r="JQ122" s="47" t="str">
        <f t="shared" si="373"/>
        <v xml:space="preserve">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2" s="47" t="str">
        <f t="shared" si="373"/>
        <v xml:space="preserve"> </v>
      </c>
      <c r="JS122" s="47" t="str">
        <f t="shared" si="373"/>
        <v xml:space="preserve"> </v>
      </c>
      <c r="JT122" s="47" t="str">
        <f t="shared" si="373"/>
        <v xml:space="preserve">scale(3),enthusiasm(3),PR(1),administrator(1),enthusiasm(2),network(2),local biz(2),biz group(1),govt(2),investors(2),entrepreneurs(2),technologists(2),non-profits(2),reputation(2),portfolio(3), </v>
      </c>
      <c r="JU122" s="47" t="str">
        <f t="shared" si="373"/>
        <v xml:space="preserve"> </v>
      </c>
      <c r="JV122" s="47" t="str">
        <f t="shared" si="373"/>
        <v xml:space="preserve"> </v>
      </c>
      <c r="JW122" s="47" t="str">
        <f t="shared" si="373"/>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2" s="47" t="str">
        <f t="shared" si="373"/>
        <v xml:space="preserve"> </v>
      </c>
      <c r="JY122" s="47" t="str">
        <f t="shared" si="373"/>
        <v xml:space="preserve"> </v>
      </c>
      <c r="JZ122" s="47" t="str">
        <f t="shared" si="373"/>
        <v xml:space="preserve">scale(1),enthusiasm(2),network(1),non-profits(1),reputation(2),social project(2), </v>
      </c>
      <c r="KA122" s="47" t="str">
        <f t="shared" si="373"/>
        <v xml:space="preserve">non-profits(1), </v>
      </c>
      <c r="KB122" s="47" t="str">
        <f t="shared" si="373"/>
        <v xml:space="preserve">non-profits(25), </v>
      </c>
      <c r="KC122" s="47" t="str">
        <f t="shared" si="373"/>
        <v xml:space="preserve">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2" s="47" t="str">
        <f t="shared" si="373"/>
        <v xml:space="preserve">non-profits(1), </v>
      </c>
      <c r="KE122" s="47" t="str">
        <f t="shared" si="373"/>
        <v xml:space="preserve">non-profits(6.25), </v>
      </c>
      <c r="KF122" s="47" t="str">
        <f t="shared" si="373"/>
        <v xml:space="preserve"> </v>
      </c>
      <c r="KG122" s="47" t="str">
        <f t="shared" si="373"/>
        <v xml:space="preserve"> </v>
      </c>
      <c r="KH122" s="47" t="str">
        <f t="shared" si="373"/>
        <v xml:space="preserve"> </v>
      </c>
      <c r="KI122" s="47" t="str">
        <f t="shared" si="373"/>
        <v xml:space="preserve"> </v>
      </c>
      <c r="KJ122" s="47" t="str">
        <f t="shared" si="373"/>
        <v xml:space="preserve"> </v>
      </c>
      <c r="KK122" s="47" t="str">
        <f t="shared" si="373"/>
        <v xml:space="preserve"> </v>
      </c>
      <c r="KL122" s="57" t="str">
        <f t="shared" si="373"/>
        <v xml:space="preserve"> </v>
      </c>
      <c r="KM122" s="47" t="str">
        <f t="shared" si="373"/>
        <v xml:space="preserve"> </v>
      </c>
      <c r="KN122" s="47" t="str">
        <f t="shared" si="373"/>
        <v xml:space="preserve"> </v>
      </c>
      <c r="KO122" s="47" t="str">
        <f t="shared" si="373"/>
        <v xml:space="preserve"> </v>
      </c>
      <c r="KP122" s="47" t="str">
        <f t="shared" si="373"/>
        <v xml:space="preserve"> </v>
      </c>
      <c r="KQ122" s="47" t="str">
        <f t="shared" si="373"/>
        <v xml:space="preserve"> </v>
      </c>
      <c r="KR122" s="57" t="str">
        <f t="shared" si="373"/>
        <v xml:space="preserve"> </v>
      </c>
      <c r="KS122" s="47" t="str">
        <f t="shared" si="373"/>
        <v xml:space="preserve"> </v>
      </c>
      <c r="KT122" s="47" t="str">
        <f t="shared" si="373"/>
        <v xml:space="preserve"> </v>
      </c>
      <c r="KU122" s="47" t="str">
        <f t="shared" si="373"/>
        <v xml:space="preserve"> </v>
      </c>
      <c r="KV122" s="47" t="str">
        <f t="shared" si="373"/>
        <v xml:space="preserve"> </v>
      </c>
      <c r="KW122" s="47" t="str">
        <f t="shared" si="373"/>
        <v xml:space="preserve"> </v>
      </c>
      <c r="KX122" s="57" t="str">
        <f t="shared" si="373"/>
        <v xml:space="preserve"> </v>
      </c>
      <c r="KY122" s="47" t="str">
        <f t="shared" si="373"/>
        <v xml:space="preserve"> </v>
      </c>
      <c r="KZ122" s="47" t="str">
        <f t="shared" si="373"/>
        <v xml:space="preserve"> </v>
      </c>
      <c r="LA122" s="47" t="str">
        <f t="shared" si="373"/>
        <v xml:space="preserve"> </v>
      </c>
      <c r="LB122" s="47" t="str">
        <f t="shared" si="373"/>
        <v xml:space="preserve"> </v>
      </c>
      <c r="LC122" s="47" t="str">
        <f t="shared" si="373"/>
        <v xml:space="preserve"> </v>
      </c>
      <c r="LD122" s="57" t="str">
        <f t="shared" si="373"/>
        <v xml:space="preserve"> </v>
      </c>
      <c r="LE122" s="47" t="str">
        <f t="shared" si="373"/>
        <v xml:space="preserve"> </v>
      </c>
      <c r="LF122" s="47" t="str">
        <f t="shared" si="373"/>
        <v xml:space="preserve"> </v>
      </c>
      <c r="LG122" s="47" t="str">
        <f t="shared" si="373"/>
        <v xml:space="preserve"> </v>
      </c>
      <c r="LH122" s="47" t="str">
        <f t="shared" ref="LH122:NM122" si="374">IF(LH20="",LH123,$C122&amp;"("&amp;LH20&amp;"),"&amp;LH123)</f>
        <v xml:space="preserve"> </v>
      </c>
      <c r="LI122" s="47" t="str">
        <f t="shared" si="374"/>
        <v xml:space="preserve"> </v>
      </c>
      <c r="LJ122" s="57" t="str">
        <f t="shared" si="374"/>
        <v xml:space="preserve"> </v>
      </c>
      <c r="LK122" s="47" t="str">
        <f t="shared" si="374"/>
        <v xml:space="preserve"> </v>
      </c>
      <c r="LL122" s="47" t="str">
        <f t="shared" si="374"/>
        <v xml:space="preserve"> </v>
      </c>
      <c r="LM122" s="47" t="str">
        <f t="shared" si="374"/>
        <v xml:space="preserve"> </v>
      </c>
      <c r="LN122" s="47" t="str">
        <f t="shared" si="374"/>
        <v xml:space="preserve"> </v>
      </c>
      <c r="LO122" s="47" t="str">
        <f t="shared" si="374"/>
        <v xml:space="preserve"> </v>
      </c>
      <c r="LP122" s="57" t="str">
        <f t="shared" si="374"/>
        <v xml:space="preserve"> </v>
      </c>
      <c r="LQ122" s="47" t="str">
        <f t="shared" si="374"/>
        <v xml:space="preserve"> </v>
      </c>
      <c r="LR122" s="47" t="str">
        <f t="shared" si="374"/>
        <v xml:space="preserve"> </v>
      </c>
      <c r="LS122" s="47" t="str">
        <f t="shared" si="374"/>
        <v xml:space="preserve"> </v>
      </c>
      <c r="LT122" s="47" t="str">
        <f t="shared" si="374"/>
        <v xml:space="preserve"> </v>
      </c>
      <c r="LU122" s="47" t="str">
        <f t="shared" si="374"/>
        <v xml:space="preserve"> </v>
      </c>
      <c r="LV122" s="57" t="str">
        <f t="shared" si="374"/>
        <v xml:space="preserve"> </v>
      </c>
      <c r="LW122" s="47" t="str">
        <f t="shared" si="374"/>
        <v xml:space="preserve"> </v>
      </c>
      <c r="LX122" s="47" t="str">
        <f t="shared" si="374"/>
        <v xml:space="preserve"> </v>
      </c>
      <c r="LY122" s="47" t="str">
        <f t="shared" si="374"/>
        <v xml:space="preserve"> </v>
      </c>
      <c r="LZ122" s="47" t="str">
        <f t="shared" si="374"/>
        <v xml:space="preserve"> </v>
      </c>
      <c r="MA122" s="47" t="str">
        <f t="shared" si="374"/>
        <v xml:space="preserve"> </v>
      </c>
      <c r="MB122" s="57" t="str">
        <f t="shared" si="374"/>
        <v xml:space="preserve"> </v>
      </c>
      <c r="MC122" s="47" t="str">
        <f t="shared" si="374"/>
        <v xml:space="preserve"> </v>
      </c>
      <c r="MD122" s="47" t="str">
        <f t="shared" si="374"/>
        <v xml:space="preserve"> </v>
      </c>
      <c r="ME122" s="47" t="str">
        <f t="shared" si="374"/>
        <v xml:space="preserve"> </v>
      </c>
      <c r="MF122" s="47" t="str">
        <f t="shared" si="374"/>
        <v xml:space="preserve"> </v>
      </c>
      <c r="MG122" s="47" t="str">
        <f t="shared" si="374"/>
        <v xml:space="preserve"> </v>
      </c>
      <c r="MH122" s="57" t="str">
        <f t="shared" si="374"/>
        <v xml:space="preserve"> </v>
      </c>
      <c r="MI122" s="47" t="str">
        <f t="shared" si="374"/>
        <v xml:space="preserve"> </v>
      </c>
      <c r="MJ122" s="47" t="str">
        <f t="shared" si="374"/>
        <v xml:space="preserve"> </v>
      </c>
      <c r="MK122" s="47" t="str">
        <f t="shared" si="374"/>
        <v xml:space="preserve"> </v>
      </c>
      <c r="ML122" s="47" t="str">
        <f t="shared" si="374"/>
        <v xml:space="preserve"> </v>
      </c>
      <c r="MM122" s="47" t="str">
        <f t="shared" si="374"/>
        <v xml:space="preserve"> </v>
      </c>
      <c r="MN122" s="57" t="str">
        <f t="shared" si="374"/>
        <v xml:space="preserve"> </v>
      </c>
      <c r="MO122" s="47" t="str">
        <f t="shared" si="374"/>
        <v xml:space="preserve"> </v>
      </c>
      <c r="MP122" s="47" t="str">
        <f t="shared" si="374"/>
        <v xml:space="preserve"> </v>
      </c>
      <c r="MQ122" s="47" t="str">
        <f t="shared" si="374"/>
        <v xml:space="preserve"> </v>
      </c>
      <c r="MR122" s="47" t="str">
        <f t="shared" si="374"/>
        <v xml:space="preserve"> </v>
      </c>
      <c r="MS122" s="47" t="str">
        <f t="shared" si="374"/>
        <v xml:space="preserve"> </v>
      </c>
      <c r="MT122" s="57" t="str">
        <f t="shared" si="374"/>
        <v xml:space="preserve"> </v>
      </c>
      <c r="MU122" s="47" t="str">
        <f t="shared" si="374"/>
        <v xml:space="preserve"> </v>
      </c>
      <c r="MV122" s="47" t="str">
        <f t="shared" si="374"/>
        <v xml:space="preserve"> </v>
      </c>
      <c r="MW122" s="47" t="str">
        <f t="shared" si="374"/>
        <v xml:space="preserve"> </v>
      </c>
      <c r="MX122" s="47" t="str">
        <f t="shared" si="374"/>
        <v xml:space="preserve"> </v>
      </c>
      <c r="MY122" s="47" t="str">
        <f t="shared" si="374"/>
        <v xml:space="preserve"> </v>
      </c>
      <c r="MZ122" s="57" t="str">
        <f t="shared" si="374"/>
        <v xml:space="preserve"> </v>
      </c>
      <c r="NA122" s="47" t="str">
        <f t="shared" si="374"/>
        <v xml:space="preserve"> </v>
      </c>
      <c r="NB122" s="47" t="str">
        <f t="shared" si="374"/>
        <v xml:space="preserve"> </v>
      </c>
      <c r="NC122" s="47" t="str">
        <f t="shared" si="374"/>
        <v xml:space="preserve"> </v>
      </c>
      <c r="ND122" s="47" t="str">
        <f t="shared" si="374"/>
        <v xml:space="preserve"> </v>
      </c>
      <c r="NE122" s="47" t="str">
        <f t="shared" si="374"/>
        <v xml:space="preserve"> </v>
      </c>
      <c r="NF122" s="57" t="str">
        <f t="shared" si="374"/>
        <v xml:space="preserve"> </v>
      </c>
      <c r="NG122" s="47" t="str">
        <f t="shared" si="374"/>
        <v xml:space="preserve"> </v>
      </c>
      <c r="NH122" s="47" t="str">
        <f t="shared" si="374"/>
        <v xml:space="preserve"> </v>
      </c>
      <c r="NI122" s="47" t="str">
        <f t="shared" si="374"/>
        <v xml:space="preserve"> </v>
      </c>
      <c r="NJ122" s="47" t="str">
        <f t="shared" si="374"/>
        <v xml:space="preserve"> </v>
      </c>
      <c r="NK122" s="47" t="str">
        <f t="shared" si="374"/>
        <v xml:space="preserve"> </v>
      </c>
      <c r="NL122" s="57" t="str">
        <f t="shared" si="374"/>
        <v xml:space="preserve"> </v>
      </c>
      <c r="NM122" s="47" t="str">
        <f t="shared" si="374"/>
        <v xml:space="preserve"> </v>
      </c>
    </row>
    <row r="123" spans="3:377" ht="15.75" customHeight="1">
      <c r="C123" s="7" t="str">
        <f t="shared" si="296"/>
        <v>engineering knowledge</v>
      </c>
      <c r="D123" s="21" t="str">
        <f t="shared" si="169"/>
        <v xml:space="preserve">scale 1
 </v>
      </c>
      <c r="E123" s="21" t="str">
        <f t="shared" si="297"/>
        <v xml:space="preserve"> </v>
      </c>
      <c r="F123" s="21" t="str">
        <f t="shared" si="170"/>
        <v xml:space="preserve"> </v>
      </c>
      <c r="G123" s="21" t="str">
        <f t="shared" si="298"/>
        <v xml:space="preserve">enthusiasm(2), fun-ness(1), community manager(1), PR(1), fame(1), network(2), ease of access(1), reputation(2), social media(1),  </v>
      </c>
      <c r="H123" s="21" t="str">
        <f t="shared" si="299"/>
        <v xml:space="preserve"> </v>
      </c>
      <c r="I123" s="21" t="str">
        <f t="shared" ref="I123" si="375">IF(I21="",I124,$C123&amp;"("&amp;I21&amp;"),"&amp;I124)</f>
        <v xml:space="preserve"> </v>
      </c>
      <c r="J123" s="21" t="str">
        <f t="shared" ref="J123:BR138" si="376">IF(J21="",J124,$C123&amp;" "&amp;J21&amp;CHAR(10)&amp;J124)</f>
        <v xml:space="preserve">scale 1
interaction 1
 </v>
      </c>
      <c r="K123" s="21" t="str">
        <f t="shared" si="173"/>
        <v xml:space="preserve">reputation(1,75),  </v>
      </c>
      <c r="L123" s="21" t="str">
        <f t="shared" ref="L123:BT138" si="377">IF(L21="",L124,$C123&amp;" "&amp;L21&amp;CHAR(10)&amp;L124)</f>
        <v xml:space="preserve">reputation 75
 </v>
      </c>
      <c r="M123" s="21" t="str">
        <f t="shared" si="175"/>
        <v xml:space="preserve">PR(1), portfolio(1), social innovation(1), non-profit biz(1),  </v>
      </c>
      <c r="N123" s="21" t="str">
        <f t="shared" si="176"/>
        <v xml:space="preserve">seriousness(1,25), non-profits(1,12.5), reputation(1,75), marketing(1,12.5),  </v>
      </c>
      <c r="O123" s="21" t="str">
        <f t="shared" ref="O123:BW138" si="378">IF(O21="",O124,$C123&amp;"("&amp;O21&amp;"),"&amp;O124)</f>
        <v xml:space="preserve">seriousness(25),non-profits(12.5),reputation(75),marketing(12.5), </v>
      </c>
      <c r="P123" s="21" t="str">
        <f t="shared" si="376"/>
        <v xml:space="preserve">scale 1
biz project 1
 </v>
      </c>
      <c r="Q123" s="21" t="str">
        <f t="shared" si="178"/>
        <v xml:space="preserve"> </v>
      </c>
      <c r="R123" s="21" t="str">
        <f t="shared" si="377"/>
        <v xml:space="preserve"> </v>
      </c>
      <c r="S123" s="21" t="str">
        <f t="shared" si="179"/>
        <v xml:space="preserve">portfolio(1), biz enhancement(1), business(1), start-up(1),  </v>
      </c>
      <c r="T123" s="21" t="str">
        <f t="shared" si="180"/>
        <v xml:space="preserve">seriousness(1,25), local biz(1,6.25), investors(1,6.25), reputation(1,6.25),  </v>
      </c>
      <c r="U123" s="21" t="str">
        <f t="shared" si="378"/>
        <v xml:space="preserve">seriousness(25),local biz(6.25),investors(6.25),reputation(6.25), </v>
      </c>
      <c r="V123" s="21" t="str">
        <f t="shared" si="376"/>
        <v xml:space="preserve">scale 1
 </v>
      </c>
      <c r="W123" s="21" t="str">
        <f t="shared" si="181"/>
        <v xml:space="preserve">local biz(1,),  </v>
      </c>
      <c r="X123" s="21" t="str">
        <f t="shared" si="377"/>
        <v xml:space="preserve"> </v>
      </c>
      <c r="Y123" s="21" t="str">
        <f t="shared" si="182"/>
        <v xml:space="preserve">enthusiasm(1), attention to details(1), PR(1), network(1), ease of access(1), reputation(1), portfolio(1), biz project(1), biz enhancement(1), job creation(1), business(1),  </v>
      </c>
      <c r="Z123" s="21" t="str">
        <f t="shared" si="183"/>
        <v xml:space="preserve">local biz(1,6.25),  </v>
      </c>
      <c r="AA123" s="21" t="str">
        <f t="shared" si="378"/>
        <v xml:space="preserve">local biz(6.25), </v>
      </c>
      <c r="AB123" s="21" t="str">
        <f t="shared" si="376"/>
        <v xml:space="preserve">scale 1
 </v>
      </c>
      <c r="AC123" s="21" t="str">
        <f t="shared" si="184"/>
        <v xml:space="preserve">non-profits(1,100),  </v>
      </c>
      <c r="AD123" s="21" t="str">
        <f t="shared" si="377"/>
        <v xml:space="preserve">non-profits 100
 </v>
      </c>
      <c r="AE123" s="21" t="str">
        <f t="shared" si="185"/>
        <v xml:space="preserve">enthusiasm(1), attention to details(1), PR(1), network(1), ease of access(1), reputation(1), portfolio(1), social project(1), social innovation(1), non-profit biz(1),  </v>
      </c>
      <c r="AF123" s="21" t="str">
        <f t="shared" si="186"/>
        <v xml:space="preserve">seriousness(1,6.25), non-profits(1,6.25),  </v>
      </c>
      <c r="AG123" s="21" t="str">
        <f t="shared" si="378"/>
        <v xml:space="preserve">seriousness(6.25),non-profits(6.25), </v>
      </c>
      <c r="AH123" s="21" t="str">
        <f t="shared" si="376"/>
        <v xml:space="preserve">scale 1
 </v>
      </c>
      <c r="AI123" s="21" t="str">
        <f t="shared" si="187"/>
        <v xml:space="preserve">govt(1,),  </v>
      </c>
      <c r="AJ123" s="21" t="str">
        <f t="shared" si="377"/>
        <v xml:space="preserve"> </v>
      </c>
      <c r="AK123" s="21" t="str">
        <f t="shared" si="188"/>
        <v xml:space="preserve">enthusiasm(1), attention to details(1), seriousness(1), fame(1), network(1), govt(1), ease of access(1), reputation(2), portfolio(1), social project(1), social innovation(1), non-profit biz(1),  </v>
      </c>
      <c r="AL123" s="21" t="str">
        <f t="shared" si="189"/>
        <v xml:space="preserve">govt(1,6.25),  </v>
      </c>
      <c r="AM123" s="21" t="str">
        <f t="shared" si="378"/>
        <v xml:space="preserve">govt(6.25), </v>
      </c>
      <c r="AN123" s="21" t="str">
        <f t="shared" si="376"/>
        <v xml:space="preserve">gifted leader 1
scale 1
enthusiasm 1
 </v>
      </c>
      <c r="AO123" s="21" t="str">
        <f t="shared" si="190"/>
        <v xml:space="preserve">fame(1,), network(1,), investors(1,6.25),  </v>
      </c>
      <c r="AP123" s="21" t="str">
        <f t="shared" si="377"/>
        <v xml:space="preserve">investors 6.25
 </v>
      </c>
      <c r="AQ123" s="21" t="str">
        <f t="shared" si="191"/>
        <v xml:space="preserve">investors(1), ease of access(1), reputation(1), portfolio(1), start-up(1), start-up with mvp(1), start-up with customers(1),  </v>
      </c>
      <c r="AR123" s="21" t="str">
        <f t="shared" si="192"/>
        <v xml:space="preserve"> </v>
      </c>
      <c r="AS123" s="21" t="str">
        <f t="shared" si="378"/>
        <v xml:space="preserve"> </v>
      </c>
      <c r="AT123" s="21" t="str">
        <f t="shared" si="376"/>
        <v xml:space="preserve">scale 2
enthusiasm 1
seriousness 1
administrator 1
non-profits 2
reputation 1
portfolio 1
social project 1
 </v>
      </c>
      <c r="AU123" s="21" t="str">
        <f t="shared" si="193"/>
        <v xml:space="preserve">ambition(1,), attention to details(1,),  </v>
      </c>
      <c r="AV123" s="21" t="str">
        <f t="shared" si="377"/>
        <v xml:space="preserve"> </v>
      </c>
      <c r="AW123" s="21" t="str">
        <f t="shared" si="194"/>
        <v xml:space="preserve">enthusiasm(3), PR(2), administrator(1), project management(2),  </v>
      </c>
      <c r="AX123" s="21" t="str">
        <f t="shared" si="195"/>
        <v xml:space="preserve">organizational rules and manuals(1,12.5), project management(1,12.5),  </v>
      </c>
      <c r="AY123" s="21" t="str">
        <f t="shared" si="378"/>
        <v xml:space="preserve">organizational rules and manuals(12.5),project management(12.5), </v>
      </c>
      <c r="AZ123" s="21" t="str">
        <f t="shared" si="376"/>
        <v xml:space="preserve">scale 1
enthusiasm 1
non-profits 1
 </v>
      </c>
      <c r="BA123" s="21" t="str">
        <f t="shared" si="196"/>
        <v xml:space="preserve"> </v>
      </c>
      <c r="BB123" s="21" t="str">
        <f t="shared" si="377"/>
        <v xml:space="preserve"> </v>
      </c>
      <c r="BC123" s="21" t="str">
        <f t="shared" si="197"/>
        <v xml:space="preserve"> </v>
      </c>
      <c r="BD123" s="21" t="str">
        <f t="shared" si="198"/>
        <v xml:space="preserve"> </v>
      </c>
      <c r="BE123" s="21" t="str">
        <f t="shared" si="378"/>
        <v xml:space="preserve"> </v>
      </c>
      <c r="BF123" s="21" t="str">
        <f t="shared" si="376"/>
        <v xml:space="preserve">scale 2
enthusiasm 1
seriousness 1
administrator 1
local biz 2
entrepreneurs 1
reputation 1
portfolio 1
biz project 1
 </v>
      </c>
      <c r="BG123" s="21" t="str">
        <f t="shared" si="199"/>
        <v xml:space="preserve">ambition(1,), attention to details(1,),  </v>
      </c>
      <c r="BH123" s="21" t="str">
        <f t="shared" si="377"/>
        <v xml:space="preserve"> </v>
      </c>
      <c r="BI123" s="21" t="str">
        <f t="shared" si="200"/>
        <v xml:space="preserve">enthusiasm(3), PR(2), administrator(1), project management(2),  </v>
      </c>
      <c r="BJ123" s="21" t="str">
        <f t="shared" si="201"/>
        <v xml:space="preserve">organizational rules and manuals(1,12.5), project management(1,12.5),  </v>
      </c>
      <c r="BK123" s="21" t="str">
        <f t="shared" si="378"/>
        <v xml:space="preserve">organizational rules and manuals(12.5),project management(12.5), </v>
      </c>
      <c r="BL123" s="21" t="str">
        <f t="shared" si="376"/>
        <v xml:space="preserve">scale 1
enthusiasm 1
local biz 1
reputation 1
portfolio 1
biz enhancement 1
 </v>
      </c>
      <c r="BM123" s="21" t="str">
        <f t="shared" si="202"/>
        <v xml:space="preserve"> </v>
      </c>
      <c r="BN123" s="21" t="str">
        <f t="shared" si="377"/>
        <v xml:space="preserve"> </v>
      </c>
      <c r="BO123" s="21" t="str">
        <f t="shared" si="203"/>
        <v xml:space="preserve"> </v>
      </c>
      <c r="BP123" s="21" t="str">
        <f t="shared" si="204"/>
        <v xml:space="preserve"> </v>
      </c>
      <c r="BQ123" s="21" t="str">
        <f t="shared" si="378"/>
        <v xml:space="preserve"> </v>
      </c>
      <c r="BR123" s="21" t="str">
        <f t="shared" si="376"/>
        <v xml:space="preserve"> </v>
      </c>
      <c r="BS123" s="21" t="str">
        <f t="shared" si="205"/>
        <v xml:space="preserve"> </v>
      </c>
      <c r="BT123" s="21" t="str">
        <f t="shared" si="377"/>
        <v xml:space="preserve"> </v>
      </c>
      <c r="BU123" s="21" t="str">
        <f t="shared" si="206"/>
        <v xml:space="preserve"> </v>
      </c>
      <c r="BV123" s="21" t="str">
        <f t="shared" si="207"/>
        <v xml:space="preserve"> </v>
      </c>
      <c r="BW123" s="21" t="str">
        <f t="shared" si="378"/>
        <v xml:space="preserve"> </v>
      </c>
      <c r="BX123" s="21" t="str">
        <f t="shared" ref="BX123:EF138" si="379">IF(BX21="",BX124,$C123&amp;" "&amp;BX21&amp;CHAR(10)&amp;BX124)</f>
        <v xml:space="preserve">scale 1
network 1
 </v>
      </c>
      <c r="BY123" s="21" t="str">
        <f t="shared" si="209"/>
        <v xml:space="preserve">efficiency(1,),  </v>
      </c>
      <c r="BZ123" s="21" t="str">
        <f t="shared" ref="BZ123:EH138" si="380">IF(BZ21="",BZ124,$C123&amp;" "&amp;BZ21&amp;CHAR(10)&amp;BZ124)</f>
        <v xml:space="preserve"> </v>
      </c>
      <c r="CA123" s="21" t="str">
        <f t="shared" si="211"/>
        <v xml:space="preserve">scale(2), enthusiasm(1), attention to details(1), administrator(1), negotiation(1),  </v>
      </c>
      <c r="CB123" s="21" t="str">
        <f t="shared" si="212"/>
        <v xml:space="preserve">user rules and manuals(1,50), organizational rules and manuals(1,50),  </v>
      </c>
      <c r="CC123" s="21" t="str">
        <f t="shared" ref="CC123:EK138" si="381">IF(CC21="",CC124,$C123&amp;"("&amp;CC21&amp;"),"&amp;CC124)</f>
        <v xml:space="preserve">user rules and manuals(50),organizational rules and manuals(50), </v>
      </c>
      <c r="CD123" s="21" t="str">
        <f t="shared" si="379"/>
        <v xml:space="preserve">scale 1
enthusiasm 1
network 1
 </v>
      </c>
      <c r="CE123" s="21" t="str">
        <f t="shared" si="214"/>
        <v xml:space="preserve">non-profits(1,),  </v>
      </c>
      <c r="CF123" s="21" t="str">
        <f t="shared" si="380"/>
        <v xml:space="preserve"> </v>
      </c>
      <c r="CG123" s="21" t="str">
        <f t="shared" si="215"/>
        <v xml:space="preserve">fun-ness(1), seriousness(1), ease of access(1), portfolio(1), user rules and manuals(1), negotiation(1), social project(1), biz project(1), for basic literacy(1), for the elites(1), for entrepreneurs(1),  </v>
      </c>
      <c r="CH123" s="21" t="str">
        <f t="shared" si="216"/>
        <v xml:space="preserve">technologists(1,6.25), non-profits(1,6.25),  </v>
      </c>
      <c r="CI123" s="21" t="str">
        <f t="shared" si="381"/>
        <v xml:space="preserve">technologists(6.25),non-profits(6.25), </v>
      </c>
      <c r="CJ123" s="21" t="str">
        <f t="shared" si="379"/>
        <v xml:space="preserve">scale 1
 </v>
      </c>
      <c r="CK123" s="21" t="str">
        <f t="shared" si="217"/>
        <v xml:space="preserve">suppliers(1,),  </v>
      </c>
      <c r="CL123" s="21" t="str">
        <f t="shared" si="380"/>
        <v xml:space="preserve"> </v>
      </c>
      <c r="CM123" s="21" t="str">
        <f t="shared" si="218"/>
        <v xml:space="preserve">reputation(1), negotiation(1),  </v>
      </c>
      <c r="CN123" s="21" t="str">
        <f t="shared" si="219"/>
        <v xml:space="preserve">engineering knowledge(1,), enthusiasm(2,), efficiency(1,6.25),  </v>
      </c>
      <c r="CO123" s="21" t="str">
        <f t="shared" si="381"/>
        <v xml:space="preserve">efficiency(6.25), </v>
      </c>
      <c r="CP123" s="21" t="str">
        <f t="shared" si="379"/>
        <v xml:space="preserve">scale 1
 </v>
      </c>
      <c r="CQ123" s="21" t="str">
        <f t="shared" si="220"/>
        <v xml:space="preserve">technologists(1,),  </v>
      </c>
      <c r="CR123" s="21" t="str">
        <f t="shared" si="380"/>
        <v xml:space="preserve"> </v>
      </c>
      <c r="CS123" s="21" t="str">
        <f t="shared" si="221"/>
        <v xml:space="preserve">engineering knowledge(2), gifted programmer(2), enthusiasm(1), network(1), portfolio(1), negotiation(1), web(1), infrastructrue(1), database(1), mobile apps(1), sensors(1), security(1), AI&amp; data analysis(1), mobile comm(1), VR&amp;AR(1), wood processing(1), metal processing(1), plastic processing(1), electronics(1), fabric(1),  </v>
      </c>
      <c r="CT123" s="21" t="str">
        <f t="shared" si="222"/>
        <v xml:space="preserve">engineering knowledge(1,6.25), efficiency(1,6.25),  </v>
      </c>
      <c r="CU123" s="21" t="str">
        <f t="shared" si="381"/>
        <v xml:space="preserve">engineering knowledge(6.25),efficiency(6.25), </v>
      </c>
      <c r="CV123" s="21" t="str">
        <f t="shared" si="379"/>
        <v xml:space="preserve">scale 1
 </v>
      </c>
      <c r="CW123" s="21" t="str">
        <f t="shared" si="223"/>
        <v xml:space="preserve">local biz(1,),  </v>
      </c>
      <c r="CX123" s="21" t="str">
        <f t="shared" si="380"/>
        <v xml:space="preserve"> </v>
      </c>
      <c r="CY123" s="21" t="str">
        <f t="shared" si="224"/>
        <v xml:space="preserve">ease of access(1), reputation(1), portfolio(1), negotiation(1),  </v>
      </c>
      <c r="CZ123" s="21" t="str">
        <f t="shared" si="225"/>
        <v xml:space="preserve">non-profits(1,6.25),  </v>
      </c>
      <c r="DA123" s="21" t="str">
        <f t="shared" si="381"/>
        <v xml:space="preserve">non-profits(6.25), </v>
      </c>
      <c r="DB123" s="21" t="str">
        <f t="shared" si="379"/>
        <v xml:space="preserve"> </v>
      </c>
      <c r="DC123" s="21" t="str">
        <f t="shared" si="226"/>
        <v xml:space="preserve"> </v>
      </c>
      <c r="DD123" s="21" t="str">
        <f t="shared" si="380"/>
        <v xml:space="preserve"> </v>
      </c>
      <c r="DE123"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3" s="21" t="str">
        <f t="shared" si="228"/>
        <v xml:space="preserve">network(1,), local biz(1,6.25), biz group(1,6.25), investors(1,6.25), entrepreneurs(1,6.25),  </v>
      </c>
      <c r="DG123" s="21" t="str">
        <f t="shared" si="381"/>
        <v xml:space="preserve">local biz(6.25),biz group(6.25),investors(6.25),entrepreneurs(6.25), </v>
      </c>
      <c r="DH123" s="21" t="str">
        <f t="shared" si="379"/>
        <v xml:space="preserve">scale 1
enthusiasm 1
network 1
non-profits 1
reputation 1
social project 1
 </v>
      </c>
      <c r="DI123" s="21" t="str">
        <f t="shared" si="229"/>
        <v xml:space="preserve"> </v>
      </c>
      <c r="DJ123" s="21" t="str">
        <f t="shared" si="380"/>
        <v xml:space="preserve"> </v>
      </c>
      <c r="DK123" s="21" t="str">
        <f t="shared" si="230"/>
        <v xml:space="preserve">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3" s="21" t="str">
        <f t="shared" si="231"/>
        <v xml:space="preserve">network among members(1,12.5), reputation(1,6.25),  </v>
      </c>
      <c r="DM123" s="21" t="str">
        <f t="shared" si="381"/>
        <v xml:space="preserve">network among members(12.5),reputation(6.25), </v>
      </c>
      <c r="DN123" s="21" t="str">
        <f t="shared" si="379"/>
        <v xml:space="preserve">scale 1
enthusiasm 1
network 1
local biz 1
reputation 1
biz project 1
 </v>
      </c>
      <c r="DO123" s="21" t="str">
        <f t="shared" si="232"/>
        <v xml:space="preserve"> </v>
      </c>
      <c r="DP123" s="21" t="str">
        <f t="shared" si="380"/>
        <v xml:space="preserve"> </v>
      </c>
      <c r="DQ123" s="21" t="str">
        <f t="shared" si="233"/>
        <v xml:space="preserve">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3" s="21" t="str">
        <f t="shared" si="234"/>
        <v xml:space="preserve">network among members(1,12.5), reputation(1,6.25),  </v>
      </c>
      <c r="DS123" s="21" t="str">
        <f t="shared" si="381"/>
        <v xml:space="preserve">network among members(12.5),reputation(6.25), </v>
      </c>
      <c r="DT123" s="21" t="str">
        <f t="shared" si="379"/>
        <v xml:space="preserve">scale 1
enthusiasm 1
network 1
reputation 1
 </v>
      </c>
      <c r="DU123" s="21" t="str">
        <f t="shared" si="235"/>
        <v xml:space="preserve"> </v>
      </c>
      <c r="DV123" s="21" t="str">
        <f t="shared" si="380"/>
        <v xml:space="preserve"> </v>
      </c>
      <c r="DW123"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3" s="21" t="str">
        <f t="shared" si="237"/>
        <v xml:space="preserve">engineering knowledge(1,6.25), ambition(1,6.25), reputation(1,6.25), for basic literacy(1,6.25),  </v>
      </c>
      <c r="DY123" s="21" t="str">
        <f t="shared" si="381"/>
        <v xml:space="preserve">engineering knowledge(6.25),ambition(6.25),reputation(6.25),for basic literacy(6.25), </v>
      </c>
      <c r="DZ123" s="21" t="str">
        <f t="shared" si="379"/>
        <v xml:space="preserve">scale 1
enthusiasm 1
network 1
reputation 1
 </v>
      </c>
      <c r="EA123" s="21" t="str">
        <f t="shared" si="238"/>
        <v xml:space="preserve"> </v>
      </c>
      <c r="EB123" s="21" t="str">
        <f t="shared" si="380"/>
        <v xml:space="preserve"> </v>
      </c>
      <c r="EC123" s="21" t="str">
        <f t="shared" si="239"/>
        <v xml:space="preserve">engineering knowledge(2), 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3" s="21" t="str">
        <f t="shared" si="240"/>
        <v xml:space="preserve">engineering knowledge(1,6.25), ambition(1,6.25), reputation(1,6.25), for basic literacy(1,6.25),  </v>
      </c>
      <c r="EE123" s="21" t="str">
        <f t="shared" si="381"/>
        <v xml:space="preserve">engineering knowledge(6.25),ambition(6.25),reputation(6.25),for basic literacy(6.25), </v>
      </c>
      <c r="EF123" s="21" t="str">
        <f t="shared" si="379"/>
        <v xml:space="preserve">technologists 1
reputation 1
 </v>
      </c>
      <c r="EG123" s="21" t="str">
        <f t="shared" si="241"/>
        <v xml:space="preserve">web(1,50), mobile apps(1,50), interaction(1,50),  </v>
      </c>
      <c r="EH123" s="21" t="str">
        <f t="shared" si="380"/>
        <v xml:space="preserve">web 50
mobile apps 50
interaction 50
 </v>
      </c>
      <c r="EI123"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3" s="21" t="str">
        <f t="shared" si="243"/>
        <v xml:space="preserve">engineering knowledge(1,6.25), technologists(1,12.5), infrastructrue(1,12.5), database(1,12.5), mobile comm(1,12.5), for entrepreneurs(1,6.25),  </v>
      </c>
      <c r="EK123" s="21" t="str">
        <f t="shared" si="381"/>
        <v xml:space="preserve">engineering knowledge(6.25),technologists(12.5),infrastructrue(12.5),database(12.5),mobile comm(12.5),for entrepreneurs(6.25), </v>
      </c>
      <c r="EL123" s="21" t="str">
        <f t="shared" ref="EL123:GT138" si="382">IF(EL21="",EL124,$C123&amp;" "&amp;EL21&amp;CHAR(10)&amp;EL124)</f>
        <v xml:space="preserve">technologists 1
reputation 1
 </v>
      </c>
      <c r="EM123" s="21" t="str">
        <f t="shared" si="245"/>
        <v xml:space="preserve">sensors(1,50),  </v>
      </c>
      <c r="EN123" s="21" t="str">
        <f t="shared" ref="EN123:GV138" si="383">IF(EN21="",EN124,$C123&amp;" "&amp;EN21&amp;CHAR(10)&amp;EN124)</f>
        <v xml:space="preserve">sensors 50
 </v>
      </c>
      <c r="EO123"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3" s="21" t="str">
        <f t="shared" si="248"/>
        <v xml:space="preserve">engineering knowledge(1,6.25), technologists(1,12.5), infrastructrue(1,12.5), database(1,12.5), mobile comm(1,12.5), electronics(1,6.25), for entrepreneurs(1,6.25),  </v>
      </c>
      <c r="EQ123" s="21" t="str">
        <f t="shared" ref="EQ123:GY138" si="384">IF(EQ21="",EQ124,$C123&amp;"("&amp;EQ21&amp;"),"&amp;EQ124)</f>
        <v xml:space="preserve">engineering knowledge(6.25),technologists(12.5),infrastructrue(12.5),database(12.5),mobile comm(12.5),electronics(6.25),for entrepreneurs(6.25), </v>
      </c>
      <c r="ER123" s="21" t="str">
        <f t="shared" si="382"/>
        <v xml:space="preserve">technologists 1
 </v>
      </c>
      <c r="ES123" s="21" t="str">
        <f t="shared" si="250"/>
        <v xml:space="preserve">AI&amp; data analysis(1,50),  </v>
      </c>
      <c r="ET123" s="21" t="str">
        <f t="shared" si="383"/>
        <v xml:space="preserve">AI&amp; data analysis 50
 </v>
      </c>
      <c r="EU123"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3" s="21" t="str">
        <f t="shared" si="252"/>
        <v xml:space="preserve">engineering knowledge(1,6.25), technologists(1,12.5), database(1,12.5), sensors(1,12.5), mobile comm(1,12.5), for entrepreneurs(1,6.25),  </v>
      </c>
      <c r="EW123" s="21" t="str">
        <f t="shared" si="384"/>
        <v xml:space="preserve">engineering knowledge(6.25),technologists(12.5),database(12.5),sensors(12.5),mobile comm(12.5),for entrepreneurs(6.25), </v>
      </c>
      <c r="EX123" s="21" t="str">
        <f t="shared" si="382"/>
        <v xml:space="preserve">technologists 1
 </v>
      </c>
      <c r="EY123" s="21" t="str">
        <f t="shared" si="253"/>
        <v xml:space="preserve">law(1,50), security(1,50), interaction(1,25),  </v>
      </c>
      <c r="EZ123" s="21" t="str">
        <f t="shared" si="383"/>
        <v xml:space="preserve">law 50
security 50
interaction 25
 </v>
      </c>
      <c r="FA123" s="21" t="str">
        <f t="shared" si="254"/>
        <v xml:space="preserve">gifted programmer(1), scale(2), enthusiasm(2), seriousness(2), initiative(1), community manager(1), administrator(1), enthusiasm(1), fame(1), network(2), level of understanding(1), technologists(2), ease of access(1), reputation(2), law(2), for entrepreneurs(1),  </v>
      </c>
      <c r="FB123" s="21" t="str">
        <f t="shared" si="255"/>
        <v xml:space="preserve">engineering knowledge(1,6.25), technologists(1,12.5), law(1,6.25), database(1,12.5), mobile apps(1,12.5), security(1,12.5), mobile comm(1,12.5), for entrepreneurs(1,6.25),  </v>
      </c>
      <c r="FC123" s="21" t="str">
        <f t="shared" si="384"/>
        <v xml:space="preserve">engineering knowledge(6.25),technologists(12.5),law(6.25),database(12.5),mobile apps(12.5),security(12.5),mobile comm(12.5),for entrepreneurs(6.25), </v>
      </c>
      <c r="FD123" s="21" t="str">
        <f t="shared" si="382"/>
        <v xml:space="preserve">technologists 1
 </v>
      </c>
      <c r="FE123" s="21" t="str">
        <f t="shared" si="256"/>
        <v xml:space="preserve">law(1,50), sensors(1,50), security(1,50),  </v>
      </c>
      <c r="FF123" s="21" t="str">
        <f t="shared" si="383"/>
        <v xml:space="preserve">law 50
sensors 50
security 50
 </v>
      </c>
      <c r="FG123"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3" s="21" t="str">
        <f t="shared" si="258"/>
        <v xml:space="preserve">engineering knowledge(1,6.25), technologists(1,12.5), law(1,6.25), database(1,6.25), mobile apps(1,6.25), AI&amp; data analysis(1,6.25), mobile comm(1,6.25), for entrepreneurs(1,6.25),  </v>
      </c>
      <c r="FI123" s="21" t="str">
        <f t="shared" si="384"/>
        <v xml:space="preserve">engineering knowledge(6.25),technologists(12.5),law(6.25),database(6.25),mobile apps(6.25),AI&amp; data analysis(6.25),mobile comm(6.25),for entrepreneurs(6.25), </v>
      </c>
      <c r="FJ123" s="21" t="str">
        <f t="shared" si="382"/>
        <v xml:space="preserve">technologists 1
 </v>
      </c>
      <c r="FK123" s="21" t="str">
        <f t="shared" si="259"/>
        <v xml:space="preserve">wood processing(1,25), metal processing(1,25), plastic processing(1,25), fabric(1,25), safety(1,25), interaction(1,25),  </v>
      </c>
      <c r="FL123" s="21" t="str">
        <f t="shared" si="383"/>
        <v xml:space="preserve">project management 2
wood processing 25
metal processing 25
plastic processing 25
fabric 25
safety 25
interaction 25
 </v>
      </c>
      <c r="FM123" s="21" t="str">
        <f t="shared" si="260"/>
        <v xml:space="preserve">gifted programmer(1), scale(2), enthusiasm(2), seriousness(2), initiative(1), community manager(1), administrator(1), enthusiasm(1), fame(1), network(2), level of understanding(1), technologists(2), spaciousness(1), ease of access(1), reputation(2), for entrepreneurs(1),  </v>
      </c>
      <c r="FN123" s="21" t="str">
        <f t="shared" si="261"/>
        <v xml:space="preserve">engineering knowledge(1,6.25), technologists(1,12.5), for entrepreneurs(1,6.25),  </v>
      </c>
      <c r="FO123" s="21" t="str">
        <f t="shared" si="384"/>
        <v xml:space="preserve">engineering knowledge(6.25),technologists(12.5),for entrepreneurs(6.25), </v>
      </c>
      <c r="FP123" s="21" t="str">
        <f t="shared" si="382"/>
        <v xml:space="preserve">technologists 1
 </v>
      </c>
      <c r="FQ123" s="21" t="str">
        <f t="shared" si="262"/>
        <v xml:space="preserve">web(1,25), mobile apps(1,50), functions(1,25), interaction(1,25),  </v>
      </c>
      <c r="FR123" s="21" t="str">
        <f t="shared" si="383"/>
        <v xml:space="preserve">web 25
mobile apps 50
functions 25
interaction 25
 </v>
      </c>
      <c r="FS123" s="21" t="str">
        <f t="shared" si="263"/>
        <v xml:space="preserve">gifted programmer(1), scale(2), enthusiasm(2), seriousness(2), initiative(1), community manager(1), administrator(1), enthusiasm(1), fame(1), network(2), level of understanding(1), technologists(2), spaciousness(1), ease of access(1), reputation(2), for entrepreneurs(1),  </v>
      </c>
      <c r="FT123" s="21" t="str">
        <f t="shared" si="264"/>
        <v xml:space="preserve">engineering knowledge(1,6.25), technologists(1,12.5), for entrepreneurs(1,6.25),  </v>
      </c>
      <c r="FU123" s="21" t="str">
        <f t="shared" si="384"/>
        <v xml:space="preserve">engineering knowledge(6.25),technologists(12.5),for entrepreneurs(6.25), </v>
      </c>
      <c r="FV123" s="21" t="str">
        <f t="shared" si="382"/>
        <v xml:space="preserve">technologists 1
 </v>
      </c>
      <c r="FW123" s="21" t="str">
        <f t="shared" si="265"/>
        <v xml:space="preserve">mobile apps(1,50), sensors(1,50), wood processing(1,25), plastic processing(1,25), electronics(1,25), functions(1,25), interaction(1,25),  </v>
      </c>
      <c r="FX123" s="21" t="str">
        <f t="shared" si="383"/>
        <v xml:space="preserve">mobile apps 50
sensors 50
wood processing 25
plastic processing 25
electronics 25
functions 25
interaction 25
 </v>
      </c>
      <c r="FY123"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3" s="21" t="str">
        <f t="shared" si="267"/>
        <v xml:space="preserve">engineering knowledge(1,6.25), technologists(1,12.5), web(1,6.25), database(1,6.25), AI&amp; data analysis(1,6.25), mobile comm(1,6.25), for entrepreneurs(1,6.25),  </v>
      </c>
      <c r="GA123" s="21" t="str">
        <f t="shared" si="384"/>
        <v xml:space="preserve">engineering knowledge(6.25),technologists(12.5),web(6.25),database(6.25),AI&amp; data analysis(6.25),mobile comm(6.25),for entrepreneurs(6.25), </v>
      </c>
      <c r="GB123" s="21" t="str">
        <f t="shared" si="382"/>
        <v xml:space="preserve">technologists 1
 </v>
      </c>
      <c r="GC123" s="21" t="str">
        <f t="shared" si="268"/>
        <v xml:space="preserve">sensors(1,25), mobile comm(1,25), electronics(1,50), functions(1,25), safety(1,25),  </v>
      </c>
      <c r="GD123" s="21" t="str">
        <f t="shared" si="383"/>
        <v xml:space="preserve">sensors 25
mobile comm 25
electronics 50
functions 25
safety 25
 </v>
      </c>
      <c r="GE123"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3" s="21" t="str">
        <f t="shared" si="270"/>
        <v xml:space="preserve">engineering knowledge(1,6.25), technologists(1,12.5), database(1,6.25), mobile apps(1,6.25), AI&amp; data analysis(1,6.25), plastic processing(1,6.25), interaction(1,6.25), for entrepreneurs(1,6.25),  </v>
      </c>
      <c r="GG123" s="21" t="str">
        <f t="shared" si="384"/>
        <v xml:space="preserve">engineering knowledge(6.25),technologists(12.5),database(6.25),mobile apps(6.25),AI&amp; data analysis(6.25),plastic processing(6.25),interaction(6.25),for entrepreneurs(6.25), </v>
      </c>
      <c r="GH123" s="21" t="str">
        <f t="shared" si="382"/>
        <v xml:space="preserve">technologists 1
 </v>
      </c>
      <c r="GI123" s="21" t="str">
        <f t="shared" si="271"/>
        <v xml:space="preserve">web(1,25), mobile apps(1,50), functions(1,25), interaction(1,25),  </v>
      </c>
      <c r="GJ123" s="21" t="str">
        <f t="shared" si="383"/>
        <v xml:space="preserve">web 25
mobile apps 50
functions 25
interaction 25
 </v>
      </c>
      <c r="GK123"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3" s="21" t="str">
        <f t="shared" si="273"/>
        <v xml:space="preserve">engineering knowledge(1,6.25), technologists(1,12.5), for entrepreneurs(1,6.25),  </v>
      </c>
      <c r="GM123" s="21" t="str">
        <f t="shared" si="384"/>
        <v xml:space="preserve">engineering knowledge(6.25),technologists(12.5),for entrepreneurs(6.25), </v>
      </c>
      <c r="GN123" s="21" t="str">
        <f t="shared" si="382"/>
        <v xml:space="preserve">technologists 1
 </v>
      </c>
      <c r="GO123" s="21" t="str">
        <f t="shared" si="274"/>
        <v xml:space="preserve">web(1,25), mobile apps(1,25), VR&amp;AR(1,25), aesthetics(1,25), functions(1,25), interaction(1,50),  </v>
      </c>
      <c r="GP123" s="21" t="str">
        <f t="shared" si="383"/>
        <v xml:space="preserve">web 25
mobile apps 25
VR&amp;AR 25
aesthetics 25
functions 25
interaction 50
 </v>
      </c>
      <c r="GQ123"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3" s="21" t="str">
        <f t="shared" si="276"/>
        <v xml:space="preserve">technologists(1,12.5), for entrepreneurs(1,6.25),  </v>
      </c>
      <c r="GS123" s="21" t="str">
        <f t="shared" si="384"/>
        <v xml:space="preserve">technologists(12.5),for entrepreneurs(6.25), </v>
      </c>
      <c r="GT123" s="21" t="str">
        <f t="shared" si="382"/>
        <v xml:space="preserve">scale 2
ease of access 1
reputation 2
web 1
mobile apps 1
mobile comm 1
 </v>
      </c>
      <c r="GU123" s="21" t="str">
        <f t="shared" si="277"/>
        <v xml:space="preserve"> </v>
      </c>
      <c r="GV123" s="21" t="str">
        <f t="shared" si="383"/>
        <v xml:space="preserve"> </v>
      </c>
      <c r="GW123" s="21" t="str">
        <f t="shared" si="278"/>
        <v xml:space="preserve">engineering knowledge(2), 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3" s="21" t="str">
        <f t="shared" si="279"/>
        <v xml:space="preserve">engineering knowledge(1,6.25), network among members(1,6.25), gifted leader(1,6.25), gifted programmer(1,6.25), enthusiasm(1,6.25), media(1,6.25), entrepreneurs(1,6.25), technologists(1,6.25), project management(1,6.25), social media(1,6.25), web(1,6.25), mobile apps(1,6.25),  </v>
      </c>
      <c r="GY123" s="21" t="str">
        <f t="shared" si="384"/>
        <v xml:space="preserve">engineering knowledge(6.25),network among members(6.25),gifted leader(6.25),gifted programmer(6.25),enthusiasm(6.25),media(6.25),entrepreneurs(6.25),technologists(6.25),project management(6.25),social media(6.25),web(6.25),mobile apps(6.25), </v>
      </c>
      <c r="GZ123" s="21" t="str">
        <f t="shared" ref="GZ123:HL138" si="385">IF(GZ21="",GZ124,$C123&amp;" "&amp;GZ21&amp;CHAR(10)&amp;GZ124)</f>
        <v xml:space="preserve">scale 2
enthusiasm 2
network 1
govt 1
non-profits 1
reputation 2
portfolio 1
 </v>
      </c>
      <c r="HA123" s="21" t="str">
        <f t="shared" si="281"/>
        <v xml:space="preserve"> </v>
      </c>
      <c r="HB123" s="21" t="str">
        <f t="shared" ref="HB123:HN138" si="386">IF(HB21="",HB124,$C123&amp;" "&amp;HB21&amp;CHAR(10)&amp;HB124)</f>
        <v xml:space="preserve"> </v>
      </c>
      <c r="HC123" s="21" t="str">
        <f t="shared" si="283"/>
        <v xml:space="preserve">engineering knowledge(2), 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3" s="21" t="str">
        <f t="shared" si="284"/>
        <v xml:space="preserve">enthusiasm(1,6.25), media(1,6.25), technologists(1,6.25), non-profits(1,6.25), reputation(1,6.25), start-up with customers(1,6.25), for basic literacy(1,6.25),  </v>
      </c>
      <c r="HE123" s="21" t="str">
        <f t="shared" ref="HE123:HQ138" si="387">IF(HE21="",HE124,$C123&amp;"("&amp;HE21&amp;"),"&amp;HE124)</f>
        <v xml:space="preserve">enthusiasm(6.25),media(6.25),technologists(6.25),non-profits(6.25),reputation(6.25),start-up with customers(6.25),for basic literacy(6.25), </v>
      </c>
      <c r="HF123" s="21" t="str">
        <f t="shared" si="385"/>
        <v xml:space="preserve"> </v>
      </c>
      <c r="HG123" s="21" t="str">
        <f t="shared" si="286"/>
        <v xml:space="preserve">scale(2,), enthusiasm(2,),  </v>
      </c>
      <c r="HH123" s="21" t="str">
        <f t="shared" si="386"/>
        <v xml:space="preserve"> </v>
      </c>
      <c r="HI123" s="21" t="str">
        <f t="shared" si="287"/>
        <v xml:space="preserve">engineering knowledge(2), 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3" s="21" t="str">
        <f t="shared" si="288"/>
        <v xml:space="preserve">network among members(1,6.25), enthusiasm(1,6.25), fun-ness(1,6.25), seriousness(1,6.25), govt(1,6.25), media(1,6.25), non-profits(1,6.25), start-up with customers(1,6.25),  </v>
      </c>
      <c r="HK123" s="21" t="str">
        <f t="shared" si="387"/>
        <v xml:space="preserve">network among members(6.25),enthusiasm(6.25),fun-ness(6.25),seriousness(6.25),govt(6.25),media(6.25),non-profits(6.25),start-up with customers(6.25), </v>
      </c>
      <c r="HL123" s="21" t="str">
        <f t="shared" si="385"/>
        <v xml:space="preserve">scale 2
community manager 1
PR 1
administrator 1
local biz 1
entrepreneurs 1
non-profits 1
reputation 2
portfolio 2
 </v>
      </c>
      <c r="HM123" s="21" t="str">
        <f t="shared" si="289"/>
        <v xml:space="preserve">network among members(1,25), scale(1,25), enthusiasm(1,25), ambition(1,25), fun-ness(1,25), seriousness(1,25),  </v>
      </c>
      <c r="HN123" s="21" t="str">
        <f t="shared" si="386"/>
        <v xml:space="preserve">network among members 25
scale 25
enthusiasm 25
ambition 25
fun-ness 25
seriousness 25
 </v>
      </c>
      <c r="HO123"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3" s="21" t="str">
        <f t="shared" si="291"/>
        <v xml:space="preserve">enthusiasm(1,6.25), fun-ness(1,6.25), enthusiasm(1,6.25), level of understanding(1,6.25), local biz(1,6.25), biz group(1,6.25), govt(1,6.25), investors(1,6.25), media(1,6.25), entrepreneurs(1,6.25), technologists(1,6.25), suppliers(1,6.25), non-profits(1,6.25), reputation(1,6.25),  </v>
      </c>
      <c r="HQ123" s="47" t="str">
        <f t="shared" si="387"/>
        <v xml:space="preserve">enthusiasm(6.25),fun-ness(6.25),enthusiasm(6.25),level of understanding(6.25),local biz(6.25),biz group(6.25),govt(6.25),investors(6.25),media(6.25),entrepreneurs(6.25),technologists(6.25),suppliers(6.25),non-profits(6.25),reputation(6.25), </v>
      </c>
      <c r="HR123" s="47" t="str">
        <f t="shared" ref="HR123:HW123" si="388">IF(HR21="",HR124,$C123&amp;"("&amp;HR21&amp;"),"&amp;HR124)</f>
        <v xml:space="preserve">engineering knowledge(2),scale(2),enthusiasm(2),reputation(2),portfolio(2),mobile apps(1),sensors(1),wood processing(1),aesthetics(1), </v>
      </c>
      <c r="HS123" s="47" t="str">
        <f t="shared" si="388"/>
        <v xml:space="preserve"> </v>
      </c>
      <c r="HT123" s="47" t="str">
        <f t="shared" si="388"/>
        <v xml:space="preserve"> </v>
      </c>
      <c r="HU123" s="47" t="str">
        <f t="shared" si="388"/>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3" s="47" t="str">
        <f t="shared" si="388"/>
        <v xml:space="preserve">gifted programmer(1),local biz(1),biz group(1),govt(1),investors(1),media(1),entrepreneurs(1),technologists(1),suppliers(1),non-profits(1),reputation(1), </v>
      </c>
      <c r="HW123" s="47" t="str">
        <f t="shared" si="388"/>
        <v xml:space="preserve">gifted programmer(6.25),local biz(6.25),biz group(6.25),govt(6.25),investors(6.25),media(6.25),entrepreneurs(6.25),technologists(12.5),suppliers(6.25),non-profits(6.25),reputation(6.25), </v>
      </c>
      <c r="HX123" s="47" t="str">
        <f t="shared" ref="HX123:IU123" si="389">IF(HX21="",HX124,$C123&amp;"("&amp;HX21&amp;"),"&amp;HX124)</f>
        <v xml:space="preserve">engineering knowledge(2),gifted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3" s="47" t="str">
        <f t="shared" si="389"/>
        <v xml:space="preserve">biz enhancement(1), </v>
      </c>
      <c r="HZ123" s="47" t="str">
        <f t="shared" si="389"/>
        <v xml:space="preserve">biz enhancement(100), </v>
      </c>
      <c r="IA123" s="47" t="str">
        <f t="shared" si="389"/>
        <v xml:space="preserve">community manager(1),PR(1),finance(1),administrator(1),enthusiasm(2),network(2),ambition(2),knowledge(2),spaciousness(2),ease of access(3),efficiency(2),portfolio(4),finance(2),business model(2),marketing(3),team building(2),project management(2),social media(3),negotiation(3), </v>
      </c>
      <c r="IB123" s="47" t="str">
        <f t="shared" si="389"/>
        <v xml:space="preserve">engineering knowledge(1),gifted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3" s="47" t="str">
        <f t="shared" si="389"/>
        <v xml:space="preserve">engineering knowledge(6.25),gifted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3" s="47" t="str">
        <f t="shared" si="389"/>
        <v xml:space="preserve">engineering knowledge(1),scale(1),technologists(2), </v>
      </c>
      <c r="IE123" s="47" t="str">
        <f t="shared" si="389"/>
        <v xml:space="preserve">engineering knowledge(1),web(1),mobile apps(1),security(1),AI&amp; data analysis(1), </v>
      </c>
      <c r="IF123" s="47" t="str">
        <f t="shared" si="389"/>
        <v xml:space="preserve">engineering knowledge(25),web(25),mobile apps(25),security(25),AI&amp; data analysis(25), </v>
      </c>
      <c r="IG123" s="47" t="str">
        <f t="shared" si="389"/>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3" s="47" t="str">
        <f t="shared" si="389"/>
        <v xml:space="preserve">engineering knowledge(1),technologists(1),web(1),database(1),mobile apps(1),security(1),AI&amp; data analysis(1), </v>
      </c>
      <c r="II123" s="47" t="str">
        <f t="shared" si="389"/>
        <v xml:space="preserve">engineering knowledge(6.25),technologists(6.25),web(6.25),database(6.25),mobile apps(6.25),security(6.25),AI&amp; data analysis(6.25), </v>
      </c>
      <c r="IJ123" s="47" t="str">
        <f t="shared" si="389"/>
        <v xml:space="preserve">engineering knowledge(1),scale(1),technologists(2), </v>
      </c>
      <c r="IK123" s="47" t="str">
        <f t="shared" si="389"/>
        <v xml:space="preserve">engineering knowledge(1),wood processing(1),metal processing(1),functions(1),safety(1), </v>
      </c>
      <c r="IL123" s="47" t="str">
        <f t="shared" si="389"/>
        <v xml:space="preserve">engineering knowledge(25),wood processing(25),metal processing(25),functions(25),safety(25), </v>
      </c>
      <c r="IM123" s="47" t="str">
        <f t="shared" si="389"/>
        <v xml:space="preserve">scale(2),enthusiasm(3),attention to details(2),seriousness(2),community manager(1),administrator(1),network(2),entrepreneurs(3),technologists(4),spaciousness(2),ease of access(2),reputation(3),efficiency(2),portfolio(3),wood processing(2),metal processing(2),functions(2),safety(2), </v>
      </c>
      <c r="IN123" s="47" t="str">
        <f t="shared" si="389"/>
        <v xml:space="preserve">engineering knowledge(1),technologists(1),wood processing(1),metal processing(1),functions(1),safety(1),interaction(1), </v>
      </c>
      <c r="IO123" s="47" t="str">
        <f t="shared" si="389"/>
        <v xml:space="preserve">engineering knowledge(6.25),technologists(6.25),wood processing(6.25),metal processing(6.25),functions(6.25),safety(6.25),interaction(6.25), </v>
      </c>
      <c r="IP123" s="57" t="str">
        <f t="shared" si="389"/>
        <v xml:space="preserve">scale(2),local biz(2),reputation(1), </v>
      </c>
      <c r="IQ123" s="47" t="str">
        <f t="shared" si="389"/>
        <v xml:space="preserve">network among members(1),local biz(1),marketing(1), </v>
      </c>
      <c r="IR123" s="47" t="str">
        <f t="shared" si="389"/>
        <v xml:space="preserve">network among members(25),local biz(25),marketing(25), </v>
      </c>
      <c r="IS123" s="47" t="str">
        <f t="shared" si="389"/>
        <v xml:space="preserve">engineering knowledge(2),gifted business strategist(2),enthusiasm(2),agility(2),attention to details(2),fun-ness(2),seriousness(2),leader(1),community manager(1),finance(1),administrator(1),enthusiasm(3),network(2),level of understanding(3),local biz(3),biz group(2),govt(2),non-profits(2),reputation(3),efficiency(2),marketing(2), </v>
      </c>
      <c r="IT123" s="47" t="str">
        <f t="shared" si="389"/>
        <v xml:space="preserve">network among members(1),enthusiasm(1),fun-ness(1),seriousness(1),local biz(1),biz group(1),govt(1),non-profits(1),marketing(1), </v>
      </c>
      <c r="IU123" s="47" t="str">
        <f t="shared" si="389"/>
        <v xml:space="preserve">network among members(6.25),enthusiasm(6.25),fun-ness(6.25),seriousness(6.25),local biz(6.25),biz group(6.25),govt(6.25),non-profits(6.25),marketing(6.25), </v>
      </c>
      <c r="IV123" s="57" t="str">
        <f t="shared" ref="IV123:LG123" si="390">IF(IV21="",IV124,$C123&amp;"("&amp;IV21&amp;"),"&amp;IV124)</f>
        <v xml:space="preserve">scale(2),local biz(2),reputation(1), </v>
      </c>
      <c r="IW123" s="47" t="str">
        <f t="shared" si="390"/>
        <v xml:space="preserve">network among members(1),local biz(1),marketing(1), </v>
      </c>
      <c r="IX123" s="47" t="str">
        <f t="shared" si="390"/>
        <v xml:space="preserve">network among members(25),local biz(25),marketing(25), </v>
      </c>
      <c r="IY123" s="47" t="str">
        <f t="shared" si="390"/>
        <v xml:space="preserve">engineering knowledge(2),gifted business strategist(2),enthusiasm(2),agility(2),attention to details(2),fun-ness(2),seriousness(2),leader(1),community manager(1),finance(1),administrator(1),enthusiasm(3),network(2),level of understanding(3),local biz(3),biz group(2),govt(2),reputation(3),efficiency(2),marketing(2), </v>
      </c>
      <c r="IZ123" s="47" t="str">
        <f t="shared" si="390"/>
        <v xml:space="preserve">network among members(1),enthusiasm(1),fun-ness(1),seriousness(1),local biz(1),biz group(1),govt(1),marketing(1), </v>
      </c>
      <c r="JA123" s="47" t="str">
        <f t="shared" si="390"/>
        <v xml:space="preserve">network among members(6.25),enthusiasm(6.25),fun-ness(6.25),seriousness(6.25),local biz(6.25),biz group(6.25),govt(6.25),marketing(6.25), </v>
      </c>
      <c r="JB123" s="47" t="str">
        <f t="shared" si="390"/>
        <v xml:space="preserve">scale(1),enthusiasm(2), </v>
      </c>
      <c r="JC123" s="47" t="str">
        <f t="shared" si="390"/>
        <v xml:space="preserve">engineering knowledge(1), </v>
      </c>
      <c r="JD123" s="47" t="str">
        <f t="shared" si="390"/>
        <v xml:space="preserve">engineering knowledge(50), </v>
      </c>
      <c r="JE123" s="47" t="str">
        <f t="shared" si="390"/>
        <v xml:space="preserve">engineering knowledge(2),network among members(2),gifted leader(1),gifted assistant(1),gifted programmer(1),gifted designer(1),scale(2),enthusiasm(3),attention to details(2),fun-ness(2),community manager(1),PR(1),administrator(1),network(2),level of understanding(2),technologists(2),spaciousness(1),ease of access(1),reputation(3),efficiency(2), </v>
      </c>
      <c r="JF123" s="47" t="str">
        <f t="shared" si="390"/>
        <v xml:space="preserve">engineering knowledge(1),web(1),infrastructrue(1),database(1),mobile apps(1),sensors(1),security(1),AI&amp; data analysis(1),mobile comm(1),VR&amp;AR(1),wood processing(1),metal processing(1),plastic processing(1),electronics(1),fabric(1),aesthetics(1),functions(1),safety(1),interaction(1), </v>
      </c>
      <c r="JG123" s="47" t="str">
        <f t="shared" si="390"/>
        <v xml:space="preserve">engineering knowledge(6.25),web(6.25),infrastructrue(6.25),database(6.25),mobile apps(6.25),sensors(6.25),security(6.25),AI&amp; data analysis(6.25),mobile comm(6.25),VR&amp;AR(6.25),wood processing(6.25),metal processing(6.25),plastic processing(6.25),electronics(6.25),fabric(6.25),aesthetics(6.25),functions(6.25),safety(6.25),interaction(6.25), </v>
      </c>
      <c r="JH123" s="47" t="str">
        <f t="shared" si="390"/>
        <v xml:space="preserve">scale(1),enthusiasm(1),enthusiasm(1),local biz(1),non-profits(1),reputation(2), </v>
      </c>
      <c r="JI123" s="47" t="str">
        <f t="shared" si="390"/>
        <v xml:space="preserve"> </v>
      </c>
      <c r="JJ123" s="47" t="str">
        <f t="shared" si="390"/>
        <v xml:space="preserve"> </v>
      </c>
      <c r="JK123" s="47" t="str">
        <f t="shared" si="390"/>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3" s="47" t="str">
        <f t="shared" si="390"/>
        <v xml:space="preserve">non-profits(1), </v>
      </c>
      <c r="JM123" s="47" t="str">
        <f t="shared" si="390"/>
        <v xml:space="preserve">non-profits(6.25), </v>
      </c>
      <c r="JN123" s="47" t="str">
        <f t="shared" si="390"/>
        <v xml:space="preserve">scale(2),enthusiasm(2),enthusiasm(1),network(1),local biz(1),investors(1),entrepreneurs(1),technologists(1),non-profits(1),reputation(2),portfolio(2), </v>
      </c>
      <c r="JO123" s="47" t="str">
        <f t="shared" si="390"/>
        <v xml:space="preserve"> </v>
      </c>
      <c r="JP123" s="47" t="str">
        <f t="shared" si="390"/>
        <v xml:space="preserve"> </v>
      </c>
      <c r="JQ123" s="47" t="str">
        <f t="shared" si="390"/>
        <v xml:space="preserve">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3" s="47" t="str">
        <f t="shared" si="390"/>
        <v xml:space="preserve"> </v>
      </c>
      <c r="JS123" s="47" t="str">
        <f t="shared" si="390"/>
        <v xml:space="preserve"> </v>
      </c>
      <c r="JT123" s="47" t="str">
        <f t="shared" si="390"/>
        <v xml:space="preserve">scale(3),enthusiasm(3),PR(1),administrator(1),enthusiasm(2),network(2),local biz(2),biz group(1),govt(2),investors(2),entrepreneurs(2),technologists(2),non-profits(2),reputation(2),portfolio(3), </v>
      </c>
      <c r="JU123" s="47" t="str">
        <f t="shared" si="390"/>
        <v xml:space="preserve"> </v>
      </c>
      <c r="JV123" s="47" t="str">
        <f t="shared" si="390"/>
        <v xml:space="preserve"> </v>
      </c>
      <c r="JW123" s="47" t="str">
        <f t="shared" si="390"/>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3" s="47" t="str">
        <f t="shared" si="390"/>
        <v xml:space="preserve"> </v>
      </c>
      <c r="JY123" s="47" t="str">
        <f t="shared" si="390"/>
        <v xml:space="preserve"> </v>
      </c>
      <c r="JZ123" s="47" t="str">
        <f t="shared" si="390"/>
        <v xml:space="preserve">scale(1),enthusiasm(2),network(1),non-profits(1),reputation(2),social project(2), </v>
      </c>
      <c r="KA123" s="47" t="str">
        <f t="shared" si="390"/>
        <v xml:space="preserve">non-profits(1), </v>
      </c>
      <c r="KB123" s="47" t="str">
        <f t="shared" si="390"/>
        <v xml:space="preserve">non-profits(25), </v>
      </c>
      <c r="KC123" s="47" t="str">
        <f t="shared" si="390"/>
        <v xml:space="preserve">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3" s="47" t="str">
        <f t="shared" si="390"/>
        <v xml:space="preserve">non-profits(1), </v>
      </c>
      <c r="KE123" s="47" t="str">
        <f t="shared" si="390"/>
        <v xml:space="preserve">non-profits(6.25), </v>
      </c>
      <c r="KF123" s="47" t="str">
        <f t="shared" si="390"/>
        <v xml:space="preserve"> </v>
      </c>
      <c r="KG123" s="47" t="str">
        <f t="shared" si="390"/>
        <v xml:space="preserve"> </v>
      </c>
      <c r="KH123" s="47" t="str">
        <f t="shared" si="390"/>
        <v xml:space="preserve"> </v>
      </c>
      <c r="KI123" s="47" t="str">
        <f t="shared" si="390"/>
        <v xml:space="preserve"> </v>
      </c>
      <c r="KJ123" s="47" t="str">
        <f t="shared" si="390"/>
        <v xml:space="preserve"> </v>
      </c>
      <c r="KK123" s="47" t="str">
        <f t="shared" si="390"/>
        <v xml:space="preserve"> </v>
      </c>
      <c r="KL123" s="57" t="str">
        <f t="shared" si="390"/>
        <v xml:space="preserve"> </v>
      </c>
      <c r="KM123" s="47" t="str">
        <f t="shared" si="390"/>
        <v xml:space="preserve"> </v>
      </c>
      <c r="KN123" s="47" t="str">
        <f t="shared" si="390"/>
        <v xml:space="preserve"> </v>
      </c>
      <c r="KO123" s="47" t="str">
        <f t="shared" si="390"/>
        <v xml:space="preserve"> </v>
      </c>
      <c r="KP123" s="47" t="str">
        <f t="shared" si="390"/>
        <v xml:space="preserve"> </v>
      </c>
      <c r="KQ123" s="47" t="str">
        <f t="shared" si="390"/>
        <v xml:space="preserve"> </v>
      </c>
      <c r="KR123" s="57" t="str">
        <f t="shared" si="390"/>
        <v xml:space="preserve"> </v>
      </c>
      <c r="KS123" s="47" t="str">
        <f t="shared" si="390"/>
        <v xml:space="preserve"> </v>
      </c>
      <c r="KT123" s="47" t="str">
        <f t="shared" si="390"/>
        <v xml:space="preserve"> </v>
      </c>
      <c r="KU123" s="47" t="str">
        <f t="shared" si="390"/>
        <v xml:space="preserve"> </v>
      </c>
      <c r="KV123" s="47" t="str">
        <f t="shared" si="390"/>
        <v xml:space="preserve"> </v>
      </c>
      <c r="KW123" s="47" t="str">
        <f t="shared" si="390"/>
        <v xml:space="preserve"> </v>
      </c>
      <c r="KX123" s="57" t="str">
        <f t="shared" si="390"/>
        <v xml:space="preserve"> </v>
      </c>
      <c r="KY123" s="47" t="str">
        <f t="shared" si="390"/>
        <v xml:space="preserve"> </v>
      </c>
      <c r="KZ123" s="47" t="str">
        <f t="shared" si="390"/>
        <v xml:space="preserve"> </v>
      </c>
      <c r="LA123" s="47" t="str">
        <f t="shared" si="390"/>
        <v xml:space="preserve"> </v>
      </c>
      <c r="LB123" s="47" t="str">
        <f t="shared" si="390"/>
        <v xml:space="preserve"> </v>
      </c>
      <c r="LC123" s="47" t="str">
        <f t="shared" si="390"/>
        <v xml:space="preserve"> </v>
      </c>
      <c r="LD123" s="57" t="str">
        <f t="shared" si="390"/>
        <v xml:space="preserve"> </v>
      </c>
      <c r="LE123" s="47" t="str">
        <f t="shared" si="390"/>
        <v xml:space="preserve"> </v>
      </c>
      <c r="LF123" s="47" t="str">
        <f t="shared" si="390"/>
        <v xml:space="preserve"> </v>
      </c>
      <c r="LG123" s="47" t="str">
        <f t="shared" si="390"/>
        <v xml:space="preserve"> </v>
      </c>
      <c r="LH123" s="47" t="str">
        <f t="shared" ref="LH123:NM123" si="391">IF(LH21="",LH124,$C123&amp;"("&amp;LH21&amp;"),"&amp;LH124)</f>
        <v xml:space="preserve"> </v>
      </c>
      <c r="LI123" s="47" t="str">
        <f t="shared" si="391"/>
        <v xml:space="preserve"> </v>
      </c>
      <c r="LJ123" s="57" t="str">
        <f t="shared" si="391"/>
        <v xml:space="preserve"> </v>
      </c>
      <c r="LK123" s="47" t="str">
        <f t="shared" si="391"/>
        <v xml:space="preserve"> </v>
      </c>
      <c r="LL123" s="47" t="str">
        <f t="shared" si="391"/>
        <v xml:space="preserve"> </v>
      </c>
      <c r="LM123" s="47" t="str">
        <f t="shared" si="391"/>
        <v xml:space="preserve"> </v>
      </c>
      <c r="LN123" s="47" t="str">
        <f t="shared" si="391"/>
        <v xml:space="preserve"> </v>
      </c>
      <c r="LO123" s="47" t="str">
        <f t="shared" si="391"/>
        <v xml:space="preserve"> </v>
      </c>
      <c r="LP123" s="57" t="str">
        <f t="shared" si="391"/>
        <v xml:space="preserve"> </v>
      </c>
      <c r="LQ123" s="47" t="str">
        <f t="shared" si="391"/>
        <v xml:space="preserve"> </v>
      </c>
      <c r="LR123" s="47" t="str">
        <f t="shared" si="391"/>
        <v xml:space="preserve"> </v>
      </c>
      <c r="LS123" s="47" t="str">
        <f t="shared" si="391"/>
        <v xml:space="preserve"> </v>
      </c>
      <c r="LT123" s="47" t="str">
        <f t="shared" si="391"/>
        <v xml:space="preserve"> </v>
      </c>
      <c r="LU123" s="47" t="str">
        <f t="shared" si="391"/>
        <v xml:space="preserve"> </v>
      </c>
      <c r="LV123" s="57" t="str">
        <f t="shared" si="391"/>
        <v xml:space="preserve"> </v>
      </c>
      <c r="LW123" s="47" t="str">
        <f t="shared" si="391"/>
        <v xml:space="preserve"> </v>
      </c>
      <c r="LX123" s="47" t="str">
        <f t="shared" si="391"/>
        <v xml:space="preserve"> </v>
      </c>
      <c r="LY123" s="47" t="str">
        <f t="shared" si="391"/>
        <v xml:space="preserve"> </v>
      </c>
      <c r="LZ123" s="47" t="str">
        <f t="shared" si="391"/>
        <v xml:space="preserve"> </v>
      </c>
      <c r="MA123" s="47" t="str">
        <f t="shared" si="391"/>
        <v xml:space="preserve"> </v>
      </c>
      <c r="MB123" s="57" t="str">
        <f t="shared" si="391"/>
        <v xml:space="preserve"> </v>
      </c>
      <c r="MC123" s="47" t="str">
        <f t="shared" si="391"/>
        <v xml:space="preserve"> </v>
      </c>
      <c r="MD123" s="47" t="str">
        <f t="shared" si="391"/>
        <v xml:space="preserve"> </v>
      </c>
      <c r="ME123" s="47" t="str">
        <f t="shared" si="391"/>
        <v xml:space="preserve"> </v>
      </c>
      <c r="MF123" s="47" t="str">
        <f t="shared" si="391"/>
        <v xml:space="preserve"> </v>
      </c>
      <c r="MG123" s="47" t="str">
        <f t="shared" si="391"/>
        <v xml:space="preserve"> </v>
      </c>
      <c r="MH123" s="57" t="str">
        <f t="shared" si="391"/>
        <v xml:space="preserve"> </v>
      </c>
      <c r="MI123" s="47" t="str">
        <f t="shared" si="391"/>
        <v xml:space="preserve"> </v>
      </c>
      <c r="MJ123" s="47" t="str">
        <f t="shared" si="391"/>
        <v xml:space="preserve"> </v>
      </c>
      <c r="MK123" s="47" t="str">
        <f t="shared" si="391"/>
        <v xml:space="preserve"> </v>
      </c>
      <c r="ML123" s="47" t="str">
        <f t="shared" si="391"/>
        <v xml:space="preserve"> </v>
      </c>
      <c r="MM123" s="47" t="str">
        <f t="shared" si="391"/>
        <v xml:space="preserve"> </v>
      </c>
      <c r="MN123" s="57" t="str">
        <f t="shared" si="391"/>
        <v xml:space="preserve"> </v>
      </c>
      <c r="MO123" s="47" t="str">
        <f t="shared" si="391"/>
        <v xml:space="preserve"> </v>
      </c>
      <c r="MP123" s="47" t="str">
        <f t="shared" si="391"/>
        <v xml:space="preserve"> </v>
      </c>
      <c r="MQ123" s="47" t="str">
        <f t="shared" si="391"/>
        <v xml:space="preserve"> </v>
      </c>
      <c r="MR123" s="47" t="str">
        <f t="shared" si="391"/>
        <v xml:space="preserve"> </v>
      </c>
      <c r="MS123" s="47" t="str">
        <f t="shared" si="391"/>
        <v xml:space="preserve"> </v>
      </c>
      <c r="MT123" s="57" t="str">
        <f t="shared" si="391"/>
        <v xml:space="preserve"> </v>
      </c>
      <c r="MU123" s="47" t="str">
        <f t="shared" si="391"/>
        <v xml:space="preserve"> </v>
      </c>
      <c r="MV123" s="47" t="str">
        <f t="shared" si="391"/>
        <v xml:space="preserve"> </v>
      </c>
      <c r="MW123" s="47" t="str">
        <f t="shared" si="391"/>
        <v xml:space="preserve"> </v>
      </c>
      <c r="MX123" s="47" t="str">
        <f t="shared" si="391"/>
        <v xml:space="preserve"> </v>
      </c>
      <c r="MY123" s="47" t="str">
        <f t="shared" si="391"/>
        <v xml:space="preserve"> </v>
      </c>
      <c r="MZ123" s="57" t="str">
        <f t="shared" si="391"/>
        <v xml:space="preserve"> </v>
      </c>
      <c r="NA123" s="47" t="str">
        <f t="shared" si="391"/>
        <v xml:space="preserve"> </v>
      </c>
      <c r="NB123" s="47" t="str">
        <f t="shared" si="391"/>
        <v xml:space="preserve"> </v>
      </c>
      <c r="NC123" s="47" t="str">
        <f t="shared" si="391"/>
        <v xml:space="preserve"> </v>
      </c>
      <c r="ND123" s="47" t="str">
        <f t="shared" si="391"/>
        <v xml:space="preserve"> </v>
      </c>
      <c r="NE123" s="47" t="str">
        <f t="shared" si="391"/>
        <v xml:space="preserve"> </v>
      </c>
      <c r="NF123" s="57" t="str">
        <f t="shared" si="391"/>
        <v xml:space="preserve"> </v>
      </c>
      <c r="NG123" s="47" t="str">
        <f t="shared" si="391"/>
        <v xml:space="preserve"> </v>
      </c>
      <c r="NH123" s="47" t="str">
        <f t="shared" si="391"/>
        <v xml:space="preserve"> </v>
      </c>
      <c r="NI123" s="47" t="str">
        <f t="shared" si="391"/>
        <v xml:space="preserve"> </v>
      </c>
      <c r="NJ123" s="47" t="str">
        <f t="shared" si="391"/>
        <v xml:space="preserve"> </v>
      </c>
      <c r="NK123" s="47" t="str">
        <f t="shared" si="391"/>
        <v xml:space="preserve"> </v>
      </c>
      <c r="NL123" s="57" t="str">
        <f t="shared" si="391"/>
        <v xml:space="preserve"> </v>
      </c>
      <c r="NM123" s="47" t="str">
        <f t="shared" si="391"/>
        <v xml:space="preserve"> </v>
      </c>
    </row>
    <row r="124" spans="3:377" ht="15.75" customHeight="1">
      <c r="C124" s="7" t="str">
        <f t="shared" si="296"/>
        <v>network among members</v>
      </c>
      <c r="D124" s="21" t="str">
        <f t="shared" si="169"/>
        <v xml:space="preserve">scale 1
 </v>
      </c>
      <c r="E124" s="21" t="str">
        <f t="shared" si="297"/>
        <v xml:space="preserve"> </v>
      </c>
      <c r="F124" s="21" t="str">
        <f t="shared" si="170"/>
        <v xml:space="preserve"> </v>
      </c>
      <c r="G124" s="21" t="str">
        <f t="shared" si="298"/>
        <v xml:space="preserve">enthusiasm(2), fun-ness(1), community manager(1), PR(1), fame(1), network(2), ease of access(1), reputation(2), social media(1),  </v>
      </c>
      <c r="H124" s="21" t="str">
        <f t="shared" si="299"/>
        <v xml:space="preserve"> </v>
      </c>
      <c r="I124" s="21" t="str">
        <f t="shared" ref="I124" si="392">IF(I22="",I125,$C124&amp;"("&amp;I22&amp;"),"&amp;I125)</f>
        <v xml:space="preserve"> </v>
      </c>
      <c r="J124" s="21" t="str">
        <f t="shared" si="376"/>
        <v xml:space="preserve">scale 1
interaction 1
 </v>
      </c>
      <c r="K124" s="21" t="str">
        <f t="shared" si="173"/>
        <v xml:space="preserve">reputation(1,75),  </v>
      </c>
      <c r="L124" s="21" t="str">
        <f t="shared" si="377"/>
        <v xml:space="preserve">reputation 75
 </v>
      </c>
      <c r="M124" s="21" t="str">
        <f t="shared" si="175"/>
        <v xml:space="preserve">PR(1), portfolio(1), social innovation(1), non-profit biz(1),  </v>
      </c>
      <c r="N124" s="21" t="str">
        <f t="shared" si="176"/>
        <v xml:space="preserve">seriousness(1,25), non-profits(1,12.5), reputation(1,75), marketing(1,12.5),  </v>
      </c>
      <c r="O124" s="21" t="str">
        <f t="shared" si="378"/>
        <v xml:space="preserve">seriousness(25),non-profits(12.5),reputation(75),marketing(12.5), </v>
      </c>
      <c r="P124" s="21" t="str">
        <f t="shared" si="376"/>
        <v xml:space="preserve">scale 1
biz project 1
 </v>
      </c>
      <c r="Q124" s="21" t="str">
        <f t="shared" si="178"/>
        <v xml:space="preserve"> </v>
      </c>
      <c r="R124" s="21" t="str">
        <f t="shared" si="377"/>
        <v xml:space="preserve"> </v>
      </c>
      <c r="S124" s="21" t="str">
        <f t="shared" si="179"/>
        <v xml:space="preserve">portfolio(1), biz enhancement(1), business(1), start-up(1),  </v>
      </c>
      <c r="T124" s="21" t="str">
        <f t="shared" si="180"/>
        <v xml:space="preserve">seriousness(1,25), local biz(1,6.25), investors(1,6.25), reputation(1,6.25),  </v>
      </c>
      <c r="U124" s="21" t="str">
        <f t="shared" si="378"/>
        <v xml:space="preserve">seriousness(25),local biz(6.25),investors(6.25),reputation(6.25), </v>
      </c>
      <c r="V124" s="21" t="str">
        <f t="shared" si="376"/>
        <v xml:space="preserve">scale 1
 </v>
      </c>
      <c r="W124" s="21" t="str">
        <f t="shared" si="181"/>
        <v xml:space="preserve">local biz(1,),  </v>
      </c>
      <c r="X124" s="21" t="str">
        <f t="shared" si="377"/>
        <v xml:space="preserve"> </v>
      </c>
      <c r="Y124" s="21" t="str">
        <f t="shared" si="182"/>
        <v xml:space="preserve">enthusiasm(1), attention to details(1), PR(1), network(1), ease of access(1), reputation(1), portfolio(1), biz project(1), biz enhancement(1), job creation(1), business(1),  </v>
      </c>
      <c r="Z124" s="21" t="str">
        <f t="shared" si="183"/>
        <v xml:space="preserve">local biz(1,6.25),  </v>
      </c>
      <c r="AA124" s="21" t="str">
        <f t="shared" si="378"/>
        <v xml:space="preserve">local biz(6.25), </v>
      </c>
      <c r="AB124" s="21" t="str">
        <f t="shared" si="376"/>
        <v xml:space="preserve">scale 1
 </v>
      </c>
      <c r="AC124" s="21" t="str">
        <f t="shared" si="184"/>
        <v xml:space="preserve">non-profits(1,100),  </v>
      </c>
      <c r="AD124" s="21" t="str">
        <f t="shared" si="377"/>
        <v xml:space="preserve">non-profits 100
 </v>
      </c>
      <c r="AE124" s="21" t="str">
        <f t="shared" si="185"/>
        <v xml:space="preserve">enthusiasm(1), attention to details(1), PR(1), network(1), ease of access(1), reputation(1), portfolio(1), social project(1), social innovation(1), non-profit biz(1),  </v>
      </c>
      <c r="AF124" s="21" t="str">
        <f t="shared" si="186"/>
        <v xml:space="preserve">seriousness(1,6.25), non-profits(1,6.25),  </v>
      </c>
      <c r="AG124" s="21" t="str">
        <f t="shared" si="378"/>
        <v xml:space="preserve">seriousness(6.25),non-profits(6.25), </v>
      </c>
      <c r="AH124" s="21" t="str">
        <f t="shared" si="376"/>
        <v xml:space="preserve">scale 1
 </v>
      </c>
      <c r="AI124" s="21" t="str">
        <f t="shared" si="187"/>
        <v xml:space="preserve">govt(1,),  </v>
      </c>
      <c r="AJ124" s="21" t="str">
        <f t="shared" si="377"/>
        <v xml:space="preserve"> </v>
      </c>
      <c r="AK124" s="21" t="str">
        <f t="shared" si="188"/>
        <v xml:space="preserve">enthusiasm(1), attention to details(1), seriousness(1), fame(1), network(1), govt(1), ease of access(1), reputation(2), portfolio(1), social project(1), social innovation(1), non-profit biz(1),  </v>
      </c>
      <c r="AL124" s="21" t="str">
        <f t="shared" si="189"/>
        <v xml:space="preserve">govt(1,6.25),  </v>
      </c>
      <c r="AM124" s="21" t="str">
        <f t="shared" si="378"/>
        <v xml:space="preserve">govt(6.25), </v>
      </c>
      <c r="AN124" s="21" t="str">
        <f t="shared" si="376"/>
        <v xml:space="preserve">gifted leader 1
scale 1
enthusiasm 1
 </v>
      </c>
      <c r="AO124" s="21" t="str">
        <f t="shared" si="190"/>
        <v xml:space="preserve">fame(1,), network(1,), investors(1,6.25),  </v>
      </c>
      <c r="AP124" s="21" t="str">
        <f t="shared" si="377"/>
        <v xml:space="preserve">investors 6.25
 </v>
      </c>
      <c r="AQ124" s="21" t="str">
        <f t="shared" si="191"/>
        <v xml:space="preserve">investors(1), ease of access(1), reputation(1), portfolio(1), start-up(1), start-up with mvp(1), start-up with customers(1),  </v>
      </c>
      <c r="AR124" s="21" t="str">
        <f t="shared" si="192"/>
        <v xml:space="preserve"> </v>
      </c>
      <c r="AS124" s="21" t="str">
        <f t="shared" si="378"/>
        <v xml:space="preserve"> </v>
      </c>
      <c r="AT124" s="21" t="str">
        <f t="shared" si="376"/>
        <v xml:space="preserve">scale 2
enthusiasm 1
seriousness 1
administrator 1
non-profits 2
reputation 1
portfolio 1
social project 1
 </v>
      </c>
      <c r="AU124" s="21" t="str">
        <f t="shared" si="193"/>
        <v xml:space="preserve">ambition(1,), attention to details(1,),  </v>
      </c>
      <c r="AV124" s="21" t="str">
        <f t="shared" si="377"/>
        <v xml:space="preserve"> </v>
      </c>
      <c r="AW124" s="21" t="str">
        <f t="shared" si="194"/>
        <v xml:space="preserve">enthusiasm(3), PR(2), administrator(1), project management(2),  </v>
      </c>
      <c r="AX124" s="21" t="str">
        <f t="shared" si="195"/>
        <v xml:space="preserve">organizational rules and manuals(1,12.5), project management(1,12.5),  </v>
      </c>
      <c r="AY124" s="21" t="str">
        <f t="shared" si="378"/>
        <v xml:space="preserve">organizational rules and manuals(12.5),project management(12.5), </v>
      </c>
      <c r="AZ124" s="21" t="str">
        <f t="shared" si="376"/>
        <v xml:space="preserve">scale 1
enthusiasm 1
non-profits 1
 </v>
      </c>
      <c r="BA124" s="21" t="str">
        <f t="shared" si="196"/>
        <v xml:space="preserve"> </v>
      </c>
      <c r="BB124" s="21" t="str">
        <f t="shared" si="377"/>
        <v xml:space="preserve"> </v>
      </c>
      <c r="BC124" s="21" t="str">
        <f t="shared" si="197"/>
        <v xml:space="preserve"> </v>
      </c>
      <c r="BD124" s="21" t="str">
        <f t="shared" si="198"/>
        <v xml:space="preserve"> </v>
      </c>
      <c r="BE124" s="21" t="str">
        <f t="shared" si="378"/>
        <v xml:space="preserve"> </v>
      </c>
      <c r="BF124" s="21" t="str">
        <f t="shared" si="376"/>
        <v xml:space="preserve">scale 2
enthusiasm 1
seriousness 1
administrator 1
local biz 2
entrepreneurs 1
reputation 1
portfolio 1
biz project 1
 </v>
      </c>
      <c r="BG124" s="21" t="str">
        <f t="shared" si="199"/>
        <v xml:space="preserve">ambition(1,), attention to details(1,),  </v>
      </c>
      <c r="BH124" s="21" t="str">
        <f t="shared" si="377"/>
        <v xml:space="preserve"> </v>
      </c>
      <c r="BI124" s="21" t="str">
        <f t="shared" si="200"/>
        <v xml:space="preserve">enthusiasm(3), PR(2), administrator(1), project management(2),  </v>
      </c>
      <c r="BJ124" s="21" t="str">
        <f t="shared" si="201"/>
        <v xml:space="preserve">organizational rules and manuals(1,12.5), project management(1,12.5),  </v>
      </c>
      <c r="BK124" s="21" t="str">
        <f t="shared" si="378"/>
        <v xml:space="preserve">organizational rules and manuals(12.5),project management(12.5), </v>
      </c>
      <c r="BL124" s="21" t="str">
        <f t="shared" si="376"/>
        <v xml:space="preserve">scale 1
enthusiasm 1
local biz 1
reputation 1
portfolio 1
biz enhancement 1
 </v>
      </c>
      <c r="BM124" s="21" t="str">
        <f t="shared" si="202"/>
        <v xml:space="preserve"> </v>
      </c>
      <c r="BN124" s="21" t="str">
        <f t="shared" si="377"/>
        <v xml:space="preserve"> </v>
      </c>
      <c r="BO124" s="21" t="str">
        <f t="shared" si="203"/>
        <v xml:space="preserve"> </v>
      </c>
      <c r="BP124" s="21" t="str">
        <f t="shared" si="204"/>
        <v xml:space="preserve"> </v>
      </c>
      <c r="BQ124" s="21" t="str">
        <f t="shared" si="378"/>
        <v xml:space="preserve"> </v>
      </c>
      <c r="BR124" s="21" t="str">
        <f t="shared" si="376"/>
        <v xml:space="preserve"> </v>
      </c>
      <c r="BS124" s="21" t="str">
        <f t="shared" si="205"/>
        <v xml:space="preserve"> </v>
      </c>
      <c r="BT124" s="21" t="str">
        <f t="shared" si="377"/>
        <v xml:space="preserve"> </v>
      </c>
      <c r="BU124" s="21" t="str">
        <f t="shared" si="206"/>
        <v xml:space="preserve"> </v>
      </c>
      <c r="BV124" s="21" t="str">
        <f t="shared" si="207"/>
        <v xml:space="preserve"> </v>
      </c>
      <c r="BW124" s="21" t="str">
        <f t="shared" si="378"/>
        <v xml:space="preserve"> </v>
      </c>
      <c r="BX124" s="21" t="str">
        <f t="shared" si="379"/>
        <v xml:space="preserve">scale 1
network 1
 </v>
      </c>
      <c r="BY124" s="21" t="str">
        <f t="shared" si="209"/>
        <v xml:space="preserve">efficiency(1,),  </v>
      </c>
      <c r="BZ124" s="21" t="str">
        <f t="shared" si="380"/>
        <v xml:space="preserve"> </v>
      </c>
      <c r="CA124" s="21" t="str">
        <f t="shared" si="211"/>
        <v xml:space="preserve">scale(2), enthusiasm(1), attention to details(1), administrator(1), negotiation(1),  </v>
      </c>
      <c r="CB124" s="21" t="str">
        <f t="shared" si="212"/>
        <v xml:space="preserve">user rules and manuals(1,50), organizational rules and manuals(1,50),  </v>
      </c>
      <c r="CC124" s="21" t="str">
        <f t="shared" si="381"/>
        <v xml:space="preserve">user rules and manuals(50),organizational rules and manuals(50), </v>
      </c>
      <c r="CD124" s="21" t="str">
        <f t="shared" si="379"/>
        <v xml:space="preserve">scale 1
enthusiasm 1
network 1
 </v>
      </c>
      <c r="CE124" s="21" t="str">
        <f t="shared" si="214"/>
        <v xml:space="preserve">non-profits(1,),  </v>
      </c>
      <c r="CF124" s="21" t="str">
        <f t="shared" si="380"/>
        <v xml:space="preserve"> </v>
      </c>
      <c r="CG124" s="21" t="str">
        <f t="shared" si="215"/>
        <v xml:space="preserve">fun-ness(1), seriousness(1), ease of access(1), portfolio(1), user rules and manuals(1), negotiation(1), social project(1), biz project(1), for basic literacy(1), for the elites(1), for entrepreneurs(1),  </v>
      </c>
      <c r="CH124" s="21" t="str">
        <f t="shared" si="216"/>
        <v xml:space="preserve">technologists(1,6.25), non-profits(1,6.25),  </v>
      </c>
      <c r="CI124" s="21" t="str">
        <f t="shared" si="381"/>
        <v xml:space="preserve">technologists(6.25),non-profits(6.25), </v>
      </c>
      <c r="CJ124" s="21" t="str">
        <f t="shared" si="379"/>
        <v xml:space="preserve">scale 1
 </v>
      </c>
      <c r="CK124" s="21" t="str">
        <f t="shared" si="217"/>
        <v xml:space="preserve">suppliers(1,),  </v>
      </c>
      <c r="CL124" s="21" t="str">
        <f t="shared" si="380"/>
        <v xml:space="preserve"> </v>
      </c>
      <c r="CM124" s="21" t="str">
        <f t="shared" si="218"/>
        <v xml:space="preserve">reputation(1), negotiation(1),  </v>
      </c>
      <c r="CN124" s="21" t="str">
        <f t="shared" si="219"/>
        <v xml:space="preserve">enthusiasm(2,), efficiency(1,6.25),  </v>
      </c>
      <c r="CO124" s="21" t="str">
        <f t="shared" si="381"/>
        <v xml:space="preserve">efficiency(6.25), </v>
      </c>
      <c r="CP124" s="21" t="str">
        <f t="shared" si="379"/>
        <v xml:space="preserve">scale 1
 </v>
      </c>
      <c r="CQ124" s="21" t="str">
        <f t="shared" si="220"/>
        <v xml:space="preserve">technologists(1,),  </v>
      </c>
      <c r="CR124" s="21" t="str">
        <f t="shared" si="380"/>
        <v xml:space="preserve"> </v>
      </c>
      <c r="CS124" s="21" t="str">
        <f t="shared" si="221"/>
        <v xml:space="preserve">gifted programmer(2), enthusiasm(1), network(1), portfolio(1), negotiation(1), web(1), infrastructrue(1), database(1), mobile apps(1), sensors(1), security(1), AI&amp; data analysis(1), mobile comm(1), VR&amp;AR(1), wood processing(1), metal processing(1), plastic processing(1), electronics(1), fabric(1),  </v>
      </c>
      <c r="CT124" s="21" t="str">
        <f t="shared" si="222"/>
        <v xml:space="preserve">efficiency(1,6.25),  </v>
      </c>
      <c r="CU124" s="21" t="str">
        <f t="shared" si="381"/>
        <v xml:space="preserve">efficiency(6.25), </v>
      </c>
      <c r="CV124" s="21" t="str">
        <f t="shared" si="379"/>
        <v xml:space="preserve">scale 1
 </v>
      </c>
      <c r="CW124" s="21" t="str">
        <f t="shared" si="223"/>
        <v xml:space="preserve">local biz(1,),  </v>
      </c>
      <c r="CX124" s="21" t="str">
        <f t="shared" si="380"/>
        <v xml:space="preserve"> </v>
      </c>
      <c r="CY124" s="21" t="str">
        <f t="shared" si="224"/>
        <v xml:space="preserve">ease of access(1), reputation(1), portfolio(1), negotiation(1),  </v>
      </c>
      <c r="CZ124" s="21" t="str">
        <f t="shared" si="225"/>
        <v xml:space="preserve">non-profits(1,6.25),  </v>
      </c>
      <c r="DA124" s="21" t="str">
        <f t="shared" si="381"/>
        <v xml:space="preserve">non-profits(6.25), </v>
      </c>
      <c r="DB124" s="21" t="str">
        <f t="shared" si="379"/>
        <v xml:space="preserve"> </v>
      </c>
      <c r="DC124" s="21" t="str">
        <f t="shared" si="226"/>
        <v xml:space="preserve"> </v>
      </c>
      <c r="DD124" s="21" t="str">
        <f t="shared" si="380"/>
        <v xml:space="preserve"> </v>
      </c>
      <c r="DE124"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4" s="21" t="str">
        <f t="shared" si="228"/>
        <v xml:space="preserve">network(1,), local biz(1,6.25), biz group(1,6.25), investors(1,6.25), entrepreneurs(1,6.25),  </v>
      </c>
      <c r="DG124" s="21" t="str">
        <f t="shared" si="381"/>
        <v xml:space="preserve">local biz(6.25),biz group(6.25),investors(6.25),entrepreneurs(6.25), </v>
      </c>
      <c r="DH124" s="21" t="str">
        <f t="shared" si="379"/>
        <v xml:space="preserve">scale 1
enthusiasm 1
network 1
non-profits 1
reputation 1
social project 1
 </v>
      </c>
      <c r="DI124" s="21" t="str">
        <f t="shared" si="229"/>
        <v xml:space="preserve"> </v>
      </c>
      <c r="DJ124" s="21" t="str">
        <f t="shared" si="380"/>
        <v xml:space="preserve"> </v>
      </c>
      <c r="DK124" s="21" t="str">
        <f t="shared" si="230"/>
        <v xml:space="preserve">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4" s="21" t="str">
        <f t="shared" si="231"/>
        <v xml:space="preserve">network among members(1,12.5), reputation(1,6.25),  </v>
      </c>
      <c r="DM124" s="21" t="str">
        <f t="shared" si="381"/>
        <v xml:space="preserve">network among members(12.5),reputation(6.25), </v>
      </c>
      <c r="DN124" s="21" t="str">
        <f t="shared" si="379"/>
        <v xml:space="preserve">scale 1
enthusiasm 1
network 1
local biz 1
reputation 1
biz project 1
 </v>
      </c>
      <c r="DO124" s="21" t="str">
        <f t="shared" si="232"/>
        <v xml:space="preserve"> </v>
      </c>
      <c r="DP124" s="21" t="str">
        <f t="shared" si="380"/>
        <v xml:space="preserve"> </v>
      </c>
      <c r="DQ124" s="21" t="str">
        <f t="shared" si="233"/>
        <v xml:space="preserve">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4" s="21" t="str">
        <f t="shared" si="234"/>
        <v xml:space="preserve">network among members(1,12.5), reputation(1,6.25),  </v>
      </c>
      <c r="DS124" s="21" t="str">
        <f t="shared" si="381"/>
        <v xml:space="preserve">network among members(12.5),reputation(6.25), </v>
      </c>
      <c r="DT124" s="21" t="str">
        <f t="shared" si="379"/>
        <v xml:space="preserve">scale 1
enthusiasm 1
network 1
reputation 1
 </v>
      </c>
      <c r="DU124" s="21" t="str">
        <f t="shared" si="235"/>
        <v xml:space="preserve"> </v>
      </c>
      <c r="DV124" s="21" t="str">
        <f t="shared" si="380"/>
        <v xml:space="preserve"> </v>
      </c>
      <c r="DW124"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4" s="21" t="str">
        <f t="shared" si="237"/>
        <v xml:space="preserve">ambition(1,6.25), reputation(1,6.25), for basic literacy(1,6.25),  </v>
      </c>
      <c r="DY124" s="21" t="str">
        <f t="shared" si="381"/>
        <v xml:space="preserve">ambition(6.25),reputation(6.25),for basic literacy(6.25), </v>
      </c>
      <c r="DZ124" s="21" t="str">
        <f t="shared" si="379"/>
        <v xml:space="preserve">scale 1
enthusiasm 1
network 1
reputation 1
 </v>
      </c>
      <c r="EA124" s="21" t="str">
        <f t="shared" si="238"/>
        <v xml:space="preserve"> </v>
      </c>
      <c r="EB124" s="21" t="str">
        <f t="shared" si="380"/>
        <v xml:space="preserve"> </v>
      </c>
      <c r="EC124"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4" s="21" t="str">
        <f t="shared" si="240"/>
        <v xml:space="preserve">ambition(1,6.25), reputation(1,6.25), for basic literacy(1,6.25),  </v>
      </c>
      <c r="EE124" s="21" t="str">
        <f t="shared" si="381"/>
        <v xml:space="preserve">ambition(6.25),reputation(6.25),for basic literacy(6.25), </v>
      </c>
      <c r="EF124" s="21" t="str">
        <f t="shared" si="379"/>
        <v xml:space="preserve">technologists 1
reputation 1
 </v>
      </c>
      <c r="EG124" s="21" t="str">
        <f t="shared" si="241"/>
        <v xml:space="preserve">web(1,50), mobile apps(1,50), interaction(1,50),  </v>
      </c>
      <c r="EH124" s="21" t="str">
        <f t="shared" si="380"/>
        <v xml:space="preserve">web 50
mobile apps 50
interaction 50
 </v>
      </c>
      <c r="EI124"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4" s="21" t="str">
        <f t="shared" si="243"/>
        <v xml:space="preserve">technologists(1,12.5), infrastructrue(1,12.5), database(1,12.5), mobile comm(1,12.5), for entrepreneurs(1,6.25),  </v>
      </c>
      <c r="EK124" s="21" t="str">
        <f t="shared" si="381"/>
        <v xml:space="preserve">technologists(12.5),infrastructrue(12.5),database(12.5),mobile comm(12.5),for entrepreneurs(6.25), </v>
      </c>
      <c r="EL124" s="21" t="str">
        <f t="shared" si="382"/>
        <v xml:space="preserve">technologists 1
reputation 1
 </v>
      </c>
      <c r="EM124" s="21" t="str">
        <f t="shared" si="245"/>
        <v xml:space="preserve">sensors(1,50),  </v>
      </c>
      <c r="EN124" s="21" t="str">
        <f t="shared" si="383"/>
        <v xml:space="preserve">sensors 50
 </v>
      </c>
      <c r="EO124"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4" s="21" t="str">
        <f t="shared" si="248"/>
        <v xml:space="preserve">technologists(1,12.5), infrastructrue(1,12.5), database(1,12.5), mobile comm(1,12.5), electronics(1,6.25), for entrepreneurs(1,6.25),  </v>
      </c>
      <c r="EQ124" s="21" t="str">
        <f t="shared" si="384"/>
        <v xml:space="preserve">technologists(12.5),infrastructrue(12.5),database(12.5),mobile comm(12.5),electronics(6.25),for entrepreneurs(6.25), </v>
      </c>
      <c r="ER124" s="21" t="str">
        <f t="shared" si="382"/>
        <v xml:space="preserve">technologists 1
 </v>
      </c>
      <c r="ES124" s="21" t="str">
        <f t="shared" si="250"/>
        <v xml:space="preserve">AI&amp; data analysis(1,50),  </v>
      </c>
      <c r="ET124" s="21" t="str">
        <f t="shared" si="383"/>
        <v xml:space="preserve">AI&amp; data analysis 50
 </v>
      </c>
      <c r="EU124"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4" s="21" t="str">
        <f t="shared" si="252"/>
        <v xml:space="preserve">technologists(1,12.5), database(1,12.5), sensors(1,12.5), mobile comm(1,12.5), for entrepreneurs(1,6.25),  </v>
      </c>
      <c r="EW124" s="21" t="str">
        <f t="shared" si="384"/>
        <v xml:space="preserve">technologists(12.5),database(12.5),sensors(12.5),mobile comm(12.5),for entrepreneurs(6.25), </v>
      </c>
      <c r="EX124" s="21" t="str">
        <f t="shared" si="382"/>
        <v xml:space="preserve">technologists 1
 </v>
      </c>
      <c r="EY124" s="21" t="str">
        <f t="shared" si="253"/>
        <v xml:space="preserve">law(1,50), security(1,50), interaction(1,25),  </v>
      </c>
      <c r="EZ124" s="21" t="str">
        <f t="shared" si="383"/>
        <v xml:space="preserve">law 50
security 50
interaction 25
 </v>
      </c>
      <c r="FA124" s="21" t="str">
        <f t="shared" si="254"/>
        <v xml:space="preserve">gifted programmer(1), scale(2), enthusiasm(2), seriousness(2), initiative(1), community manager(1), administrator(1), enthusiasm(1), fame(1), network(2), level of understanding(1), technologists(2), ease of access(1), reputation(2), law(2), for entrepreneurs(1),  </v>
      </c>
      <c r="FB124" s="21" t="str">
        <f t="shared" si="255"/>
        <v xml:space="preserve">technologists(1,12.5), law(1,6.25), database(1,12.5), mobile apps(1,12.5), security(1,12.5), mobile comm(1,12.5), for entrepreneurs(1,6.25),  </v>
      </c>
      <c r="FC124" s="21" t="str">
        <f t="shared" si="384"/>
        <v xml:space="preserve">technologists(12.5),law(6.25),database(12.5),mobile apps(12.5),security(12.5),mobile comm(12.5),for entrepreneurs(6.25), </v>
      </c>
      <c r="FD124" s="21" t="str">
        <f t="shared" si="382"/>
        <v xml:space="preserve">technologists 1
 </v>
      </c>
      <c r="FE124" s="21" t="str">
        <f t="shared" si="256"/>
        <v xml:space="preserve">law(1,50), sensors(1,50), security(1,50),  </v>
      </c>
      <c r="FF124" s="21" t="str">
        <f t="shared" si="383"/>
        <v xml:space="preserve">law 50
sensors 50
security 50
 </v>
      </c>
      <c r="FG124"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4" s="21" t="str">
        <f t="shared" si="258"/>
        <v xml:space="preserve">technologists(1,12.5), law(1,6.25), database(1,6.25), mobile apps(1,6.25), AI&amp; data analysis(1,6.25), mobile comm(1,6.25), for entrepreneurs(1,6.25),  </v>
      </c>
      <c r="FI124" s="21" t="str">
        <f t="shared" si="384"/>
        <v xml:space="preserve">technologists(12.5),law(6.25),database(6.25),mobile apps(6.25),AI&amp; data analysis(6.25),mobile comm(6.25),for entrepreneurs(6.25), </v>
      </c>
      <c r="FJ124" s="21" t="str">
        <f t="shared" si="382"/>
        <v xml:space="preserve">technologists 1
 </v>
      </c>
      <c r="FK124" s="21" t="str">
        <f t="shared" si="259"/>
        <v xml:space="preserve">wood processing(1,25), metal processing(1,25), plastic processing(1,25), fabric(1,25), safety(1,25), interaction(1,25),  </v>
      </c>
      <c r="FL124" s="21" t="str">
        <f t="shared" si="383"/>
        <v xml:space="preserve">project management 2
wood processing 25
metal processing 25
plastic processing 25
fabric 25
safety 25
interaction 25
 </v>
      </c>
      <c r="FM124" s="21" t="str">
        <f t="shared" si="260"/>
        <v xml:space="preserve">gifted programmer(1), scale(2), enthusiasm(2), seriousness(2), initiative(1), community manager(1), administrator(1), enthusiasm(1), fame(1), network(2), level of understanding(1), technologists(2), spaciousness(1), ease of access(1), reputation(2), for entrepreneurs(1),  </v>
      </c>
      <c r="FN124" s="21" t="str">
        <f t="shared" si="261"/>
        <v xml:space="preserve">technologists(1,12.5), for entrepreneurs(1,6.25),  </v>
      </c>
      <c r="FO124" s="21" t="str">
        <f t="shared" si="384"/>
        <v xml:space="preserve">technologists(12.5),for entrepreneurs(6.25), </v>
      </c>
      <c r="FP124" s="21" t="str">
        <f t="shared" si="382"/>
        <v xml:space="preserve">technologists 1
 </v>
      </c>
      <c r="FQ124" s="21" t="str">
        <f t="shared" si="262"/>
        <v xml:space="preserve">web(1,25), mobile apps(1,50), functions(1,25), interaction(1,25),  </v>
      </c>
      <c r="FR124" s="21" t="str">
        <f t="shared" si="383"/>
        <v xml:space="preserve">web 25
mobile apps 50
functions 25
interaction 25
 </v>
      </c>
      <c r="FS124" s="21" t="str">
        <f t="shared" si="263"/>
        <v xml:space="preserve">gifted programmer(1), scale(2), enthusiasm(2), seriousness(2), initiative(1), community manager(1), administrator(1), enthusiasm(1), fame(1), network(2), level of understanding(1), technologists(2), spaciousness(1), ease of access(1), reputation(2), for entrepreneurs(1),  </v>
      </c>
      <c r="FT124" s="21" t="str">
        <f t="shared" si="264"/>
        <v xml:space="preserve">technologists(1,12.5), for entrepreneurs(1,6.25),  </v>
      </c>
      <c r="FU124" s="21" t="str">
        <f t="shared" si="384"/>
        <v xml:space="preserve">technologists(12.5),for entrepreneurs(6.25), </v>
      </c>
      <c r="FV124" s="21" t="str">
        <f t="shared" si="382"/>
        <v xml:space="preserve">technologists 1
 </v>
      </c>
      <c r="FW124" s="21" t="str">
        <f t="shared" si="265"/>
        <v xml:space="preserve">mobile apps(1,50), sensors(1,50), wood processing(1,25), plastic processing(1,25), electronics(1,25), functions(1,25), interaction(1,25),  </v>
      </c>
      <c r="FX124" s="21" t="str">
        <f t="shared" si="383"/>
        <v xml:space="preserve">mobile apps 50
sensors 50
wood processing 25
plastic processing 25
electronics 25
functions 25
interaction 25
 </v>
      </c>
      <c r="FY124"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4" s="21" t="str">
        <f t="shared" si="267"/>
        <v xml:space="preserve">technologists(1,12.5), web(1,6.25), database(1,6.25), AI&amp; data analysis(1,6.25), mobile comm(1,6.25), for entrepreneurs(1,6.25),  </v>
      </c>
      <c r="GA124" s="21" t="str">
        <f t="shared" si="384"/>
        <v xml:space="preserve">technologists(12.5),web(6.25),database(6.25),AI&amp; data analysis(6.25),mobile comm(6.25),for entrepreneurs(6.25), </v>
      </c>
      <c r="GB124" s="21" t="str">
        <f t="shared" si="382"/>
        <v xml:space="preserve">technologists 1
 </v>
      </c>
      <c r="GC124" s="21" t="str">
        <f t="shared" si="268"/>
        <v xml:space="preserve">sensors(1,25), mobile comm(1,25), electronics(1,50), functions(1,25), safety(1,25),  </v>
      </c>
      <c r="GD124" s="21" t="str">
        <f t="shared" si="383"/>
        <v xml:space="preserve">sensors 25
mobile comm 25
electronics 50
functions 25
safety 25
 </v>
      </c>
      <c r="GE124"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4" s="21" t="str">
        <f t="shared" si="270"/>
        <v xml:space="preserve">technologists(1,12.5), database(1,6.25), mobile apps(1,6.25), AI&amp; data analysis(1,6.25), plastic processing(1,6.25), interaction(1,6.25), for entrepreneurs(1,6.25),  </v>
      </c>
      <c r="GG124" s="21" t="str">
        <f t="shared" si="384"/>
        <v xml:space="preserve">technologists(12.5),database(6.25),mobile apps(6.25),AI&amp; data analysis(6.25),plastic processing(6.25),interaction(6.25),for entrepreneurs(6.25), </v>
      </c>
      <c r="GH124" s="21" t="str">
        <f t="shared" si="382"/>
        <v xml:space="preserve">technologists 1
 </v>
      </c>
      <c r="GI124" s="21" t="str">
        <f t="shared" si="271"/>
        <v xml:space="preserve">web(1,25), mobile apps(1,50), functions(1,25), interaction(1,25),  </v>
      </c>
      <c r="GJ124" s="21" t="str">
        <f t="shared" si="383"/>
        <v xml:space="preserve">web 25
mobile apps 50
functions 25
interaction 25
 </v>
      </c>
      <c r="GK124"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4" s="21" t="str">
        <f t="shared" si="273"/>
        <v xml:space="preserve">technologists(1,12.5), for entrepreneurs(1,6.25),  </v>
      </c>
      <c r="GM124" s="21" t="str">
        <f t="shared" si="384"/>
        <v xml:space="preserve">technologists(12.5),for entrepreneurs(6.25), </v>
      </c>
      <c r="GN124" s="21" t="str">
        <f t="shared" si="382"/>
        <v xml:space="preserve">technologists 1
 </v>
      </c>
      <c r="GO124" s="21" t="str">
        <f t="shared" si="274"/>
        <v xml:space="preserve">web(1,25), mobile apps(1,25), VR&amp;AR(1,25), aesthetics(1,25), functions(1,25), interaction(1,50),  </v>
      </c>
      <c r="GP124" s="21" t="str">
        <f t="shared" si="383"/>
        <v xml:space="preserve">web 25
mobile apps 25
VR&amp;AR 25
aesthetics 25
functions 25
interaction 50
 </v>
      </c>
      <c r="GQ124"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4" s="21" t="str">
        <f t="shared" si="276"/>
        <v xml:space="preserve">technologists(1,12.5), for entrepreneurs(1,6.25),  </v>
      </c>
      <c r="GS124" s="21" t="str">
        <f t="shared" si="384"/>
        <v xml:space="preserve">technologists(12.5),for entrepreneurs(6.25), </v>
      </c>
      <c r="GT124" s="21" t="str">
        <f t="shared" si="382"/>
        <v xml:space="preserve">scale 2
ease of access 1
reputation 2
web 1
mobile apps 1
mobile comm 1
 </v>
      </c>
      <c r="GU124" s="21" t="str">
        <f t="shared" si="277"/>
        <v xml:space="preserve"> </v>
      </c>
      <c r="GV124" s="21" t="str">
        <f t="shared" si="383"/>
        <v xml:space="preserve"> </v>
      </c>
      <c r="GW124" s="21" t="str">
        <f t="shared" si="278"/>
        <v xml:space="preserve">network among members(2), 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4" s="21" t="str">
        <f t="shared" si="279"/>
        <v xml:space="preserve">network among members(1,6.25), gifted leader(1,6.25), gifted programmer(1,6.25), enthusiasm(1,6.25), media(1,6.25), entrepreneurs(1,6.25), technologists(1,6.25), project management(1,6.25), social media(1,6.25), web(1,6.25), mobile apps(1,6.25),  </v>
      </c>
      <c r="GY124" s="21" t="str">
        <f t="shared" si="384"/>
        <v xml:space="preserve">network among members(6.25),gifted leader(6.25),gifted programmer(6.25),enthusiasm(6.25),media(6.25),entrepreneurs(6.25),technologists(6.25),project management(6.25),social media(6.25),web(6.25),mobile apps(6.25), </v>
      </c>
      <c r="GZ124" s="21" t="str">
        <f t="shared" si="385"/>
        <v xml:space="preserve">scale 2
enthusiasm 2
network 1
govt 1
non-profits 1
reputation 2
portfolio 1
 </v>
      </c>
      <c r="HA124" s="21" t="str">
        <f t="shared" si="281"/>
        <v xml:space="preserve"> </v>
      </c>
      <c r="HB124" s="21" t="str">
        <f t="shared" si="386"/>
        <v xml:space="preserve"> </v>
      </c>
      <c r="HC124" s="21" t="str">
        <f t="shared" si="283"/>
        <v xml:space="preserve">network among members(2), 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4" s="21" t="str">
        <f t="shared" si="284"/>
        <v xml:space="preserve">enthusiasm(1,6.25), media(1,6.25), technologists(1,6.25), non-profits(1,6.25), reputation(1,6.25), start-up with customers(1,6.25), for basic literacy(1,6.25),  </v>
      </c>
      <c r="HE124" s="21" t="str">
        <f t="shared" si="387"/>
        <v xml:space="preserve">enthusiasm(6.25),media(6.25),technologists(6.25),non-profits(6.25),reputation(6.25),start-up with customers(6.25),for basic literacy(6.25), </v>
      </c>
      <c r="HF124" s="21" t="str">
        <f t="shared" si="385"/>
        <v xml:space="preserve"> </v>
      </c>
      <c r="HG124" s="21" t="str">
        <f t="shared" si="286"/>
        <v xml:space="preserve">scale(2,), enthusiasm(2,),  </v>
      </c>
      <c r="HH124" s="21" t="str">
        <f t="shared" si="386"/>
        <v xml:space="preserve"> </v>
      </c>
      <c r="HI124" s="21" t="str">
        <f t="shared" si="287"/>
        <v xml:space="preserve">network among members(2), 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4" s="21" t="str">
        <f t="shared" si="288"/>
        <v xml:space="preserve">network among members(1,6.25), enthusiasm(1,6.25), fun-ness(1,6.25), seriousness(1,6.25), govt(1,6.25), media(1,6.25), non-profits(1,6.25), start-up with customers(1,6.25),  </v>
      </c>
      <c r="HK124" s="21" t="str">
        <f t="shared" si="387"/>
        <v xml:space="preserve">network among members(6.25),enthusiasm(6.25),fun-ness(6.25),seriousness(6.25),govt(6.25),media(6.25),non-profits(6.25),start-up with customers(6.25), </v>
      </c>
      <c r="HL124" s="21" t="str">
        <f t="shared" si="385"/>
        <v xml:space="preserve">scale 2
community manager 1
PR 1
administrator 1
local biz 1
entrepreneurs 1
non-profits 1
reputation 2
portfolio 2
 </v>
      </c>
      <c r="HM124" s="21" t="str">
        <f t="shared" si="289"/>
        <v xml:space="preserve">network among members(1,25), scale(1,25), enthusiasm(1,25), ambition(1,25), fun-ness(1,25), seriousness(1,25),  </v>
      </c>
      <c r="HN124" s="21" t="str">
        <f t="shared" si="386"/>
        <v xml:space="preserve">network among members 25
scale 25
enthusiasm 25
ambition 25
fun-ness 25
seriousness 25
 </v>
      </c>
      <c r="HO124"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4" s="21" t="str">
        <f t="shared" si="291"/>
        <v xml:space="preserve">enthusiasm(1,6.25), fun-ness(1,6.25), enthusiasm(1,6.25), level of understanding(1,6.25), local biz(1,6.25), biz group(1,6.25), govt(1,6.25), investors(1,6.25), media(1,6.25), entrepreneurs(1,6.25), technologists(1,6.25), suppliers(1,6.25), non-profits(1,6.25), reputation(1,6.25),  </v>
      </c>
      <c r="HQ124" s="47" t="str">
        <f t="shared" si="387"/>
        <v xml:space="preserve">enthusiasm(6.25),fun-ness(6.25),enthusiasm(6.25),level of understanding(6.25),local biz(6.25),biz group(6.25),govt(6.25),investors(6.25),media(6.25),entrepreneurs(6.25),technologists(6.25),suppliers(6.25),non-profits(6.25),reputation(6.25), </v>
      </c>
      <c r="HR124" s="47" t="str">
        <f t="shared" ref="HR124:HW124" si="393">IF(HR22="",HR125,$C124&amp;"("&amp;HR22&amp;"),"&amp;HR125)</f>
        <v xml:space="preserve">scale(2),enthusiasm(2),reputation(2),portfolio(2),mobile apps(1),sensors(1),wood processing(1),aesthetics(1), </v>
      </c>
      <c r="HS124" s="47" t="str">
        <f t="shared" si="393"/>
        <v xml:space="preserve"> </v>
      </c>
      <c r="HT124" s="47" t="str">
        <f t="shared" si="393"/>
        <v xml:space="preserve"> </v>
      </c>
      <c r="HU124" s="47" t="str">
        <f t="shared" si="393"/>
        <v xml:space="preserve">network among members(2),gifted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4" s="47" t="str">
        <f t="shared" si="393"/>
        <v xml:space="preserve">gifted programmer(1),local biz(1),biz group(1),govt(1),investors(1),media(1),entrepreneurs(1),technologists(1),suppliers(1),non-profits(1),reputation(1), </v>
      </c>
      <c r="HW124" s="47" t="str">
        <f t="shared" si="393"/>
        <v xml:space="preserve">gifted programmer(6.25),local biz(6.25),biz group(6.25),govt(6.25),investors(6.25),media(6.25),entrepreneurs(6.25),technologists(12.5),suppliers(6.25),non-profits(6.25),reputation(6.25), </v>
      </c>
      <c r="HX124" s="47" t="str">
        <f t="shared" ref="HX124:IU124" si="394">IF(HX22="",HX125,$C124&amp;"("&amp;HX22&amp;"),"&amp;HX125)</f>
        <v xml:space="preserve">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4" s="47" t="str">
        <f t="shared" si="394"/>
        <v xml:space="preserve">biz enhancement(1), </v>
      </c>
      <c r="HZ124" s="47" t="str">
        <f t="shared" si="394"/>
        <v xml:space="preserve">biz enhancement(100), </v>
      </c>
      <c r="IA124" s="47" t="str">
        <f t="shared" si="394"/>
        <v xml:space="preserve">community manager(1),PR(1),finance(1),administrator(1),enthusiasm(2),network(2),ambition(2),knowledge(2),spaciousness(2),ease of access(3),efficiency(2),portfolio(4),finance(2),business model(2),marketing(3),team building(2),project management(2),social media(3),negotiation(3), </v>
      </c>
      <c r="IB124" s="47" t="str">
        <f t="shared" si="394"/>
        <v xml:space="preserve">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4" s="47" t="str">
        <f t="shared" si="394"/>
        <v xml:space="preserve">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4" s="47" t="str">
        <f t="shared" si="394"/>
        <v xml:space="preserve">scale(1),technologists(2), </v>
      </c>
      <c r="IE124" s="47" t="str">
        <f t="shared" si="394"/>
        <v xml:space="preserve">web(1),mobile apps(1),security(1),AI&amp; data analysis(1), </v>
      </c>
      <c r="IF124" s="47" t="str">
        <f t="shared" si="394"/>
        <v xml:space="preserve">web(25),mobile apps(25),security(25),AI&amp; data analysis(25), </v>
      </c>
      <c r="IG124" s="47" t="str">
        <f t="shared" si="394"/>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4" s="47" t="str">
        <f t="shared" si="394"/>
        <v xml:space="preserve">technologists(1),web(1),database(1),mobile apps(1),security(1),AI&amp; data analysis(1), </v>
      </c>
      <c r="II124" s="47" t="str">
        <f t="shared" si="394"/>
        <v xml:space="preserve">technologists(6.25),web(6.25),database(6.25),mobile apps(6.25),security(6.25),AI&amp; data analysis(6.25), </v>
      </c>
      <c r="IJ124" s="47" t="str">
        <f t="shared" si="394"/>
        <v xml:space="preserve">scale(1),technologists(2), </v>
      </c>
      <c r="IK124" s="47" t="str">
        <f t="shared" si="394"/>
        <v xml:space="preserve">wood processing(1),metal processing(1),functions(1),safety(1), </v>
      </c>
      <c r="IL124" s="47" t="str">
        <f t="shared" si="394"/>
        <v xml:space="preserve">wood processing(25),metal processing(25),functions(25),safety(25), </v>
      </c>
      <c r="IM124" s="47" t="str">
        <f t="shared" si="394"/>
        <v xml:space="preserve">scale(2),enthusiasm(3),attention to details(2),seriousness(2),community manager(1),administrator(1),network(2),entrepreneurs(3),technologists(4),spaciousness(2),ease of access(2),reputation(3),efficiency(2),portfolio(3),wood processing(2),metal processing(2),functions(2),safety(2), </v>
      </c>
      <c r="IN124" s="47" t="str">
        <f t="shared" si="394"/>
        <v xml:space="preserve">technologists(1),wood processing(1),metal processing(1),functions(1),safety(1),interaction(1), </v>
      </c>
      <c r="IO124" s="47" t="str">
        <f t="shared" si="394"/>
        <v xml:space="preserve">technologists(6.25),wood processing(6.25),metal processing(6.25),functions(6.25),safety(6.25),interaction(6.25), </v>
      </c>
      <c r="IP124" s="57" t="str">
        <f t="shared" si="394"/>
        <v xml:space="preserve">scale(2),local biz(2),reputation(1), </v>
      </c>
      <c r="IQ124" s="47" t="str">
        <f t="shared" si="394"/>
        <v xml:space="preserve">network among members(1),local biz(1),marketing(1), </v>
      </c>
      <c r="IR124" s="47" t="str">
        <f t="shared" si="394"/>
        <v xml:space="preserve">network among members(25),local biz(25),marketing(25), </v>
      </c>
      <c r="IS124" s="47" t="str">
        <f t="shared" si="394"/>
        <v xml:space="preserve">gifted business strategist(2),enthusiasm(2),agility(2),attention to details(2),fun-ness(2),seriousness(2),leader(1),community manager(1),finance(1),administrator(1),enthusiasm(3),network(2),level of understanding(3),local biz(3),biz group(2),govt(2),non-profits(2),reputation(3),efficiency(2),marketing(2), </v>
      </c>
      <c r="IT124" s="47" t="str">
        <f t="shared" si="394"/>
        <v xml:space="preserve">network among members(1),enthusiasm(1),fun-ness(1),seriousness(1),local biz(1),biz group(1),govt(1),non-profits(1),marketing(1), </v>
      </c>
      <c r="IU124" s="47" t="str">
        <f t="shared" si="394"/>
        <v xml:space="preserve">network among members(6.25),enthusiasm(6.25),fun-ness(6.25),seriousness(6.25),local biz(6.25),biz group(6.25),govt(6.25),non-profits(6.25),marketing(6.25), </v>
      </c>
      <c r="IV124" s="57" t="str">
        <f t="shared" ref="IV124:LG124" si="395">IF(IV22="",IV125,$C124&amp;"("&amp;IV22&amp;"),"&amp;IV125)</f>
        <v xml:space="preserve">scale(2),local biz(2),reputation(1), </v>
      </c>
      <c r="IW124" s="47" t="str">
        <f t="shared" si="395"/>
        <v xml:space="preserve">network among members(1),local biz(1),marketing(1), </v>
      </c>
      <c r="IX124" s="47" t="str">
        <f t="shared" si="395"/>
        <v xml:space="preserve">network among members(25),local biz(25),marketing(25), </v>
      </c>
      <c r="IY124" s="47" t="str">
        <f t="shared" si="395"/>
        <v xml:space="preserve">gifted business strategist(2),enthusiasm(2),agility(2),attention to details(2),fun-ness(2),seriousness(2),leader(1),community manager(1),finance(1),administrator(1),enthusiasm(3),network(2),level of understanding(3),local biz(3),biz group(2),govt(2),reputation(3),efficiency(2),marketing(2), </v>
      </c>
      <c r="IZ124" s="47" t="str">
        <f t="shared" si="395"/>
        <v xml:space="preserve">network among members(1),enthusiasm(1),fun-ness(1),seriousness(1),local biz(1),biz group(1),govt(1),marketing(1), </v>
      </c>
      <c r="JA124" s="47" t="str">
        <f t="shared" si="395"/>
        <v xml:space="preserve">network among members(6.25),enthusiasm(6.25),fun-ness(6.25),seriousness(6.25),local biz(6.25),biz group(6.25),govt(6.25),marketing(6.25), </v>
      </c>
      <c r="JB124" s="47" t="str">
        <f t="shared" si="395"/>
        <v xml:space="preserve">scale(1),enthusiasm(2), </v>
      </c>
      <c r="JC124" s="47" t="str">
        <f t="shared" si="395"/>
        <v xml:space="preserve"> </v>
      </c>
      <c r="JD124" s="47" t="str">
        <f t="shared" si="395"/>
        <v xml:space="preserve"> </v>
      </c>
      <c r="JE124" s="47" t="str">
        <f t="shared" si="395"/>
        <v xml:space="preserve">network among members(2),gifted leader(1),gifted assistant(1),gifted programmer(1),gifted designer(1),scale(2),enthusiasm(3),attention to details(2),fun-ness(2),community manager(1),PR(1),administrator(1),network(2),level of understanding(2),technologists(2),spaciousness(1),ease of access(1),reputation(3),efficiency(2), </v>
      </c>
      <c r="JF124" s="47" t="str">
        <f t="shared" si="395"/>
        <v xml:space="preserve">web(1),infrastructrue(1),database(1),mobile apps(1),sensors(1),security(1),AI&amp; data analysis(1),mobile comm(1),VR&amp;AR(1),wood processing(1),metal processing(1),plastic processing(1),electronics(1),fabric(1),aesthetics(1),functions(1),safety(1),interaction(1), </v>
      </c>
      <c r="JG124" s="47" t="str">
        <f t="shared" si="395"/>
        <v xml:space="preserve">web(6.25),infrastructrue(6.25),database(6.25),mobile apps(6.25),sensors(6.25),security(6.25),AI&amp; data analysis(6.25),mobile comm(6.25),VR&amp;AR(6.25),wood processing(6.25),metal processing(6.25),plastic processing(6.25),electronics(6.25),fabric(6.25),aesthetics(6.25),functions(6.25),safety(6.25),interaction(6.25), </v>
      </c>
      <c r="JH124" s="47" t="str">
        <f t="shared" si="395"/>
        <v xml:space="preserve">scale(1),enthusiasm(1),enthusiasm(1),local biz(1),non-profits(1),reputation(2), </v>
      </c>
      <c r="JI124" s="47" t="str">
        <f t="shared" si="395"/>
        <v xml:space="preserve"> </v>
      </c>
      <c r="JJ124" s="47" t="str">
        <f t="shared" si="395"/>
        <v xml:space="preserve"> </v>
      </c>
      <c r="JK124" s="47" t="str">
        <f t="shared" si="395"/>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4" s="47" t="str">
        <f t="shared" si="395"/>
        <v xml:space="preserve">non-profits(1), </v>
      </c>
      <c r="JM124" s="47" t="str">
        <f t="shared" si="395"/>
        <v xml:space="preserve">non-profits(6.25), </v>
      </c>
      <c r="JN124" s="47" t="str">
        <f t="shared" si="395"/>
        <v xml:space="preserve">scale(2),enthusiasm(2),enthusiasm(1),network(1),local biz(1),investors(1),entrepreneurs(1),technologists(1),non-profits(1),reputation(2),portfolio(2), </v>
      </c>
      <c r="JO124" s="47" t="str">
        <f t="shared" si="395"/>
        <v xml:space="preserve"> </v>
      </c>
      <c r="JP124" s="47" t="str">
        <f t="shared" si="395"/>
        <v xml:space="preserve"> </v>
      </c>
      <c r="JQ124" s="47" t="str">
        <f t="shared" si="395"/>
        <v xml:space="preserve">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4" s="47" t="str">
        <f t="shared" si="395"/>
        <v xml:space="preserve"> </v>
      </c>
      <c r="JS124" s="47" t="str">
        <f t="shared" si="395"/>
        <v xml:space="preserve"> </v>
      </c>
      <c r="JT124" s="47" t="str">
        <f t="shared" si="395"/>
        <v xml:space="preserve">scale(3),enthusiasm(3),PR(1),administrator(1),enthusiasm(2),network(2),local biz(2),biz group(1),govt(2),investors(2),entrepreneurs(2),technologists(2),non-profits(2),reputation(2),portfolio(3), </v>
      </c>
      <c r="JU124" s="47" t="str">
        <f t="shared" si="395"/>
        <v xml:space="preserve"> </v>
      </c>
      <c r="JV124" s="47" t="str">
        <f t="shared" si="395"/>
        <v xml:space="preserve"> </v>
      </c>
      <c r="JW124" s="47" t="str">
        <f t="shared" si="395"/>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4" s="47" t="str">
        <f t="shared" si="395"/>
        <v xml:space="preserve"> </v>
      </c>
      <c r="JY124" s="47" t="str">
        <f t="shared" si="395"/>
        <v xml:space="preserve"> </v>
      </c>
      <c r="JZ124" s="47" t="str">
        <f t="shared" si="395"/>
        <v xml:space="preserve">scale(1),enthusiasm(2),network(1),non-profits(1),reputation(2),social project(2), </v>
      </c>
      <c r="KA124" s="47" t="str">
        <f t="shared" si="395"/>
        <v xml:space="preserve">non-profits(1), </v>
      </c>
      <c r="KB124" s="47" t="str">
        <f t="shared" si="395"/>
        <v xml:space="preserve">non-profits(25), </v>
      </c>
      <c r="KC124" s="47" t="str">
        <f t="shared" si="395"/>
        <v xml:space="preserve">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4" s="47" t="str">
        <f t="shared" si="395"/>
        <v xml:space="preserve">non-profits(1), </v>
      </c>
      <c r="KE124" s="47" t="str">
        <f t="shared" si="395"/>
        <v xml:space="preserve">non-profits(6.25), </v>
      </c>
      <c r="KF124" s="47" t="str">
        <f t="shared" si="395"/>
        <v xml:space="preserve"> </v>
      </c>
      <c r="KG124" s="47" t="str">
        <f t="shared" si="395"/>
        <v xml:space="preserve"> </v>
      </c>
      <c r="KH124" s="47" t="str">
        <f t="shared" si="395"/>
        <v xml:space="preserve"> </v>
      </c>
      <c r="KI124" s="47" t="str">
        <f t="shared" si="395"/>
        <v xml:space="preserve"> </v>
      </c>
      <c r="KJ124" s="47" t="str">
        <f t="shared" si="395"/>
        <v xml:space="preserve"> </v>
      </c>
      <c r="KK124" s="47" t="str">
        <f t="shared" si="395"/>
        <v xml:space="preserve"> </v>
      </c>
      <c r="KL124" s="57" t="str">
        <f t="shared" si="395"/>
        <v xml:space="preserve"> </v>
      </c>
      <c r="KM124" s="47" t="str">
        <f t="shared" si="395"/>
        <v xml:space="preserve"> </v>
      </c>
      <c r="KN124" s="47" t="str">
        <f t="shared" si="395"/>
        <v xml:space="preserve"> </v>
      </c>
      <c r="KO124" s="47" t="str">
        <f t="shared" si="395"/>
        <v xml:space="preserve"> </v>
      </c>
      <c r="KP124" s="47" t="str">
        <f t="shared" si="395"/>
        <v xml:space="preserve"> </v>
      </c>
      <c r="KQ124" s="47" t="str">
        <f t="shared" si="395"/>
        <v xml:space="preserve"> </v>
      </c>
      <c r="KR124" s="57" t="str">
        <f t="shared" si="395"/>
        <v xml:space="preserve"> </v>
      </c>
      <c r="KS124" s="47" t="str">
        <f t="shared" si="395"/>
        <v xml:space="preserve"> </v>
      </c>
      <c r="KT124" s="47" t="str">
        <f t="shared" si="395"/>
        <v xml:space="preserve"> </v>
      </c>
      <c r="KU124" s="47" t="str">
        <f t="shared" si="395"/>
        <v xml:space="preserve"> </v>
      </c>
      <c r="KV124" s="47" t="str">
        <f t="shared" si="395"/>
        <v xml:space="preserve"> </v>
      </c>
      <c r="KW124" s="47" t="str">
        <f t="shared" si="395"/>
        <v xml:space="preserve"> </v>
      </c>
      <c r="KX124" s="57" t="str">
        <f t="shared" si="395"/>
        <v xml:space="preserve"> </v>
      </c>
      <c r="KY124" s="47" t="str">
        <f t="shared" si="395"/>
        <v xml:space="preserve"> </v>
      </c>
      <c r="KZ124" s="47" t="str">
        <f t="shared" si="395"/>
        <v xml:space="preserve"> </v>
      </c>
      <c r="LA124" s="47" t="str">
        <f t="shared" si="395"/>
        <v xml:space="preserve"> </v>
      </c>
      <c r="LB124" s="47" t="str">
        <f t="shared" si="395"/>
        <v xml:space="preserve"> </v>
      </c>
      <c r="LC124" s="47" t="str">
        <f t="shared" si="395"/>
        <v xml:space="preserve"> </v>
      </c>
      <c r="LD124" s="57" t="str">
        <f t="shared" si="395"/>
        <v xml:space="preserve"> </v>
      </c>
      <c r="LE124" s="47" t="str">
        <f t="shared" si="395"/>
        <v xml:space="preserve"> </v>
      </c>
      <c r="LF124" s="47" t="str">
        <f t="shared" si="395"/>
        <v xml:space="preserve"> </v>
      </c>
      <c r="LG124" s="47" t="str">
        <f t="shared" si="395"/>
        <v xml:space="preserve"> </v>
      </c>
      <c r="LH124" s="47" t="str">
        <f t="shared" ref="LH124:NM124" si="396">IF(LH22="",LH125,$C124&amp;"("&amp;LH22&amp;"),"&amp;LH125)</f>
        <v xml:space="preserve"> </v>
      </c>
      <c r="LI124" s="47" t="str">
        <f t="shared" si="396"/>
        <v xml:space="preserve"> </v>
      </c>
      <c r="LJ124" s="57" t="str">
        <f t="shared" si="396"/>
        <v xml:space="preserve"> </v>
      </c>
      <c r="LK124" s="47" t="str">
        <f t="shared" si="396"/>
        <v xml:space="preserve"> </v>
      </c>
      <c r="LL124" s="47" t="str">
        <f t="shared" si="396"/>
        <v xml:space="preserve"> </v>
      </c>
      <c r="LM124" s="47" t="str">
        <f t="shared" si="396"/>
        <v xml:space="preserve"> </v>
      </c>
      <c r="LN124" s="47" t="str">
        <f t="shared" si="396"/>
        <v xml:space="preserve"> </v>
      </c>
      <c r="LO124" s="47" t="str">
        <f t="shared" si="396"/>
        <v xml:space="preserve"> </v>
      </c>
      <c r="LP124" s="57" t="str">
        <f t="shared" si="396"/>
        <v xml:space="preserve"> </v>
      </c>
      <c r="LQ124" s="47" t="str">
        <f t="shared" si="396"/>
        <v xml:space="preserve"> </v>
      </c>
      <c r="LR124" s="47" t="str">
        <f t="shared" si="396"/>
        <v xml:space="preserve"> </v>
      </c>
      <c r="LS124" s="47" t="str">
        <f t="shared" si="396"/>
        <v xml:space="preserve"> </v>
      </c>
      <c r="LT124" s="47" t="str">
        <f t="shared" si="396"/>
        <v xml:space="preserve"> </v>
      </c>
      <c r="LU124" s="47" t="str">
        <f t="shared" si="396"/>
        <v xml:space="preserve"> </v>
      </c>
      <c r="LV124" s="57" t="str">
        <f t="shared" si="396"/>
        <v xml:space="preserve"> </v>
      </c>
      <c r="LW124" s="47" t="str">
        <f t="shared" si="396"/>
        <v xml:space="preserve"> </v>
      </c>
      <c r="LX124" s="47" t="str">
        <f t="shared" si="396"/>
        <v xml:space="preserve"> </v>
      </c>
      <c r="LY124" s="47" t="str">
        <f t="shared" si="396"/>
        <v xml:space="preserve"> </v>
      </c>
      <c r="LZ124" s="47" t="str">
        <f t="shared" si="396"/>
        <v xml:space="preserve"> </v>
      </c>
      <c r="MA124" s="47" t="str">
        <f t="shared" si="396"/>
        <v xml:space="preserve"> </v>
      </c>
      <c r="MB124" s="57" t="str">
        <f t="shared" si="396"/>
        <v xml:space="preserve"> </v>
      </c>
      <c r="MC124" s="47" t="str">
        <f t="shared" si="396"/>
        <v xml:space="preserve"> </v>
      </c>
      <c r="MD124" s="47" t="str">
        <f t="shared" si="396"/>
        <v xml:space="preserve"> </v>
      </c>
      <c r="ME124" s="47" t="str">
        <f t="shared" si="396"/>
        <v xml:space="preserve"> </v>
      </c>
      <c r="MF124" s="47" t="str">
        <f t="shared" si="396"/>
        <v xml:space="preserve"> </v>
      </c>
      <c r="MG124" s="47" t="str">
        <f t="shared" si="396"/>
        <v xml:space="preserve"> </v>
      </c>
      <c r="MH124" s="57" t="str">
        <f t="shared" si="396"/>
        <v xml:space="preserve"> </v>
      </c>
      <c r="MI124" s="47" t="str">
        <f t="shared" si="396"/>
        <v xml:space="preserve"> </v>
      </c>
      <c r="MJ124" s="47" t="str">
        <f t="shared" si="396"/>
        <v xml:space="preserve"> </v>
      </c>
      <c r="MK124" s="47" t="str">
        <f t="shared" si="396"/>
        <v xml:space="preserve"> </v>
      </c>
      <c r="ML124" s="47" t="str">
        <f t="shared" si="396"/>
        <v xml:space="preserve"> </v>
      </c>
      <c r="MM124" s="47" t="str">
        <f t="shared" si="396"/>
        <v xml:space="preserve"> </v>
      </c>
      <c r="MN124" s="57" t="str">
        <f t="shared" si="396"/>
        <v xml:space="preserve"> </v>
      </c>
      <c r="MO124" s="47" t="str">
        <f t="shared" si="396"/>
        <v xml:space="preserve"> </v>
      </c>
      <c r="MP124" s="47" t="str">
        <f t="shared" si="396"/>
        <v xml:space="preserve"> </v>
      </c>
      <c r="MQ124" s="47" t="str">
        <f t="shared" si="396"/>
        <v xml:space="preserve"> </v>
      </c>
      <c r="MR124" s="47" t="str">
        <f t="shared" si="396"/>
        <v xml:space="preserve"> </v>
      </c>
      <c r="MS124" s="47" t="str">
        <f t="shared" si="396"/>
        <v xml:space="preserve"> </v>
      </c>
      <c r="MT124" s="57" t="str">
        <f t="shared" si="396"/>
        <v xml:space="preserve"> </v>
      </c>
      <c r="MU124" s="47" t="str">
        <f t="shared" si="396"/>
        <v xml:space="preserve"> </v>
      </c>
      <c r="MV124" s="47" t="str">
        <f t="shared" si="396"/>
        <v xml:space="preserve"> </v>
      </c>
      <c r="MW124" s="47" t="str">
        <f t="shared" si="396"/>
        <v xml:space="preserve"> </v>
      </c>
      <c r="MX124" s="47" t="str">
        <f t="shared" si="396"/>
        <v xml:space="preserve"> </v>
      </c>
      <c r="MY124" s="47" t="str">
        <f t="shared" si="396"/>
        <v xml:space="preserve"> </v>
      </c>
      <c r="MZ124" s="57" t="str">
        <f t="shared" si="396"/>
        <v xml:space="preserve"> </v>
      </c>
      <c r="NA124" s="47" t="str">
        <f t="shared" si="396"/>
        <v xml:space="preserve"> </v>
      </c>
      <c r="NB124" s="47" t="str">
        <f t="shared" si="396"/>
        <v xml:space="preserve"> </v>
      </c>
      <c r="NC124" s="47" t="str">
        <f t="shared" si="396"/>
        <v xml:space="preserve"> </v>
      </c>
      <c r="ND124" s="47" t="str">
        <f t="shared" si="396"/>
        <v xml:space="preserve"> </v>
      </c>
      <c r="NE124" s="47" t="str">
        <f t="shared" si="396"/>
        <v xml:space="preserve"> </v>
      </c>
      <c r="NF124" s="57" t="str">
        <f t="shared" si="396"/>
        <v xml:space="preserve"> </v>
      </c>
      <c r="NG124" s="47" t="str">
        <f t="shared" si="396"/>
        <v xml:space="preserve"> </v>
      </c>
      <c r="NH124" s="47" t="str">
        <f t="shared" si="396"/>
        <v xml:space="preserve"> </v>
      </c>
      <c r="NI124" s="47" t="str">
        <f t="shared" si="396"/>
        <v xml:space="preserve"> </v>
      </c>
      <c r="NJ124" s="47" t="str">
        <f t="shared" si="396"/>
        <v xml:space="preserve"> </v>
      </c>
      <c r="NK124" s="47" t="str">
        <f t="shared" si="396"/>
        <v xml:space="preserve"> </v>
      </c>
      <c r="NL124" s="57" t="str">
        <f t="shared" si="396"/>
        <v xml:space="preserve"> </v>
      </c>
      <c r="NM124" s="47" t="str">
        <f t="shared" si="396"/>
        <v xml:space="preserve"> </v>
      </c>
    </row>
    <row r="125" spans="3:377" ht="15.75" customHeight="1">
      <c r="C125" s="7" t="str">
        <f t="shared" si="296"/>
        <v>gifted leader</v>
      </c>
      <c r="D125" s="21" t="str">
        <f t="shared" si="169"/>
        <v xml:space="preserve">scale 1
 </v>
      </c>
      <c r="E125" s="21" t="str">
        <f t="shared" si="297"/>
        <v xml:space="preserve"> </v>
      </c>
      <c r="F125" s="21" t="str">
        <f t="shared" si="170"/>
        <v xml:space="preserve"> </v>
      </c>
      <c r="G125" s="21" t="str">
        <f t="shared" si="298"/>
        <v xml:space="preserve">enthusiasm(2), fun-ness(1), community manager(1), PR(1), fame(1), network(2), ease of access(1), reputation(2), social media(1),  </v>
      </c>
      <c r="H125" s="21" t="str">
        <f t="shared" si="299"/>
        <v xml:space="preserve"> </v>
      </c>
      <c r="I125" s="21" t="str">
        <f t="shared" ref="I125" si="397">IF(I23="",I126,$C125&amp;"("&amp;I23&amp;"),"&amp;I126)</f>
        <v xml:space="preserve"> </v>
      </c>
      <c r="J125" s="21" t="str">
        <f t="shared" si="376"/>
        <v xml:space="preserve">scale 1
interaction 1
 </v>
      </c>
      <c r="K125" s="21" t="str">
        <f t="shared" si="173"/>
        <v xml:space="preserve">reputation(1,75),  </v>
      </c>
      <c r="L125" s="21" t="str">
        <f t="shared" si="377"/>
        <v xml:space="preserve">reputation 75
 </v>
      </c>
      <c r="M125" s="21" t="str">
        <f t="shared" si="175"/>
        <v xml:space="preserve">PR(1), portfolio(1), social innovation(1), non-profit biz(1),  </v>
      </c>
      <c r="N125" s="21" t="str">
        <f t="shared" si="176"/>
        <v xml:space="preserve">seriousness(1,25), non-profits(1,12.5), reputation(1,75), marketing(1,12.5),  </v>
      </c>
      <c r="O125" s="21" t="str">
        <f t="shared" si="378"/>
        <v xml:space="preserve">seriousness(25),non-profits(12.5),reputation(75),marketing(12.5), </v>
      </c>
      <c r="P125" s="21" t="str">
        <f t="shared" si="376"/>
        <v xml:space="preserve">scale 1
biz project 1
 </v>
      </c>
      <c r="Q125" s="21" t="str">
        <f t="shared" si="178"/>
        <v xml:space="preserve"> </v>
      </c>
      <c r="R125" s="21" t="str">
        <f t="shared" si="377"/>
        <v xml:space="preserve"> </v>
      </c>
      <c r="S125" s="21" t="str">
        <f t="shared" si="179"/>
        <v xml:space="preserve">portfolio(1), biz enhancement(1), business(1), start-up(1),  </v>
      </c>
      <c r="T125" s="21" t="str">
        <f t="shared" si="180"/>
        <v xml:space="preserve">seriousness(1,25), local biz(1,6.25), investors(1,6.25), reputation(1,6.25),  </v>
      </c>
      <c r="U125" s="21" t="str">
        <f t="shared" si="378"/>
        <v xml:space="preserve">seriousness(25),local biz(6.25),investors(6.25),reputation(6.25), </v>
      </c>
      <c r="V125" s="21" t="str">
        <f t="shared" si="376"/>
        <v xml:space="preserve">scale 1
 </v>
      </c>
      <c r="W125" s="21" t="str">
        <f t="shared" si="181"/>
        <v xml:space="preserve">local biz(1,),  </v>
      </c>
      <c r="X125" s="21" t="str">
        <f t="shared" si="377"/>
        <v xml:space="preserve"> </v>
      </c>
      <c r="Y125" s="21" t="str">
        <f t="shared" si="182"/>
        <v xml:space="preserve">enthusiasm(1), attention to details(1), PR(1), network(1), ease of access(1), reputation(1), portfolio(1), biz project(1), biz enhancement(1), job creation(1), business(1),  </v>
      </c>
      <c r="Z125" s="21" t="str">
        <f t="shared" si="183"/>
        <v xml:space="preserve">local biz(1,6.25),  </v>
      </c>
      <c r="AA125" s="21" t="str">
        <f t="shared" si="378"/>
        <v xml:space="preserve">local biz(6.25), </v>
      </c>
      <c r="AB125" s="21" t="str">
        <f t="shared" si="376"/>
        <v xml:space="preserve">scale 1
 </v>
      </c>
      <c r="AC125" s="21" t="str">
        <f t="shared" si="184"/>
        <v xml:space="preserve">non-profits(1,100),  </v>
      </c>
      <c r="AD125" s="21" t="str">
        <f t="shared" si="377"/>
        <v xml:space="preserve">non-profits 100
 </v>
      </c>
      <c r="AE125" s="21" t="str">
        <f t="shared" si="185"/>
        <v xml:space="preserve">enthusiasm(1), attention to details(1), PR(1), network(1), ease of access(1), reputation(1), portfolio(1), social project(1), social innovation(1), non-profit biz(1),  </v>
      </c>
      <c r="AF125" s="21" t="str">
        <f t="shared" si="186"/>
        <v xml:space="preserve">seriousness(1,6.25), non-profits(1,6.25),  </v>
      </c>
      <c r="AG125" s="21" t="str">
        <f t="shared" si="378"/>
        <v xml:space="preserve">seriousness(6.25),non-profits(6.25), </v>
      </c>
      <c r="AH125" s="21" t="str">
        <f t="shared" si="376"/>
        <v xml:space="preserve">scale 1
 </v>
      </c>
      <c r="AI125" s="21" t="str">
        <f t="shared" si="187"/>
        <v xml:space="preserve">govt(1,),  </v>
      </c>
      <c r="AJ125" s="21" t="str">
        <f t="shared" si="377"/>
        <v xml:space="preserve"> </v>
      </c>
      <c r="AK125" s="21" t="str">
        <f t="shared" si="188"/>
        <v xml:space="preserve">enthusiasm(1), attention to details(1), seriousness(1), fame(1), network(1), govt(1), ease of access(1), reputation(2), portfolio(1), social project(1), social innovation(1), non-profit biz(1),  </v>
      </c>
      <c r="AL125" s="21" t="str">
        <f t="shared" si="189"/>
        <v xml:space="preserve">govt(1,6.25),  </v>
      </c>
      <c r="AM125" s="21" t="str">
        <f t="shared" si="378"/>
        <v xml:space="preserve">govt(6.25), </v>
      </c>
      <c r="AN125" s="21" t="str">
        <f t="shared" si="376"/>
        <v xml:space="preserve">gifted leader 1
scale 1
enthusiasm 1
 </v>
      </c>
      <c r="AO125" s="21" t="str">
        <f t="shared" si="190"/>
        <v xml:space="preserve">fame(1,), network(1,), investors(1,6.25),  </v>
      </c>
      <c r="AP125" s="21" t="str">
        <f t="shared" si="377"/>
        <v xml:space="preserve">investors 6.25
 </v>
      </c>
      <c r="AQ125" s="21" t="str">
        <f t="shared" si="191"/>
        <v xml:space="preserve">investors(1), ease of access(1), reputation(1), portfolio(1), start-up(1), start-up with mvp(1), start-up with customers(1),  </v>
      </c>
      <c r="AR125" s="21" t="str">
        <f t="shared" si="192"/>
        <v xml:space="preserve"> </v>
      </c>
      <c r="AS125" s="21" t="str">
        <f t="shared" si="378"/>
        <v xml:space="preserve"> </v>
      </c>
      <c r="AT125" s="21" t="str">
        <f t="shared" si="376"/>
        <v xml:space="preserve">scale 2
enthusiasm 1
seriousness 1
administrator 1
non-profits 2
reputation 1
portfolio 1
social project 1
 </v>
      </c>
      <c r="AU125" s="21" t="str">
        <f t="shared" si="193"/>
        <v xml:space="preserve">ambition(1,), attention to details(1,),  </v>
      </c>
      <c r="AV125" s="21" t="str">
        <f t="shared" si="377"/>
        <v xml:space="preserve"> </v>
      </c>
      <c r="AW125" s="21" t="str">
        <f t="shared" si="194"/>
        <v xml:space="preserve">enthusiasm(3), PR(2), administrator(1), project management(2),  </v>
      </c>
      <c r="AX125" s="21" t="str">
        <f t="shared" si="195"/>
        <v xml:space="preserve">organizational rules and manuals(1,12.5), project management(1,12.5),  </v>
      </c>
      <c r="AY125" s="21" t="str">
        <f t="shared" si="378"/>
        <v xml:space="preserve">organizational rules and manuals(12.5),project management(12.5), </v>
      </c>
      <c r="AZ125" s="21" t="str">
        <f t="shared" si="376"/>
        <v xml:space="preserve">scale 1
enthusiasm 1
non-profits 1
 </v>
      </c>
      <c r="BA125" s="21" t="str">
        <f t="shared" si="196"/>
        <v xml:space="preserve"> </v>
      </c>
      <c r="BB125" s="21" t="str">
        <f t="shared" si="377"/>
        <v xml:space="preserve"> </v>
      </c>
      <c r="BC125" s="21" t="str">
        <f t="shared" si="197"/>
        <v xml:space="preserve"> </v>
      </c>
      <c r="BD125" s="21" t="str">
        <f t="shared" si="198"/>
        <v xml:space="preserve"> </v>
      </c>
      <c r="BE125" s="21" t="str">
        <f t="shared" si="378"/>
        <v xml:space="preserve"> </v>
      </c>
      <c r="BF125" s="21" t="str">
        <f t="shared" si="376"/>
        <v xml:space="preserve">scale 2
enthusiasm 1
seriousness 1
administrator 1
local biz 2
entrepreneurs 1
reputation 1
portfolio 1
biz project 1
 </v>
      </c>
      <c r="BG125" s="21" t="str">
        <f t="shared" si="199"/>
        <v xml:space="preserve">ambition(1,), attention to details(1,),  </v>
      </c>
      <c r="BH125" s="21" t="str">
        <f t="shared" si="377"/>
        <v xml:space="preserve"> </v>
      </c>
      <c r="BI125" s="21" t="str">
        <f t="shared" si="200"/>
        <v xml:space="preserve">enthusiasm(3), PR(2), administrator(1), project management(2),  </v>
      </c>
      <c r="BJ125" s="21" t="str">
        <f t="shared" si="201"/>
        <v xml:space="preserve">organizational rules and manuals(1,12.5), project management(1,12.5),  </v>
      </c>
      <c r="BK125" s="21" t="str">
        <f t="shared" si="378"/>
        <v xml:space="preserve">organizational rules and manuals(12.5),project management(12.5), </v>
      </c>
      <c r="BL125" s="21" t="str">
        <f t="shared" si="376"/>
        <v xml:space="preserve">scale 1
enthusiasm 1
local biz 1
reputation 1
portfolio 1
biz enhancement 1
 </v>
      </c>
      <c r="BM125" s="21" t="str">
        <f t="shared" si="202"/>
        <v xml:space="preserve"> </v>
      </c>
      <c r="BN125" s="21" t="str">
        <f t="shared" si="377"/>
        <v xml:space="preserve"> </v>
      </c>
      <c r="BO125" s="21" t="str">
        <f t="shared" si="203"/>
        <v xml:space="preserve"> </v>
      </c>
      <c r="BP125" s="21" t="str">
        <f t="shared" si="204"/>
        <v xml:space="preserve"> </v>
      </c>
      <c r="BQ125" s="21" t="str">
        <f t="shared" si="378"/>
        <v xml:space="preserve"> </v>
      </c>
      <c r="BR125" s="21" t="str">
        <f t="shared" si="376"/>
        <v xml:space="preserve"> </v>
      </c>
      <c r="BS125" s="21" t="str">
        <f t="shared" si="205"/>
        <v xml:space="preserve"> </v>
      </c>
      <c r="BT125" s="21" t="str">
        <f t="shared" si="377"/>
        <v xml:space="preserve"> </v>
      </c>
      <c r="BU125" s="21" t="str">
        <f t="shared" si="206"/>
        <v xml:space="preserve"> </v>
      </c>
      <c r="BV125" s="21" t="str">
        <f t="shared" si="207"/>
        <v xml:space="preserve"> </v>
      </c>
      <c r="BW125" s="21" t="str">
        <f t="shared" si="378"/>
        <v xml:space="preserve"> </v>
      </c>
      <c r="BX125" s="21" t="str">
        <f t="shared" si="379"/>
        <v xml:space="preserve">scale 1
network 1
 </v>
      </c>
      <c r="BY125" s="21" t="str">
        <f t="shared" si="209"/>
        <v xml:space="preserve">efficiency(1,),  </v>
      </c>
      <c r="BZ125" s="21" t="str">
        <f t="shared" si="380"/>
        <v xml:space="preserve"> </v>
      </c>
      <c r="CA125" s="21" t="str">
        <f t="shared" si="211"/>
        <v xml:space="preserve">scale(2), enthusiasm(1), attention to details(1), administrator(1), negotiation(1),  </v>
      </c>
      <c r="CB125" s="21" t="str">
        <f t="shared" si="212"/>
        <v xml:space="preserve">user rules and manuals(1,50), organizational rules and manuals(1,50),  </v>
      </c>
      <c r="CC125" s="21" t="str">
        <f t="shared" si="381"/>
        <v xml:space="preserve">user rules and manuals(50),organizational rules and manuals(50), </v>
      </c>
      <c r="CD125" s="21" t="str">
        <f t="shared" si="379"/>
        <v xml:space="preserve">scale 1
enthusiasm 1
network 1
 </v>
      </c>
      <c r="CE125" s="21" t="str">
        <f t="shared" si="214"/>
        <v xml:space="preserve">non-profits(1,),  </v>
      </c>
      <c r="CF125" s="21" t="str">
        <f t="shared" si="380"/>
        <v xml:space="preserve"> </v>
      </c>
      <c r="CG125" s="21" t="str">
        <f t="shared" si="215"/>
        <v xml:space="preserve">fun-ness(1), seriousness(1), ease of access(1), portfolio(1), user rules and manuals(1), negotiation(1), social project(1), biz project(1), for basic literacy(1), for the elites(1), for entrepreneurs(1),  </v>
      </c>
      <c r="CH125" s="21" t="str">
        <f t="shared" si="216"/>
        <v xml:space="preserve">technologists(1,6.25), non-profits(1,6.25),  </v>
      </c>
      <c r="CI125" s="21" t="str">
        <f t="shared" si="381"/>
        <v xml:space="preserve">technologists(6.25),non-profits(6.25), </v>
      </c>
      <c r="CJ125" s="21" t="str">
        <f t="shared" si="379"/>
        <v xml:space="preserve">scale 1
 </v>
      </c>
      <c r="CK125" s="21" t="str">
        <f t="shared" si="217"/>
        <v xml:space="preserve">suppliers(1,),  </v>
      </c>
      <c r="CL125" s="21" t="str">
        <f t="shared" si="380"/>
        <v xml:space="preserve"> </v>
      </c>
      <c r="CM125" s="21" t="str">
        <f t="shared" si="218"/>
        <v xml:space="preserve">reputation(1), negotiation(1),  </v>
      </c>
      <c r="CN125" s="21" t="str">
        <f t="shared" si="219"/>
        <v xml:space="preserve">enthusiasm(2,), efficiency(1,6.25),  </v>
      </c>
      <c r="CO125" s="21" t="str">
        <f t="shared" si="381"/>
        <v xml:space="preserve">efficiency(6.25), </v>
      </c>
      <c r="CP125" s="21" t="str">
        <f t="shared" si="379"/>
        <v xml:space="preserve">scale 1
 </v>
      </c>
      <c r="CQ125" s="21" t="str">
        <f t="shared" si="220"/>
        <v xml:space="preserve">technologists(1,),  </v>
      </c>
      <c r="CR125" s="21" t="str">
        <f t="shared" si="380"/>
        <v xml:space="preserve"> </v>
      </c>
      <c r="CS125" s="21" t="str">
        <f t="shared" si="221"/>
        <v xml:space="preserve">gifted programmer(2), enthusiasm(1), network(1), portfolio(1), negotiation(1), web(1), infrastructrue(1), database(1), mobile apps(1), sensors(1), security(1), AI&amp; data analysis(1), mobile comm(1), VR&amp;AR(1), wood processing(1), metal processing(1), plastic processing(1), electronics(1), fabric(1),  </v>
      </c>
      <c r="CT125" s="21" t="str">
        <f t="shared" si="222"/>
        <v xml:space="preserve">efficiency(1,6.25),  </v>
      </c>
      <c r="CU125" s="21" t="str">
        <f t="shared" si="381"/>
        <v xml:space="preserve">efficiency(6.25), </v>
      </c>
      <c r="CV125" s="21" t="str">
        <f t="shared" si="379"/>
        <v xml:space="preserve">scale 1
 </v>
      </c>
      <c r="CW125" s="21" t="str">
        <f t="shared" si="223"/>
        <v xml:space="preserve">local biz(1,),  </v>
      </c>
      <c r="CX125" s="21" t="str">
        <f t="shared" si="380"/>
        <v xml:space="preserve"> </v>
      </c>
      <c r="CY125" s="21" t="str">
        <f t="shared" si="224"/>
        <v xml:space="preserve">ease of access(1), reputation(1), portfolio(1), negotiation(1),  </v>
      </c>
      <c r="CZ125" s="21" t="str">
        <f t="shared" si="225"/>
        <v xml:space="preserve">non-profits(1,6.25),  </v>
      </c>
      <c r="DA125" s="21" t="str">
        <f t="shared" si="381"/>
        <v xml:space="preserve">non-profits(6.25), </v>
      </c>
      <c r="DB125" s="21" t="str">
        <f t="shared" si="379"/>
        <v xml:space="preserve"> </v>
      </c>
      <c r="DC125" s="21" t="str">
        <f t="shared" si="226"/>
        <v xml:space="preserve"> </v>
      </c>
      <c r="DD125" s="21" t="str">
        <f t="shared" si="380"/>
        <v xml:space="preserve"> </v>
      </c>
      <c r="DE125"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5" s="21" t="str">
        <f t="shared" si="228"/>
        <v xml:space="preserve">network(1,), local biz(1,6.25), biz group(1,6.25), investors(1,6.25), entrepreneurs(1,6.25),  </v>
      </c>
      <c r="DG125" s="21" t="str">
        <f t="shared" si="381"/>
        <v xml:space="preserve">local biz(6.25),biz group(6.25),investors(6.25),entrepreneurs(6.25), </v>
      </c>
      <c r="DH125" s="21" t="str">
        <f t="shared" si="379"/>
        <v xml:space="preserve">scale 1
enthusiasm 1
network 1
non-profits 1
reputation 1
social project 1
 </v>
      </c>
      <c r="DI125" s="21" t="str">
        <f t="shared" si="229"/>
        <v xml:space="preserve"> </v>
      </c>
      <c r="DJ125" s="21" t="str">
        <f t="shared" si="380"/>
        <v xml:space="preserve"> </v>
      </c>
      <c r="DK125" s="21" t="str">
        <f t="shared" si="230"/>
        <v xml:space="preserve">gifted leader(1), 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5" s="21" t="str">
        <f t="shared" si="231"/>
        <v xml:space="preserve">reputation(1,6.25),  </v>
      </c>
      <c r="DM125" s="21" t="str">
        <f t="shared" si="381"/>
        <v xml:space="preserve">reputation(6.25), </v>
      </c>
      <c r="DN125" s="21" t="str">
        <f t="shared" si="379"/>
        <v xml:space="preserve">scale 1
enthusiasm 1
network 1
local biz 1
reputation 1
biz project 1
 </v>
      </c>
      <c r="DO125" s="21" t="str">
        <f t="shared" si="232"/>
        <v xml:space="preserve"> </v>
      </c>
      <c r="DP125" s="21" t="str">
        <f t="shared" si="380"/>
        <v xml:space="preserve"> </v>
      </c>
      <c r="DQ125" s="21" t="str">
        <f t="shared" si="233"/>
        <v xml:space="preserve">gifted leader(1), 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5" s="21" t="str">
        <f t="shared" si="234"/>
        <v xml:space="preserve">reputation(1,6.25),  </v>
      </c>
      <c r="DS125" s="21" t="str">
        <f t="shared" si="381"/>
        <v xml:space="preserve">reputation(6.25), </v>
      </c>
      <c r="DT125" s="21" t="str">
        <f t="shared" si="379"/>
        <v xml:space="preserve">scale 1
enthusiasm 1
network 1
reputation 1
 </v>
      </c>
      <c r="DU125" s="21" t="str">
        <f t="shared" si="235"/>
        <v xml:space="preserve"> </v>
      </c>
      <c r="DV125" s="21" t="str">
        <f t="shared" si="380"/>
        <v xml:space="preserve"> </v>
      </c>
      <c r="DW125"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5" s="21" t="str">
        <f t="shared" si="237"/>
        <v xml:space="preserve">ambition(1,6.25), reputation(1,6.25), for basic literacy(1,6.25),  </v>
      </c>
      <c r="DY125" s="21" t="str">
        <f t="shared" si="381"/>
        <v xml:space="preserve">ambition(6.25),reputation(6.25),for basic literacy(6.25), </v>
      </c>
      <c r="DZ125" s="21" t="str">
        <f t="shared" si="379"/>
        <v xml:space="preserve">scale 1
enthusiasm 1
network 1
reputation 1
 </v>
      </c>
      <c r="EA125" s="21" t="str">
        <f t="shared" si="238"/>
        <v xml:space="preserve"> </v>
      </c>
      <c r="EB125" s="21" t="str">
        <f t="shared" si="380"/>
        <v xml:space="preserve"> </v>
      </c>
      <c r="EC125"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5" s="21" t="str">
        <f t="shared" si="240"/>
        <v xml:space="preserve">ambition(1,6.25), reputation(1,6.25), for basic literacy(1,6.25),  </v>
      </c>
      <c r="EE125" s="21" t="str">
        <f t="shared" si="381"/>
        <v xml:space="preserve">ambition(6.25),reputation(6.25),for basic literacy(6.25), </v>
      </c>
      <c r="EF125" s="21" t="str">
        <f t="shared" si="379"/>
        <v xml:space="preserve">technologists 1
reputation 1
 </v>
      </c>
      <c r="EG125" s="21" t="str">
        <f t="shared" si="241"/>
        <v xml:space="preserve">web(1,50), mobile apps(1,50), interaction(1,50),  </v>
      </c>
      <c r="EH125" s="21" t="str">
        <f t="shared" si="380"/>
        <v xml:space="preserve">web 50
mobile apps 50
interaction 50
 </v>
      </c>
      <c r="EI125"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5" s="21" t="str">
        <f t="shared" si="243"/>
        <v xml:space="preserve">technologists(1,12.5), infrastructrue(1,12.5), database(1,12.5), mobile comm(1,12.5), for entrepreneurs(1,6.25),  </v>
      </c>
      <c r="EK125" s="21" t="str">
        <f t="shared" si="381"/>
        <v xml:space="preserve">technologists(12.5),infrastructrue(12.5),database(12.5),mobile comm(12.5),for entrepreneurs(6.25), </v>
      </c>
      <c r="EL125" s="21" t="str">
        <f t="shared" si="382"/>
        <v xml:space="preserve">technologists 1
reputation 1
 </v>
      </c>
      <c r="EM125" s="21" t="str">
        <f t="shared" si="245"/>
        <v xml:space="preserve">sensors(1,50),  </v>
      </c>
      <c r="EN125" s="21" t="str">
        <f t="shared" si="383"/>
        <v xml:space="preserve">sensors 50
 </v>
      </c>
      <c r="EO125"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5" s="21" t="str">
        <f t="shared" si="248"/>
        <v xml:space="preserve">technologists(1,12.5), infrastructrue(1,12.5), database(1,12.5), mobile comm(1,12.5), electronics(1,6.25), for entrepreneurs(1,6.25),  </v>
      </c>
      <c r="EQ125" s="21" t="str">
        <f t="shared" si="384"/>
        <v xml:space="preserve">technologists(12.5),infrastructrue(12.5),database(12.5),mobile comm(12.5),electronics(6.25),for entrepreneurs(6.25), </v>
      </c>
      <c r="ER125" s="21" t="str">
        <f t="shared" si="382"/>
        <v xml:space="preserve">technologists 1
 </v>
      </c>
      <c r="ES125" s="21" t="str">
        <f t="shared" si="250"/>
        <v xml:space="preserve">AI&amp; data analysis(1,50),  </v>
      </c>
      <c r="ET125" s="21" t="str">
        <f t="shared" si="383"/>
        <v xml:space="preserve">AI&amp; data analysis 50
 </v>
      </c>
      <c r="EU125"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5" s="21" t="str">
        <f t="shared" si="252"/>
        <v xml:space="preserve">technologists(1,12.5), database(1,12.5), sensors(1,12.5), mobile comm(1,12.5), for entrepreneurs(1,6.25),  </v>
      </c>
      <c r="EW125" s="21" t="str">
        <f t="shared" si="384"/>
        <v xml:space="preserve">technologists(12.5),database(12.5),sensors(12.5),mobile comm(12.5),for entrepreneurs(6.25), </v>
      </c>
      <c r="EX125" s="21" t="str">
        <f t="shared" si="382"/>
        <v xml:space="preserve">technologists 1
 </v>
      </c>
      <c r="EY125" s="21" t="str">
        <f t="shared" si="253"/>
        <v xml:space="preserve">law(1,50), security(1,50), interaction(1,25),  </v>
      </c>
      <c r="EZ125" s="21" t="str">
        <f t="shared" si="383"/>
        <v xml:space="preserve">law 50
security 50
interaction 25
 </v>
      </c>
      <c r="FA125" s="21" t="str">
        <f t="shared" si="254"/>
        <v xml:space="preserve">gifted programmer(1), scale(2), enthusiasm(2), seriousness(2), initiative(1), community manager(1), administrator(1), enthusiasm(1), fame(1), network(2), level of understanding(1), technologists(2), ease of access(1), reputation(2), law(2), for entrepreneurs(1),  </v>
      </c>
      <c r="FB125" s="21" t="str">
        <f t="shared" si="255"/>
        <v xml:space="preserve">technologists(1,12.5), law(1,6.25), database(1,12.5), mobile apps(1,12.5), security(1,12.5), mobile comm(1,12.5), for entrepreneurs(1,6.25),  </v>
      </c>
      <c r="FC125" s="21" t="str">
        <f t="shared" si="384"/>
        <v xml:space="preserve">technologists(12.5),law(6.25),database(12.5),mobile apps(12.5),security(12.5),mobile comm(12.5),for entrepreneurs(6.25), </v>
      </c>
      <c r="FD125" s="21" t="str">
        <f t="shared" si="382"/>
        <v xml:space="preserve">technologists 1
 </v>
      </c>
      <c r="FE125" s="21" t="str">
        <f t="shared" si="256"/>
        <v xml:space="preserve">law(1,50), sensors(1,50), security(1,50),  </v>
      </c>
      <c r="FF125" s="21" t="str">
        <f t="shared" si="383"/>
        <v xml:space="preserve">law 50
sensors 50
security 50
 </v>
      </c>
      <c r="FG125"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5" s="21" t="str">
        <f t="shared" si="258"/>
        <v xml:space="preserve">technologists(1,12.5), law(1,6.25), database(1,6.25), mobile apps(1,6.25), AI&amp; data analysis(1,6.25), mobile comm(1,6.25), for entrepreneurs(1,6.25),  </v>
      </c>
      <c r="FI125" s="21" t="str">
        <f t="shared" si="384"/>
        <v xml:space="preserve">technologists(12.5),law(6.25),database(6.25),mobile apps(6.25),AI&amp; data analysis(6.25),mobile comm(6.25),for entrepreneurs(6.25), </v>
      </c>
      <c r="FJ125" s="21" t="str">
        <f t="shared" si="382"/>
        <v xml:space="preserve">technologists 1
 </v>
      </c>
      <c r="FK125" s="21" t="str">
        <f t="shared" si="259"/>
        <v xml:space="preserve">wood processing(1,25), metal processing(1,25), plastic processing(1,25), fabric(1,25), safety(1,25), interaction(1,25),  </v>
      </c>
      <c r="FL125" s="21" t="str">
        <f t="shared" si="383"/>
        <v xml:space="preserve">project management 2
wood processing 25
metal processing 25
plastic processing 25
fabric 25
safety 25
interaction 25
 </v>
      </c>
      <c r="FM125" s="21" t="str">
        <f t="shared" si="260"/>
        <v xml:space="preserve">gifted programmer(1), scale(2), enthusiasm(2), seriousness(2), initiative(1), community manager(1), administrator(1), enthusiasm(1), fame(1), network(2), level of understanding(1), technologists(2), spaciousness(1), ease of access(1), reputation(2), for entrepreneurs(1),  </v>
      </c>
      <c r="FN125" s="21" t="str">
        <f t="shared" si="261"/>
        <v xml:space="preserve">technologists(1,12.5), for entrepreneurs(1,6.25),  </v>
      </c>
      <c r="FO125" s="21" t="str">
        <f t="shared" si="384"/>
        <v xml:space="preserve">technologists(12.5),for entrepreneurs(6.25), </v>
      </c>
      <c r="FP125" s="21" t="str">
        <f t="shared" si="382"/>
        <v xml:space="preserve">technologists 1
 </v>
      </c>
      <c r="FQ125" s="21" t="str">
        <f t="shared" si="262"/>
        <v xml:space="preserve">web(1,25), mobile apps(1,50), functions(1,25), interaction(1,25),  </v>
      </c>
      <c r="FR125" s="21" t="str">
        <f t="shared" si="383"/>
        <v xml:space="preserve">web 25
mobile apps 50
functions 25
interaction 25
 </v>
      </c>
      <c r="FS125" s="21" t="str">
        <f t="shared" si="263"/>
        <v xml:space="preserve">gifted programmer(1), scale(2), enthusiasm(2), seriousness(2), initiative(1), community manager(1), administrator(1), enthusiasm(1), fame(1), network(2), level of understanding(1), technologists(2), spaciousness(1), ease of access(1), reputation(2), for entrepreneurs(1),  </v>
      </c>
      <c r="FT125" s="21" t="str">
        <f t="shared" si="264"/>
        <v xml:space="preserve">technologists(1,12.5), for entrepreneurs(1,6.25),  </v>
      </c>
      <c r="FU125" s="21" t="str">
        <f t="shared" si="384"/>
        <v xml:space="preserve">technologists(12.5),for entrepreneurs(6.25), </v>
      </c>
      <c r="FV125" s="21" t="str">
        <f t="shared" si="382"/>
        <v xml:space="preserve">technologists 1
 </v>
      </c>
      <c r="FW125" s="21" t="str">
        <f t="shared" si="265"/>
        <v xml:space="preserve">mobile apps(1,50), sensors(1,50), wood processing(1,25), plastic processing(1,25), electronics(1,25), functions(1,25), interaction(1,25),  </v>
      </c>
      <c r="FX125" s="21" t="str">
        <f t="shared" si="383"/>
        <v xml:space="preserve">mobile apps 50
sensors 50
wood processing 25
plastic processing 25
electronics 25
functions 25
interaction 25
 </v>
      </c>
      <c r="FY125"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5" s="21" t="str">
        <f t="shared" si="267"/>
        <v xml:space="preserve">technologists(1,12.5), web(1,6.25), database(1,6.25), AI&amp; data analysis(1,6.25), mobile comm(1,6.25), for entrepreneurs(1,6.25),  </v>
      </c>
      <c r="GA125" s="21" t="str">
        <f t="shared" si="384"/>
        <v xml:space="preserve">technologists(12.5),web(6.25),database(6.25),AI&amp; data analysis(6.25),mobile comm(6.25),for entrepreneurs(6.25), </v>
      </c>
      <c r="GB125" s="21" t="str">
        <f t="shared" si="382"/>
        <v xml:space="preserve">technologists 1
 </v>
      </c>
      <c r="GC125" s="21" t="str">
        <f t="shared" si="268"/>
        <v xml:space="preserve">sensors(1,25), mobile comm(1,25), electronics(1,50), functions(1,25), safety(1,25),  </v>
      </c>
      <c r="GD125" s="21" t="str">
        <f t="shared" si="383"/>
        <v xml:space="preserve">sensors 25
mobile comm 25
electronics 50
functions 25
safety 25
 </v>
      </c>
      <c r="GE125"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5" s="21" t="str">
        <f t="shared" si="270"/>
        <v xml:space="preserve">technologists(1,12.5), database(1,6.25), mobile apps(1,6.25), AI&amp; data analysis(1,6.25), plastic processing(1,6.25), interaction(1,6.25), for entrepreneurs(1,6.25),  </v>
      </c>
      <c r="GG125" s="21" t="str">
        <f t="shared" si="384"/>
        <v xml:space="preserve">technologists(12.5),database(6.25),mobile apps(6.25),AI&amp; data analysis(6.25),plastic processing(6.25),interaction(6.25),for entrepreneurs(6.25), </v>
      </c>
      <c r="GH125" s="21" t="str">
        <f t="shared" si="382"/>
        <v xml:space="preserve">technologists 1
 </v>
      </c>
      <c r="GI125" s="21" t="str">
        <f t="shared" si="271"/>
        <v xml:space="preserve">web(1,25), mobile apps(1,50), functions(1,25), interaction(1,25),  </v>
      </c>
      <c r="GJ125" s="21" t="str">
        <f t="shared" si="383"/>
        <v xml:space="preserve">web 25
mobile apps 50
functions 25
interaction 25
 </v>
      </c>
      <c r="GK125"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5" s="21" t="str">
        <f t="shared" si="273"/>
        <v xml:space="preserve">technologists(1,12.5), for entrepreneurs(1,6.25),  </v>
      </c>
      <c r="GM125" s="21" t="str">
        <f t="shared" si="384"/>
        <v xml:space="preserve">technologists(12.5),for entrepreneurs(6.25), </v>
      </c>
      <c r="GN125" s="21" t="str">
        <f t="shared" si="382"/>
        <v xml:space="preserve">technologists 1
 </v>
      </c>
      <c r="GO125" s="21" t="str">
        <f t="shared" si="274"/>
        <v xml:space="preserve">web(1,25), mobile apps(1,25), VR&amp;AR(1,25), aesthetics(1,25), functions(1,25), interaction(1,50),  </v>
      </c>
      <c r="GP125" s="21" t="str">
        <f t="shared" si="383"/>
        <v xml:space="preserve">web 25
mobile apps 25
VR&amp;AR 25
aesthetics 25
functions 25
interaction 50
 </v>
      </c>
      <c r="GQ125"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5" s="21" t="str">
        <f t="shared" si="276"/>
        <v xml:space="preserve">technologists(1,12.5), for entrepreneurs(1,6.25),  </v>
      </c>
      <c r="GS125" s="21" t="str">
        <f t="shared" si="384"/>
        <v xml:space="preserve">technologists(12.5),for entrepreneurs(6.25), </v>
      </c>
      <c r="GT125" s="21" t="str">
        <f t="shared" si="382"/>
        <v xml:space="preserve">scale 2
ease of access 1
reputation 2
web 1
mobile apps 1
mobile comm 1
 </v>
      </c>
      <c r="GU125" s="21" t="str">
        <f t="shared" si="277"/>
        <v xml:space="preserve"> </v>
      </c>
      <c r="GV125" s="21" t="str">
        <f t="shared" si="383"/>
        <v xml:space="preserve"> </v>
      </c>
      <c r="GW125" s="21" t="str">
        <f t="shared" si="278"/>
        <v xml:space="preserve">gifted leader(1), 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5" s="21" t="str">
        <f t="shared" si="279"/>
        <v xml:space="preserve">gifted leader(1,6.25), gifted programmer(1,6.25), enthusiasm(1,6.25), media(1,6.25), entrepreneurs(1,6.25), technologists(1,6.25), project management(1,6.25), social media(1,6.25), web(1,6.25), mobile apps(1,6.25),  </v>
      </c>
      <c r="GY125" s="21" t="str">
        <f t="shared" si="384"/>
        <v xml:space="preserve">gifted leader(6.25),gifted programmer(6.25),enthusiasm(6.25),media(6.25),entrepreneurs(6.25),technologists(6.25),project management(6.25),social media(6.25),web(6.25),mobile apps(6.25), </v>
      </c>
      <c r="GZ125" s="21" t="str">
        <f t="shared" si="385"/>
        <v xml:space="preserve">scale 2
enthusiasm 2
network 1
govt 1
non-profits 1
reputation 2
portfolio 1
 </v>
      </c>
      <c r="HA125" s="21" t="str">
        <f t="shared" si="281"/>
        <v xml:space="preserve"> </v>
      </c>
      <c r="HB125" s="21" t="str">
        <f t="shared" si="386"/>
        <v xml:space="preserve"> </v>
      </c>
      <c r="HC125" s="21" t="str">
        <f t="shared" si="283"/>
        <v xml:space="preserve">gifted leader(1), 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5" s="21" t="str">
        <f t="shared" si="284"/>
        <v xml:space="preserve">enthusiasm(1,6.25), media(1,6.25), technologists(1,6.25), non-profits(1,6.25), reputation(1,6.25), start-up with customers(1,6.25), for basic literacy(1,6.25),  </v>
      </c>
      <c r="HE125" s="21" t="str">
        <f t="shared" si="387"/>
        <v xml:space="preserve">enthusiasm(6.25),media(6.25),technologists(6.25),non-profits(6.25),reputation(6.25),start-up with customers(6.25),for basic literacy(6.25), </v>
      </c>
      <c r="HF125" s="21" t="str">
        <f t="shared" si="385"/>
        <v xml:space="preserve"> </v>
      </c>
      <c r="HG125" s="21" t="str">
        <f t="shared" si="286"/>
        <v xml:space="preserve">scale(2,), enthusiasm(2,),  </v>
      </c>
      <c r="HH125" s="21" t="str">
        <f t="shared" si="386"/>
        <v xml:space="preserve"> </v>
      </c>
      <c r="HI125" s="21" t="str">
        <f t="shared" si="287"/>
        <v xml:space="preserve">gifted leader(1), 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5" s="21" t="str">
        <f t="shared" si="288"/>
        <v xml:space="preserve">enthusiasm(1,6.25), fun-ness(1,6.25), seriousness(1,6.25), govt(1,6.25), media(1,6.25), non-profits(1,6.25), start-up with customers(1,6.25),  </v>
      </c>
      <c r="HK125" s="21" t="str">
        <f t="shared" si="387"/>
        <v xml:space="preserve">enthusiasm(6.25),fun-ness(6.25),seriousness(6.25),govt(6.25),media(6.25),non-profits(6.25),start-up with customers(6.25), </v>
      </c>
      <c r="HL125" s="21" t="str">
        <f t="shared" si="385"/>
        <v xml:space="preserve">scale 2
community manager 1
PR 1
administrator 1
local biz 1
entrepreneurs 1
non-profits 1
reputation 2
portfolio 2
 </v>
      </c>
      <c r="HM125" s="21" t="str">
        <f t="shared" si="289"/>
        <v xml:space="preserve">scale(1,25), enthusiasm(1,25), ambition(1,25), fun-ness(1,25), seriousness(1,25),  </v>
      </c>
      <c r="HN125" s="21" t="str">
        <f t="shared" si="386"/>
        <v xml:space="preserve">scale 25
enthusiasm 25
ambition 25
fun-ness 25
seriousness 25
 </v>
      </c>
      <c r="HO125"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5" s="21" t="str">
        <f t="shared" si="291"/>
        <v xml:space="preserve">enthusiasm(1,6.25), fun-ness(1,6.25), enthusiasm(1,6.25), level of understanding(1,6.25), local biz(1,6.25), biz group(1,6.25), govt(1,6.25), investors(1,6.25), media(1,6.25), entrepreneurs(1,6.25), technologists(1,6.25), suppliers(1,6.25), non-profits(1,6.25), reputation(1,6.25),  </v>
      </c>
      <c r="HQ125" s="47" t="str">
        <f t="shared" si="387"/>
        <v xml:space="preserve">enthusiasm(6.25),fun-ness(6.25),enthusiasm(6.25),level of understanding(6.25),local biz(6.25),biz group(6.25),govt(6.25),investors(6.25),media(6.25),entrepreneurs(6.25),technologists(6.25),suppliers(6.25),non-profits(6.25),reputation(6.25), </v>
      </c>
      <c r="HR125" s="47" t="str">
        <f t="shared" ref="HR125:HW125" si="398">IF(HR23="",HR126,$C125&amp;"("&amp;HR23&amp;"),"&amp;HR126)</f>
        <v xml:space="preserve">scale(2),enthusiasm(2),reputation(2),portfolio(2),mobile apps(1),sensors(1),wood processing(1),aesthetics(1), </v>
      </c>
      <c r="HS125" s="47" t="str">
        <f t="shared" si="398"/>
        <v xml:space="preserve"> </v>
      </c>
      <c r="HT125" s="47" t="str">
        <f t="shared" si="398"/>
        <v xml:space="preserve"> </v>
      </c>
      <c r="HU125" s="47" t="str">
        <f t="shared" si="398"/>
        <v xml:space="preserve">gifted leader(1),gifted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5" s="47" t="str">
        <f t="shared" si="398"/>
        <v xml:space="preserve">gifted programmer(1),local biz(1),biz group(1),govt(1),investors(1),media(1),entrepreneurs(1),technologists(1),suppliers(1),non-profits(1),reputation(1), </v>
      </c>
      <c r="HW125" s="47" t="str">
        <f t="shared" si="398"/>
        <v xml:space="preserve">gifted programmer(6.25),local biz(6.25),biz group(6.25),govt(6.25),investors(6.25),media(6.25),entrepreneurs(6.25),technologists(12.5),suppliers(6.25),non-profits(6.25),reputation(6.25), </v>
      </c>
      <c r="HX125" s="47" t="str">
        <f t="shared" ref="HX125:IU125" si="399">IF(HX23="",HX126,$C125&amp;"("&amp;HX23&amp;"),"&amp;HX126)</f>
        <v xml:space="preserve">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5" s="47" t="str">
        <f t="shared" si="399"/>
        <v xml:space="preserve">biz enhancement(1), </v>
      </c>
      <c r="HZ125" s="47" t="str">
        <f t="shared" si="399"/>
        <v xml:space="preserve">biz enhancement(100), </v>
      </c>
      <c r="IA125" s="47" t="str">
        <f t="shared" si="399"/>
        <v xml:space="preserve">community manager(1),PR(1),finance(1),administrator(1),enthusiasm(2),network(2),ambition(2),knowledge(2),spaciousness(2),ease of access(3),efficiency(2),portfolio(4),finance(2),business model(2),marketing(3),team building(2),project management(2),social media(3),negotiation(3), </v>
      </c>
      <c r="IB125" s="47" t="str">
        <f t="shared" si="399"/>
        <v xml:space="preserve">gifted leader(1),gifted designer(1),gifted business strategist(1),enthusiasm(1),ambition(1),seriousness(1),initiative(1),level of understanding(1),ambition(1),local biz(1),biz group(1),govt(1),media(1),entrepreneurs(1),technologists(1),non-profits(1),reputation(1),team building(1),database(1),AI&amp; data analysis(1),electronics(1),functions(1), </v>
      </c>
      <c r="IC125" s="47" t="str">
        <f t="shared" si="399"/>
        <v xml:space="preserve">gifted leader(6.25),gifted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5" s="47" t="str">
        <f t="shared" si="399"/>
        <v xml:space="preserve">scale(1),technologists(2), </v>
      </c>
      <c r="IE125" s="47" t="str">
        <f t="shared" si="399"/>
        <v xml:space="preserve">web(1),mobile apps(1),security(1),AI&amp; data analysis(1), </v>
      </c>
      <c r="IF125" s="47" t="str">
        <f t="shared" si="399"/>
        <v xml:space="preserve">web(25),mobile apps(25),security(25),AI&amp; data analysis(25), </v>
      </c>
      <c r="IG125" s="47" t="str">
        <f t="shared" si="399"/>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5" s="47" t="str">
        <f t="shared" si="399"/>
        <v xml:space="preserve">technologists(1),web(1),database(1),mobile apps(1),security(1),AI&amp; data analysis(1), </v>
      </c>
      <c r="II125" s="47" t="str">
        <f t="shared" si="399"/>
        <v xml:space="preserve">technologists(6.25),web(6.25),database(6.25),mobile apps(6.25),security(6.25),AI&amp; data analysis(6.25), </v>
      </c>
      <c r="IJ125" s="47" t="str">
        <f t="shared" si="399"/>
        <v xml:space="preserve">scale(1),technologists(2), </v>
      </c>
      <c r="IK125" s="47" t="str">
        <f t="shared" si="399"/>
        <v xml:space="preserve">wood processing(1),metal processing(1),functions(1),safety(1), </v>
      </c>
      <c r="IL125" s="47" t="str">
        <f t="shared" si="399"/>
        <v xml:space="preserve">wood processing(25),metal processing(25),functions(25),safety(25), </v>
      </c>
      <c r="IM125" s="47" t="str">
        <f t="shared" si="399"/>
        <v xml:space="preserve">scale(2),enthusiasm(3),attention to details(2),seriousness(2),community manager(1),administrator(1),network(2),entrepreneurs(3),technologists(4),spaciousness(2),ease of access(2),reputation(3),efficiency(2),portfolio(3),wood processing(2),metal processing(2),functions(2),safety(2), </v>
      </c>
      <c r="IN125" s="47" t="str">
        <f t="shared" si="399"/>
        <v xml:space="preserve">technologists(1),wood processing(1),metal processing(1),functions(1),safety(1),interaction(1), </v>
      </c>
      <c r="IO125" s="47" t="str">
        <f t="shared" si="399"/>
        <v xml:space="preserve">technologists(6.25),wood processing(6.25),metal processing(6.25),functions(6.25),safety(6.25),interaction(6.25), </v>
      </c>
      <c r="IP125" s="57" t="str">
        <f t="shared" si="399"/>
        <v xml:space="preserve">scale(2),local biz(2),reputation(1), </v>
      </c>
      <c r="IQ125" s="47" t="str">
        <f t="shared" si="399"/>
        <v xml:space="preserve">local biz(1),marketing(1), </v>
      </c>
      <c r="IR125" s="47" t="str">
        <f t="shared" si="399"/>
        <v xml:space="preserve">local biz(25),marketing(25), </v>
      </c>
      <c r="IS125" s="47" t="str">
        <f t="shared" si="399"/>
        <v xml:space="preserve">gifted business strategist(2),enthusiasm(2),agility(2),attention to details(2),fun-ness(2),seriousness(2),leader(1),community manager(1),finance(1),administrator(1),enthusiasm(3),network(2),level of understanding(3),local biz(3),biz group(2),govt(2),non-profits(2),reputation(3),efficiency(2),marketing(2), </v>
      </c>
      <c r="IT125" s="47" t="str">
        <f t="shared" si="399"/>
        <v xml:space="preserve">enthusiasm(1),fun-ness(1),seriousness(1),local biz(1),biz group(1),govt(1),non-profits(1),marketing(1), </v>
      </c>
      <c r="IU125" s="47" t="str">
        <f t="shared" si="399"/>
        <v xml:space="preserve">enthusiasm(6.25),fun-ness(6.25),seriousness(6.25),local biz(6.25),biz group(6.25),govt(6.25),non-profits(6.25),marketing(6.25), </v>
      </c>
      <c r="IV125" s="57" t="str">
        <f t="shared" ref="IV125:LG125" si="400">IF(IV23="",IV126,$C125&amp;"("&amp;IV23&amp;"),"&amp;IV126)</f>
        <v xml:space="preserve">scale(2),local biz(2),reputation(1), </v>
      </c>
      <c r="IW125" s="47" t="str">
        <f t="shared" si="400"/>
        <v xml:space="preserve">local biz(1),marketing(1), </v>
      </c>
      <c r="IX125" s="47" t="str">
        <f t="shared" si="400"/>
        <v xml:space="preserve">local biz(25),marketing(25), </v>
      </c>
      <c r="IY125" s="47" t="str">
        <f t="shared" si="400"/>
        <v xml:space="preserve">gifted business strategist(2),enthusiasm(2),agility(2),attention to details(2),fun-ness(2),seriousness(2),leader(1),community manager(1),finance(1),administrator(1),enthusiasm(3),network(2),level of understanding(3),local biz(3),biz group(2),govt(2),reputation(3),efficiency(2),marketing(2), </v>
      </c>
      <c r="IZ125" s="47" t="str">
        <f t="shared" si="400"/>
        <v xml:space="preserve">enthusiasm(1),fun-ness(1),seriousness(1),local biz(1),biz group(1),govt(1),marketing(1), </v>
      </c>
      <c r="JA125" s="47" t="str">
        <f t="shared" si="400"/>
        <v xml:space="preserve">enthusiasm(6.25),fun-ness(6.25),seriousness(6.25),local biz(6.25),biz group(6.25),govt(6.25),marketing(6.25), </v>
      </c>
      <c r="JB125" s="47" t="str">
        <f t="shared" si="400"/>
        <v xml:space="preserve">scale(1),enthusiasm(2), </v>
      </c>
      <c r="JC125" s="47" t="str">
        <f t="shared" si="400"/>
        <v xml:space="preserve"> </v>
      </c>
      <c r="JD125" s="47" t="str">
        <f t="shared" si="400"/>
        <v xml:space="preserve"> </v>
      </c>
      <c r="JE125" s="47" t="str">
        <f t="shared" si="400"/>
        <v xml:space="preserve">gifted leader(1),gifted assistant(1),gifted programmer(1),gifted designer(1),scale(2),enthusiasm(3),attention to details(2),fun-ness(2),community manager(1),PR(1),administrator(1),network(2),level of understanding(2),technologists(2),spaciousness(1),ease of access(1),reputation(3),efficiency(2), </v>
      </c>
      <c r="JF125" s="47" t="str">
        <f t="shared" si="400"/>
        <v xml:space="preserve">web(1),infrastructrue(1),database(1),mobile apps(1),sensors(1),security(1),AI&amp; data analysis(1),mobile comm(1),VR&amp;AR(1),wood processing(1),metal processing(1),plastic processing(1),electronics(1),fabric(1),aesthetics(1),functions(1),safety(1),interaction(1), </v>
      </c>
      <c r="JG125" s="47" t="str">
        <f t="shared" si="400"/>
        <v xml:space="preserve">web(6.25),infrastructrue(6.25),database(6.25),mobile apps(6.25),sensors(6.25),security(6.25),AI&amp; data analysis(6.25),mobile comm(6.25),VR&amp;AR(6.25),wood processing(6.25),metal processing(6.25),plastic processing(6.25),electronics(6.25),fabric(6.25),aesthetics(6.25),functions(6.25),safety(6.25),interaction(6.25), </v>
      </c>
      <c r="JH125" s="47" t="str">
        <f t="shared" si="400"/>
        <v xml:space="preserve">scale(1),enthusiasm(1),enthusiasm(1),local biz(1),non-profits(1),reputation(2), </v>
      </c>
      <c r="JI125" s="47" t="str">
        <f t="shared" si="400"/>
        <v xml:space="preserve"> </v>
      </c>
      <c r="JJ125" s="47" t="str">
        <f t="shared" si="400"/>
        <v xml:space="preserve"> </v>
      </c>
      <c r="JK125" s="47" t="str">
        <f t="shared" si="400"/>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5" s="47" t="str">
        <f t="shared" si="400"/>
        <v xml:space="preserve">non-profits(1), </v>
      </c>
      <c r="JM125" s="47" t="str">
        <f t="shared" si="400"/>
        <v xml:space="preserve">non-profits(6.25), </v>
      </c>
      <c r="JN125" s="47" t="str">
        <f t="shared" si="400"/>
        <v xml:space="preserve">scale(2),enthusiasm(2),enthusiasm(1),network(1),local biz(1),investors(1),entrepreneurs(1),technologists(1),non-profits(1),reputation(2),portfolio(2), </v>
      </c>
      <c r="JO125" s="47" t="str">
        <f t="shared" si="400"/>
        <v xml:space="preserve"> </v>
      </c>
      <c r="JP125" s="47" t="str">
        <f t="shared" si="400"/>
        <v xml:space="preserve"> </v>
      </c>
      <c r="JQ125" s="47" t="str">
        <f t="shared" si="400"/>
        <v xml:space="preserve">gifted leader(1),gifted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5" s="47" t="str">
        <f t="shared" si="400"/>
        <v xml:space="preserve"> </v>
      </c>
      <c r="JS125" s="47" t="str">
        <f t="shared" si="400"/>
        <v xml:space="preserve"> </v>
      </c>
      <c r="JT125" s="47" t="str">
        <f t="shared" si="400"/>
        <v xml:space="preserve">scale(3),enthusiasm(3),PR(1),administrator(1),enthusiasm(2),network(2),local biz(2),biz group(1),govt(2),investors(2),entrepreneurs(2),technologists(2),non-profits(2),reputation(2),portfolio(3), </v>
      </c>
      <c r="JU125" s="47" t="str">
        <f t="shared" si="400"/>
        <v xml:space="preserve"> </v>
      </c>
      <c r="JV125" s="47" t="str">
        <f t="shared" si="400"/>
        <v xml:space="preserve"> </v>
      </c>
      <c r="JW125" s="47" t="str">
        <f t="shared" si="400"/>
        <v xml:space="preserve">gifted leader(1),gifted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5" s="47" t="str">
        <f t="shared" si="400"/>
        <v xml:space="preserve"> </v>
      </c>
      <c r="JY125" s="47" t="str">
        <f t="shared" si="400"/>
        <v xml:space="preserve"> </v>
      </c>
      <c r="JZ125" s="47" t="str">
        <f t="shared" si="400"/>
        <v xml:space="preserve">scale(1),enthusiasm(2),network(1),non-profits(1),reputation(2),social project(2), </v>
      </c>
      <c r="KA125" s="47" t="str">
        <f t="shared" si="400"/>
        <v xml:space="preserve">non-profits(1), </v>
      </c>
      <c r="KB125" s="47" t="str">
        <f t="shared" si="400"/>
        <v xml:space="preserve">non-profits(25), </v>
      </c>
      <c r="KC125" s="47" t="str">
        <f t="shared" si="400"/>
        <v xml:space="preserve">gifted leader(1),gifted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5" s="47" t="str">
        <f t="shared" si="400"/>
        <v xml:space="preserve">non-profits(1), </v>
      </c>
      <c r="KE125" s="47" t="str">
        <f t="shared" si="400"/>
        <v xml:space="preserve">non-profits(6.25), </v>
      </c>
      <c r="KF125" s="47" t="str">
        <f t="shared" si="400"/>
        <v xml:space="preserve"> </v>
      </c>
      <c r="KG125" s="47" t="str">
        <f t="shared" si="400"/>
        <v xml:space="preserve"> </v>
      </c>
      <c r="KH125" s="47" t="str">
        <f t="shared" si="400"/>
        <v xml:space="preserve"> </v>
      </c>
      <c r="KI125" s="47" t="str">
        <f t="shared" si="400"/>
        <v xml:space="preserve"> </v>
      </c>
      <c r="KJ125" s="47" t="str">
        <f t="shared" si="400"/>
        <v xml:space="preserve"> </v>
      </c>
      <c r="KK125" s="47" t="str">
        <f t="shared" si="400"/>
        <v xml:space="preserve"> </v>
      </c>
      <c r="KL125" s="57" t="str">
        <f t="shared" si="400"/>
        <v xml:space="preserve"> </v>
      </c>
      <c r="KM125" s="47" t="str">
        <f t="shared" si="400"/>
        <v xml:space="preserve"> </v>
      </c>
      <c r="KN125" s="47" t="str">
        <f t="shared" si="400"/>
        <v xml:space="preserve"> </v>
      </c>
      <c r="KO125" s="47" t="str">
        <f t="shared" si="400"/>
        <v xml:space="preserve"> </v>
      </c>
      <c r="KP125" s="47" t="str">
        <f t="shared" si="400"/>
        <v xml:space="preserve"> </v>
      </c>
      <c r="KQ125" s="47" t="str">
        <f t="shared" si="400"/>
        <v xml:space="preserve"> </v>
      </c>
      <c r="KR125" s="57" t="str">
        <f t="shared" si="400"/>
        <v xml:space="preserve"> </v>
      </c>
      <c r="KS125" s="47" t="str">
        <f t="shared" si="400"/>
        <v xml:space="preserve"> </v>
      </c>
      <c r="KT125" s="47" t="str">
        <f t="shared" si="400"/>
        <v xml:space="preserve"> </v>
      </c>
      <c r="KU125" s="47" t="str">
        <f t="shared" si="400"/>
        <v xml:space="preserve"> </v>
      </c>
      <c r="KV125" s="47" t="str">
        <f t="shared" si="400"/>
        <v xml:space="preserve"> </v>
      </c>
      <c r="KW125" s="47" t="str">
        <f t="shared" si="400"/>
        <v xml:space="preserve"> </v>
      </c>
      <c r="KX125" s="57" t="str">
        <f t="shared" si="400"/>
        <v xml:space="preserve"> </v>
      </c>
      <c r="KY125" s="47" t="str">
        <f t="shared" si="400"/>
        <v xml:space="preserve"> </v>
      </c>
      <c r="KZ125" s="47" t="str">
        <f t="shared" si="400"/>
        <v xml:space="preserve"> </v>
      </c>
      <c r="LA125" s="47" t="str">
        <f t="shared" si="400"/>
        <v xml:space="preserve"> </v>
      </c>
      <c r="LB125" s="47" t="str">
        <f t="shared" si="400"/>
        <v xml:space="preserve"> </v>
      </c>
      <c r="LC125" s="47" t="str">
        <f t="shared" si="400"/>
        <v xml:space="preserve"> </v>
      </c>
      <c r="LD125" s="57" t="str">
        <f t="shared" si="400"/>
        <v xml:space="preserve"> </v>
      </c>
      <c r="LE125" s="47" t="str">
        <f t="shared" si="400"/>
        <v xml:space="preserve"> </v>
      </c>
      <c r="LF125" s="47" t="str">
        <f t="shared" si="400"/>
        <v xml:space="preserve"> </v>
      </c>
      <c r="LG125" s="47" t="str">
        <f t="shared" si="400"/>
        <v xml:space="preserve"> </v>
      </c>
      <c r="LH125" s="47" t="str">
        <f t="shared" ref="LH125:NM125" si="401">IF(LH23="",LH126,$C125&amp;"("&amp;LH23&amp;"),"&amp;LH126)</f>
        <v xml:space="preserve"> </v>
      </c>
      <c r="LI125" s="47" t="str">
        <f t="shared" si="401"/>
        <v xml:space="preserve"> </v>
      </c>
      <c r="LJ125" s="57" t="str">
        <f t="shared" si="401"/>
        <v xml:space="preserve"> </v>
      </c>
      <c r="LK125" s="47" t="str">
        <f t="shared" si="401"/>
        <v xml:space="preserve"> </v>
      </c>
      <c r="LL125" s="47" t="str">
        <f t="shared" si="401"/>
        <v xml:space="preserve"> </v>
      </c>
      <c r="LM125" s="47" t="str">
        <f t="shared" si="401"/>
        <v xml:space="preserve"> </v>
      </c>
      <c r="LN125" s="47" t="str">
        <f t="shared" si="401"/>
        <v xml:space="preserve"> </v>
      </c>
      <c r="LO125" s="47" t="str">
        <f t="shared" si="401"/>
        <v xml:space="preserve"> </v>
      </c>
      <c r="LP125" s="57" t="str">
        <f t="shared" si="401"/>
        <v xml:space="preserve"> </v>
      </c>
      <c r="LQ125" s="47" t="str">
        <f t="shared" si="401"/>
        <v xml:space="preserve"> </v>
      </c>
      <c r="LR125" s="47" t="str">
        <f t="shared" si="401"/>
        <v xml:space="preserve"> </v>
      </c>
      <c r="LS125" s="47" t="str">
        <f t="shared" si="401"/>
        <v xml:space="preserve"> </v>
      </c>
      <c r="LT125" s="47" t="str">
        <f t="shared" si="401"/>
        <v xml:space="preserve"> </v>
      </c>
      <c r="LU125" s="47" t="str">
        <f t="shared" si="401"/>
        <v xml:space="preserve"> </v>
      </c>
      <c r="LV125" s="57" t="str">
        <f t="shared" si="401"/>
        <v xml:space="preserve"> </v>
      </c>
      <c r="LW125" s="47" t="str">
        <f t="shared" si="401"/>
        <v xml:space="preserve"> </v>
      </c>
      <c r="LX125" s="47" t="str">
        <f t="shared" si="401"/>
        <v xml:space="preserve"> </v>
      </c>
      <c r="LY125" s="47" t="str">
        <f t="shared" si="401"/>
        <v xml:space="preserve"> </v>
      </c>
      <c r="LZ125" s="47" t="str">
        <f t="shared" si="401"/>
        <v xml:space="preserve"> </v>
      </c>
      <c r="MA125" s="47" t="str">
        <f t="shared" si="401"/>
        <v xml:space="preserve"> </v>
      </c>
      <c r="MB125" s="57" t="str">
        <f t="shared" si="401"/>
        <v xml:space="preserve"> </v>
      </c>
      <c r="MC125" s="47" t="str">
        <f t="shared" si="401"/>
        <v xml:space="preserve"> </v>
      </c>
      <c r="MD125" s="47" t="str">
        <f t="shared" si="401"/>
        <v xml:space="preserve"> </v>
      </c>
      <c r="ME125" s="47" t="str">
        <f t="shared" si="401"/>
        <v xml:space="preserve"> </v>
      </c>
      <c r="MF125" s="47" t="str">
        <f t="shared" si="401"/>
        <v xml:space="preserve"> </v>
      </c>
      <c r="MG125" s="47" t="str">
        <f t="shared" si="401"/>
        <v xml:space="preserve"> </v>
      </c>
      <c r="MH125" s="57" t="str">
        <f t="shared" si="401"/>
        <v xml:space="preserve"> </v>
      </c>
      <c r="MI125" s="47" t="str">
        <f t="shared" si="401"/>
        <v xml:space="preserve"> </v>
      </c>
      <c r="MJ125" s="47" t="str">
        <f t="shared" si="401"/>
        <v xml:space="preserve"> </v>
      </c>
      <c r="MK125" s="47" t="str">
        <f t="shared" si="401"/>
        <v xml:space="preserve"> </v>
      </c>
      <c r="ML125" s="47" t="str">
        <f t="shared" si="401"/>
        <v xml:space="preserve"> </v>
      </c>
      <c r="MM125" s="47" t="str">
        <f t="shared" si="401"/>
        <v xml:space="preserve"> </v>
      </c>
      <c r="MN125" s="57" t="str">
        <f t="shared" si="401"/>
        <v xml:space="preserve"> </v>
      </c>
      <c r="MO125" s="47" t="str">
        <f t="shared" si="401"/>
        <v xml:space="preserve"> </v>
      </c>
      <c r="MP125" s="47" t="str">
        <f t="shared" si="401"/>
        <v xml:space="preserve"> </v>
      </c>
      <c r="MQ125" s="47" t="str">
        <f t="shared" si="401"/>
        <v xml:space="preserve"> </v>
      </c>
      <c r="MR125" s="47" t="str">
        <f t="shared" si="401"/>
        <v xml:space="preserve"> </v>
      </c>
      <c r="MS125" s="47" t="str">
        <f t="shared" si="401"/>
        <v xml:space="preserve"> </v>
      </c>
      <c r="MT125" s="57" t="str">
        <f t="shared" si="401"/>
        <v xml:space="preserve"> </v>
      </c>
      <c r="MU125" s="47" t="str">
        <f t="shared" si="401"/>
        <v xml:space="preserve"> </v>
      </c>
      <c r="MV125" s="47" t="str">
        <f t="shared" si="401"/>
        <v xml:space="preserve"> </v>
      </c>
      <c r="MW125" s="47" t="str">
        <f t="shared" si="401"/>
        <v xml:space="preserve"> </v>
      </c>
      <c r="MX125" s="47" t="str">
        <f t="shared" si="401"/>
        <v xml:space="preserve"> </v>
      </c>
      <c r="MY125" s="47" t="str">
        <f t="shared" si="401"/>
        <v xml:space="preserve"> </v>
      </c>
      <c r="MZ125" s="57" t="str">
        <f t="shared" si="401"/>
        <v xml:space="preserve"> </v>
      </c>
      <c r="NA125" s="47" t="str">
        <f t="shared" si="401"/>
        <v xml:space="preserve"> </v>
      </c>
      <c r="NB125" s="47" t="str">
        <f t="shared" si="401"/>
        <v xml:space="preserve"> </v>
      </c>
      <c r="NC125" s="47" t="str">
        <f t="shared" si="401"/>
        <v xml:space="preserve"> </v>
      </c>
      <c r="ND125" s="47" t="str">
        <f t="shared" si="401"/>
        <v xml:space="preserve"> </v>
      </c>
      <c r="NE125" s="47" t="str">
        <f t="shared" si="401"/>
        <v xml:space="preserve"> </v>
      </c>
      <c r="NF125" s="57" t="str">
        <f t="shared" si="401"/>
        <v xml:space="preserve"> </v>
      </c>
      <c r="NG125" s="47" t="str">
        <f t="shared" si="401"/>
        <v xml:space="preserve"> </v>
      </c>
      <c r="NH125" s="47" t="str">
        <f t="shared" si="401"/>
        <v xml:space="preserve"> </v>
      </c>
      <c r="NI125" s="47" t="str">
        <f t="shared" si="401"/>
        <v xml:space="preserve"> </v>
      </c>
      <c r="NJ125" s="47" t="str">
        <f t="shared" si="401"/>
        <v xml:space="preserve"> </v>
      </c>
      <c r="NK125" s="47" t="str">
        <f t="shared" si="401"/>
        <v xml:space="preserve"> </v>
      </c>
      <c r="NL125" s="57" t="str">
        <f t="shared" si="401"/>
        <v xml:space="preserve"> </v>
      </c>
      <c r="NM125" s="47" t="str">
        <f t="shared" si="401"/>
        <v xml:space="preserve"> </v>
      </c>
    </row>
    <row r="126" spans="3:377" ht="15.75" customHeight="1">
      <c r="C126" s="7" t="str">
        <f t="shared" si="296"/>
        <v>gifted assistant</v>
      </c>
      <c r="D126" s="21" t="str">
        <f t="shared" si="169"/>
        <v xml:space="preserve">scale 1
 </v>
      </c>
      <c r="E126" s="21" t="str">
        <f t="shared" si="297"/>
        <v xml:space="preserve"> </v>
      </c>
      <c r="F126" s="21" t="str">
        <f t="shared" si="170"/>
        <v xml:space="preserve"> </v>
      </c>
      <c r="G126" s="21" t="str">
        <f t="shared" si="298"/>
        <v xml:space="preserve">enthusiasm(2), fun-ness(1), community manager(1), PR(1), fame(1), network(2), ease of access(1), reputation(2), social media(1),  </v>
      </c>
      <c r="H126" s="21" t="str">
        <f t="shared" si="299"/>
        <v xml:space="preserve"> </v>
      </c>
      <c r="I126" s="21" t="str">
        <f t="shared" ref="I126" si="402">IF(I24="",I127,$C126&amp;"("&amp;I24&amp;"),"&amp;I127)</f>
        <v xml:space="preserve"> </v>
      </c>
      <c r="J126" s="21" t="str">
        <f t="shared" si="376"/>
        <v xml:space="preserve">scale 1
interaction 1
 </v>
      </c>
      <c r="K126" s="21" t="str">
        <f t="shared" si="173"/>
        <v xml:space="preserve">reputation(1,75),  </v>
      </c>
      <c r="L126" s="21" t="str">
        <f t="shared" si="377"/>
        <v xml:space="preserve">reputation 75
 </v>
      </c>
      <c r="M126" s="21" t="str">
        <f t="shared" si="175"/>
        <v xml:space="preserve">PR(1), portfolio(1), social innovation(1), non-profit biz(1),  </v>
      </c>
      <c r="N126" s="21" t="str">
        <f t="shared" si="176"/>
        <v xml:space="preserve">seriousness(1,25), non-profits(1,12.5), reputation(1,75), marketing(1,12.5),  </v>
      </c>
      <c r="O126" s="21" t="str">
        <f t="shared" si="378"/>
        <v xml:space="preserve">seriousness(25),non-profits(12.5),reputation(75),marketing(12.5), </v>
      </c>
      <c r="P126" s="21" t="str">
        <f t="shared" si="376"/>
        <v xml:space="preserve">scale 1
biz project 1
 </v>
      </c>
      <c r="Q126" s="21" t="str">
        <f t="shared" si="178"/>
        <v xml:space="preserve"> </v>
      </c>
      <c r="R126" s="21" t="str">
        <f t="shared" si="377"/>
        <v xml:space="preserve"> </v>
      </c>
      <c r="S126" s="21" t="str">
        <f t="shared" si="179"/>
        <v xml:space="preserve">portfolio(1), biz enhancement(1), business(1), start-up(1),  </v>
      </c>
      <c r="T126" s="21" t="str">
        <f t="shared" si="180"/>
        <v xml:space="preserve">seriousness(1,25), local biz(1,6.25), investors(1,6.25), reputation(1,6.25),  </v>
      </c>
      <c r="U126" s="21" t="str">
        <f t="shared" si="378"/>
        <v xml:space="preserve">seriousness(25),local biz(6.25),investors(6.25),reputation(6.25), </v>
      </c>
      <c r="V126" s="21" t="str">
        <f t="shared" si="376"/>
        <v xml:space="preserve">scale 1
 </v>
      </c>
      <c r="W126" s="21" t="str">
        <f t="shared" si="181"/>
        <v xml:space="preserve">local biz(1,),  </v>
      </c>
      <c r="X126" s="21" t="str">
        <f t="shared" si="377"/>
        <v xml:space="preserve"> </v>
      </c>
      <c r="Y126" s="21" t="str">
        <f t="shared" si="182"/>
        <v xml:space="preserve">enthusiasm(1), attention to details(1), PR(1), network(1), ease of access(1), reputation(1), portfolio(1), biz project(1), biz enhancement(1), job creation(1), business(1),  </v>
      </c>
      <c r="Z126" s="21" t="str">
        <f t="shared" si="183"/>
        <v xml:space="preserve">local biz(1,6.25),  </v>
      </c>
      <c r="AA126" s="21" t="str">
        <f t="shared" si="378"/>
        <v xml:space="preserve">local biz(6.25), </v>
      </c>
      <c r="AB126" s="21" t="str">
        <f t="shared" si="376"/>
        <v xml:space="preserve">scale 1
 </v>
      </c>
      <c r="AC126" s="21" t="str">
        <f t="shared" si="184"/>
        <v xml:space="preserve">non-profits(1,100),  </v>
      </c>
      <c r="AD126" s="21" t="str">
        <f t="shared" si="377"/>
        <v xml:space="preserve">non-profits 100
 </v>
      </c>
      <c r="AE126" s="21" t="str">
        <f t="shared" si="185"/>
        <v xml:space="preserve">enthusiasm(1), attention to details(1), PR(1), network(1), ease of access(1), reputation(1), portfolio(1), social project(1), social innovation(1), non-profit biz(1),  </v>
      </c>
      <c r="AF126" s="21" t="str">
        <f t="shared" si="186"/>
        <v xml:space="preserve">seriousness(1,6.25), non-profits(1,6.25),  </v>
      </c>
      <c r="AG126" s="21" t="str">
        <f t="shared" si="378"/>
        <v xml:space="preserve">seriousness(6.25),non-profits(6.25), </v>
      </c>
      <c r="AH126" s="21" t="str">
        <f t="shared" si="376"/>
        <v xml:space="preserve">scale 1
 </v>
      </c>
      <c r="AI126" s="21" t="str">
        <f t="shared" si="187"/>
        <v xml:space="preserve">govt(1,),  </v>
      </c>
      <c r="AJ126" s="21" t="str">
        <f t="shared" si="377"/>
        <v xml:space="preserve"> </v>
      </c>
      <c r="AK126" s="21" t="str">
        <f t="shared" si="188"/>
        <v xml:space="preserve">enthusiasm(1), attention to details(1), seriousness(1), fame(1), network(1), govt(1), ease of access(1), reputation(2), portfolio(1), social project(1), social innovation(1), non-profit biz(1),  </v>
      </c>
      <c r="AL126" s="21" t="str">
        <f t="shared" si="189"/>
        <v xml:space="preserve">govt(1,6.25),  </v>
      </c>
      <c r="AM126" s="21" t="str">
        <f t="shared" si="378"/>
        <v xml:space="preserve">govt(6.25), </v>
      </c>
      <c r="AN126" s="21" t="str">
        <f t="shared" si="376"/>
        <v xml:space="preserve">scale 1
enthusiasm 1
 </v>
      </c>
      <c r="AO126" s="21" t="str">
        <f t="shared" si="190"/>
        <v xml:space="preserve">fame(1,), network(1,), investors(1,6.25),  </v>
      </c>
      <c r="AP126" s="21" t="str">
        <f t="shared" si="377"/>
        <v xml:space="preserve">investors 6.25
 </v>
      </c>
      <c r="AQ126" s="21" t="str">
        <f t="shared" si="191"/>
        <v xml:space="preserve">investors(1), ease of access(1), reputation(1), portfolio(1), start-up(1), start-up with mvp(1), start-up with customers(1),  </v>
      </c>
      <c r="AR126" s="21" t="str">
        <f t="shared" si="192"/>
        <v xml:space="preserve"> </v>
      </c>
      <c r="AS126" s="21" t="str">
        <f t="shared" si="378"/>
        <v xml:space="preserve"> </v>
      </c>
      <c r="AT126" s="21" t="str">
        <f t="shared" si="376"/>
        <v xml:space="preserve">scale 2
enthusiasm 1
seriousness 1
administrator 1
non-profits 2
reputation 1
portfolio 1
social project 1
 </v>
      </c>
      <c r="AU126" s="21" t="str">
        <f t="shared" si="193"/>
        <v xml:space="preserve">ambition(1,), attention to details(1,),  </v>
      </c>
      <c r="AV126" s="21" t="str">
        <f t="shared" si="377"/>
        <v xml:space="preserve"> </v>
      </c>
      <c r="AW126" s="21" t="str">
        <f t="shared" si="194"/>
        <v xml:space="preserve">enthusiasm(3), PR(2), administrator(1), project management(2),  </v>
      </c>
      <c r="AX126" s="21" t="str">
        <f t="shared" si="195"/>
        <v xml:space="preserve">organizational rules and manuals(1,12.5), project management(1,12.5),  </v>
      </c>
      <c r="AY126" s="21" t="str">
        <f t="shared" si="378"/>
        <v xml:space="preserve">organizational rules and manuals(12.5),project management(12.5), </v>
      </c>
      <c r="AZ126" s="21" t="str">
        <f t="shared" si="376"/>
        <v xml:space="preserve">scale 1
enthusiasm 1
non-profits 1
 </v>
      </c>
      <c r="BA126" s="21" t="str">
        <f t="shared" si="196"/>
        <v xml:space="preserve"> </v>
      </c>
      <c r="BB126" s="21" t="str">
        <f t="shared" si="377"/>
        <v xml:space="preserve"> </v>
      </c>
      <c r="BC126" s="21" t="str">
        <f t="shared" si="197"/>
        <v xml:space="preserve"> </v>
      </c>
      <c r="BD126" s="21" t="str">
        <f t="shared" si="198"/>
        <v xml:space="preserve"> </v>
      </c>
      <c r="BE126" s="21" t="str">
        <f t="shared" si="378"/>
        <v xml:space="preserve"> </v>
      </c>
      <c r="BF126" s="21" t="str">
        <f t="shared" si="376"/>
        <v xml:space="preserve">scale 2
enthusiasm 1
seriousness 1
administrator 1
local biz 2
entrepreneurs 1
reputation 1
portfolio 1
biz project 1
 </v>
      </c>
      <c r="BG126" s="21" t="str">
        <f t="shared" si="199"/>
        <v xml:space="preserve">ambition(1,), attention to details(1,),  </v>
      </c>
      <c r="BH126" s="21" t="str">
        <f t="shared" si="377"/>
        <v xml:space="preserve"> </v>
      </c>
      <c r="BI126" s="21" t="str">
        <f t="shared" si="200"/>
        <v xml:space="preserve">enthusiasm(3), PR(2), administrator(1), project management(2),  </v>
      </c>
      <c r="BJ126" s="21" t="str">
        <f t="shared" si="201"/>
        <v xml:space="preserve">organizational rules and manuals(1,12.5), project management(1,12.5),  </v>
      </c>
      <c r="BK126" s="21" t="str">
        <f t="shared" si="378"/>
        <v xml:space="preserve">organizational rules and manuals(12.5),project management(12.5), </v>
      </c>
      <c r="BL126" s="21" t="str">
        <f t="shared" si="376"/>
        <v xml:space="preserve">scale 1
enthusiasm 1
local biz 1
reputation 1
portfolio 1
biz enhancement 1
 </v>
      </c>
      <c r="BM126" s="21" t="str">
        <f t="shared" si="202"/>
        <v xml:space="preserve"> </v>
      </c>
      <c r="BN126" s="21" t="str">
        <f t="shared" si="377"/>
        <v xml:space="preserve"> </v>
      </c>
      <c r="BO126" s="21" t="str">
        <f t="shared" si="203"/>
        <v xml:space="preserve"> </v>
      </c>
      <c r="BP126" s="21" t="str">
        <f t="shared" si="204"/>
        <v xml:space="preserve"> </v>
      </c>
      <c r="BQ126" s="21" t="str">
        <f t="shared" si="378"/>
        <v xml:space="preserve"> </v>
      </c>
      <c r="BR126" s="21" t="str">
        <f t="shared" si="376"/>
        <v xml:space="preserve"> </v>
      </c>
      <c r="BS126" s="21" t="str">
        <f t="shared" si="205"/>
        <v xml:space="preserve"> </v>
      </c>
      <c r="BT126" s="21" t="str">
        <f t="shared" si="377"/>
        <v xml:space="preserve"> </v>
      </c>
      <c r="BU126" s="21" t="str">
        <f t="shared" si="206"/>
        <v xml:space="preserve"> </v>
      </c>
      <c r="BV126" s="21" t="str">
        <f t="shared" si="207"/>
        <v xml:space="preserve"> </v>
      </c>
      <c r="BW126" s="21" t="str">
        <f t="shared" si="378"/>
        <v xml:space="preserve"> </v>
      </c>
      <c r="BX126" s="21" t="str">
        <f t="shared" si="379"/>
        <v xml:space="preserve">scale 1
network 1
 </v>
      </c>
      <c r="BY126" s="21" t="str">
        <f t="shared" si="209"/>
        <v xml:space="preserve">efficiency(1,),  </v>
      </c>
      <c r="BZ126" s="21" t="str">
        <f t="shared" si="380"/>
        <v xml:space="preserve"> </v>
      </c>
      <c r="CA126" s="21" t="str">
        <f t="shared" si="211"/>
        <v xml:space="preserve">scale(2), enthusiasm(1), attention to details(1), administrator(1), negotiation(1),  </v>
      </c>
      <c r="CB126" s="21" t="str">
        <f t="shared" si="212"/>
        <v xml:space="preserve">user rules and manuals(1,50), organizational rules and manuals(1,50),  </v>
      </c>
      <c r="CC126" s="21" t="str">
        <f t="shared" si="381"/>
        <v xml:space="preserve">user rules and manuals(50),organizational rules and manuals(50), </v>
      </c>
      <c r="CD126" s="21" t="str">
        <f t="shared" si="379"/>
        <v xml:space="preserve">scale 1
enthusiasm 1
network 1
 </v>
      </c>
      <c r="CE126" s="21" t="str">
        <f t="shared" si="214"/>
        <v xml:space="preserve">non-profits(1,),  </v>
      </c>
      <c r="CF126" s="21" t="str">
        <f t="shared" si="380"/>
        <v xml:space="preserve"> </v>
      </c>
      <c r="CG126" s="21" t="str">
        <f t="shared" si="215"/>
        <v xml:space="preserve">fun-ness(1), seriousness(1), ease of access(1), portfolio(1), user rules and manuals(1), negotiation(1), social project(1), biz project(1), for basic literacy(1), for the elites(1), for entrepreneurs(1),  </v>
      </c>
      <c r="CH126" s="21" t="str">
        <f t="shared" si="216"/>
        <v xml:space="preserve">technologists(1,6.25), non-profits(1,6.25),  </v>
      </c>
      <c r="CI126" s="21" t="str">
        <f t="shared" si="381"/>
        <v xml:space="preserve">technologists(6.25),non-profits(6.25), </v>
      </c>
      <c r="CJ126" s="21" t="str">
        <f t="shared" si="379"/>
        <v xml:space="preserve">scale 1
 </v>
      </c>
      <c r="CK126" s="21" t="str">
        <f t="shared" si="217"/>
        <v xml:space="preserve">suppliers(1,),  </v>
      </c>
      <c r="CL126" s="21" t="str">
        <f t="shared" si="380"/>
        <v xml:space="preserve"> </v>
      </c>
      <c r="CM126" s="21" t="str">
        <f t="shared" si="218"/>
        <v xml:space="preserve">reputation(1), negotiation(1),  </v>
      </c>
      <c r="CN126" s="21" t="str">
        <f t="shared" si="219"/>
        <v xml:space="preserve">enthusiasm(2,), efficiency(1,6.25),  </v>
      </c>
      <c r="CO126" s="21" t="str">
        <f t="shared" si="381"/>
        <v xml:space="preserve">efficiency(6.25), </v>
      </c>
      <c r="CP126" s="21" t="str">
        <f t="shared" si="379"/>
        <v xml:space="preserve">scale 1
 </v>
      </c>
      <c r="CQ126" s="21" t="str">
        <f t="shared" si="220"/>
        <v xml:space="preserve">technologists(1,),  </v>
      </c>
      <c r="CR126" s="21" t="str">
        <f t="shared" si="380"/>
        <v xml:space="preserve"> </v>
      </c>
      <c r="CS126" s="21" t="str">
        <f t="shared" si="221"/>
        <v xml:space="preserve">gifted programmer(2), enthusiasm(1), network(1), portfolio(1), negotiation(1), web(1), infrastructrue(1), database(1), mobile apps(1), sensors(1), security(1), AI&amp; data analysis(1), mobile comm(1), VR&amp;AR(1), wood processing(1), metal processing(1), plastic processing(1), electronics(1), fabric(1),  </v>
      </c>
      <c r="CT126" s="21" t="str">
        <f t="shared" si="222"/>
        <v xml:space="preserve">efficiency(1,6.25),  </v>
      </c>
      <c r="CU126" s="21" t="str">
        <f t="shared" si="381"/>
        <v xml:space="preserve">efficiency(6.25), </v>
      </c>
      <c r="CV126" s="21" t="str">
        <f t="shared" si="379"/>
        <v xml:space="preserve">scale 1
 </v>
      </c>
      <c r="CW126" s="21" t="str">
        <f t="shared" si="223"/>
        <v xml:space="preserve">local biz(1,),  </v>
      </c>
      <c r="CX126" s="21" t="str">
        <f t="shared" si="380"/>
        <v xml:space="preserve"> </v>
      </c>
      <c r="CY126" s="21" t="str">
        <f t="shared" si="224"/>
        <v xml:space="preserve">ease of access(1), reputation(1), portfolio(1), negotiation(1),  </v>
      </c>
      <c r="CZ126" s="21" t="str">
        <f t="shared" si="225"/>
        <v xml:space="preserve">non-profits(1,6.25),  </v>
      </c>
      <c r="DA126" s="21" t="str">
        <f t="shared" si="381"/>
        <v xml:space="preserve">non-profits(6.25), </v>
      </c>
      <c r="DB126" s="21" t="str">
        <f t="shared" si="379"/>
        <v xml:space="preserve"> </v>
      </c>
      <c r="DC126" s="21" t="str">
        <f t="shared" si="226"/>
        <v xml:space="preserve"> </v>
      </c>
      <c r="DD126" s="21" t="str">
        <f t="shared" si="380"/>
        <v xml:space="preserve"> </v>
      </c>
      <c r="DE126"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6" s="21" t="str">
        <f t="shared" si="228"/>
        <v xml:space="preserve">network(1,), local biz(1,6.25), biz group(1,6.25), investors(1,6.25), entrepreneurs(1,6.25),  </v>
      </c>
      <c r="DG126" s="21" t="str">
        <f t="shared" si="381"/>
        <v xml:space="preserve">local biz(6.25),biz group(6.25),investors(6.25),entrepreneurs(6.25), </v>
      </c>
      <c r="DH126" s="21" t="str">
        <f t="shared" si="379"/>
        <v xml:space="preserve">scale 1
enthusiasm 1
network 1
non-profits 1
reputation 1
social project 1
 </v>
      </c>
      <c r="DI126" s="21" t="str">
        <f t="shared" si="229"/>
        <v xml:space="preserve"> </v>
      </c>
      <c r="DJ126" s="21" t="str">
        <f t="shared" si="380"/>
        <v xml:space="preserve"> </v>
      </c>
      <c r="DK126" s="21" t="str">
        <f t="shared" si="230"/>
        <v xml:space="preserve">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6" s="21" t="str">
        <f t="shared" si="231"/>
        <v xml:space="preserve">reputation(1,6.25),  </v>
      </c>
      <c r="DM126" s="21" t="str">
        <f t="shared" si="381"/>
        <v xml:space="preserve">reputation(6.25), </v>
      </c>
      <c r="DN126" s="21" t="str">
        <f t="shared" si="379"/>
        <v xml:space="preserve">scale 1
enthusiasm 1
network 1
local biz 1
reputation 1
biz project 1
 </v>
      </c>
      <c r="DO126" s="21" t="str">
        <f t="shared" si="232"/>
        <v xml:space="preserve"> </v>
      </c>
      <c r="DP126" s="21" t="str">
        <f t="shared" si="380"/>
        <v xml:space="preserve"> </v>
      </c>
      <c r="DQ126" s="21" t="str">
        <f t="shared" si="233"/>
        <v xml:space="preserve">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6" s="21" t="str">
        <f t="shared" si="234"/>
        <v xml:space="preserve">reputation(1,6.25),  </v>
      </c>
      <c r="DS126" s="21" t="str">
        <f t="shared" si="381"/>
        <v xml:space="preserve">reputation(6.25), </v>
      </c>
      <c r="DT126" s="21" t="str">
        <f t="shared" si="379"/>
        <v xml:space="preserve">scale 1
enthusiasm 1
network 1
reputation 1
 </v>
      </c>
      <c r="DU126" s="21" t="str">
        <f t="shared" si="235"/>
        <v xml:space="preserve"> </v>
      </c>
      <c r="DV126" s="21" t="str">
        <f t="shared" si="380"/>
        <v xml:space="preserve"> </v>
      </c>
      <c r="DW126"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6" s="21" t="str">
        <f t="shared" si="237"/>
        <v xml:space="preserve">ambition(1,6.25), reputation(1,6.25), for basic literacy(1,6.25),  </v>
      </c>
      <c r="DY126" s="21" t="str">
        <f t="shared" si="381"/>
        <v xml:space="preserve">ambition(6.25),reputation(6.25),for basic literacy(6.25), </v>
      </c>
      <c r="DZ126" s="21" t="str">
        <f t="shared" si="379"/>
        <v xml:space="preserve">scale 1
enthusiasm 1
network 1
reputation 1
 </v>
      </c>
      <c r="EA126" s="21" t="str">
        <f t="shared" si="238"/>
        <v xml:space="preserve"> </v>
      </c>
      <c r="EB126" s="21" t="str">
        <f t="shared" si="380"/>
        <v xml:space="preserve"> </v>
      </c>
      <c r="EC126"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6" s="21" t="str">
        <f t="shared" si="240"/>
        <v xml:space="preserve">ambition(1,6.25), reputation(1,6.25), for basic literacy(1,6.25),  </v>
      </c>
      <c r="EE126" s="21" t="str">
        <f t="shared" si="381"/>
        <v xml:space="preserve">ambition(6.25),reputation(6.25),for basic literacy(6.25), </v>
      </c>
      <c r="EF126" s="21" t="str">
        <f t="shared" si="379"/>
        <v xml:space="preserve">technologists 1
reputation 1
 </v>
      </c>
      <c r="EG126" s="21" t="str">
        <f t="shared" si="241"/>
        <v xml:space="preserve">web(1,50), mobile apps(1,50), interaction(1,50),  </v>
      </c>
      <c r="EH126" s="21" t="str">
        <f t="shared" si="380"/>
        <v xml:space="preserve">web 50
mobile apps 50
interaction 50
 </v>
      </c>
      <c r="EI126"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6" s="21" t="str">
        <f t="shared" si="243"/>
        <v xml:space="preserve">technologists(1,12.5), infrastructrue(1,12.5), database(1,12.5), mobile comm(1,12.5), for entrepreneurs(1,6.25),  </v>
      </c>
      <c r="EK126" s="21" t="str">
        <f t="shared" si="381"/>
        <v xml:space="preserve">technologists(12.5),infrastructrue(12.5),database(12.5),mobile comm(12.5),for entrepreneurs(6.25), </v>
      </c>
      <c r="EL126" s="21" t="str">
        <f t="shared" si="382"/>
        <v xml:space="preserve">technologists 1
reputation 1
 </v>
      </c>
      <c r="EM126" s="21" t="str">
        <f t="shared" si="245"/>
        <v xml:space="preserve">sensors(1,50),  </v>
      </c>
      <c r="EN126" s="21" t="str">
        <f t="shared" si="383"/>
        <v xml:space="preserve">sensors 50
 </v>
      </c>
      <c r="EO126"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6" s="21" t="str">
        <f t="shared" si="248"/>
        <v xml:space="preserve">technologists(1,12.5), infrastructrue(1,12.5), database(1,12.5), mobile comm(1,12.5), electronics(1,6.25), for entrepreneurs(1,6.25),  </v>
      </c>
      <c r="EQ126" s="21" t="str">
        <f t="shared" si="384"/>
        <v xml:space="preserve">technologists(12.5),infrastructrue(12.5),database(12.5),mobile comm(12.5),electronics(6.25),for entrepreneurs(6.25), </v>
      </c>
      <c r="ER126" s="21" t="str">
        <f t="shared" si="382"/>
        <v xml:space="preserve">technologists 1
 </v>
      </c>
      <c r="ES126" s="21" t="str">
        <f t="shared" si="250"/>
        <v xml:space="preserve">AI&amp; data analysis(1,50),  </v>
      </c>
      <c r="ET126" s="21" t="str">
        <f t="shared" si="383"/>
        <v xml:space="preserve">AI&amp; data analysis 50
 </v>
      </c>
      <c r="EU126"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6" s="21" t="str">
        <f t="shared" si="252"/>
        <v xml:space="preserve">technologists(1,12.5), database(1,12.5), sensors(1,12.5), mobile comm(1,12.5), for entrepreneurs(1,6.25),  </v>
      </c>
      <c r="EW126" s="21" t="str">
        <f t="shared" si="384"/>
        <v xml:space="preserve">technologists(12.5),database(12.5),sensors(12.5),mobile comm(12.5),for entrepreneurs(6.25), </v>
      </c>
      <c r="EX126" s="21" t="str">
        <f t="shared" si="382"/>
        <v xml:space="preserve">technologists 1
 </v>
      </c>
      <c r="EY126" s="21" t="str">
        <f t="shared" si="253"/>
        <v xml:space="preserve">law(1,50), security(1,50), interaction(1,25),  </v>
      </c>
      <c r="EZ126" s="21" t="str">
        <f t="shared" si="383"/>
        <v xml:space="preserve">law 50
security 50
interaction 25
 </v>
      </c>
      <c r="FA126" s="21" t="str">
        <f t="shared" si="254"/>
        <v xml:space="preserve">gifted programmer(1), scale(2), enthusiasm(2), seriousness(2), initiative(1), community manager(1), administrator(1), enthusiasm(1), fame(1), network(2), level of understanding(1), technologists(2), ease of access(1), reputation(2), law(2), for entrepreneurs(1),  </v>
      </c>
      <c r="FB126" s="21" t="str">
        <f t="shared" si="255"/>
        <v xml:space="preserve">technologists(1,12.5), law(1,6.25), database(1,12.5), mobile apps(1,12.5), security(1,12.5), mobile comm(1,12.5), for entrepreneurs(1,6.25),  </v>
      </c>
      <c r="FC126" s="21" t="str">
        <f t="shared" si="384"/>
        <v xml:space="preserve">technologists(12.5),law(6.25),database(12.5),mobile apps(12.5),security(12.5),mobile comm(12.5),for entrepreneurs(6.25), </v>
      </c>
      <c r="FD126" s="21" t="str">
        <f t="shared" si="382"/>
        <v xml:space="preserve">technologists 1
 </v>
      </c>
      <c r="FE126" s="21" t="str">
        <f t="shared" si="256"/>
        <v xml:space="preserve">law(1,50), sensors(1,50), security(1,50),  </v>
      </c>
      <c r="FF126" s="21" t="str">
        <f t="shared" si="383"/>
        <v xml:space="preserve">law 50
sensors 50
security 50
 </v>
      </c>
      <c r="FG126"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6" s="21" t="str">
        <f t="shared" si="258"/>
        <v xml:space="preserve">technologists(1,12.5), law(1,6.25), database(1,6.25), mobile apps(1,6.25), AI&amp; data analysis(1,6.25), mobile comm(1,6.25), for entrepreneurs(1,6.25),  </v>
      </c>
      <c r="FI126" s="21" t="str">
        <f t="shared" si="384"/>
        <v xml:space="preserve">technologists(12.5),law(6.25),database(6.25),mobile apps(6.25),AI&amp; data analysis(6.25),mobile comm(6.25),for entrepreneurs(6.25), </v>
      </c>
      <c r="FJ126" s="21" t="str">
        <f t="shared" si="382"/>
        <v xml:space="preserve">technologists 1
 </v>
      </c>
      <c r="FK126" s="21" t="str">
        <f t="shared" si="259"/>
        <v xml:space="preserve">wood processing(1,25), metal processing(1,25), plastic processing(1,25), fabric(1,25), safety(1,25), interaction(1,25),  </v>
      </c>
      <c r="FL126" s="21" t="str">
        <f t="shared" si="383"/>
        <v xml:space="preserve">project management 2
wood processing 25
metal processing 25
plastic processing 25
fabric 25
safety 25
interaction 25
 </v>
      </c>
      <c r="FM126" s="21" t="str">
        <f t="shared" si="260"/>
        <v xml:space="preserve">gifted programmer(1), scale(2), enthusiasm(2), seriousness(2), initiative(1), community manager(1), administrator(1), enthusiasm(1), fame(1), network(2), level of understanding(1), technologists(2), spaciousness(1), ease of access(1), reputation(2), for entrepreneurs(1),  </v>
      </c>
      <c r="FN126" s="21" t="str">
        <f t="shared" si="261"/>
        <v xml:space="preserve">technologists(1,12.5), for entrepreneurs(1,6.25),  </v>
      </c>
      <c r="FO126" s="21" t="str">
        <f t="shared" si="384"/>
        <v xml:space="preserve">technologists(12.5),for entrepreneurs(6.25), </v>
      </c>
      <c r="FP126" s="21" t="str">
        <f t="shared" si="382"/>
        <v xml:space="preserve">technologists 1
 </v>
      </c>
      <c r="FQ126" s="21" t="str">
        <f t="shared" si="262"/>
        <v xml:space="preserve">web(1,25), mobile apps(1,50), functions(1,25), interaction(1,25),  </v>
      </c>
      <c r="FR126" s="21" t="str">
        <f t="shared" si="383"/>
        <v xml:space="preserve">web 25
mobile apps 50
functions 25
interaction 25
 </v>
      </c>
      <c r="FS126" s="21" t="str">
        <f t="shared" si="263"/>
        <v xml:space="preserve">gifted programmer(1), scale(2), enthusiasm(2), seriousness(2), initiative(1), community manager(1), administrator(1), enthusiasm(1), fame(1), network(2), level of understanding(1), technologists(2), spaciousness(1), ease of access(1), reputation(2), for entrepreneurs(1),  </v>
      </c>
      <c r="FT126" s="21" t="str">
        <f t="shared" si="264"/>
        <v xml:space="preserve">technologists(1,12.5), for entrepreneurs(1,6.25),  </v>
      </c>
      <c r="FU126" s="21" t="str">
        <f t="shared" si="384"/>
        <v xml:space="preserve">technologists(12.5),for entrepreneurs(6.25), </v>
      </c>
      <c r="FV126" s="21" t="str">
        <f t="shared" si="382"/>
        <v xml:space="preserve">technologists 1
 </v>
      </c>
      <c r="FW126" s="21" t="str">
        <f t="shared" si="265"/>
        <v xml:space="preserve">mobile apps(1,50), sensors(1,50), wood processing(1,25), plastic processing(1,25), electronics(1,25), functions(1,25), interaction(1,25),  </v>
      </c>
      <c r="FX126" s="21" t="str">
        <f t="shared" si="383"/>
        <v xml:space="preserve">mobile apps 50
sensors 50
wood processing 25
plastic processing 25
electronics 25
functions 25
interaction 25
 </v>
      </c>
      <c r="FY126"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6" s="21" t="str">
        <f t="shared" si="267"/>
        <v xml:space="preserve">technologists(1,12.5), web(1,6.25), database(1,6.25), AI&amp; data analysis(1,6.25), mobile comm(1,6.25), for entrepreneurs(1,6.25),  </v>
      </c>
      <c r="GA126" s="21" t="str">
        <f t="shared" si="384"/>
        <v xml:space="preserve">technologists(12.5),web(6.25),database(6.25),AI&amp; data analysis(6.25),mobile comm(6.25),for entrepreneurs(6.25), </v>
      </c>
      <c r="GB126" s="21" t="str">
        <f t="shared" si="382"/>
        <v xml:space="preserve">technologists 1
 </v>
      </c>
      <c r="GC126" s="21" t="str">
        <f t="shared" si="268"/>
        <v xml:space="preserve">sensors(1,25), mobile comm(1,25), electronics(1,50), functions(1,25), safety(1,25),  </v>
      </c>
      <c r="GD126" s="21" t="str">
        <f t="shared" si="383"/>
        <v xml:space="preserve">sensors 25
mobile comm 25
electronics 50
functions 25
safety 25
 </v>
      </c>
      <c r="GE126"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6" s="21" t="str">
        <f t="shared" si="270"/>
        <v xml:space="preserve">technologists(1,12.5), database(1,6.25), mobile apps(1,6.25), AI&amp; data analysis(1,6.25), plastic processing(1,6.25), interaction(1,6.25), for entrepreneurs(1,6.25),  </v>
      </c>
      <c r="GG126" s="21" t="str">
        <f t="shared" si="384"/>
        <v xml:space="preserve">technologists(12.5),database(6.25),mobile apps(6.25),AI&amp; data analysis(6.25),plastic processing(6.25),interaction(6.25),for entrepreneurs(6.25), </v>
      </c>
      <c r="GH126" s="21" t="str">
        <f t="shared" si="382"/>
        <v xml:space="preserve">technologists 1
 </v>
      </c>
      <c r="GI126" s="21" t="str">
        <f t="shared" si="271"/>
        <v xml:space="preserve">web(1,25), mobile apps(1,50), functions(1,25), interaction(1,25),  </v>
      </c>
      <c r="GJ126" s="21" t="str">
        <f t="shared" si="383"/>
        <v xml:space="preserve">web 25
mobile apps 50
functions 25
interaction 25
 </v>
      </c>
      <c r="GK126"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6" s="21" t="str">
        <f t="shared" si="273"/>
        <v xml:space="preserve">technologists(1,12.5), for entrepreneurs(1,6.25),  </v>
      </c>
      <c r="GM126" s="21" t="str">
        <f t="shared" si="384"/>
        <v xml:space="preserve">technologists(12.5),for entrepreneurs(6.25), </v>
      </c>
      <c r="GN126" s="21" t="str">
        <f t="shared" si="382"/>
        <v xml:space="preserve">technologists 1
 </v>
      </c>
      <c r="GO126" s="21" t="str">
        <f t="shared" si="274"/>
        <v xml:space="preserve">web(1,25), mobile apps(1,25), VR&amp;AR(1,25), aesthetics(1,25), functions(1,25), interaction(1,50),  </v>
      </c>
      <c r="GP126" s="21" t="str">
        <f t="shared" si="383"/>
        <v xml:space="preserve">web 25
mobile apps 25
VR&amp;AR 25
aesthetics 25
functions 25
interaction 50
 </v>
      </c>
      <c r="GQ126"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6" s="21" t="str">
        <f t="shared" si="276"/>
        <v xml:space="preserve">technologists(1,12.5), for entrepreneurs(1,6.25),  </v>
      </c>
      <c r="GS126" s="21" t="str">
        <f t="shared" si="384"/>
        <v xml:space="preserve">technologists(12.5),for entrepreneurs(6.25), </v>
      </c>
      <c r="GT126" s="21" t="str">
        <f t="shared" si="382"/>
        <v xml:space="preserve">scale 2
ease of access 1
reputation 2
web 1
mobile apps 1
mobile comm 1
 </v>
      </c>
      <c r="GU126" s="21" t="str">
        <f t="shared" si="277"/>
        <v xml:space="preserve"> </v>
      </c>
      <c r="GV126" s="21" t="str">
        <f t="shared" si="383"/>
        <v xml:space="preserve"> </v>
      </c>
      <c r="GW126" s="21" t="str">
        <f t="shared" si="278"/>
        <v xml:space="preserve">gifted assistant(1), 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6" s="21" t="str">
        <f t="shared" si="279"/>
        <v xml:space="preserve">gifted programmer(1,6.25), enthusiasm(1,6.25), media(1,6.25), entrepreneurs(1,6.25), technologists(1,6.25), project management(1,6.25), social media(1,6.25), web(1,6.25), mobile apps(1,6.25),  </v>
      </c>
      <c r="GY126" s="21" t="str">
        <f t="shared" si="384"/>
        <v xml:space="preserve">gifted programmer(6.25),enthusiasm(6.25),media(6.25),entrepreneurs(6.25),technologists(6.25),project management(6.25),social media(6.25),web(6.25),mobile apps(6.25), </v>
      </c>
      <c r="GZ126" s="21" t="str">
        <f t="shared" si="385"/>
        <v xml:space="preserve">scale 2
enthusiasm 2
network 1
govt 1
non-profits 1
reputation 2
portfolio 1
 </v>
      </c>
      <c r="HA126" s="21" t="str">
        <f t="shared" si="281"/>
        <v xml:space="preserve"> </v>
      </c>
      <c r="HB126" s="21" t="str">
        <f t="shared" si="386"/>
        <v xml:space="preserve"> </v>
      </c>
      <c r="HC126" s="21" t="str">
        <f t="shared" si="283"/>
        <v xml:space="preserve">gifted assistant(1), 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6" s="21" t="str">
        <f t="shared" si="284"/>
        <v xml:space="preserve">enthusiasm(1,6.25), media(1,6.25), technologists(1,6.25), non-profits(1,6.25), reputation(1,6.25), start-up with customers(1,6.25), for basic literacy(1,6.25),  </v>
      </c>
      <c r="HE126" s="21" t="str">
        <f t="shared" si="387"/>
        <v xml:space="preserve">enthusiasm(6.25),media(6.25),technologists(6.25),non-profits(6.25),reputation(6.25),start-up with customers(6.25),for basic literacy(6.25), </v>
      </c>
      <c r="HF126" s="21" t="str">
        <f t="shared" si="385"/>
        <v xml:space="preserve"> </v>
      </c>
      <c r="HG126" s="21" t="str">
        <f t="shared" si="286"/>
        <v xml:space="preserve">scale(2,), enthusiasm(2,),  </v>
      </c>
      <c r="HH126" s="21" t="str">
        <f t="shared" si="386"/>
        <v xml:space="preserve"> </v>
      </c>
      <c r="HI126" s="21" t="str">
        <f t="shared" si="287"/>
        <v xml:space="preserve">gifted assistant(1), 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6" s="21" t="str">
        <f t="shared" si="288"/>
        <v xml:space="preserve">enthusiasm(1,6.25), fun-ness(1,6.25), seriousness(1,6.25), govt(1,6.25), media(1,6.25), non-profits(1,6.25), start-up with customers(1,6.25),  </v>
      </c>
      <c r="HK126" s="21" t="str">
        <f t="shared" si="387"/>
        <v xml:space="preserve">enthusiasm(6.25),fun-ness(6.25),seriousness(6.25),govt(6.25),media(6.25),non-profits(6.25),start-up with customers(6.25), </v>
      </c>
      <c r="HL126" s="21" t="str">
        <f t="shared" si="385"/>
        <v xml:space="preserve">scale 2
community manager 1
PR 1
administrator 1
local biz 1
entrepreneurs 1
non-profits 1
reputation 2
portfolio 2
 </v>
      </c>
      <c r="HM126" s="21" t="str">
        <f t="shared" si="289"/>
        <v xml:space="preserve">scale(1,25), enthusiasm(1,25), ambition(1,25), fun-ness(1,25), seriousness(1,25),  </v>
      </c>
      <c r="HN126" s="21" t="str">
        <f t="shared" si="386"/>
        <v xml:space="preserve">scale 25
enthusiasm 25
ambition 25
fun-ness 25
seriousness 25
 </v>
      </c>
      <c r="HO126"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6" s="21" t="str">
        <f t="shared" si="291"/>
        <v xml:space="preserve">enthusiasm(1,6.25), fun-ness(1,6.25), enthusiasm(1,6.25), level of understanding(1,6.25), local biz(1,6.25), biz group(1,6.25), govt(1,6.25), investors(1,6.25), media(1,6.25), entrepreneurs(1,6.25), technologists(1,6.25), suppliers(1,6.25), non-profits(1,6.25), reputation(1,6.25),  </v>
      </c>
      <c r="HQ126" s="47" t="str">
        <f t="shared" si="387"/>
        <v xml:space="preserve">enthusiasm(6.25),fun-ness(6.25),enthusiasm(6.25),level of understanding(6.25),local biz(6.25),biz group(6.25),govt(6.25),investors(6.25),media(6.25),entrepreneurs(6.25),technologists(6.25),suppliers(6.25),non-profits(6.25),reputation(6.25), </v>
      </c>
      <c r="HR126" s="47" t="str">
        <f t="shared" ref="HR126:HW126" si="403">IF(HR24="",HR127,$C126&amp;"("&amp;HR24&amp;"),"&amp;HR127)</f>
        <v xml:space="preserve">scale(2),enthusiasm(2),reputation(2),portfolio(2),mobile apps(1),sensors(1),wood processing(1),aesthetics(1), </v>
      </c>
      <c r="HS126" s="47" t="str">
        <f t="shared" si="403"/>
        <v xml:space="preserve"> </v>
      </c>
      <c r="HT126" s="47" t="str">
        <f t="shared" si="403"/>
        <v xml:space="preserve"> </v>
      </c>
      <c r="HU126" s="47" t="str">
        <f t="shared" si="403"/>
        <v xml:space="preserve">gifted assistant(1),gifted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6" s="47" t="str">
        <f t="shared" si="403"/>
        <v xml:space="preserve">gifted programmer(1),local biz(1),biz group(1),govt(1),investors(1),media(1),entrepreneurs(1),technologists(1),suppliers(1),non-profits(1),reputation(1), </v>
      </c>
      <c r="HW126" s="47" t="str">
        <f t="shared" si="403"/>
        <v xml:space="preserve">gifted programmer(6.25),local biz(6.25),biz group(6.25),govt(6.25),investors(6.25),media(6.25),entrepreneurs(6.25),technologists(12.5),suppliers(6.25),non-profits(6.25),reputation(6.25), </v>
      </c>
      <c r="HX126" s="47" t="str">
        <f t="shared" ref="HX126:IU126" si="404">IF(HX24="",HX127,$C126&amp;"("&amp;HX24&amp;"),"&amp;HX127)</f>
        <v xml:space="preserve">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6" s="47" t="str">
        <f t="shared" si="404"/>
        <v xml:space="preserve">biz enhancement(1), </v>
      </c>
      <c r="HZ126" s="47" t="str">
        <f t="shared" si="404"/>
        <v xml:space="preserve">biz enhancement(100), </v>
      </c>
      <c r="IA126" s="47" t="str">
        <f t="shared" si="404"/>
        <v xml:space="preserve">community manager(1),PR(1),finance(1),administrator(1),enthusiasm(2),network(2),ambition(2),knowledge(2),spaciousness(2),ease of access(3),efficiency(2),portfolio(4),finance(2),business model(2),marketing(3),team building(2),project management(2),social media(3),negotiation(3), </v>
      </c>
      <c r="IB126" s="47" t="str">
        <f t="shared" si="404"/>
        <v xml:space="preserve">gifted designer(1),gifted business strategist(1),enthusiasm(1),ambition(1),seriousness(1),initiative(1),level of understanding(1),ambition(1),local biz(1),biz group(1),govt(1),media(1),entrepreneurs(1),technologists(1),non-profits(1),reputation(1),team building(1),database(1),AI&amp; data analysis(1),electronics(1),functions(1), </v>
      </c>
      <c r="IC126" s="47" t="str">
        <f t="shared" si="404"/>
        <v xml:space="preserve">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6" s="47" t="str">
        <f t="shared" si="404"/>
        <v xml:space="preserve">scale(1),technologists(2), </v>
      </c>
      <c r="IE126" s="47" t="str">
        <f t="shared" si="404"/>
        <v xml:space="preserve">web(1),mobile apps(1),security(1),AI&amp; data analysis(1), </v>
      </c>
      <c r="IF126" s="47" t="str">
        <f t="shared" si="404"/>
        <v xml:space="preserve">web(25),mobile apps(25),security(25),AI&amp; data analysis(25), </v>
      </c>
      <c r="IG126" s="47" t="str">
        <f t="shared" si="404"/>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6" s="47" t="str">
        <f t="shared" si="404"/>
        <v xml:space="preserve">technologists(1),web(1),database(1),mobile apps(1),security(1),AI&amp; data analysis(1), </v>
      </c>
      <c r="II126" s="47" t="str">
        <f t="shared" si="404"/>
        <v xml:space="preserve">technologists(6.25),web(6.25),database(6.25),mobile apps(6.25),security(6.25),AI&amp; data analysis(6.25), </v>
      </c>
      <c r="IJ126" s="47" t="str">
        <f t="shared" si="404"/>
        <v xml:space="preserve">scale(1),technologists(2), </v>
      </c>
      <c r="IK126" s="47" t="str">
        <f t="shared" si="404"/>
        <v xml:space="preserve">wood processing(1),metal processing(1),functions(1),safety(1), </v>
      </c>
      <c r="IL126" s="47" t="str">
        <f t="shared" si="404"/>
        <v xml:space="preserve">wood processing(25),metal processing(25),functions(25),safety(25), </v>
      </c>
      <c r="IM126" s="47" t="str">
        <f t="shared" si="404"/>
        <v xml:space="preserve">scale(2),enthusiasm(3),attention to details(2),seriousness(2),community manager(1),administrator(1),network(2),entrepreneurs(3),technologists(4),spaciousness(2),ease of access(2),reputation(3),efficiency(2),portfolio(3),wood processing(2),metal processing(2),functions(2),safety(2), </v>
      </c>
      <c r="IN126" s="47" t="str">
        <f t="shared" si="404"/>
        <v xml:space="preserve">technologists(1),wood processing(1),metal processing(1),functions(1),safety(1),interaction(1), </v>
      </c>
      <c r="IO126" s="47" t="str">
        <f t="shared" si="404"/>
        <v xml:space="preserve">technologists(6.25),wood processing(6.25),metal processing(6.25),functions(6.25),safety(6.25),interaction(6.25), </v>
      </c>
      <c r="IP126" s="57" t="str">
        <f t="shared" si="404"/>
        <v xml:space="preserve">scale(2),local biz(2),reputation(1), </v>
      </c>
      <c r="IQ126" s="47" t="str">
        <f t="shared" si="404"/>
        <v xml:space="preserve">local biz(1),marketing(1), </v>
      </c>
      <c r="IR126" s="47" t="str">
        <f t="shared" si="404"/>
        <v xml:space="preserve">local biz(25),marketing(25), </v>
      </c>
      <c r="IS126" s="47" t="str">
        <f t="shared" si="404"/>
        <v xml:space="preserve">gifted business strategist(2),enthusiasm(2),agility(2),attention to details(2),fun-ness(2),seriousness(2),leader(1),community manager(1),finance(1),administrator(1),enthusiasm(3),network(2),level of understanding(3),local biz(3),biz group(2),govt(2),non-profits(2),reputation(3),efficiency(2),marketing(2), </v>
      </c>
      <c r="IT126" s="47" t="str">
        <f t="shared" si="404"/>
        <v xml:space="preserve">enthusiasm(1),fun-ness(1),seriousness(1),local biz(1),biz group(1),govt(1),non-profits(1),marketing(1), </v>
      </c>
      <c r="IU126" s="47" t="str">
        <f t="shared" si="404"/>
        <v xml:space="preserve">enthusiasm(6.25),fun-ness(6.25),seriousness(6.25),local biz(6.25),biz group(6.25),govt(6.25),non-profits(6.25),marketing(6.25), </v>
      </c>
      <c r="IV126" s="57" t="str">
        <f t="shared" ref="IV126:LG126" si="405">IF(IV24="",IV127,$C126&amp;"("&amp;IV24&amp;"),"&amp;IV127)</f>
        <v xml:space="preserve">scale(2),local biz(2),reputation(1), </v>
      </c>
      <c r="IW126" s="47" t="str">
        <f t="shared" si="405"/>
        <v xml:space="preserve">local biz(1),marketing(1), </v>
      </c>
      <c r="IX126" s="47" t="str">
        <f t="shared" si="405"/>
        <v xml:space="preserve">local biz(25),marketing(25), </v>
      </c>
      <c r="IY126" s="47" t="str">
        <f t="shared" si="405"/>
        <v xml:space="preserve">gifted business strategist(2),enthusiasm(2),agility(2),attention to details(2),fun-ness(2),seriousness(2),leader(1),community manager(1),finance(1),administrator(1),enthusiasm(3),network(2),level of understanding(3),local biz(3),biz group(2),govt(2),reputation(3),efficiency(2),marketing(2), </v>
      </c>
      <c r="IZ126" s="47" t="str">
        <f t="shared" si="405"/>
        <v xml:space="preserve">enthusiasm(1),fun-ness(1),seriousness(1),local biz(1),biz group(1),govt(1),marketing(1), </v>
      </c>
      <c r="JA126" s="47" t="str">
        <f t="shared" si="405"/>
        <v xml:space="preserve">enthusiasm(6.25),fun-ness(6.25),seriousness(6.25),local biz(6.25),biz group(6.25),govt(6.25),marketing(6.25), </v>
      </c>
      <c r="JB126" s="47" t="str">
        <f t="shared" si="405"/>
        <v xml:space="preserve">scale(1),enthusiasm(2), </v>
      </c>
      <c r="JC126" s="47" t="str">
        <f t="shared" si="405"/>
        <v xml:space="preserve"> </v>
      </c>
      <c r="JD126" s="47" t="str">
        <f t="shared" si="405"/>
        <v xml:space="preserve"> </v>
      </c>
      <c r="JE126" s="47" t="str">
        <f t="shared" si="405"/>
        <v xml:space="preserve">gifted assistant(1),gifted programmer(1),gifted designer(1),scale(2),enthusiasm(3),attention to details(2),fun-ness(2),community manager(1),PR(1),administrator(1),network(2),level of understanding(2),technologists(2),spaciousness(1),ease of access(1),reputation(3),efficiency(2), </v>
      </c>
      <c r="JF126" s="47" t="str">
        <f t="shared" si="405"/>
        <v xml:space="preserve">web(1),infrastructrue(1),database(1),mobile apps(1),sensors(1),security(1),AI&amp; data analysis(1),mobile comm(1),VR&amp;AR(1),wood processing(1),metal processing(1),plastic processing(1),electronics(1),fabric(1),aesthetics(1),functions(1),safety(1),interaction(1), </v>
      </c>
      <c r="JG126" s="47" t="str">
        <f t="shared" si="405"/>
        <v xml:space="preserve">web(6.25),infrastructrue(6.25),database(6.25),mobile apps(6.25),sensors(6.25),security(6.25),AI&amp; data analysis(6.25),mobile comm(6.25),VR&amp;AR(6.25),wood processing(6.25),metal processing(6.25),plastic processing(6.25),electronics(6.25),fabric(6.25),aesthetics(6.25),functions(6.25),safety(6.25),interaction(6.25), </v>
      </c>
      <c r="JH126" s="47" t="str">
        <f t="shared" si="405"/>
        <v xml:space="preserve">scale(1),enthusiasm(1),enthusiasm(1),local biz(1),non-profits(1),reputation(2), </v>
      </c>
      <c r="JI126" s="47" t="str">
        <f t="shared" si="405"/>
        <v xml:space="preserve"> </v>
      </c>
      <c r="JJ126" s="47" t="str">
        <f t="shared" si="405"/>
        <v xml:space="preserve"> </v>
      </c>
      <c r="JK126" s="47" t="str">
        <f t="shared" si="405"/>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6" s="47" t="str">
        <f t="shared" si="405"/>
        <v xml:space="preserve">non-profits(1), </v>
      </c>
      <c r="JM126" s="47" t="str">
        <f t="shared" si="405"/>
        <v xml:space="preserve">non-profits(6.25), </v>
      </c>
      <c r="JN126" s="47" t="str">
        <f t="shared" si="405"/>
        <v xml:space="preserve">scale(2),enthusiasm(2),enthusiasm(1),network(1),local biz(1),investors(1),entrepreneurs(1),technologists(1),non-profits(1),reputation(2),portfolio(2), </v>
      </c>
      <c r="JO126" s="47" t="str">
        <f t="shared" si="405"/>
        <v xml:space="preserve"> </v>
      </c>
      <c r="JP126" s="47" t="str">
        <f t="shared" si="405"/>
        <v xml:space="preserve"> </v>
      </c>
      <c r="JQ126" s="47" t="str">
        <f t="shared" si="405"/>
        <v xml:space="preserve">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6" s="47" t="str">
        <f t="shared" si="405"/>
        <v xml:space="preserve"> </v>
      </c>
      <c r="JS126" s="47" t="str">
        <f t="shared" si="405"/>
        <v xml:space="preserve"> </v>
      </c>
      <c r="JT126" s="47" t="str">
        <f t="shared" si="405"/>
        <v xml:space="preserve">scale(3),enthusiasm(3),PR(1),administrator(1),enthusiasm(2),network(2),local biz(2),biz group(1),govt(2),investors(2),entrepreneurs(2),technologists(2),non-profits(2),reputation(2),portfolio(3), </v>
      </c>
      <c r="JU126" s="47" t="str">
        <f t="shared" si="405"/>
        <v xml:space="preserve"> </v>
      </c>
      <c r="JV126" s="47" t="str">
        <f t="shared" si="405"/>
        <v xml:space="preserve"> </v>
      </c>
      <c r="JW126" s="47" t="str">
        <f t="shared" si="405"/>
        <v xml:space="preserve">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6" s="47" t="str">
        <f t="shared" si="405"/>
        <v xml:space="preserve"> </v>
      </c>
      <c r="JY126" s="47" t="str">
        <f t="shared" si="405"/>
        <v xml:space="preserve"> </v>
      </c>
      <c r="JZ126" s="47" t="str">
        <f t="shared" si="405"/>
        <v xml:space="preserve">scale(1),enthusiasm(2),network(1),non-profits(1),reputation(2),social project(2), </v>
      </c>
      <c r="KA126" s="47" t="str">
        <f t="shared" si="405"/>
        <v xml:space="preserve">non-profits(1), </v>
      </c>
      <c r="KB126" s="47" t="str">
        <f t="shared" si="405"/>
        <v xml:space="preserve">non-profits(25), </v>
      </c>
      <c r="KC126" s="47" t="str">
        <f t="shared" si="405"/>
        <v xml:space="preserve">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6" s="47" t="str">
        <f t="shared" si="405"/>
        <v xml:space="preserve">non-profits(1), </v>
      </c>
      <c r="KE126" s="47" t="str">
        <f t="shared" si="405"/>
        <v xml:space="preserve">non-profits(6.25), </v>
      </c>
      <c r="KF126" s="47" t="str">
        <f t="shared" si="405"/>
        <v xml:space="preserve"> </v>
      </c>
      <c r="KG126" s="47" t="str">
        <f t="shared" si="405"/>
        <v xml:space="preserve"> </v>
      </c>
      <c r="KH126" s="47" t="str">
        <f t="shared" si="405"/>
        <v xml:space="preserve"> </v>
      </c>
      <c r="KI126" s="47" t="str">
        <f t="shared" si="405"/>
        <v xml:space="preserve"> </v>
      </c>
      <c r="KJ126" s="47" t="str">
        <f t="shared" si="405"/>
        <v xml:space="preserve"> </v>
      </c>
      <c r="KK126" s="47" t="str">
        <f t="shared" si="405"/>
        <v xml:space="preserve"> </v>
      </c>
      <c r="KL126" s="57" t="str">
        <f t="shared" si="405"/>
        <v xml:space="preserve"> </v>
      </c>
      <c r="KM126" s="47" t="str">
        <f t="shared" si="405"/>
        <v xml:space="preserve"> </v>
      </c>
      <c r="KN126" s="47" t="str">
        <f t="shared" si="405"/>
        <v xml:space="preserve"> </v>
      </c>
      <c r="KO126" s="47" t="str">
        <f t="shared" si="405"/>
        <v xml:space="preserve"> </v>
      </c>
      <c r="KP126" s="47" t="str">
        <f t="shared" si="405"/>
        <v xml:space="preserve"> </v>
      </c>
      <c r="KQ126" s="47" t="str">
        <f t="shared" si="405"/>
        <v xml:space="preserve"> </v>
      </c>
      <c r="KR126" s="57" t="str">
        <f t="shared" si="405"/>
        <v xml:space="preserve"> </v>
      </c>
      <c r="KS126" s="47" t="str">
        <f t="shared" si="405"/>
        <v xml:space="preserve"> </v>
      </c>
      <c r="KT126" s="47" t="str">
        <f t="shared" si="405"/>
        <v xml:space="preserve"> </v>
      </c>
      <c r="KU126" s="47" t="str">
        <f t="shared" si="405"/>
        <v xml:space="preserve"> </v>
      </c>
      <c r="KV126" s="47" t="str">
        <f t="shared" si="405"/>
        <v xml:space="preserve"> </v>
      </c>
      <c r="KW126" s="47" t="str">
        <f t="shared" si="405"/>
        <v xml:space="preserve"> </v>
      </c>
      <c r="KX126" s="57" t="str">
        <f t="shared" si="405"/>
        <v xml:space="preserve"> </v>
      </c>
      <c r="KY126" s="47" t="str">
        <f t="shared" si="405"/>
        <v xml:space="preserve"> </v>
      </c>
      <c r="KZ126" s="47" t="str">
        <f t="shared" si="405"/>
        <v xml:space="preserve"> </v>
      </c>
      <c r="LA126" s="47" t="str">
        <f t="shared" si="405"/>
        <v xml:space="preserve"> </v>
      </c>
      <c r="LB126" s="47" t="str">
        <f t="shared" si="405"/>
        <v xml:space="preserve"> </v>
      </c>
      <c r="LC126" s="47" t="str">
        <f t="shared" si="405"/>
        <v xml:space="preserve"> </v>
      </c>
      <c r="LD126" s="57" t="str">
        <f t="shared" si="405"/>
        <v xml:space="preserve"> </v>
      </c>
      <c r="LE126" s="47" t="str">
        <f t="shared" si="405"/>
        <v xml:space="preserve"> </v>
      </c>
      <c r="LF126" s="47" t="str">
        <f t="shared" si="405"/>
        <v xml:space="preserve"> </v>
      </c>
      <c r="LG126" s="47" t="str">
        <f t="shared" si="405"/>
        <v xml:space="preserve"> </v>
      </c>
      <c r="LH126" s="47" t="str">
        <f t="shared" ref="LH126:NM126" si="406">IF(LH24="",LH127,$C126&amp;"("&amp;LH24&amp;"),"&amp;LH127)</f>
        <v xml:space="preserve"> </v>
      </c>
      <c r="LI126" s="47" t="str">
        <f t="shared" si="406"/>
        <v xml:space="preserve"> </v>
      </c>
      <c r="LJ126" s="57" t="str">
        <f t="shared" si="406"/>
        <v xml:space="preserve"> </v>
      </c>
      <c r="LK126" s="47" t="str">
        <f t="shared" si="406"/>
        <v xml:space="preserve"> </v>
      </c>
      <c r="LL126" s="47" t="str">
        <f t="shared" si="406"/>
        <v xml:space="preserve"> </v>
      </c>
      <c r="LM126" s="47" t="str">
        <f t="shared" si="406"/>
        <v xml:space="preserve"> </v>
      </c>
      <c r="LN126" s="47" t="str">
        <f t="shared" si="406"/>
        <v xml:space="preserve"> </v>
      </c>
      <c r="LO126" s="47" t="str">
        <f t="shared" si="406"/>
        <v xml:space="preserve"> </v>
      </c>
      <c r="LP126" s="57" t="str">
        <f t="shared" si="406"/>
        <v xml:space="preserve"> </v>
      </c>
      <c r="LQ126" s="47" t="str">
        <f t="shared" si="406"/>
        <v xml:space="preserve"> </v>
      </c>
      <c r="LR126" s="47" t="str">
        <f t="shared" si="406"/>
        <v xml:space="preserve"> </v>
      </c>
      <c r="LS126" s="47" t="str">
        <f t="shared" si="406"/>
        <v xml:space="preserve"> </v>
      </c>
      <c r="LT126" s="47" t="str">
        <f t="shared" si="406"/>
        <v xml:space="preserve"> </v>
      </c>
      <c r="LU126" s="47" t="str">
        <f t="shared" si="406"/>
        <v xml:space="preserve"> </v>
      </c>
      <c r="LV126" s="57" t="str">
        <f t="shared" si="406"/>
        <v xml:space="preserve"> </v>
      </c>
      <c r="LW126" s="47" t="str">
        <f t="shared" si="406"/>
        <v xml:space="preserve"> </v>
      </c>
      <c r="LX126" s="47" t="str">
        <f t="shared" si="406"/>
        <v xml:space="preserve"> </v>
      </c>
      <c r="LY126" s="47" t="str">
        <f t="shared" si="406"/>
        <v xml:space="preserve"> </v>
      </c>
      <c r="LZ126" s="47" t="str">
        <f t="shared" si="406"/>
        <v xml:space="preserve"> </v>
      </c>
      <c r="MA126" s="47" t="str">
        <f t="shared" si="406"/>
        <v xml:space="preserve"> </v>
      </c>
      <c r="MB126" s="57" t="str">
        <f t="shared" si="406"/>
        <v xml:space="preserve"> </v>
      </c>
      <c r="MC126" s="47" t="str">
        <f t="shared" si="406"/>
        <v xml:space="preserve"> </v>
      </c>
      <c r="MD126" s="47" t="str">
        <f t="shared" si="406"/>
        <v xml:space="preserve"> </v>
      </c>
      <c r="ME126" s="47" t="str">
        <f t="shared" si="406"/>
        <v xml:space="preserve"> </v>
      </c>
      <c r="MF126" s="47" t="str">
        <f t="shared" si="406"/>
        <v xml:space="preserve"> </v>
      </c>
      <c r="MG126" s="47" t="str">
        <f t="shared" si="406"/>
        <v xml:space="preserve"> </v>
      </c>
      <c r="MH126" s="57" t="str">
        <f t="shared" si="406"/>
        <v xml:space="preserve"> </v>
      </c>
      <c r="MI126" s="47" t="str">
        <f t="shared" si="406"/>
        <v xml:space="preserve"> </v>
      </c>
      <c r="MJ126" s="47" t="str">
        <f t="shared" si="406"/>
        <v xml:space="preserve"> </v>
      </c>
      <c r="MK126" s="47" t="str">
        <f t="shared" si="406"/>
        <v xml:space="preserve"> </v>
      </c>
      <c r="ML126" s="47" t="str">
        <f t="shared" si="406"/>
        <v xml:space="preserve"> </v>
      </c>
      <c r="MM126" s="47" t="str">
        <f t="shared" si="406"/>
        <v xml:space="preserve"> </v>
      </c>
      <c r="MN126" s="57" t="str">
        <f t="shared" si="406"/>
        <v xml:space="preserve"> </v>
      </c>
      <c r="MO126" s="47" t="str">
        <f t="shared" si="406"/>
        <v xml:space="preserve"> </v>
      </c>
      <c r="MP126" s="47" t="str">
        <f t="shared" si="406"/>
        <v xml:space="preserve"> </v>
      </c>
      <c r="MQ126" s="47" t="str">
        <f t="shared" si="406"/>
        <v xml:space="preserve"> </v>
      </c>
      <c r="MR126" s="47" t="str">
        <f t="shared" si="406"/>
        <v xml:space="preserve"> </v>
      </c>
      <c r="MS126" s="47" t="str">
        <f t="shared" si="406"/>
        <v xml:space="preserve"> </v>
      </c>
      <c r="MT126" s="57" t="str">
        <f t="shared" si="406"/>
        <v xml:space="preserve"> </v>
      </c>
      <c r="MU126" s="47" t="str">
        <f t="shared" si="406"/>
        <v xml:space="preserve"> </v>
      </c>
      <c r="MV126" s="47" t="str">
        <f t="shared" si="406"/>
        <v xml:space="preserve"> </v>
      </c>
      <c r="MW126" s="47" t="str">
        <f t="shared" si="406"/>
        <v xml:space="preserve"> </v>
      </c>
      <c r="MX126" s="47" t="str">
        <f t="shared" si="406"/>
        <v xml:space="preserve"> </v>
      </c>
      <c r="MY126" s="47" t="str">
        <f t="shared" si="406"/>
        <v xml:space="preserve"> </v>
      </c>
      <c r="MZ126" s="57" t="str">
        <f t="shared" si="406"/>
        <v xml:space="preserve"> </v>
      </c>
      <c r="NA126" s="47" t="str">
        <f t="shared" si="406"/>
        <v xml:space="preserve"> </v>
      </c>
      <c r="NB126" s="47" t="str">
        <f t="shared" si="406"/>
        <v xml:space="preserve"> </v>
      </c>
      <c r="NC126" s="47" t="str">
        <f t="shared" si="406"/>
        <v xml:space="preserve"> </v>
      </c>
      <c r="ND126" s="47" t="str">
        <f t="shared" si="406"/>
        <v xml:space="preserve"> </v>
      </c>
      <c r="NE126" s="47" t="str">
        <f t="shared" si="406"/>
        <v xml:space="preserve"> </v>
      </c>
      <c r="NF126" s="57" t="str">
        <f t="shared" si="406"/>
        <v xml:space="preserve"> </v>
      </c>
      <c r="NG126" s="47" t="str">
        <f t="shared" si="406"/>
        <v xml:space="preserve"> </v>
      </c>
      <c r="NH126" s="47" t="str">
        <f t="shared" si="406"/>
        <v xml:space="preserve"> </v>
      </c>
      <c r="NI126" s="47" t="str">
        <f t="shared" si="406"/>
        <v xml:space="preserve"> </v>
      </c>
      <c r="NJ126" s="47" t="str">
        <f t="shared" si="406"/>
        <v xml:space="preserve"> </v>
      </c>
      <c r="NK126" s="47" t="str">
        <f t="shared" si="406"/>
        <v xml:space="preserve"> </v>
      </c>
      <c r="NL126" s="57" t="str">
        <f t="shared" si="406"/>
        <v xml:space="preserve"> </v>
      </c>
      <c r="NM126" s="47" t="str">
        <f t="shared" si="406"/>
        <v xml:space="preserve"> </v>
      </c>
    </row>
    <row r="127" spans="3:377" ht="15.75" customHeight="1">
      <c r="C127" s="7" t="str">
        <f t="shared" si="296"/>
        <v>gifted programmer</v>
      </c>
      <c r="D127" s="21" t="str">
        <f t="shared" si="169"/>
        <v xml:space="preserve">scale 1
 </v>
      </c>
      <c r="E127" s="21" t="str">
        <f t="shared" si="297"/>
        <v xml:space="preserve"> </v>
      </c>
      <c r="F127" s="21" t="str">
        <f t="shared" si="170"/>
        <v xml:space="preserve"> </v>
      </c>
      <c r="G127" s="21" t="str">
        <f t="shared" si="298"/>
        <v xml:space="preserve">enthusiasm(2), fun-ness(1), community manager(1), PR(1), fame(1), network(2), ease of access(1), reputation(2), social media(1),  </v>
      </c>
      <c r="H127" s="21" t="str">
        <f t="shared" si="299"/>
        <v xml:space="preserve"> </v>
      </c>
      <c r="I127" s="21" t="str">
        <f t="shared" ref="I127" si="407">IF(I25="",I128,$C127&amp;"("&amp;I25&amp;"),"&amp;I128)</f>
        <v xml:space="preserve"> </v>
      </c>
      <c r="J127" s="21" t="str">
        <f t="shared" si="376"/>
        <v xml:space="preserve">scale 1
interaction 1
 </v>
      </c>
      <c r="K127" s="21" t="str">
        <f t="shared" si="173"/>
        <v xml:space="preserve">reputation(1,75),  </v>
      </c>
      <c r="L127" s="21" t="str">
        <f t="shared" si="377"/>
        <v xml:space="preserve">reputation 75
 </v>
      </c>
      <c r="M127" s="21" t="str">
        <f t="shared" si="175"/>
        <v xml:space="preserve">PR(1), portfolio(1), social innovation(1), non-profit biz(1),  </v>
      </c>
      <c r="N127" s="21" t="str">
        <f t="shared" si="176"/>
        <v xml:space="preserve">seriousness(1,25), non-profits(1,12.5), reputation(1,75), marketing(1,12.5),  </v>
      </c>
      <c r="O127" s="21" t="str">
        <f t="shared" si="378"/>
        <v xml:space="preserve">seriousness(25),non-profits(12.5),reputation(75),marketing(12.5), </v>
      </c>
      <c r="P127" s="21" t="str">
        <f t="shared" si="376"/>
        <v xml:space="preserve">scale 1
biz project 1
 </v>
      </c>
      <c r="Q127" s="21" t="str">
        <f t="shared" si="178"/>
        <v xml:space="preserve"> </v>
      </c>
      <c r="R127" s="21" t="str">
        <f t="shared" si="377"/>
        <v xml:space="preserve"> </v>
      </c>
      <c r="S127" s="21" t="str">
        <f t="shared" si="179"/>
        <v xml:space="preserve">portfolio(1), biz enhancement(1), business(1), start-up(1),  </v>
      </c>
      <c r="T127" s="21" t="str">
        <f t="shared" si="180"/>
        <v xml:space="preserve">seriousness(1,25), local biz(1,6.25), investors(1,6.25), reputation(1,6.25),  </v>
      </c>
      <c r="U127" s="21" t="str">
        <f t="shared" si="378"/>
        <v xml:space="preserve">seriousness(25),local biz(6.25),investors(6.25),reputation(6.25), </v>
      </c>
      <c r="V127" s="21" t="str">
        <f t="shared" si="376"/>
        <v xml:space="preserve">scale 1
 </v>
      </c>
      <c r="W127" s="21" t="str">
        <f t="shared" si="181"/>
        <v xml:space="preserve">local biz(1,),  </v>
      </c>
      <c r="X127" s="21" t="str">
        <f t="shared" si="377"/>
        <v xml:space="preserve"> </v>
      </c>
      <c r="Y127" s="21" t="str">
        <f t="shared" si="182"/>
        <v xml:space="preserve">enthusiasm(1), attention to details(1), PR(1), network(1), ease of access(1), reputation(1), portfolio(1), biz project(1), biz enhancement(1), job creation(1), business(1),  </v>
      </c>
      <c r="Z127" s="21" t="str">
        <f t="shared" si="183"/>
        <v xml:space="preserve">local biz(1,6.25),  </v>
      </c>
      <c r="AA127" s="21" t="str">
        <f t="shared" si="378"/>
        <v xml:space="preserve">local biz(6.25), </v>
      </c>
      <c r="AB127" s="21" t="str">
        <f t="shared" si="376"/>
        <v xml:space="preserve">scale 1
 </v>
      </c>
      <c r="AC127" s="21" t="str">
        <f t="shared" si="184"/>
        <v xml:space="preserve">non-profits(1,100),  </v>
      </c>
      <c r="AD127" s="21" t="str">
        <f t="shared" si="377"/>
        <v xml:space="preserve">non-profits 100
 </v>
      </c>
      <c r="AE127" s="21" t="str">
        <f t="shared" si="185"/>
        <v xml:space="preserve">enthusiasm(1), attention to details(1), PR(1), network(1), ease of access(1), reputation(1), portfolio(1), social project(1), social innovation(1), non-profit biz(1),  </v>
      </c>
      <c r="AF127" s="21" t="str">
        <f t="shared" si="186"/>
        <v xml:space="preserve">seriousness(1,6.25), non-profits(1,6.25),  </v>
      </c>
      <c r="AG127" s="21" t="str">
        <f t="shared" si="378"/>
        <v xml:space="preserve">seriousness(6.25),non-profits(6.25), </v>
      </c>
      <c r="AH127" s="21" t="str">
        <f t="shared" si="376"/>
        <v xml:space="preserve">scale 1
 </v>
      </c>
      <c r="AI127" s="21" t="str">
        <f t="shared" si="187"/>
        <v xml:space="preserve">govt(1,),  </v>
      </c>
      <c r="AJ127" s="21" t="str">
        <f t="shared" si="377"/>
        <v xml:space="preserve"> </v>
      </c>
      <c r="AK127" s="21" t="str">
        <f t="shared" si="188"/>
        <v xml:space="preserve">enthusiasm(1), attention to details(1), seriousness(1), fame(1), network(1), govt(1), ease of access(1), reputation(2), portfolio(1), social project(1), social innovation(1), non-profit biz(1),  </v>
      </c>
      <c r="AL127" s="21" t="str">
        <f t="shared" si="189"/>
        <v xml:space="preserve">govt(1,6.25),  </v>
      </c>
      <c r="AM127" s="21" t="str">
        <f t="shared" si="378"/>
        <v xml:space="preserve">govt(6.25), </v>
      </c>
      <c r="AN127" s="21" t="str">
        <f t="shared" si="376"/>
        <v xml:space="preserve">scale 1
enthusiasm 1
 </v>
      </c>
      <c r="AO127" s="21" t="str">
        <f t="shared" si="190"/>
        <v xml:space="preserve">fame(1,), network(1,), investors(1,6.25),  </v>
      </c>
      <c r="AP127" s="21" t="str">
        <f t="shared" si="377"/>
        <v xml:space="preserve">investors 6.25
 </v>
      </c>
      <c r="AQ127" s="21" t="str">
        <f t="shared" si="191"/>
        <v xml:space="preserve">investors(1), ease of access(1), reputation(1), portfolio(1), start-up(1), start-up with mvp(1), start-up with customers(1),  </v>
      </c>
      <c r="AR127" s="21" t="str">
        <f t="shared" si="192"/>
        <v xml:space="preserve"> </v>
      </c>
      <c r="AS127" s="21" t="str">
        <f t="shared" si="378"/>
        <v xml:space="preserve"> </v>
      </c>
      <c r="AT127" s="21" t="str">
        <f t="shared" si="376"/>
        <v xml:space="preserve">scale 2
enthusiasm 1
seriousness 1
administrator 1
non-profits 2
reputation 1
portfolio 1
social project 1
 </v>
      </c>
      <c r="AU127" s="21" t="str">
        <f t="shared" si="193"/>
        <v xml:space="preserve">ambition(1,), attention to details(1,),  </v>
      </c>
      <c r="AV127" s="21" t="str">
        <f t="shared" si="377"/>
        <v xml:space="preserve"> </v>
      </c>
      <c r="AW127" s="21" t="str">
        <f t="shared" si="194"/>
        <v xml:space="preserve">enthusiasm(3), PR(2), administrator(1), project management(2),  </v>
      </c>
      <c r="AX127" s="21" t="str">
        <f t="shared" si="195"/>
        <v xml:space="preserve">organizational rules and manuals(1,12.5), project management(1,12.5),  </v>
      </c>
      <c r="AY127" s="21" t="str">
        <f t="shared" si="378"/>
        <v xml:space="preserve">organizational rules and manuals(12.5),project management(12.5), </v>
      </c>
      <c r="AZ127" s="21" t="str">
        <f t="shared" si="376"/>
        <v xml:space="preserve">scale 1
enthusiasm 1
non-profits 1
 </v>
      </c>
      <c r="BA127" s="21" t="str">
        <f t="shared" si="196"/>
        <v xml:space="preserve"> </v>
      </c>
      <c r="BB127" s="21" t="str">
        <f t="shared" si="377"/>
        <v xml:space="preserve"> </v>
      </c>
      <c r="BC127" s="21" t="str">
        <f t="shared" si="197"/>
        <v xml:space="preserve"> </v>
      </c>
      <c r="BD127" s="21" t="str">
        <f t="shared" si="198"/>
        <v xml:space="preserve"> </v>
      </c>
      <c r="BE127" s="21" t="str">
        <f t="shared" si="378"/>
        <v xml:space="preserve"> </v>
      </c>
      <c r="BF127" s="21" t="str">
        <f t="shared" si="376"/>
        <v xml:space="preserve">scale 2
enthusiasm 1
seriousness 1
administrator 1
local biz 2
entrepreneurs 1
reputation 1
portfolio 1
biz project 1
 </v>
      </c>
      <c r="BG127" s="21" t="str">
        <f t="shared" si="199"/>
        <v xml:space="preserve">ambition(1,), attention to details(1,),  </v>
      </c>
      <c r="BH127" s="21" t="str">
        <f t="shared" si="377"/>
        <v xml:space="preserve"> </v>
      </c>
      <c r="BI127" s="21" t="str">
        <f t="shared" si="200"/>
        <v xml:space="preserve">enthusiasm(3), PR(2), administrator(1), project management(2),  </v>
      </c>
      <c r="BJ127" s="21" t="str">
        <f t="shared" si="201"/>
        <v xml:space="preserve">organizational rules and manuals(1,12.5), project management(1,12.5),  </v>
      </c>
      <c r="BK127" s="21" t="str">
        <f t="shared" si="378"/>
        <v xml:space="preserve">organizational rules and manuals(12.5),project management(12.5), </v>
      </c>
      <c r="BL127" s="21" t="str">
        <f t="shared" si="376"/>
        <v xml:space="preserve">scale 1
enthusiasm 1
local biz 1
reputation 1
portfolio 1
biz enhancement 1
 </v>
      </c>
      <c r="BM127" s="21" t="str">
        <f t="shared" si="202"/>
        <v xml:space="preserve"> </v>
      </c>
      <c r="BN127" s="21" t="str">
        <f t="shared" si="377"/>
        <v xml:space="preserve"> </v>
      </c>
      <c r="BO127" s="21" t="str">
        <f t="shared" si="203"/>
        <v xml:space="preserve"> </v>
      </c>
      <c r="BP127" s="21" t="str">
        <f t="shared" si="204"/>
        <v xml:space="preserve"> </v>
      </c>
      <c r="BQ127" s="21" t="str">
        <f t="shared" si="378"/>
        <v xml:space="preserve"> </v>
      </c>
      <c r="BR127" s="21" t="str">
        <f t="shared" si="376"/>
        <v xml:space="preserve"> </v>
      </c>
      <c r="BS127" s="21" t="str">
        <f t="shared" si="205"/>
        <v xml:space="preserve"> </v>
      </c>
      <c r="BT127" s="21" t="str">
        <f t="shared" si="377"/>
        <v xml:space="preserve"> </v>
      </c>
      <c r="BU127" s="21" t="str">
        <f t="shared" si="206"/>
        <v xml:space="preserve"> </v>
      </c>
      <c r="BV127" s="21" t="str">
        <f t="shared" si="207"/>
        <v xml:space="preserve"> </v>
      </c>
      <c r="BW127" s="21" t="str">
        <f t="shared" si="378"/>
        <v xml:space="preserve"> </v>
      </c>
      <c r="BX127" s="21" t="str">
        <f t="shared" si="379"/>
        <v xml:space="preserve">scale 1
network 1
 </v>
      </c>
      <c r="BY127" s="21" t="str">
        <f t="shared" si="209"/>
        <v xml:space="preserve">efficiency(1,),  </v>
      </c>
      <c r="BZ127" s="21" t="str">
        <f t="shared" si="380"/>
        <v xml:space="preserve"> </v>
      </c>
      <c r="CA127" s="21" t="str">
        <f t="shared" si="211"/>
        <v xml:space="preserve">scale(2), enthusiasm(1), attention to details(1), administrator(1), negotiation(1),  </v>
      </c>
      <c r="CB127" s="21" t="str">
        <f t="shared" si="212"/>
        <v xml:space="preserve">user rules and manuals(1,50), organizational rules and manuals(1,50),  </v>
      </c>
      <c r="CC127" s="21" t="str">
        <f t="shared" si="381"/>
        <v xml:space="preserve">user rules and manuals(50),organizational rules and manuals(50), </v>
      </c>
      <c r="CD127" s="21" t="str">
        <f t="shared" si="379"/>
        <v xml:space="preserve">scale 1
enthusiasm 1
network 1
 </v>
      </c>
      <c r="CE127" s="21" t="str">
        <f t="shared" si="214"/>
        <v xml:space="preserve">non-profits(1,),  </v>
      </c>
      <c r="CF127" s="21" t="str">
        <f t="shared" si="380"/>
        <v xml:space="preserve"> </v>
      </c>
      <c r="CG127" s="21" t="str">
        <f t="shared" si="215"/>
        <v xml:space="preserve">fun-ness(1), seriousness(1), ease of access(1), portfolio(1), user rules and manuals(1), negotiation(1), social project(1), biz project(1), for basic literacy(1), for the elites(1), for entrepreneurs(1),  </v>
      </c>
      <c r="CH127" s="21" t="str">
        <f t="shared" si="216"/>
        <v xml:space="preserve">technologists(1,6.25), non-profits(1,6.25),  </v>
      </c>
      <c r="CI127" s="21" t="str">
        <f t="shared" si="381"/>
        <v xml:space="preserve">technologists(6.25),non-profits(6.25), </v>
      </c>
      <c r="CJ127" s="21" t="str">
        <f t="shared" si="379"/>
        <v xml:space="preserve">scale 1
 </v>
      </c>
      <c r="CK127" s="21" t="str">
        <f t="shared" si="217"/>
        <v xml:space="preserve">suppliers(1,),  </v>
      </c>
      <c r="CL127" s="21" t="str">
        <f t="shared" si="380"/>
        <v xml:space="preserve"> </v>
      </c>
      <c r="CM127" s="21" t="str">
        <f t="shared" si="218"/>
        <v xml:space="preserve">reputation(1), negotiation(1),  </v>
      </c>
      <c r="CN127" s="21" t="str">
        <f t="shared" si="219"/>
        <v xml:space="preserve">enthusiasm(2,), efficiency(1,6.25),  </v>
      </c>
      <c r="CO127" s="21" t="str">
        <f t="shared" si="381"/>
        <v xml:space="preserve">efficiency(6.25), </v>
      </c>
      <c r="CP127" s="21" t="str">
        <f t="shared" si="379"/>
        <v xml:space="preserve">scale 1
 </v>
      </c>
      <c r="CQ127" s="21" t="str">
        <f t="shared" si="220"/>
        <v xml:space="preserve">technologists(1,),  </v>
      </c>
      <c r="CR127" s="21" t="str">
        <f t="shared" si="380"/>
        <v xml:space="preserve"> </v>
      </c>
      <c r="CS127" s="21" t="str">
        <f t="shared" si="221"/>
        <v xml:space="preserve">gifted programmer(2), enthusiasm(1), network(1), portfolio(1), negotiation(1), web(1), infrastructrue(1), database(1), mobile apps(1), sensors(1), security(1), AI&amp; data analysis(1), mobile comm(1), VR&amp;AR(1), wood processing(1), metal processing(1), plastic processing(1), electronics(1), fabric(1),  </v>
      </c>
      <c r="CT127" s="21" t="str">
        <f t="shared" si="222"/>
        <v xml:space="preserve">efficiency(1,6.25),  </v>
      </c>
      <c r="CU127" s="21" t="str">
        <f t="shared" si="381"/>
        <v xml:space="preserve">efficiency(6.25), </v>
      </c>
      <c r="CV127" s="21" t="str">
        <f t="shared" si="379"/>
        <v xml:space="preserve">scale 1
 </v>
      </c>
      <c r="CW127" s="21" t="str">
        <f t="shared" si="223"/>
        <v xml:space="preserve">local biz(1,),  </v>
      </c>
      <c r="CX127" s="21" t="str">
        <f t="shared" si="380"/>
        <v xml:space="preserve"> </v>
      </c>
      <c r="CY127" s="21" t="str">
        <f t="shared" si="224"/>
        <v xml:space="preserve">ease of access(1), reputation(1), portfolio(1), negotiation(1),  </v>
      </c>
      <c r="CZ127" s="21" t="str">
        <f t="shared" si="225"/>
        <v xml:space="preserve">non-profits(1,6.25),  </v>
      </c>
      <c r="DA127" s="21" t="str">
        <f t="shared" si="381"/>
        <v xml:space="preserve">non-profits(6.25), </v>
      </c>
      <c r="DB127" s="21" t="str">
        <f t="shared" si="379"/>
        <v xml:space="preserve"> </v>
      </c>
      <c r="DC127" s="21" t="str">
        <f t="shared" si="226"/>
        <v xml:space="preserve"> </v>
      </c>
      <c r="DD127" s="21" t="str">
        <f t="shared" si="380"/>
        <v xml:space="preserve"> </v>
      </c>
      <c r="DE127"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7" s="21" t="str">
        <f t="shared" si="228"/>
        <v xml:space="preserve">network(1,), local biz(1,6.25), biz group(1,6.25), investors(1,6.25), entrepreneurs(1,6.25),  </v>
      </c>
      <c r="DG127" s="21" t="str">
        <f t="shared" si="381"/>
        <v xml:space="preserve">local biz(6.25),biz group(6.25),investors(6.25),entrepreneurs(6.25), </v>
      </c>
      <c r="DH127" s="21" t="str">
        <f t="shared" si="379"/>
        <v xml:space="preserve">scale 1
enthusiasm 1
network 1
non-profits 1
reputation 1
social project 1
 </v>
      </c>
      <c r="DI127" s="21" t="str">
        <f t="shared" si="229"/>
        <v xml:space="preserve"> </v>
      </c>
      <c r="DJ127" s="21" t="str">
        <f t="shared" si="380"/>
        <v xml:space="preserve"> </v>
      </c>
      <c r="DK127" s="21" t="str">
        <f t="shared" si="230"/>
        <v xml:space="preserve">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7" s="21" t="str">
        <f t="shared" si="231"/>
        <v xml:space="preserve">reputation(1,6.25),  </v>
      </c>
      <c r="DM127" s="21" t="str">
        <f t="shared" si="381"/>
        <v xml:space="preserve">reputation(6.25), </v>
      </c>
      <c r="DN127" s="21" t="str">
        <f t="shared" si="379"/>
        <v xml:space="preserve">scale 1
enthusiasm 1
network 1
local biz 1
reputation 1
biz project 1
 </v>
      </c>
      <c r="DO127" s="21" t="str">
        <f t="shared" si="232"/>
        <v xml:space="preserve"> </v>
      </c>
      <c r="DP127" s="21" t="str">
        <f t="shared" si="380"/>
        <v xml:space="preserve"> </v>
      </c>
      <c r="DQ127" s="21" t="str">
        <f t="shared" si="233"/>
        <v xml:space="preserve">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7" s="21" t="str">
        <f t="shared" si="234"/>
        <v xml:space="preserve">reputation(1,6.25),  </v>
      </c>
      <c r="DS127" s="21" t="str">
        <f t="shared" si="381"/>
        <v xml:space="preserve">reputation(6.25), </v>
      </c>
      <c r="DT127" s="21" t="str">
        <f t="shared" si="379"/>
        <v xml:space="preserve">scale 1
enthusiasm 1
network 1
reputation 1
 </v>
      </c>
      <c r="DU127" s="21" t="str">
        <f t="shared" si="235"/>
        <v xml:space="preserve"> </v>
      </c>
      <c r="DV127" s="21" t="str">
        <f t="shared" si="380"/>
        <v xml:space="preserve"> </v>
      </c>
      <c r="DW127"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7" s="21" t="str">
        <f t="shared" si="237"/>
        <v xml:space="preserve">ambition(1,6.25), reputation(1,6.25), for basic literacy(1,6.25),  </v>
      </c>
      <c r="DY127" s="21" t="str">
        <f t="shared" si="381"/>
        <v xml:space="preserve">ambition(6.25),reputation(6.25),for basic literacy(6.25), </v>
      </c>
      <c r="DZ127" s="21" t="str">
        <f t="shared" si="379"/>
        <v xml:space="preserve">scale 1
enthusiasm 1
network 1
reputation 1
 </v>
      </c>
      <c r="EA127" s="21" t="str">
        <f t="shared" si="238"/>
        <v xml:space="preserve"> </v>
      </c>
      <c r="EB127" s="21" t="str">
        <f t="shared" si="380"/>
        <v xml:space="preserve"> </v>
      </c>
      <c r="EC127"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7" s="21" t="str">
        <f t="shared" si="240"/>
        <v xml:space="preserve">ambition(1,6.25), reputation(1,6.25), for basic literacy(1,6.25),  </v>
      </c>
      <c r="EE127" s="21" t="str">
        <f t="shared" si="381"/>
        <v xml:space="preserve">ambition(6.25),reputation(6.25),for basic literacy(6.25), </v>
      </c>
      <c r="EF127" s="21" t="str">
        <f t="shared" si="379"/>
        <v xml:space="preserve">technologists 1
reputation 1
 </v>
      </c>
      <c r="EG127" s="21" t="str">
        <f t="shared" si="241"/>
        <v xml:space="preserve">web(1,50), mobile apps(1,50), interaction(1,50),  </v>
      </c>
      <c r="EH127" s="21" t="str">
        <f t="shared" si="380"/>
        <v xml:space="preserve">web 50
mobile apps 50
interaction 50
 </v>
      </c>
      <c r="EI127" s="21" t="str">
        <f t="shared" si="242"/>
        <v xml:space="preserve">gifted programmer(1), scale(2), enthusiasm(2), seriousness(2), initiative(1), community manager(1), administrator(1), enthusiasm(1), fame(1), network(2), level of understanding(1), technologists(2), ease of access(1), reputation(2), infrastructrue(1), database(1), mobile comm(1), for entrepreneurs(1),  </v>
      </c>
      <c r="EJ127" s="21" t="str">
        <f t="shared" si="243"/>
        <v xml:space="preserve">technologists(1,12.5), infrastructrue(1,12.5), database(1,12.5), mobile comm(1,12.5), for entrepreneurs(1,6.25),  </v>
      </c>
      <c r="EK127" s="21" t="str">
        <f t="shared" si="381"/>
        <v xml:space="preserve">technologists(12.5),infrastructrue(12.5),database(12.5),mobile comm(12.5),for entrepreneurs(6.25), </v>
      </c>
      <c r="EL127" s="21" t="str">
        <f t="shared" si="382"/>
        <v xml:space="preserve">technologists 1
reputation 1
 </v>
      </c>
      <c r="EM127" s="21" t="str">
        <f t="shared" si="245"/>
        <v xml:space="preserve">sensors(1,50),  </v>
      </c>
      <c r="EN127" s="21" t="str">
        <f t="shared" si="383"/>
        <v xml:space="preserve">sensors 50
 </v>
      </c>
      <c r="EO127" s="21" t="str">
        <f t="shared" si="247"/>
        <v xml:space="preserve">gifted programmer(1), scale(2), enthusiasm(2), seriousness(2), initiative(1), community manager(1), administrator(1), enthusiasm(1), fame(1), network(2), level of understanding(1), technologists(2), ease of access(1), reputation(2), project management(2), infrastructrue(1), database(1), mobile comm(1), for entrepreneurs(1),  </v>
      </c>
      <c r="EP127" s="21" t="str">
        <f t="shared" si="248"/>
        <v xml:space="preserve">technologists(1,12.5), infrastructrue(1,12.5), database(1,12.5), mobile comm(1,12.5), electronics(1,6.25), for entrepreneurs(1,6.25),  </v>
      </c>
      <c r="EQ127" s="21" t="str">
        <f t="shared" si="384"/>
        <v xml:space="preserve">technologists(12.5),infrastructrue(12.5),database(12.5),mobile comm(12.5),electronics(6.25),for entrepreneurs(6.25), </v>
      </c>
      <c r="ER127" s="21" t="str">
        <f t="shared" si="382"/>
        <v xml:space="preserve">technologists 1
 </v>
      </c>
      <c r="ES127" s="21" t="str">
        <f t="shared" si="250"/>
        <v xml:space="preserve">AI&amp; data analysis(1,50),  </v>
      </c>
      <c r="ET127" s="21" t="str">
        <f t="shared" si="383"/>
        <v xml:space="preserve">AI&amp; data analysis 50
 </v>
      </c>
      <c r="EU127" s="21" t="str">
        <f t="shared" si="251"/>
        <v xml:space="preserve">gifted programmer(1), scale(2), enthusiasm(2), seriousness(2), initiative(1), community manager(1), administrator(1), enthusiasm(1), fame(1), network(2), level of understanding(1), technologists(2), ease of access(1), reputation(2), database(1), sensors(1), mobile comm(1), for entrepreneurs(1),  </v>
      </c>
      <c r="EV127" s="21" t="str">
        <f t="shared" si="252"/>
        <v xml:space="preserve">technologists(1,12.5), database(1,12.5), sensors(1,12.5), mobile comm(1,12.5), for entrepreneurs(1,6.25),  </v>
      </c>
      <c r="EW127" s="21" t="str">
        <f t="shared" si="384"/>
        <v xml:space="preserve">technologists(12.5),database(12.5),sensors(12.5),mobile comm(12.5),for entrepreneurs(6.25), </v>
      </c>
      <c r="EX127" s="21" t="str">
        <f t="shared" si="382"/>
        <v xml:space="preserve">technologists 1
 </v>
      </c>
      <c r="EY127" s="21" t="str">
        <f t="shared" si="253"/>
        <v xml:space="preserve">law(1,50), security(1,50), interaction(1,25),  </v>
      </c>
      <c r="EZ127" s="21" t="str">
        <f t="shared" si="383"/>
        <v xml:space="preserve">law 50
security 50
interaction 25
 </v>
      </c>
      <c r="FA127" s="21" t="str">
        <f t="shared" si="254"/>
        <v xml:space="preserve">gifted programmer(1), scale(2), enthusiasm(2), seriousness(2), initiative(1), community manager(1), administrator(1), enthusiasm(1), fame(1), network(2), level of understanding(1), technologists(2), ease of access(1), reputation(2), law(2), for entrepreneurs(1),  </v>
      </c>
      <c r="FB127" s="21" t="str">
        <f t="shared" si="255"/>
        <v xml:space="preserve">technologists(1,12.5), law(1,6.25), database(1,12.5), mobile apps(1,12.5), security(1,12.5), mobile comm(1,12.5), for entrepreneurs(1,6.25),  </v>
      </c>
      <c r="FC127" s="21" t="str">
        <f t="shared" si="384"/>
        <v xml:space="preserve">technologists(12.5),law(6.25),database(12.5),mobile apps(12.5),security(12.5),mobile comm(12.5),for entrepreneurs(6.25), </v>
      </c>
      <c r="FD127" s="21" t="str">
        <f t="shared" si="382"/>
        <v xml:space="preserve">technologists 1
 </v>
      </c>
      <c r="FE127" s="21" t="str">
        <f t="shared" si="256"/>
        <v xml:space="preserve">law(1,50), sensors(1,50), security(1,50),  </v>
      </c>
      <c r="FF127" s="21" t="str">
        <f t="shared" si="383"/>
        <v xml:space="preserve">law 50
sensors 50
security 50
 </v>
      </c>
      <c r="FG127" s="21" t="str">
        <f t="shared" si="257"/>
        <v xml:space="preserve">gifted programmer(1), scale(2), enthusiasm(2), seriousness(2), initiative(1), community manager(1), administrator(1), enthusiasm(1), fame(1), network(2), level of understanding(1), technologists(2), ease of access(1), reputation(2), law(2), project management(2), for entrepreneurs(1),  </v>
      </c>
      <c r="FH127" s="21" t="str">
        <f t="shared" si="258"/>
        <v xml:space="preserve">technologists(1,12.5), law(1,6.25), database(1,6.25), mobile apps(1,6.25), AI&amp; data analysis(1,6.25), mobile comm(1,6.25), for entrepreneurs(1,6.25),  </v>
      </c>
      <c r="FI127" s="21" t="str">
        <f t="shared" si="384"/>
        <v xml:space="preserve">technologists(12.5),law(6.25),database(6.25),mobile apps(6.25),AI&amp; data analysis(6.25),mobile comm(6.25),for entrepreneurs(6.25), </v>
      </c>
      <c r="FJ127" s="21" t="str">
        <f t="shared" si="382"/>
        <v xml:space="preserve">technologists 1
 </v>
      </c>
      <c r="FK127" s="21" t="str">
        <f t="shared" si="259"/>
        <v xml:space="preserve">wood processing(1,25), metal processing(1,25), plastic processing(1,25), fabric(1,25), safety(1,25), interaction(1,25),  </v>
      </c>
      <c r="FL127" s="21" t="str">
        <f t="shared" si="383"/>
        <v xml:space="preserve">project management 2
wood processing 25
metal processing 25
plastic processing 25
fabric 25
safety 25
interaction 25
 </v>
      </c>
      <c r="FM127" s="21" t="str">
        <f t="shared" si="260"/>
        <v xml:space="preserve">gifted programmer(1), scale(2), enthusiasm(2), seriousness(2), initiative(1), community manager(1), administrator(1), enthusiasm(1), fame(1), network(2), level of understanding(1), technologists(2), spaciousness(1), ease of access(1), reputation(2), for entrepreneurs(1),  </v>
      </c>
      <c r="FN127" s="21" t="str">
        <f t="shared" si="261"/>
        <v xml:space="preserve">technologists(1,12.5), for entrepreneurs(1,6.25),  </v>
      </c>
      <c r="FO127" s="21" t="str">
        <f t="shared" si="384"/>
        <v xml:space="preserve">technologists(12.5),for entrepreneurs(6.25), </v>
      </c>
      <c r="FP127" s="21" t="str">
        <f t="shared" si="382"/>
        <v xml:space="preserve">technologists 1
 </v>
      </c>
      <c r="FQ127" s="21" t="str">
        <f t="shared" si="262"/>
        <v xml:space="preserve">web(1,25), mobile apps(1,50), functions(1,25), interaction(1,25),  </v>
      </c>
      <c r="FR127" s="21" t="str">
        <f t="shared" si="383"/>
        <v xml:space="preserve">web 25
mobile apps 50
functions 25
interaction 25
 </v>
      </c>
      <c r="FS127" s="21" t="str">
        <f t="shared" si="263"/>
        <v xml:space="preserve">gifted programmer(1), scale(2), enthusiasm(2), seriousness(2), initiative(1), community manager(1), administrator(1), enthusiasm(1), fame(1), network(2), level of understanding(1), technologists(2), spaciousness(1), ease of access(1), reputation(2), for entrepreneurs(1),  </v>
      </c>
      <c r="FT127" s="21" t="str">
        <f t="shared" si="264"/>
        <v xml:space="preserve">technologists(1,12.5), for entrepreneurs(1,6.25),  </v>
      </c>
      <c r="FU127" s="21" t="str">
        <f t="shared" si="384"/>
        <v xml:space="preserve">technologists(12.5),for entrepreneurs(6.25), </v>
      </c>
      <c r="FV127" s="21" t="str">
        <f t="shared" si="382"/>
        <v xml:space="preserve">technologists 1
 </v>
      </c>
      <c r="FW127" s="21" t="str">
        <f t="shared" si="265"/>
        <v xml:space="preserve">mobile apps(1,50), sensors(1,50), wood processing(1,25), plastic processing(1,25), electronics(1,25), functions(1,25), interaction(1,25),  </v>
      </c>
      <c r="FX127" s="21" t="str">
        <f t="shared" si="383"/>
        <v xml:space="preserve">mobile apps 50
sensors 50
wood processing 25
plastic processing 25
electronics 25
functions 25
interaction 25
 </v>
      </c>
      <c r="FY127" s="21" t="str">
        <f t="shared" si="266"/>
        <v xml:space="preserve">gifted programmer(1), scale(2), enthusiasm(2), seriousness(2), initiative(1), community manager(1), administrator(1), enthusiasm(1), fame(1), network(2), level of understanding(1), technologists(2), spaciousness(1), ease of access(1), reputation(2), project management(2), for entrepreneurs(1),  </v>
      </c>
      <c r="FZ127" s="21" t="str">
        <f t="shared" si="267"/>
        <v xml:space="preserve">technologists(1,12.5), web(1,6.25), database(1,6.25), AI&amp; data analysis(1,6.25), mobile comm(1,6.25), for entrepreneurs(1,6.25),  </v>
      </c>
      <c r="GA127" s="21" t="str">
        <f t="shared" si="384"/>
        <v xml:space="preserve">technologists(12.5),web(6.25),database(6.25),AI&amp; data analysis(6.25),mobile comm(6.25),for entrepreneurs(6.25), </v>
      </c>
      <c r="GB127" s="21" t="str">
        <f t="shared" si="382"/>
        <v xml:space="preserve">technologists 1
 </v>
      </c>
      <c r="GC127" s="21" t="str">
        <f t="shared" si="268"/>
        <v xml:space="preserve">sensors(1,25), mobile comm(1,25), electronics(1,50), functions(1,25), safety(1,25),  </v>
      </c>
      <c r="GD127" s="21" t="str">
        <f t="shared" si="383"/>
        <v xml:space="preserve">sensors 25
mobile comm 25
electronics 50
functions 25
safety 25
 </v>
      </c>
      <c r="GE127" s="21" t="str">
        <f t="shared" si="269"/>
        <v xml:space="preserve">gifted programmer(1), scale(2), enthusiasm(2), seriousness(2), initiative(1), community manager(1), administrator(1), enthusiasm(1), fame(1), network(2), level of understanding(1), technologists(2), spaciousness(1), ease of access(1), reputation(2), project management(2), for entrepreneurs(1),  </v>
      </c>
      <c r="GF127" s="21" t="str">
        <f t="shared" si="270"/>
        <v xml:space="preserve">technologists(1,12.5), database(1,6.25), mobile apps(1,6.25), AI&amp; data analysis(1,6.25), plastic processing(1,6.25), interaction(1,6.25), for entrepreneurs(1,6.25),  </v>
      </c>
      <c r="GG127" s="21" t="str">
        <f t="shared" si="384"/>
        <v xml:space="preserve">technologists(12.5),database(6.25),mobile apps(6.25),AI&amp; data analysis(6.25),plastic processing(6.25),interaction(6.25),for entrepreneurs(6.25), </v>
      </c>
      <c r="GH127" s="21" t="str">
        <f t="shared" si="382"/>
        <v xml:space="preserve">technologists 1
 </v>
      </c>
      <c r="GI127" s="21" t="str">
        <f t="shared" si="271"/>
        <v xml:space="preserve">web(1,25), mobile apps(1,50), functions(1,25), interaction(1,25),  </v>
      </c>
      <c r="GJ127" s="21" t="str">
        <f t="shared" si="383"/>
        <v xml:space="preserve">web 25
mobile apps 50
functions 25
interaction 25
 </v>
      </c>
      <c r="GK127" s="21" t="str">
        <f t="shared" si="272"/>
        <v xml:space="preserve">gifted programmer(1), scale(2), enthusiasm(2), seriousness(2), initiative(1), community manager(1), administrator(1), enthusiasm(1), fame(1), network(2), level of understanding(1), technologists(2), spaciousness(1), ease of access(1), reputation(2), project management(2), for entrepreneurs(1),  </v>
      </c>
      <c r="GL127" s="21" t="str">
        <f t="shared" si="273"/>
        <v xml:space="preserve">technologists(1,12.5), for entrepreneurs(1,6.25),  </v>
      </c>
      <c r="GM127" s="21" t="str">
        <f t="shared" si="384"/>
        <v xml:space="preserve">technologists(12.5),for entrepreneurs(6.25), </v>
      </c>
      <c r="GN127" s="21" t="str">
        <f t="shared" si="382"/>
        <v xml:space="preserve">technologists 1
 </v>
      </c>
      <c r="GO127" s="21" t="str">
        <f t="shared" si="274"/>
        <v xml:space="preserve">web(1,25), mobile apps(1,25), VR&amp;AR(1,25), aesthetics(1,25), functions(1,25), interaction(1,50),  </v>
      </c>
      <c r="GP127" s="21" t="str">
        <f t="shared" si="383"/>
        <v xml:space="preserve">web 25
mobile apps 25
VR&amp;AR 25
aesthetics 25
functions 25
interaction 50
 </v>
      </c>
      <c r="GQ127" s="21" t="str">
        <f t="shared" si="275"/>
        <v xml:space="preserve">gifted programmer(1), gifted designer(1), scale(2), enthusiasm(2), seriousness(2), initiative(1), community manager(1), administrator(1), enthusiasm(1), fame(1), network(2), level of understanding(1), technologists(2), spaciousness(1), ease of access(1), reputation(2), project management(2), for entrepreneurs(1),  </v>
      </c>
      <c r="GR127" s="21" t="str">
        <f t="shared" si="276"/>
        <v xml:space="preserve">technologists(1,12.5), for entrepreneurs(1,6.25),  </v>
      </c>
      <c r="GS127" s="21" t="str">
        <f t="shared" si="384"/>
        <v xml:space="preserve">technologists(12.5),for entrepreneurs(6.25), </v>
      </c>
      <c r="GT127" s="21" t="str">
        <f t="shared" si="382"/>
        <v xml:space="preserve">scale 2
ease of access 1
reputation 2
web 1
mobile apps 1
mobile comm 1
 </v>
      </c>
      <c r="GU127" s="21" t="str">
        <f t="shared" si="277"/>
        <v xml:space="preserve"> </v>
      </c>
      <c r="GV127" s="21" t="str">
        <f t="shared" si="383"/>
        <v xml:space="preserve"> </v>
      </c>
      <c r="GW127" s="21" t="str">
        <f t="shared" si="278"/>
        <v xml:space="preserve">gifted programmer(1), 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7" s="21" t="str">
        <f t="shared" si="279"/>
        <v xml:space="preserve">gifted programmer(1,6.25), enthusiasm(1,6.25), media(1,6.25), entrepreneurs(1,6.25), technologists(1,6.25), project management(1,6.25), social media(1,6.25), web(1,6.25), mobile apps(1,6.25),  </v>
      </c>
      <c r="GY127" s="21" t="str">
        <f t="shared" si="384"/>
        <v xml:space="preserve">gifted programmer(6.25),enthusiasm(6.25),media(6.25),entrepreneurs(6.25),technologists(6.25),project management(6.25),social media(6.25),web(6.25),mobile apps(6.25), </v>
      </c>
      <c r="GZ127" s="21" t="str">
        <f t="shared" si="385"/>
        <v xml:space="preserve">scale 2
enthusiasm 2
network 1
govt 1
non-profits 1
reputation 2
portfolio 1
 </v>
      </c>
      <c r="HA127" s="21" t="str">
        <f t="shared" si="281"/>
        <v xml:space="preserve"> </v>
      </c>
      <c r="HB127" s="21" t="str">
        <f t="shared" si="386"/>
        <v xml:space="preserve"> </v>
      </c>
      <c r="HC127" s="21" t="str">
        <f t="shared" si="283"/>
        <v xml:space="preserve">gifted programmer(1), 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7" s="21" t="str">
        <f t="shared" si="284"/>
        <v xml:space="preserve">enthusiasm(1,6.25), media(1,6.25), technologists(1,6.25), non-profits(1,6.25), reputation(1,6.25), start-up with customers(1,6.25), for basic literacy(1,6.25),  </v>
      </c>
      <c r="HE127" s="21" t="str">
        <f t="shared" si="387"/>
        <v xml:space="preserve">enthusiasm(6.25),media(6.25),technologists(6.25),non-profits(6.25),reputation(6.25),start-up with customers(6.25),for basic literacy(6.25), </v>
      </c>
      <c r="HF127" s="21" t="str">
        <f t="shared" si="385"/>
        <v xml:space="preserve"> </v>
      </c>
      <c r="HG127" s="21" t="str">
        <f t="shared" si="286"/>
        <v xml:space="preserve">scale(2,), enthusiasm(2,),  </v>
      </c>
      <c r="HH127" s="21" t="str">
        <f t="shared" si="386"/>
        <v xml:space="preserve"> </v>
      </c>
      <c r="HI127" s="21" t="str">
        <f t="shared" si="287"/>
        <v xml:space="preserve">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7" s="21" t="str">
        <f t="shared" si="288"/>
        <v xml:space="preserve">enthusiasm(1,6.25), fun-ness(1,6.25), seriousness(1,6.25), govt(1,6.25), media(1,6.25), non-profits(1,6.25), start-up with customers(1,6.25),  </v>
      </c>
      <c r="HK127" s="21" t="str">
        <f t="shared" si="387"/>
        <v xml:space="preserve">enthusiasm(6.25),fun-ness(6.25),seriousness(6.25),govt(6.25),media(6.25),non-profits(6.25),start-up with customers(6.25), </v>
      </c>
      <c r="HL127" s="21" t="str">
        <f t="shared" si="385"/>
        <v xml:space="preserve">scale 2
community manager 1
PR 1
administrator 1
local biz 1
entrepreneurs 1
non-profits 1
reputation 2
portfolio 2
 </v>
      </c>
      <c r="HM127" s="21" t="str">
        <f t="shared" si="289"/>
        <v xml:space="preserve">scale(1,25), enthusiasm(1,25), ambition(1,25), fun-ness(1,25), seriousness(1,25),  </v>
      </c>
      <c r="HN127" s="21" t="str">
        <f t="shared" si="386"/>
        <v xml:space="preserve">scale 25
enthusiasm 25
ambition 25
fun-ness 25
seriousness 25
 </v>
      </c>
      <c r="HO127"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7" s="21" t="str">
        <f t="shared" si="291"/>
        <v xml:space="preserve">enthusiasm(1,6.25), fun-ness(1,6.25), enthusiasm(1,6.25), level of understanding(1,6.25), local biz(1,6.25), biz group(1,6.25), govt(1,6.25), investors(1,6.25), media(1,6.25), entrepreneurs(1,6.25), technologists(1,6.25), suppliers(1,6.25), non-profits(1,6.25), reputation(1,6.25),  </v>
      </c>
      <c r="HQ127" s="47" t="str">
        <f t="shared" si="387"/>
        <v xml:space="preserve">enthusiasm(6.25),fun-ness(6.25),enthusiasm(6.25),level of understanding(6.25),local biz(6.25),biz group(6.25),govt(6.25),investors(6.25),media(6.25),entrepreneurs(6.25),technologists(6.25),suppliers(6.25),non-profits(6.25),reputation(6.25), </v>
      </c>
      <c r="HR127" s="47" t="str">
        <f t="shared" ref="HR127:HW127" si="408">IF(HR25="",HR128,$C127&amp;"("&amp;HR25&amp;"),"&amp;HR128)</f>
        <v xml:space="preserve">scale(2),enthusiasm(2),reputation(2),portfolio(2),mobile apps(1),sensors(1),wood processing(1),aesthetics(1), </v>
      </c>
      <c r="HS127" s="47" t="str">
        <f t="shared" si="408"/>
        <v xml:space="preserve"> </v>
      </c>
      <c r="HT127" s="47" t="str">
        <f t="shared" si="408"/>
        <v xml:space="preserve"> </v>
      </c>
      <c r="HU127" s="47" t="str">
        <f t="shared" si="408"/>
        <v xml:space="preserve">gifted programmer(1),gifted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7" s="47" t="str">
        <f t="shared" si="408"/>
        <v xml:space="preserve">gifted programmer(1),local biz(1),biz group(1),govt(1),investors(1),media(1),entrepreneurs(1),technologists(1),suppliers(1),non-profits(1),reputation(1), </v>
      </c>
      <c r="HW127" s="47" t="str">
        <f t="shared" si="408"/>
        <v xml:space="preserve">gifted programmer(6.25),local biz(6.25),biz group(6.25),govt(6.25),investors(6.25),media(6.25),entrepreneurs(6.25),technologists(12.5),suppliers(6.25),non-profits(6.25),reputation(6.25), </v>
      </c>
      <c r="HX127" s="47" t="str">
        <f t="shared" ref="HX127:IU127" si="409">IF(HX25="",HX128,$C127&amp;"("&amp;HX25&amp;"),"&amp;HX128)</f>
        <v xml:space="preserve">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7" s="47" t="str">
        <f t="shared" si="409"/>
        <v xml:space="preserve">biz enhancement(1), </v>
      </c>
      <c r="HZ127" s="47" t="str">
        <f t="shared" si="409"/>
        <v xml:space="preserve">biz enhancement(100), </v>
      </c>
      <c r="IA127" s="47" t="str">
        <f t="shared" si="409"/>
        <v xml:space="preserve">community manager(1),PR(1),finance(1),administrator(1),enthusiasm(2),network(2),ambition(2),knowledge(2),spaciousness(2),ease of access(3),efficiency(2),portfolio(4),finance(2),business model(2),marketing(3),team building(2),project management(2),social media(3),negotiation(3), </v>
      </c>
      <c r="IB127" s="47" t="str">
        <f t="shared" si="409"/>
        <v xml:space="preserve">gifted designer(1),gifted business strategist(1),enthusiasm(1),ambition(1),seriousness(1),initiative(1),level of understanding(1),ambition(1),local biz(1),biz group(1),govt(1),media(1),entrepreneurs(1),technologists(1),non-profits(1),reputation(1),team building(1),database(1),AI&amp; data analysis(1),electronics(1),functions(1), </v>
      </c>
      <c r="IC127" s="47" t="str">
        <f t="shared" si="409"/>
        <v xml:space="preserve">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7" s="47" t="str">
        <f t="shared" si="409"/>
        <v xml:space="preserve">scale(1),technologists(2), </v>
      </c>
      <c r="IE127" s="47" t="str">
        <f t="shared" si="409"/>
        <v xml:space="preserve">web(1),mobile apps(1),security(1),AI&amp; data analysis(1), </v>
      </c>
      <c r="IF127" s="47" t="str">
        <f t="shared" si="409"/>
        <v xml:space="preserve">web(25),mobile apps(25),security(25),AI&amp; data analysis(25), </v>
      </c>
      <c r="IG127" s="47" t="str">
        <f t="shared" si="409"/>
        <v xml:space="preserve">gifted programmer(1),scale(2),enthusiasm(3),attention to details(2),seriousness(2),community manager(1),administrator(1),network(2),entrepreneurs(3),technologists(4),spaciousness(2),ease of access(2),reputation(3),efficiency(2),portfolio(3),web(2),database(2),mobile apps(2),security(2),AI&amp; data analysis(2), </v>
      </c>
      <c r="IH127" s="47" t="str">
        <f t="shared" si="409"/>
        <v xml:space="preserve">technologists(1),web(1),database(1),mobile apps(1),security(1),AI&amp; data analysis(1), </v>
      </c>
      <c r="II127" s="47" t="str">
        <f t="shared" si="409"/>
        <v xml:space="preserve">technologists(6.25),web(6.25),database(6.25),mobile apps(6.25),security(6.25),AI&amp; data analysis(6.25), </v>
      </c>
      <c r="IJ127" s="47" t="str">
        <f t="shared" si="409"/>
        <v xml:space="preserve">scale(1),technologists(2), </v>
      </c>
      <c r="IK127" s="47" t="str">
        <f t="shared" si="409"/>
        <v xml:space="preserve">wood processing(1),metal processing(1),functions(1),safety(1), </v>
      </c>
      <c r="IL127" s="47" t="str">
        <f t="shared" si="409"/>
        <v xml:space="preserve">wood processing(25),metal processing(25),functions(25),safety(25), </v>
      </c>
      <c r="IM127" s="47" t="str">
        <f t="shared" si="409"/>
        <v xml:space="preserve">scale(2),enthusiasm(3),attention to details(2),seriousness(2),community manager(1),administrator(1),network(2),entrepreneurs(3),technologists(4),spaciousness(2),ease of access(2),reputation(3),efficiency(2),portfolio(3),wood processing(2),metal processing(2),functions(2),safety(2), </v>
      </c>
      <c r="IN127" s="47" t="str">
        <f t="shared" si="409"/>
        <v xml:space="preserve">technologists(1),wood processing(1),metal processing(1),functions(1),safety(1),interaction(1), </v>
      </c>
      <c r="IO127" s="47" t="str">
        <f t="shared" si="409"/>
        <v xml:space="preserve">technologists(6.25),wood processing(6.25),metal processing(6.25),functions(6.25),safety(6.25),interaction(6.25), </v>
      </c>
      <c r="IP127" s="57" t="str">
        <f t="shared" si="409"/>
        <v xml:space="preserve">scale(2),local biz(2),reputation(1), </v>
      </c>
      <c r="IQ127" s="47" t="str">
        <f t="shared" si="409"/>
        <v xml:space="preserve">local biz(1),marketing(1), </v>
      </c>
      <c r="IR127" s="47" t="str">
        <f t="shared" si="409"/>
        <v xml:space="preserve">local biz(25),marketing(25), </v>
      </c>
      <c r="IS127" s="47" t="str">
        <f t="shared" si="409"/>
        <v xml:space="preserve">gifted business strategist(2),enthusiasm(2),agility(2),attention to details(2),fun-ness(2),seriousness(2),leader(1),community manager(1),finance(1),administrator(1),enthusiasm(3),network(2),level of understanding(3),local biz(3),biz group(2),govt(2),non-profits(2),reputation(3),efficiency(2),marketing(2), </v>
      </c>
      <c r="IT127" s="47" t="str">
        <f t="shared" si="409"/>
        <v xml:space="preserve">enthusiasm(1),fun-ness(1),seriousness(1),local biz(1),biz group(1),govt(1),non-profits(1),marketing(1), </v>
      </c>
      <c r="IU127" s="47" t="str">
        <f t="shared" si="409"/>
        <v xml:space="preserve">enthusiasm(6.25),fun-ness(6.25),seriousness(6.25),local biz(6.25),biz group(6.25),govt(6.25),non-profits(6.25),marketing(6.25), </v>
      </c>
      <c r="IV127" s="57" t="str">
        <f t="shared" ref="IV127:LG127" si="410">IF(IV25="",IV128,$C127&amp;"("&amp;IV25&amp;"),"&amp;IV128)</f>
        <v xml:space="preserve">scale(2),local biz(2),reputation(1), </v>
      </c>
      <c r="IW127" s="47" t="str">
        <f t="shared" si="410"/>
        <v xml:space="preserve">local biz(1),marketing(1), </v>
      </c>
      <c r="IX127" s="47" t="str">
        <f t="shared" si="410"/>
        <v xml:space="preserve">local biz(25),marketing(25), </v>
      </c>
      <c r="IY127" s="47" t="str">
        <f t="shared" si="410"/>
        <v xml:space="preserve">gifted business strategist(2),enthusiasm(2),agility(2),attention to details(2),fun-ness(2),seriousness(2),leader(1),community manager(1),finance(1),administrator(1),enthusiasm(3),network(2),level of understanding(3),local biz(3),biz group(2),govt(2),reputation(3),efficiency(2),marketing(2), </v>
      </c>
      <c r="IZ127" s="47" t="str">
        <f t="shared" si="410"/>
        <v xml:space="preserve">enthusiasm(1),fun-ness(1),seriousness(1),local biz(1),biz group(1),govt(1),marketing(1), </v>
      </c>
      <c r="JA127" s="47" t="str">
        <f t="shared" si="410"/>
        <v xml:space="preserve">enthusiasm(6.25),fun-ness(6.25),seriousness(6.25),local biz(6.25),biz group(6.25),govt(6.25),marketing(6.25), </v>
      </c>
      <c r="JB127" s="47" t="str">
        <f t="shared" si="410"/>
        <v xml:space="preserve">scale(1),enthusiasm(2), </v>
      </c>
      <c r="JC127" s="47" t="str">
        <f t="shared" si="410"/>
        <v xml:space="preserve"> </v>
      </c>
      <c r="JD127" s="47" t="str">
        <f t="shared" si="410"/>
        <v xml:space="preserve"> </v>
      </c>
      <c r="JE127" s="47" t="str">
        <f t="shared" si="410"/>
        <v xml:space="preserve">gifted programmer(1),gifted designer(1),scale(2),enthusiasm(3),attention to details(2),fun-ness(2),community manager(1),PR(1),administrator(1),network(2),level of understanding(2),technologists(2),spaciousness(1),ease of access(1),reputation(3),efficiency(2), </v>
      </c>
      <c r="JF127" s="47" t="str">
        <f t="shared" si="410"/>
        <v xml:space="preserve">web(1),infrastructrue(1),database(1),mobile apps(1),sensors(1),security(1),AI&amp; data analysis(1),mobile comm(1),VR&amp;AR(1),wood processing(1),metal processing(1),plastic processing(1),electronics(1),fabric(1),aesthetics(1),functions(1),safety(1),interaction(1), </v>
      </c>
      <c r="JG127" s="47" t="str">
        <f t="shared" si="410"/>
        <v xml:space="preserve">web(6.25),infrastructrue(6.25),database(6.25),mobile apps(6.25),sensors(6.25),security(6.25),AI&amp; data analysis(6.25),mobile comm(6.25),VR&amp;AR(6.25),wood processing(6.25),metal processing(6.25),plastic processing(6.25),electronics(6.25),fabric(6.25),aesthetics(6.25),functions(6.25),safety(6.25),interaction(6.25), </v>
      </c>
      <c r="JH127" s="47" t="str">
        <f t="shared" si="410"/>
        <v xml:space="preserve">scale(1),enthusiasm(1),enthusiasm(1),local biz(1),non-profits(1),reputation(2), </v>
      </c>
      <c r="JI127" s="47" t="str">
        <f t="shared" si="410"/>
        <v xml:space="preserve"> </v>
      </c>
      <c r="JJ127" s="47" t="str">
        <f t="shared" si="410"/>
        <v xml:space="preserve"> </v>
      </c>
      <c r="JK127" s="47" t="str">
        <f t="shared" si="410"/>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7" s="47" t="str">
        <f t="shared" si="410"/>
        <v xml:space="preserve">non-profits(1), </v>
      </c>
      <c r="JM127" s="47" t="str">
        <f t="shared" si="410"/>
        <v xml:space="preserve">non-profits(6.25), </v>
      </c>
      <c r="JN127" s="47" t="str">
        <f t="shared" si="410"/>
        <v xml:space="preserve">scale(2),enthusiasm(2),enthusiasm(1),network(1),local biz(1),investors(1),entrepreneurs(1),technologists(1),non-profits(1),reputation(2),portfolio(2), </v>
      </c>
      <c r="JO127" s="47" t="str">
        <f t="shared" si="410"/>
        <v xml:space="preserve"> </v>
      </c>
      <c r="JP127" s="47" t="str">
        <f t="shared" si="410"/>
        <v xml:space="preserve"> </v>
      </c>
      <c r="JQ127" s="47" t="str">
        <f t="shared" si="410"/>
        <v xml:space="preserve">gifted programmer(1),gifted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7" s="47" t="str">
        <f t="shared" si="410"/>
        <v xml:space="preserve"> </v>
      </c>
      <c r="JS127" s="47" t="str">
        <f t="shared" si="410"/>
        <v xml:space="preserve"> </v>
      </c>
      <c r="JT127" s="47" t="str">
        <f t="shared" si="410"/>
        <v xml:space="preserve">scale(3),enthusiasm(3),PR(1),administrator(1),enthusiasm(2),network(2),local biz(2),biz group(1),govt(2),investors(2),entrepreneurs(2),technologists(2),non-profits(2),reputation(2),portfolio(3), </v>
      </c>
      <c r="JU127" s="47" t="str">
        <f t="shared" si="410"/>
        <v xml:space="preserve"> </v>
      </c>
      <c r="JV127" s="47" t="str">
        <f t="shared" si="410"/>
        <v xml:space="preserve"> </v>
      </c>
      <c r="JW127" s="47" t="str">
        <f t="shared" si="410"/>
        <v xml:space="preserve">gifted programmer(1),gifted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7" s="47" t="str">
        <f t="shared" si="410"/>
        <v xml:space="preserve"> </v>
      </c>
      <c r="JY127" s="47" t="str">
        <f t="shared" si="410"/>
        <v xml:space="preserve"> </v>
      </c>
      <c r="JZ127" s="47" t="str">
        <f t="shared" si="410"/>
        <v xml:space="preserve">scale(1),enthusiasm(2),network(1),non-profits(1),reputation(2),social project(2), </v>
      </c>
      <c r="KA127" s="47" t="str">
        <f t="shared" si="410"/>
        <v xml:space="preserve">non-profits(1), </v>
      </c>
      <c r="KB127" s="47" t="str">
        <f t="shared" si="410"/>
        <v xml:space="preserve">non-profits(25), </v>
      </c>
      <c r="KC127" s="47" t="str">
        <f t="shared" si="410"/>
        <v xml:space="preserve">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7" s="47" t="str">
        <f t="shared" si="410"/>
        <v xml:space="preserve">non-profits(1), </v>
      </c>
      <c r="KE127" s="47" t="str">
        <f t="shared" si="410"/>
        <v xml:space="preserve">non-profits(6.25), </v>
      </c>
      <c r="KF127" s="47" t="str">
        <f t="shared" si="410"/>
        <v xml:space="preserve"> </v>
      </c>
      <c r="KG127" s="47" t="str">
        <f t="shared" si="410"/>
        <v xml:space="preserve"> </v>
      </c>
      <c r="KH127" s="47" t="str">
        <f t="shared" si="410"/>
        <v xml:space="preserve"> </v>
      </c>
      <c r="KI127" s="47" t="str">
        <f t="shared" si="410"/>
        <v xml:space="preserve"> </v>
      </c>
      <c r="KJ127" s="47" t="str">
        <f t="shared" si="410"/>
        <v xml:space="preserve"> </v>
      </c>
      <c r="KK127" s="47" t="str">
        <f t="shared" si="410"/>
        <v xml:space="preserve"> </v>
      </c>
      <c r="KL127" s="57" t="str">
        <f t="shared" si="410"/>
        <v xml:space="preserve"> </v>
      </c>
      <c r="KM127" s="47" t="str">
        <f t="shared" si="410"/>
        <v xml:space="preserve"> </v>
      </c>
      <c r="KN127" s="47" t="str">
        <f t="shared" si="410"/>
        <v xml:space="preserve"> </v>
      </c>
      <c r="KO127" s="47" t="str">
        <f t="shared" si="410"/>
        <v xml:space="preserve"> </v>
      </c>
      <c r="KP127" s="47" t="str">
        <f t="shared" si="410"/>
        <v xml:space="preserve"> </v>
      </c>
      <c r="KQ127" s="47" t="str">
        <f t="shared" si="410"/>
        <v xml:space="preserve"> </v>
      </c>
      <c r="KR127" s="57" t="str">
        <f t="shared" si="410"/>
        <v xml:space="preserve"> </v>
      </c>
      <c r="KS127" s="47" t="str">
        <f t="shared" si="410"/>
        <v xml:space="preserve"> </v>
      </c>
      <c r="KT127" s="47" t="str">
        <f t="shared" si="410"/>
        <v xml:space="preserve"> </v>
      </c>
      <c r="KU127" s="47" t="str">
        <f t="shared" si="410"/>
        <v xml:space="preserve"> </v>
      </c>
      <c r="KV127" s="47" t="str">
        <f t="shared" si="410"/>
        <v xml:space="preserve"> </v>
      </c>
      <c r="KW127" s="47" t="str">
        <f t="shared" si="410"/>
        <v xml:space="preserve"> </v>
      </c>
      <c r="KX127" s="57" t="str">
        <f t="shared" si="410"/>
        <v xml:space="preserve"> </v>
      </c>
      <c r="KY127" s="47" t="str">
        <f t="shared" si="410"/>
        <v xml:space="preserve"> </v>
      </c>
      <c r="KZ127" s="47" t="str">
        <f t="shared" si="410"/>
        <v xml:space="preserve"> </v>
      </c>
      <c r="LA127" s="47" t="str">
        <f t="shared" si="410"/>
        <v xml:space="preserve"> </v>
      </c>
      <c r="LB127" s="47" t="str">
        <f t="shared" si="410"/>
        <v xml:space="preserve"> </v>
      </c>
      <c r="LC127" s="47" t="str">
        <f t="shared" si="410"/>
        <v xml:space="preserve"> </v>
      </c>
      <c r="LD127" s="57" t="str">
        <f t="shared" si="410"/>
        <v xml:space="preserve"> </v>
      </c>
      <c r="LE127" s="47" t="str">
        <f t="shared" si="410"/>
        <v xml:space="preserve"> </v>
      </c>
      <c r="LF127" s="47" t="str">
        <f t="shared" si="410"/>
        <v xml:space="preserve"> </v>
      </c>
      <c r="LG127" s="47" t="str">
        <f t="shared" si="410"/>
        <v xml:space="preserve"> </v>
      </c>
      <c r="LH127" s="47" t="str">
        <f t="shared" ref="LH127:NM127" si="411">IF(LH25="",LH128,$C127&amp;"("&amp;LH25&amp;"),"&amp;LH128)</f>
        <v xml:space="preserve"> </v>
      </c>
      <c r="LI127" s="47" t="str">
        <f t="shared" si="411"/>
        <v xml:space="preserve"> </v>
      </c>
      <c r="LJ127" s="57" t="str">
        <f t="shared" si="411"/>
        <v xml:space="preserve"> </v>
      </c>
      <c r="LK127" s="47" t="str">
        <f t="shared" si="411"/>
        <v xml:space="preserve"> </v>
      </c>
      <c r="LL127" s="47" t="str">
        <f t="shared" si="411"/>
        <v xml:space="preserve"> </v>
      </c>
      <c r="LM127" s="47" t="str">
        <f t="shared" si="411"/>
        <v xml:space="preserve"> </v>
      </c>
      <c r="LN127" s="47" t="str">
        <f t="shared" si="411"/>
        <v xml:space="preserve"> </v>
      </c>
      <c r="LO127" s="47" t="str">
        <f t="shared" si="411"/>
        <v xml:space="preserve"> </v>
      </c>
      <c r="LP127" s="57" t="str">
        <f t="shared" si="411"/>
        <v xml:space="preserve"> </v>
      </c>
      <c r="LQ127" s="47" t="str">
        <f t="shared" si="411"/>
        <v xml:space="preserve"> </v>
      </c>
      <c r="LR127" s="47" t="str">
        <f t="shared" si="411"/>
        <v xml:space="preserve"> </v>
      </c>
      <c r="LS127" s="47" t="str">
        <f t="shared" si="411"/>
        <v xml:space="preserve"> </v>
      </c>
      <c r="LT127" s="47" t="str">
        <f t="shared" si="411"/>
        <v xml:space="preserve"> </v>
      </c>
      <c r="LU127" s="47" t="str">
        <f t="shared" si="411"/>
        <v xml:space="preserve"> </v>
      </c>
      <c r="LV127" s="57" t="str">
        <f t="shared" si="411"/>
        <v xml:space="preserve"> </v>
      </c>
      <c r="LW127" s="47" t="str">
        <f t="shared" si="411"/>
        <v xml:space="preserve"> </v>
      </c>
      <c r="LX127" s="47" t="str">
        <f t="shared" si="411"/>
        <v xml:space="preserve"> </v>
      </c>
      <c r="LY127" s="47" t="str">
        <f t="shared" si="411"/>
        <v xml:space="preserve"> </v>
      </c>
      <c r="LZ127" s="47" t="str">
        <f t="shared" si="411"/>
        <v xml:space="preserve"> </v>
      </c>
      <c r="MA127" s="47" t="str">
        <f t="shared" si="411"/>
        <v xml:space="preserve"> </v>
      </c>
      <c r="MB127" s="57" t="str">
        <f t="shared" si="411"/>
        <v xml:space="preserve"> </v>
      </c>
      <c r="MC127" s="47" t="str">
        <f t="shared" si="411"/>
        <v xml:space="preserve"> </v>
      </c>
      <c r="MD127" s="47" t="str">
        <f t="shared" si="411"/>
        <v xml:space="preserve"> </v>
      </c>
      <c r="ME127" s="47" t="str">
        <f t="shared" si="411"/>
        <v xml:space="preserve"> </v>
      </c>
      <c r="MF127" s="47" t="str">
        <f t="shared" si="411"/>
        <v xml:space="preserve"> </v>
      </c>
      <c r="MG127" s="47" t="str">
        <f t="shared" si="411"/>
        <v xml:space="preserve"> </v>
      </c>
      <c r="MH127" s="57" t="str">
        <f t="shared" si="411"/>
        <v xml:space="preserve"> </v>
      </c>
      <c r="MI127" s="47" t="str">
        <f t="shared" si="411"/>
        <v xml:space="preserve"> </v>
      </c>
      <c r="MJ127" s="47" t="str">
        <f t="shared" si="411"/>
        <v xml:space="preserve"> </v>
      </c>
      <c r="MK127" s="47" t="str">
        <f t="shared" si="411"/>
        <v xml:space="preserve"> </v>
      </c>
      <c r="ML127" s="47" t="str">
        <f t="shared" si="411"/>
        <v xml:space="preserve"> </v>
      </c>
      <c r="MM127" s="47" t="str">
        <f t="shared" si="411"/>
        <v xml:space="preserve"> </v>
      </c>
      <c r="MN127" s="57" t="str">
        <f t="shared" si="411"/>
        <v xml:space="preserve"> </v>
      </c>
      <c r="MO127" s="47" t="str">
        <f t="shared" si="411"/>
        <v xml:space="preserve"> </v>
      </c>
      <c r="MP127" s="47" t="str">
        <f t="shared" si="411"/>
        <v xml:space="preserve"> </v>
      </c>
      <c r="MQ127" s="47" t="str">
        <f t="shared" si="411"/>
        <v xml:space="preserve"> </v>
      </c>
      <c r="MR127" s="47" t="str">
        <f t="shared" si="411"/>
        <v xml:space="preserve"> </v>
      </c>
      <c r="MS127" s="47" t="str">
        <f t="shared" si="411"/>
        <v xml:space="preserve"> </v>
      </c>
      <c r="MT127" s="57" t="str">
        <f t="shared" si="411"/>
        <v xml:space="preserve"> </v>
      </c>
      <c r="MU127" s="47" t="str">
        <f t="shared" si="411"/>
        <v xml:space="preserve"> </v>
      </c>
      <c r="MV127" s="47" t="str">
        <f t="shared" si="411"/>
        <v xml:space="preserve"> </v>
      </c>
      <c r="MW127" s="47" t="str">
        <f t="shared" si="411"/>
        <v xml:space="preserve"> </v>
      </c>
      <c r="MX127" s="47" t="str">
        <f t="shared" si="411"/>
        <v xml:space="preserve"> </v>
      </c>
      <c r="MY127" s="47" t="str">
        <f t="shared" si="411"/>
        <v xml:space="preserve"> </v>
      </c>
      <c r="MZ127" s="57" t="str">
        <f t="shared" si="411"/>
        <v xml:space="preserve"> </v>
      </c>
      <c r="NA127" s="47" t="str">
        <f t="shared" si="411"/>
        <v xml:space="preserve"> </v>
      </c>
      <c r="NB127" s="47" t="str">
        <f t="shared" si="411"/>
        <v xml:space="preserve"> </v>
      </c>
      <c r="NC127" s="47" t="str">
        <f t="shared" si="411"/>
        <v xml:space="preserve"> </v>
      </c>
      <c r="ND127" s="47" t="str">
        <f t="shared" si="411"/>
        <v xml:space="preserve"> </v>
      </c>
      <c r="NE127" s="47" t="str">
        <f t="shared" si="411"/>
        <v xml:space="preserve"> </v>
      </c>
      <c r="NF127" s="57" t="str">
        <f t="shared" si="411"/>
        <v xml:space="preserve"> </v>
      </c>
      <c r="NG127" s="47" t="str">
        <f t="shared" si="411"/>
        <v xml:space="preserve"> </v>
      </c>
      <c r="NH127" s="47" t="str">
        <f t="shared" si="411"/>
        <v xml:space="preserve"> </v>
      </c>
      <c r="NI127" s="47" t="str">
        <f t="shared" si="411"/>
        <v xml:space="preserve"> </v>
      </c>
      <c r="NJ127" s="47" t="str">
        <f t="shared" si="411"/>
        <v xml:space="preserve"> </v>
      </c>
      <c r="NK127" s="47" t="str">
        <f t="shared" si="411"/>
        <v xml:space="preserve"> </v>
      </c>
      <c r="NL127" s="57" t="str">
        <f t="shared" si="411"/>
        <v xml:space="preserve"> </v>
      </c>
      <c r="NM127" s="47" t="str">
        <f t="shared" si="411"/>
        <v xml:space="preserve"> </v>
      </c>
    </row>
    <row r="128" spans="3:377" ht="15.75" customHeight="1">
      <c r="C128" s="7" t="str">
        <f t="shared" si="296"/>
        <v>gifted designer</v>
      </c>
      <c r="D128" s="21" t="str">
        <f t="shared" si="169"/>
        <v xml:space="preserve">scale 1
 </v>
      </c>
      <c r="E128" s="21" t="str">
        <f t="shared" si="297"/>
        <v xml:space="preserve"> </v>
      </c>
      <c r="F128" s="21" t="str">
        <f t="shared" si="170"/>
        <v xml:space="preserve"> </v>
      </c>
      <c r="G128" s="21" t="str">
        <f t="shared" si="298"/>
        <v xml:space="preserve">enthusiasm(2), fun-ness(1), community manager(1), PR(1), fame(1), network(2), ease of access(1), reputation(2), social media(1),  </v>
      </c>
      <c r="H128" s="21" t="str">
        <f t="shared" si="299"/>
        <v xml:space="preserve"> </v>
      </c>
      <c r="I128" s="21" t="str">
        <f t="shared" ref="I128" si="412">IF(I26="",I129,$C128&amp;"("&amp;I26&amp;"),"&amp;I129)</f>
        <v xml:space="preserve"> </v>
      </c>
      <c r="J128" s="21" t="str">
        <f t="shared" si="376"/>
        <v xml:space="preserve">scale 1
interaction 1
 </v>
      </c>
      <c r="K128" s="21" t="str">
        <f t="shared" si="173"/>
        <v xml:space="preserve">reputation(1,75),  </v>
      </c>
      <c r="L128" s="21" t="str">
        <f t="shared" si="377"/>
        <v xml:space="preserve">reputation 75
 </v>
      </c>
      <c r="M128" s="21" t="str">
        <f t="shared" si="175"/>
        <v xml:space="preserve">PR(1), portfolio(1), social innovation(1), non-profit biz(1),  </v>
      </c>
      <c r="N128" s="21" t="str">
        <f t="shared" si="176"/>
        <v xml:space="preserve">seriousness(1,25), non-profits(1,12.5), reputation(1,75), marketing(1,12.5),  </v>
      </c>
      <c r="O128" s="21" t="str">
        <f t="shared" si="378"/>
        <v xml:space="preserve">seriousness(25),non-profits(12.5),reputation(75),marketing(12.5), </v>
      </c>
      <c r="P128" s="21" t="str">
        <f t="shared" si="376"/>
        <v xml:space="preserve">scale 1
biz project 1
 </v>
      </c>
      <c r="Q128" s="21" t="str">
        <f t="shared" si="178"/>
        <v xml:space="preserve"> </v>
      </c>
      <c r="R128" s="21" t="str">
        <f t="shared" si="377"/>
        <v xml:space="preserve"> </v>
      </c>
      <c r="S128" s="21" t="str">
        <f t="shared" si="179"/>
        <v xml:space="preserve">portfolio(1), biz enhancement(1), business(1), start-up(1),  </v>
      </c>
      <c r="T128" s="21" t="str">
        <f t="shared" si="180"/>
        <v xml:space="preserve">seriousness(1,25), local biz(1,6.25), investors(1,6.25), reputation(1,6.25),  </v>
      </c>
      <c r="U128" s="21" t="str">
        <f t="shared" si="378"/>
        <v xml:space="preserve">seriousness(25),local biz(6.25),investors(6.25),reputation(6.25), </v>
      </c>
      <c r="V128" s="21" t="str">
        <f t="shared" si="376"/>
        <v xml:space="preserve">scale 1
 </v>
      </c>
      <c r="W128" s="21" t="str">
        <f t="shared" si="181"/>
        <v xml:space="preserve">local biz(1,),  </v>
      </c>
      <c r="X128" s="21" t="str">
        <f t="shared" si="377"/>
        <v xml:space="preserve"> </v>
      </c>
      <c r="Y128" s="21" t="str">
        <f t="shared" si="182"/>
        <v xml:space="preserve">enthusiasm(1), attention to details(1), PR(1), network(1), ease of access(1), reputation(1), portfolio(1), biz project(1), biz enhancement(1), job creation(1), business(1),  </v>
      </c>
      <c r="Z128" s="21" t="str">
        <f t="shared" si="183"/>
        <v xml:space="preserve">local biz(1,6.25),  </v>
      </c>
      <c r="AA128" s="21" t="str">
        <f t="shared" si="378"/>
        <v xml:space="preserve">local biz(6.25), </v>
      </c>
      <c r="AB128" s="21" t="str">
        <f t="shared" si="376"/>
        <v xml:space="preserve">scale 1
 </v>
      </c>
      <c r="AC128" s="21" t="str">
        <f t="shared" si="184"/>
        <v xml:space="preserve">non-profits(1,100),  </v>
      </c>
      <c r="AD128" s="21" t="str">
        <f t="shared" si="377"/>
        <v xml:space="preserve">non-profits 100
 </v>
      </c>
      <c r="AE128" s="21" t="str">
        <f t="shared" si="185"/>
        <v xml:space="preserve">enthusiasm(1), attention to details(1), PR(1), network(1), ease of access(1), reputation(1), portfolio(1), social project(1), social innovation(1), non-profit biz(1),  </v>
      </c>
      <c r="AF128" s="21" t="str">
        <f t="shared" si="186"/>
        <v xml:space="preserve">seriousness(1,6.25), non-profits(1,6.25),  </v>
      </c>
      <c r="AG128" s="21" t="str">
        <f t="shared" si="378"/>
        <v xml:space="preserve">seriousness(6.25),non-profits(6.25), </v>
      </c>
      <c r="AH128" s="21" t="str">
        <f t="shared" si="376"/>
        <v xml:space="preserve">scale 1
 </v>
      </c>
      <c r="AI128" s="21" t="str">
        <f t="shared" si="187"/>
        <v xml:space="preserve">govt(1,),  </v>
      </c>
      <c r="AJ128" s="21" t="str">
        <f t="shared" si="377"/>
        <v xml:space="preserve"> </v>
      </c>
      <c r="AK128" s="21" t="str">
        <f t="shared" si="188"/>
        <v xml:space="preserve">enthusiasm(1), attention to details(1), seriousness(1), fame(1), network(1), govt(1), ease of access(1), reputation(2), portfolio(1), social project(1), social innovation(1), non-profit biz(1),  </v>
      </c>
      <c r="AL128" s="21" t="str">
        <f t="shared" si="189"/>
        <v xml:space="preserve">govt(1,6.25),  </v>
      </c>
      <c r="AM128" s="21" t="str">
        <f t="shared" si="378"/>
        <v xml:space="preserve">govt(6.25), </v>
      </c>
      <c r="AN128" s="21" t="str">
        <f t="shared" si="376"/>
        <v xml:space="preserve">scale 1
enthusiasm 1
 </v>
      </c>
      <c r="AO128" s="21" t="str">
        <f t="shared" si="190"/>
        <v xml:space="preserve">fame(1,), network(1,), investors(1,6.25),  </v>
      </c>
      <c r="AP128" s="21" t="str">
        <f t="shared" si="377"/>
        <v xml:space="preserve">investors 6.25
 </v>
      </c>
      <c r="AQ128" s="21" t="str">
        <f t="shared" si="191"/>
        <v xml:space="preserve">investors(1), ease of access(1), reputation(1), portfolio(1), start-up(1), start-up with mvp(1), start-up with customers(1),  </v>
      </c>
      <c r="AR128" s="21" t="str">
        <f t="shared" si="192"/>
        <v xml:space="preserve"> </v>
      </c>
      <c r="AS128" s="21" t="str">
        <f t="shared" si="378"/>
        <v xml:space="preserve"> </v>
      </c>
      <c r="AT128" s="21" t="str">
        <f t="shared" si="376"/>
        <v xml:space="preserve">scale 2
enthusiasm 1
seriousness 1
administrator 1
non-profits 2
reputation 1
portfolio 1
social project 1
 </v>
      </c>
      <c r="AU128" s="21" t="str">
        <f t="shared" si="193"/>
        <v xml:space="preserve">ambition(1,), attention to details(1,),  </v>
      </c>
      <c r="AV128" s="21" t="str">
        <f t="shared" si="377"/>
        <v xml:space="preserve"> </v>
      </c>
      <c r="AW128" s="21" t="str">
        <f t="shared" si="194"/>
        <v xml:space="preserve">enthusiasm(3), PR(2), administrator(1), project management(2),  </v>
      </c>
      <c r="AX128" s="21" t="str">
        <f t="shared" si="195"/>
        <v xml:space="preserve">organizational rules and manuals(1,12.5), project management(1,12.5),  </v>
      </c>
      <c r="AY128" s="21" t="str">
        <f t="shared" si="378"/>
        <v xml:space="preserve">organizational rules and manuals(12.5),project management(12.5), </v>
      </c>
      <c r="AZ128" s="21" t="str">
        <f t="shared" si="376"/>
        <v xml:space="preserve">scale 1
enthusiasm 1
non-profits 1
 </v>
      </c>
      <c r="BA128" s="21" t="str">
        <f t="shared" si="196"/>
        <v xml:space="preserve"> </v>
      </c>
      <c r="BB128" s="21" t="str">
        <f t="shared" si="377"/>
        <v xml:space="preserve"> </v>
      </c>
      <c r="BC128" s="21" t="str">
        <f t="shared" si="197"/>
        <v xml:space="preserve"> </v>
      </c>
      <c r="BD128" s="21" t="str">
        <f t="shared" si="198"/>
        <v xml:space="preserve"> </v>
      </c>
      <c r="BE128" s="21" t="str">
        <f t="shared" si="378"/>
        <v xml:space="preserve"> </v>
      </c>
      <c r="BF128" s="21" t="str">
        <f t="shared" si="376"/>
        <v xml:space="preserve">scale 2
enthusiasm 1
seriousness 1
administrator 1
local biz 2
entrepreneurs 1
reputation 1
portfolio 1
biz project 1
 </v>
      </c>
      <c r="BG128" s="21" t="str">
        <f t="shared" si="199"/>
        <v xml:space="preserve">ambition(1,), attention to details(1,),  </v>
      </c>
      <c r="BH128" s="21" t="str">
        <f t="shared" si="377"/>
        <v xml:space="preserve"> </v>
      </c>
      <c r="BI128" s="21" t="str">
        <f t="shared" si="200"/>
        <v xml:space="preserve">enthusiasm(3), PR(2), administrator(1), project management(2),  </v>
      </c>
      <c r="BJ128" s="21" t="str">
        <f t="shared" si="201"/>
        <v xml:space="preserve">organizational rules and manuals(1,12.5), project management(1,12.5),  </v>
      </c>
      <c r="BK128" s="21" t="str">
        <f t="shared" si="378"/>
        <v xml:space="preserve">organizational rules and manuals(12.5),project management(12.5), </v>
      </c>
      <c r="BL128" s="21" t="str">
        <f t="shared" si="376"/>
        <v xml:space="preserve">scale 1
enthusiasm 1
local biz 1
reputation 1
portfolio 1
biz enhancement 1
 </v>
      </c>
      <c r="BM128" s="21" t="str">
        <f t="shared" si="202"/>
        <v xml:space="preserve"> </v>
      </c>
      <c r="BN128" s="21" t="str">
        <f t="shared" si="377"/>
        <v xml:space="preserve"> </v>
      </c>
      <c r="BO128" s="21" t="str">
        <f t="shared" si="203"/>
        <v xml:space="preserve"> </v>
      </c>
      <c r="BP128" s="21" t="str">
        <f t="shared" si="204"/>
        <v xml:space="preserve"> </v>
      </c>
      <c r="BQ128" s="21" t="str">
        <f t="shared" si="378"/>
        <v xml:space="preserve"> </v>
      </c>
      <c r="BR128" s="21" t="str">
        <f t="shared" si="376"/>
        <v xml:space="preserve"> </v>
      </c>
      <c r="BS128" s="21" t="str">
        <f t="shared" si="205"/>
        <v xml:space="preserve"> </v>
      </c>
      <c r="BT128" s="21" t="str">
        <f t="shared" si="377"/>
        <v xml:space="preserve"> </v>
      </c>
      <c r="BU128" s="21" t="str">
        <f t="shared" si="206"/>
        <v xml:space="preserve"> </v>
      </c>
      <c r="BV128" s="21" t="str">
        <f t="shared" si="207"/>
        <v xml:space="preserve"> </v>
      </c>
      <c r="BW128" s="21" t="str">
        <f t="shared" si="378"/>
        <v xml:space="preserve"> </v>
      </c>
      <c r="BX128" s="21" t="str">
        <f t="shared" si="379"/>
        <v xml:space="preserve">scale 1
network 1
 </v>
      </c>
      <c r="BY128" s="21" t="str">
        <f t="shared" si="209"/>
        <v xml:space="preserve">efficiency(1,),  </v>
      </c>
      <c r="BZ128" s="21" t="str">
        <f t="shared" si="380"/>
        <v xml:space="preserve"> </v>
      </c>
      <c r="CA128" s="21" t="str">
        <f t="shared" si="211"/>
        <v xml:space="preserve">scale(2), enthusiasm(1), attention to details(1), administrator(1), negotiation(1),  </v>
      </c>
      <c r="CB128" s="21" t="str">
        <f t="shared" si="212"/>
        <v xml:space="preserve">user rules and manuals(1,50), organizational rules and manuals(1,50),  </v>
      </c>
      <c r="CC128" s="21" t="str">
        <f t="shared" si="381"/>
        <v xml:space="preserve">user rules and manuals(50),organizational rules and manuals(50), </v>
      </c>
      <c r="CD128" s="21" t="str">
        <f t="shared" si="379"/>
        <v xml:space="preserve">scale 1
enthusiasm 1
network 1
 </v>
      </c>
      <c r="CE128" s="21" t="str">
        <f t="shared" si="214"/>
        <v xml:space="preserve">non-profits(1,),  </v>
      </c>
      <c r="CF128" s="21" t="str">
        <f t="shared" si="380"/>
        <v xml:space="preserve"> </v>
      </c>
      <c r="CG128" s="21" t="str">
        <f t="shared" si="215"/>
        <v xml:space="preserve">fun-ness(1), seriousness(1), ease of access(1), portfolio(1), user rules and manuals(1), negotiation(1), social project(1), biz project(1), for basic literacy(1), for the elites(1), for entrepreneurs(1),  </v>
      </c>
      <c r="CH128" s="21" t="str">
        <f t="shared" si="216"/>
        <v xml:space="preserve">technologists(1,6.25), non-profits(1,6.25),  </v>
      </c>
      <c r="CI128" s="21" t="str">
        <f t="shared" si="381"/>
        <v xml:space="preserve">technologists(6.25),non-profits(6.25), </v>
      </c>
      <c r="CJ128" s="21" t="str">
        <f t="shared" si="379"/>
        <v xml:space="preserve">scale 1
 </v>
      </c>
      <c r="CK128" s="21" t="str">
        <f t="shared" si="217"/>
        <v xml:space="preserve">suppliers(1,),  </v>
      </c>
      <c r="CL128" s="21" t="str">
        <f t="shared" si="380"/>
        <v xml:space="preserve"> </v>
      </c>
      <c r="CM128" s="21" t="str">
        <f t="shared" si="218"/>
        <v xml:space="preserve">reputation(1), negotiation(1),  </v>
      </c>
      <c r="CN128" s="21" t="str">
        <f t="shared" si="219"/>
        <v xml:space="preserve">enthusiasm(2,), efficiency(1,6.25),  </v>
      </c>
      <c r="CO128" s="21" t="str">
        <f t="shared" si="381"/>
        <v xml:space="preserve">efficiency(6.25), </v>
      </c>
      <c r="CP128" s="21" t="str">
        <f t="shared" si="379"/>
        <v xml:space="preserve">scale 1
 </v>
      </c>
      <c r="CQ128" s="21" t="str">
        <f t="shared" si="220"/>
        <v xml:space="preserve">technologists(1,),  </v>
      </c>
      <c r="CR128" s="21" t="str">
        <f t="shared" si="380"/>
        <v xml:space="preserve"> </v>
      </c>
      <c r="CS128" s="21" t="str">
        <f t="shared" si="221"/>
        <v xml:space="preserve">enthusiasm(1), network(1), portfolio(1), negotiation(1), web(1), infrastructrue(1), database(1), mobile apps(1), sensors(1), security(1), AI&amp; data analysis(1), mobile comm(1), VR&amp;AR(1), wood processing(1), metal processing(1), plastic processing(1), electronics(1), fabric(1),  </v>
      </c>
      <c r="CT128" s="21" t="str">
        <f t="shared" si="222"/>
        <v xml:space="preserve">efficiency(1,6.25),  </v>
      </c>
      <c r="CU128" s="21" t="str">
        <f t="shared" si="381"/>
        <v xml:space="preserve">efficiency(6.25), </v>
      </c>
      <c r="CV128" s="21" t="str">
        <f t="shared" si="379"/>
        <v xml:space="preserve">scale 1
 </v>
      </c>
      <c r="CW128" s="21" t="str">
        <f t="shared" si="223"/>
        <v xml:space="preserve">local biz(1,),  </v>
      </c>
      <c r="CX128" s="21" t="str">
        <f t="shared" si="380"/>
        <v xml:space="preserve"> </v>
      </c>
      <c r="CY128" s="21" t="str">
        <f t="shared" si="224"/>
        <v xml:space="preserve">ease of access(1), reputation(1), portfolio(1), negotiation(1),  </v>
      </c>
      <c r="CZ128" s="21" t="str">
        <f t="shared" si="225"/>
        <v xml:space="preserve">non-profits(1,6.25),  </v>
      </c>
      <c r="DA128" s="21" t="str">
        <f t="shared" si="381"/>
        <v xml:space="preserve">non-profits(6.25), </v>
      </c>
      <c r="DB128" s="21" t="str">
        <f t="shared" si="379"/>
        <v xml:space="preserve"> </v>
      </c>
      <c r="DC128" s="21" t="str">
        <f t="shared" si="226"/>
        <v xml:space="preserve"> </v>
      </c>
      <c r="DD128" s="21" t="str">
        <f t="shared" si="380"/>
        <v xml:space="preserve"> </v>
      </c>
      <c r="DE128"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8" s="21" t="str">
        <f t="shared" si="228"/>
        <v xml:space="preserve">network(1,), local biz(1,6.25), biz group(1,6.25), investors(1,6.25), entrepreneurs(1,6.25),  </v>
      </c>
      <c r="DG128" s="21" t="str">
        <f t="shared" si="381"/>
        <v xml:space="preserve">local biz(6.25),biz group(6.25),investors(6.25),entrepreneurs(6.25), </v>
      </c>
      <c r="DH128" s="21" t="str">
        <f t="shared" si="379"/>
        <v xml:space="preserve">scale 1
enthusiasm 1
network 1
non-profits 1
reputation 1
social project 1
 </v>
      </c>
      <c r="DI128" s="21" t="str">
        <f t="shared" si="229"/>
        <v xml:space="preserve"> </v>
      </c>
      <c r="DJ128" s="21" t="str">
        <f t="shared" si="380"/>
        <v xml:space="preserve"> </v>
      </c>
      <c r="DK128" s="21" t="str">
        <f t="shared" si="230"/>
        <v xml:space="preserve">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8" s="21" t="str">
        <f t="shared" si="231"/>
        <v xml:space="preserve">reputation(1,6.25),  </v>
      </c>
      <c r="DM128" s="21" t="str">
        <f t="shared" si="381"/>
        <v xml:space="preserve">reputation(6.25), </v>
      </c>
      <c r="DN128" s="21" t="str">
        <f t="shared" si="379"/>
        <v xml:space="preserve">scale 1
enthusiasm 1
network 1
local biz 1
reputation 1
biz project 1
 </v>
      </c>
      <c r="DO128" s="21" t="str">
        <f t="shared" si="232"/>
        <v xml:space="preserve"> </v>
      </c>
      <c r="DP128" s="21" t="str">
        <f t="shared" si="380"/>
        <v xml:space="preserve"> </v>
      </c>
      <c r="DQ128" s="21" t="str">
        <f t="shared" si="233"/>
        <v xml:space="preserve">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8" s="21" t="str">
        <f t="shared" si="234"/>
        <v xml:space="preserve">reputation(1,6.25),  </v>
      </c>
      <c r="DS128" s="21" t="str">
        <f t="shared" si="381"/>
        <v xml:space="preserve">reputation(6.25), </v>
      </c>
      <c r="DT128" s="21" t="str">
        <f t="shared" si="379"/>
        <v xml:space="preserve">scale 1
enthusiasm 1
network 1
reputation 1
 </v>
      </c>
      <c r="DU128" s="21" t="str">
        <f t="shared" si="235"/>
        <v xml:space="preserve"> </v>
      </c>
      <c r="DV128" s="21" t="str">
        <f t="shared" si="380"/>
        <v xml:space="preserve"> </v>
      </c>
      <c r="DW128"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8" s="21" t="str">
        <f t="shared" si="237"/>
        <v xml:space="preserve">ambition(1,6.25), reputation(1,6.25), for basic literacy(1,6.25),  </v>
      </c>
      <c r="DY128" s="21" t="str">
        <f t="shared" si="381"/>
        <v xml:space="preserve">ambition(6.25),reputation(6.25),for basic literacy(6.25), </v>
      </c>
      <c r="DZ128" s="21" t="str">
        <f t="shared" si="379"/>
        <v xml:space="preserve">scale 1
enthusiasm 1
network 1
reputation 1
 </v>
      </c>
      <c r="EA128" s="21" t="str">
        <f t="shared" si="238"/>
        <v xml:space="preserve"> </v>
      </c>
      <c r="EB128" s="21" t="str">
        <f t="shared" si="380"/>
        <v xml:space="preserve"> </v>
      </c>
      <c r="EC128"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8" s="21" t="str">
        <f t="shared" si="240"/>
        <v xml:space="preserve">ambition(1,6.25), reputation(1,6.25), for basic literacy(1,6.25),  </v>
      </c>
      <c r="EE128" s="21" t="str">
        <f t="shared" si="381"/>
        <v xml:space="preserve">ambition(6.25),reputation(6.25),for basic literacy(6.25), </v>
      </c>
      <c r="EF128" s="21" t="str">
        <f t="shared" si="379"/>
        <v xml:space="preserve">technologists 1
reputation 1
 </v>
      </c>
      <c r="EG128" s="21" t="str">
        <f t="shared" si="241"/>
        <v xml:space="preserve">web(1,50), mobile apps(1,50), interaction(1,50),  </v>
      </c>
      <c r="EH128" s="21" t="str">
        <f t="shared" si="380"/>
        <v xml:space="preserve">web 50
mobile apps 50
interaction 50
 </v>
      </c>
      <c r="EI128" s="21" t="str">
        <f t="shared" si="242"/>
        <v xml:space="preserve">scale(2), enthusiasm(2), seriousness(2), initiative(1), community manager(1), administrator(1), enthusiasm(1), fame(1), network(2), level of understanding(1), technologists(2), ease of access(1), reputation(2), infrastructrue(1), database(1), mobile comm(1), for entrepreneurs(1),  </v>
      </c>
      <c r="EJ128" s="21" t="str">
        <f t="shared" si="243"/>
        <v xml:space="preserve">technologists(1,12.5), infrastructrue(1,12.5), database(1,12.5), mobile comm(1,12.5), for entrepreneurs(1,6.25),  </v>
      </c>
      <c r="EK128" s="21" t="str">
        <f t="shared" si="381"/>
        <v xml:space="preserve">technologists(12.5),infrastructrue(12.5),database(12.5),mobile comm(12.5),for entrepreneurs(6.25), </v>
      </c>
      <c r="EL128" s="21" t="str">
        <f t="shared" si="382"/>
        <v xml:space="preserve">technologists 1
reputation 1
 </v>
      </c>
      <c r="EM128" s="21" t="str">
        <f t="shared" si="245"/>
        <v xml:space="preserve">sensors(1,50),  </v>
      </c>
      <c r="EN128" s="21" t="str">
        <f t="shared" si="383"/>
        <v xml:space="preserve">sensors 50
 </v>
      </c>
      <c r="EO128" s="21" t="str">
        <f t="shared" si="247"/>
        <v xml:space="preserve">scale(2), enthusiasm(2), seriousness(2), initiative(1), community manager(1), administrator(1), enthusiasm(1), fame(1), network(2), level of understanding(1), technologists(2), ease of access(1), reputation(2), project management(2), infrastructrue(1), database(1), mobile comm(1), for entrepreneurs(1),  </v>
      </c>
      <c r="EP128" s="21" t="str">
        <f t="shared" si="248"/>
        <v xml:space="preserve">technologists(1,12.5), infrastructrue(1,12.5), database(1,12.5), mobile comm(1,12.5), electronics(1,6.25), for entrepreneurs(1,6.25),  </v>
      </c>
      <c r="EQ128" s="21" t="str">
        <f t="shared" si="384"/>
        <v xml:space="preserve">technologists(12.5),infrastructrue(12.5),database(12.5),mobile comm(12.5),electronics(6.25),for entrepreneurs(6.25), </v>
      </c>
      <c r="ER128" s="21" t="str">
        <f t="shared" si="382"/>
        <v xml:space="preserve">technologists 1
 </v>
      </c>
      <c r="ES128" s="21" t="str">
        <f t="shared" si="250"/>
        <v xml:space="preserve">AI&amp; data analysis(1,50),  </v>
      </c>
      <c r="ET128" s="21" t="str">
        <f t="shared" si="383"/>
        <v xml:space="preserve">AI&amp; data analysis 50
 </v>
      </c>
      <c r="EU128" s="21" t="str">
        <f t="shared" si="251"/>
        <v xml:space="preserve">scale(2), enthusiasm(2), seriousness(2), initiative(1), community manager(1), administrator(1), enthusiasm(1), fame(1), network(2), level of understanding(1), technologists(2), ease of access(1), reputation(2), database(1), sensors(1), mobile comm(1), for entrepreneurs(1),  </v>
      </c>
      <c r="EV128" s="21" t="str">
        <f t="shared" si="252"/>
        <v xml:space="preserve">technologists(1,12.5), database(1,12.5), sensors(1,12.5), mobile comm(1,12.5), for entrepreneurs(1,6.25),  </v>
      </c>
      <c r="EW128" s="21" t="str">
        <f t="shared" si="384"/>
        <v xml:space="preserve">technologists(12.5),database(12.5),sensors(12.5),mobile comm(12.5),for entrepreneurs(6.25), </v>
      </c>
      <c r="EX128" s="21" t="str">
        <f t="shared" si="382"/>
        <v xml:space="preserve">technologists 1
 </v>
      </c>
      <c r="EY128" s="21" t="str">
        <f t="shared" si="253"/>
        <v xml:space="preserve">law(1,50), security(1,50), interaction(1,25),  </v>
      </c>
      <c r="EZ128" s="21" t="str">
        <f t="shared" si="383"/>
        <v xml:space="preserve">law 50
security 50
interaction 25
 </v>
      </c>
      <c r="FA128" s="21" t="str">
        <f t="shared" si="254"/>
        <v xml:space="preserve">scale(2), enthusiasm(2), seriousness(2), initiative(1), community manager(1), administrator(1), enthusiasm(1), fame(1), network(2), level of understanding(1), technologists(2), ease of access(1), reputation(2), law(2), for entrepreneurs(1),  </v>
      </c>
      <c r="FB128" s="21" t="str">
        <f t="shared" si="255"/>
        <v xml:space="preserve">technologists(1,12.5), law(1,6.25), database(1,12.5), mobile apps(1,12.5), security(1,12.5), mobile comm(1,12.5), for entrepreneurs(1,6.25),  </v>
      </c>
      <c r="FC128" s="21" t="str">
        <f t="shared" si="384"/>
        <v xml:space="preserve">technologists(12.5),law(6.25),database(12.5),mobile apps(12.5),security(12.5),mobile comm(12.5),for entrepreneurs(6.25), </v>
      </c>
      <c r="FD128" s="21" t="str">
        <f t="shared" si="382"/>
        <v xml:space="preserve">technologists 1
 </v>
      </c>
      <c r="FE128" s="21" t="str">
        <f t="shared" si="256"/>
        <v xml:space="preserve">law(1,50), sensors(1,50), security(1,50),  </v>
      </c>
      <c r="FF128" s="21" t="str">
        <f t="shared" si="383"/>
        <v xml:space="preserve">law 50
sensors 50
security 50
 </v>
      </c>
      <c r="FG128" s="21" t="str">
        <f t="shared" si="257"/>
        <v xml:space="preserve">scale(2), enthusiasm(2), seriousness(2), initiative(1), community manager(1), administrator(1), enthusiasm(1), fame(1), network(2), level of understanding(1), technologists(2), ease of access(1), reputation(2), law(2), project management(2), for entrepreneurs(1),  </v>
      </c>
      <c r="FH128" s="21" t="str">
        <f t="shared" si="258"/>
        <v xml:space="preserve">technologists(1,12.5), law(1,6.25), database(1,6.25), mobile apps(1,6.25), AI&amp; data analysis(1,6.25), mobile comm(1,6.25), for entrepreneurs(1,6.25),  </v>
      </c>
      <c r="FI128" s="21" t="str">
        <f t="shared" si="384"/>
        <v xml:space="preserve">technologists(12.5),law(6.25),database(6.25),mobile apps(6.25),AI&amp; data analysis(6.25),mobile comm(6.25),for entrepreneurs(6.25), </v>
      </c>
      <c r="FJ128" s="21" t="str">
        <f t="shared" si="382"/>
        <v xml:space="preserve">technologists 1
 </v>
      </c>
      <c r="FK128" s="21" t="str">
        <f t="shared" si="259"/>
        <v xml:space="preserve">wood processing(1,25), metal processing(1,25), plastic processing(1,25), fabric(1,25), safety(1,25), interaction(1,25),  </v>
      </c>
      <c r="FL128" s="21" t="str">
        <f t="shared" si="383"/>
        <v xml:space="preserve">project management 2
wood processing 25
metal processing 25
plastic processing 25
fabric 25
safety 25
interaction 25
 </v>
      </c>
      <c r="FM128" s="21" t="str">
        <f t="shared" si="260"/>
        <v xml:space="preserve">scale(2), enthusiasm(2), seriousness(2), initiative(1), community manager(1), administrator(1), enthusiasm(1), fame(1), network(2), level of understanding(1), technologists(2), spaciousness(1), ease of access(1), reputation(2), for entrepreneurs(1),  </v>
      </c>
      <c r="FN128" s="21" t="str">
        <f t="shared" si="261"/>
        <v xml:space="preserve">technologists(1,12.5), for entrepreneurs(1,6.25),  </v>
      </c>
      <c r="FO128" s="21" t="str">
        <f t="shared" si="384"/>
        <v xml:space="preserve">technologists(12.5),for entrepreneurs(6.25), </v>
      </c>
      <c r="FP128" s="21" t="str">
        <f t="shared" si="382"/>
        <v xml:space="preserve">technologists 1
 </v>
      </c>
      <c r="FQ128" s="21" t="str">
        <f t="shared" si="262"/>
        <v xml:space="preserve">web(1,25), mobile apps(1,50), functions(1,25), interaction(1,25),  </v>
      </c>
      <c r="FR128" s="21" t="str">
        <f t="shared" si="383"/>
        <v xml:space="preserve">web 25
mobile apps 50
functions 25
interaction 25
 </v>
      </c>
      <c r="FS128" s="21" t="str">
        <f t="shared" si="263"/>
        <v xml:space="preserve">scale(2), enthusiasm(2), seriousness(2), initiative(1), community manager(1), administrator(1), enthusiasm(1), fame(1), network(2), level of understanding(1), technologists(2), spaciousness(1), ease of access(1), reputation(2), for entrepreneurs(1),  </v>
      </c>
      <c r="FT128" s="21" t="str">
        <f t="shared" si="264"/>
        <v xml:space="preserve">technologists(1,12.5), for entrepreneurs(1,6.25),  </v>
      </c>
      <c r="FU128" s="21" t="str">
        <f t="shared" si="384"/>
        <v xml:space="preserve">technologists(12.5),for entrepreneurs(6.25), </v>
      </c>
      <c r="FV128" s="21" t="str">
        <f t="shared" si="382"/>
        <v xml:space="preserve">technologists 1
 </v>
      </c>
      <c r="FW128" s="21" t="str">
        <f t="shared" si="265"/>
        <v xml:space="preserve">mobile apps(1,50), sensors(1,50), wood processing(1,25), plastic processing(1,25), electronics(1,25), functions(1,25), interaction(1,25),  </v>
      </c>
      <c r="FX128" s="21" t="str">
        <f t="shared" si="383"/>
        <v xml:space="preserve">mobile apps 50
sensors 50
wood processing 25
plastic processing 25
electronics 25
functions 25
interaction 25
 </v>
      </c>
      <c r="FY128" s="21" t="str">
        <f t="shared" si="266"/>
        <v xml:space="preserve">scale(2), enthusiasm(2), seriousness(2), initiative(1), community manager(1), administrator(1), enthusiasm(1), fame(1), network(2), level of understanding(1), technologists(2), spaciousness(1), ease of access(1), reputation(2), project management(2), for entrepreneurs(1),  </v>
      </c>
      <c r="FZ128" s="21" t="str">
        <f t="shared" si="267"/>
        <v xml:space="preserve">technologists(1,12.5), web(1,6.25), database(1,6.25), AI&amp; data analysis(1,6.25), mobile comm(1,6.25), for entrepreneurs(1,6.25),  </v>
      </c>
      <c r="GA128" s="21" t="str">
        <f t="shared" si="384"/>
        <v xml:space="preserve">technologists(12.5),web(6.25),database(6.25),AI&amp; data analysis(6.25),mobile comm(6.25),for entrepreneurs(6.25), </v>
      </c>
      <c r="GB128" s="21" t="str">
        <f t="shared" si="382"/>
        <v xml:space="preserve">technologists 1
 </v>
      </c>
      <c r="GC128" s="21" t="str">
        <f t="shared" si="268"/>
        <v xml:space="preserve">sensors(1,25), mobile comm(1,25), electronics(1,50), functions(1,25), safety(1,25),  </v>
      </c>
      <c r="GD128" s="21" t="str">
        <f t="shared" si="383"/>
        <v xml:space="preserve">sensors 25
mobile comm 25
electronics 50
functions 25
safety 25
 </v>
      </c>
      <c r="GE128" s="21" t="str">
        <f t="shared" si="269"/>
        <v xml:space="preserve">scale(2), enthusiasm(2), seriousness(2), initiative(1), community manager(1), administrator(1), enthusiasm(1), fame(1), network(2), level of understanding(1), technologists(2), spaciousness(1), ease of access(1), reputation(2), project management(2), for entrepreneurs(1),  </v>
      </c>
      <c r="GF128" s="21" t="str">
        <f t="shared" si="270"/>
        <v xml:space="preserve">technologists(1,12.5), database(1,6.25), mobile apps(1,6.25), AI&amp; data analysis(1,6.25), plastic processing(1,6.25), interaction(1,6.25), for entrepreneurs(1,6.25),  </v>
      </c>
      <c r="GG128" s="21" t="str">
        <f t="shared" si="384"/>
        <v xml:space="preserve">technologists(12.5),database(6.25),mobile apps(6.25),AI&amp; data analysis(6.25),plastic processing(6.25),interaction(6.25),for entrepreneurs(6.25), </v>
      </c>
      <c r="GH128" s="21" t="str">
        <f t="shared" si="382"/>
        <v xml:space="preserve">technologists 1
 </v>
      </c>
      <c r="GI128" s="21" t="str">
        <f t="shared" si="271"/>
        <v xml:space="preserve">web(1,25), mobile apps(1,50), functions(1,25), interaction(1,25),  </v>
      </c>
      <c r="GJ128" s="21" t="str">
        <f t="shared" si="383"/>
        <v xml:space="preserve">web 25
mobile apps 50
functions 25
interaction 25
 </v>
      </c>
      <c r="GK128" s="21" t="str">
        <f t="shared" si="272"/>
        <v xml:space="preserve">scale(2), enthusiasm(2), seriousness(2), initiative(1), community manager(1), administrator(1), enthusiasm(1), fame(1), network(2), level of understanding(1), technologists(2), spaciousness(1), ease of access(1), reputation(2), project management(2), for entrepreneurs(1),  </v>
      </c>
      <c r="GL128" s="21" t="str">
        <f t="shared" si="273"/>
        <v xml:space="preserve">technologists(1,12.5), for entrepreneurs(1,6.25),  </v>
      </c>
      <c r="GM128" s="21" t="str">
        <f t="shared" si="384"/>
        <v xml:space="preserve">technologists(12.5),for entrepreneurs(6.25), </v>
      </c>
      <c r="GN128" s="21" t="str">
        <f t="shared" si="382"/>
        <v xml:space="preserve">technologists 1
 </v>
      </c>
      <c r="GO128" s="21" t="str">
        <f t="shared" si="274"/>
        <v xml:space="preserve">web(1,25), mobile apps(1,25), VR&amp;AR(1,25), aesthetics(1,25), functions(1,25), interaction(1,50),  </v>
      </c>
      <c r="GP128" s="21" t="str">
        <f t="shared" si="383"/>
        <v xml:space="preserve">web 25
mobile apps 25
VR&amp;AR 25
aesthetics 25
functions 25
interaction 50
 </v>
      </c>
      <c r="GQ128" s="21" t="str">
        <f t="shared" si="275"/>
        <v xml:space="preserve">gifted designer(1), scale(2), enthusiasm(2), seriousness(2), initiative(1), community manager(1), administrator(1), enthusiasm(1), fame(1), network(2), level of understanding(1), technologists(2), spaciousness(1), ease of access(1), reputation(2), project management(2), for entrepreneurs(1),  </v>
      </c>
      <c r="GR128" s="21" t="str">
        <f t="shared" si="276"/>
        <v xml:space="preserve">technologists(1,12.5), for entrepreneurs(1,6.25),  </v>
      </c>
      <c r="GS128" s="21" t="str">
        <f t="shared" si="384"/>
        <v xml:space="preserve">technologists(12.5),for entrepreneurs(6.25), </v>
      </c>
      <c r="GT128" s="21" t="str">
        <f t="shared" si="382"/>
        <v xml:space="preserve">scale 2
ease of access 1
reputation 2
web 1
mobile apps 1
mobile comm 1
 </v>
      </c>
      <c r="GU128" s="21" t="str">
        <f t="shared" si="277"/>
        <v xml:space="preserve"> </v>
      </c>
      <c r="GV128" s="21" t="str">
        <f t="shared" si="383"/>
        <v xml:space="preserve"> </v>
      </c>
      <c r="GW128" s="21" t="str">
        <f t="shared" si="278"/>
        <v xml:space="preserve">gifted designer(1), 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8" s="21" t="str">
        <f t="shared" si="279"/>
        <v xml:space="preserve">enthusiasm(1,6.25), media(1,6.25), entrepreneurs(1,6.25), technologists(1,6.25), project management(1,6.25), social media(1,6.25), web(1,6.25), mobile apps(1,6.25),  </v>
      </c>
      <c r="GY128" s="21" t="str">
        <f t="shared" si="384"/>
        <v xml:space="preserve">enthusiasm(6.25),media(6.25),entrepreneurs(6.25),technologists(6.25),project management(6.25),social media(6.25),web(6.25),mobile apps(6.25), </v>
      </c>
      <c r="GZ128" s="21" t="str">
        <f t="shared" si="385"/>
        <v xml:space="preserve">scale 2
enthusiasm 2
network 1
govt 1
non-profits 1
reputation 2
portfolio 1
 </v>
      </c>
      <c r="HA128" s="21" t="str">
        <f t="shared" si="281"/>
        <v xml:space="preserve"> </v>
      </c>
      <c r="HB128" s="21" t="str">
        <f t="shared" si="386"/>
        <v xml:space="preserve"> </v>
      </c>
      <c r="HC128" s="21" t="str">
        <f t="shared" si="283"/>
        <v xml:space="preserve">gifted designer(1), 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8" s="21" t="str">
        <f t="shared" si="284"/>
        <v xml:space="preserve">enthusiasm(1,6.25), media(1,6.25), technologists(1,6.25), non-profits(1,6.25), reputation(1,6.25), start-up with customers(1,6.25), for basic literacy(1,6.25),  </v>
      </c>
      <c r="HE128" s="21" t="str">
        <f t="shared" si="387"/>
        <v xml:space="preserve">enthusiasm(6.25),media(6.25),technologists(6.25),non-profits(6.25),reputation(6.25),start-up with customers(6.25),for basic literacy(6.25), </v>
      </c>
      <c r="HF128" s="21" t="str">
        <f t="shared" si="385"/>
        <v xml:space="preserve"> </v>
      </c>
      <c r="HG128" s="21" t="str">
        <f t="shared" si="286"/>
        <v xml:space="preserve">scale(2,), enthusiasm(2,),  </v>
      </c>
      <c r="HH128" s="21" t="str">
        <f t="shared" si="386"/>
        <v xml:space="preserve"> </v>
      </c>
      <c r="HI128" s="21" t="str">
        <f t="shared" si="287"/>
        <v xml:space="preserve">gifted designer(1), 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8" s="21" t="str">
        <f t="shared" si="288"/>
        <v xml:space="preserve">enthusiasm(1,6.25), fun-ness(1,6.25), seriousness(1,6.25), govt(1,6.25), media(1,6.25), non-profits(1,6.25), start-up with customers(1,6.25),  </v>
      </c>
      <c r="HK128" s="21" t="str">
        <f t="shared" si="387"/>
        <v xml:space="preserve">enthusiasm(6.25),fun-ness(6.25),seriousness(6.25),govt(6.25),media(6.25),non-profits(6.25),start-up with customers(6.25), </v>
      </c>
      <c r="HL128" s="21" t="str">
        <f t="shared" si="385"/>
        <v xml:space="preserve">scale 2
community manager 1
PR 1
administrator 1
local biz 1
entrepreneurs 1
non-profits 1
reputation 2
portfolio 2
 </v>
      </c>
      <c r="HM128" s="21" t="str">
        <f t="shared" si="289"/>
        <v xml:space="preserve">scale(1,25), enthusiasm(1,25), ambition(1,25), fun-ness(1,25), seriousness(1,25),  </v>
      </c>
      <c r="HN128" s="21" t="str">
        <f t="shared" si="386"/>
        <v xml:space="preserve">scale 25
enthusiasm 25
ambition 25
fun-ness 25
seriousness 25
 </v>
      </c>
      <c r="HO128"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8" s="21" t="str">
        <f t="shared" si="291"/>
        <v xml:space="preserve">enthusiasm(1,6.25), fun-ness(1,6.25), enthusiasm(1,6.25), level of understanding(1,6.25), local biz(1,6.25), biz group(1,6.25), govt(1,6.25), investors(1,6.25), media(1,6.25), entrepreneurs(1,6.25), technologists(1,6.25), suppliers(1,6.25), non-profits(1,6.25), reputation(1,6.25),  </v>
      </c>
      <c r="HQ128" s="47" t="str">
        <f t="shared" si="387"/>
        <v xml:space="preserve">enthusiasm(6.25),fun-ness(6.25),enthusiasm(6.25),level of understanding(6.25),local biz(6.25),biz group(6.25),govt(6.25),investors(6.25),media(6.25),entrepreneurs(6.25),technologists(6.25),suppliers(6.25),non-profits(6.25),reputation(6.25), </v>
      </c>
      <c r="HR128" s="47" t="str">
        <f t="shared" ref="HR128:HW128" si="413">IF(HR26="",HR129,$C128&amp;"("&amp;HR26&amp;"),"&amp;HR129)</f>
        <v xml:space="preserve">scale(2),enthusiasm(2),reputation(2),portfolio(2),mobile apps(1),sensors(1),wood processing(1),aesthetics(1), </v>
      </c>
      <c r="HS128" s="47" t="str">
        <f t="shared" si="413"/>
        <v xml:space="preserve"> </v>
      </c>
      <c r="HT128" s="47" t="str">
        <f t="shared" si="413"/>
        <v xml:space="preserve"> </v>
      </c>
      <c r="HU128" s="47" t="str">
        <f t="shared" si="413"/>
        <v xml:space="preserve">gifted designer(1),gifted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8" s="47" t="str">
        <f t="shared" si="413"/>
        <v xml:space="preserve">local biz(1),biz group(1),govt(1),investors(1),media(1),entrepreneurs(1),technologists(1),suppliers(1),non-profits(1),reputation(1), </v>
      </c>
      <c r="HW128" s="47" t="str">
        <f t="shared" si="413"/>
        <v xml:space="preserve">local biz(6.25),biz group(6.25),govt(6.25),investors(6.25),media(6.25),entrepreneurs(6.25),technologists(12.5),suppliers(6.25),non-profits(6.25),reputation(6.25), </v>
      </c>
      <c r="HX128" s="47" t="str">
        <f t="shared" ref="HX128:IU128" si="414">IF(HX26="",HX129,$C128&amp;"("&amp;HX26&amp;"),"&amp;HX129)</f>
        <v xml:space="preserve">gifted designer(1),scale(2),enthusiasm(2),ambition(2),seriousness(2),leader(1),local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8" s="47" t="str">
        <f t="shared" si="414"/>
        <v xml:space="preserve">biz enhancement(1), </v>
      </c>
      <c r="HZ128" s="47" t="str">
        <f t="shared" si="414"/>
        <v xml:space="preserve">biz enhancement(100), </v>
      </c>
      <c r="IA128" s="47" t="str">
        <f t="shared" si="414"/>
        <v xml:space="preserve">community manager(1),PR(1),finance(1),administrator(1),enthusiasm(2),network(2),ambition(2),knowledge(2),spaciousness(2),ease of access(3),efficiency(2),portfolio(4),finance(2),business model(2),marketing(3),team building(2),project management(2),social media(3),negotiation(3), </v>
      </c>
      <c r="IB128" s="47" t="str">
        <f t="shared" si="414"/>
        <v xml:space="preserve">gifted designer(1),gifted business strategist(1),enthusiasm(1),ambition(1),seriousness(1),initiative(1),level of understanding(1),ambition(1),local biz(1),biz group(1),govt(1),media(1),entrepreneurs(1),technologists(1),non-profits(1),reputation(1),team building(1),database(1),AI&amp; data analysis(1),electronics(1),functions(1), </v>
      </c>
      <c r="IC128" s="47" t="str">
        <f t="shared" si="414"/>
        <v xml:space="preserve">gifted designer(6.25),gifted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8" s="47" t="str">
        <f t="shared" si="414"/>
        <v xml:space="preserve">scale(1),technologists(2), </v>
      </c>
      <c r="IE128" s="47" t="str">
        <f t="shared" si="414"/>
        <v xml:space="preserve">web(1),mobile apps(1),security(1),AI&amp; data analysis(1), </v>
      </c>
      <c r="IF128" s="47" t="str">
        <f t="shared" si="414"/>
        <v xml:space="preserve">web(25),mobile apps(25),security(25),AI&amp; data analysis(25), </v>
      </c>
      <c r="IG128" s="47" t="str">
        <f t="shared" si="414"/>
        <v xml:space="preserve">scale(2),enthusiasm(3),attention to details(2),seriousness(2),community manager(1),administrator(1),network(2),entrepreneurs(3),technologists(4),spaciousness(2),ease of access(2),reputation(3),efficiency(2),portfolio(3),web(2),database(2),mobile apps(2),security(2),AI&amp; data analysis(2), </v>
      </c>
      <c r="IH128" s="47" t="str">
        <f t="shared" si="414"/>
        <v xml:space="preserve">technologists(1),web(1),database(1),mobile apps(1),security(1),AI&amp; data analysis(1), </v>
      </c>
      <c r="II128" s="47" t="str">
        <f t="shared" si="414"/>
        <v xml:space="preserve">technologists(6.25),web(6.25),database(6.25),mobile apps(6.25),security(6.25),AI&amp; data analysis(6.25), </v>
      </c>
      <c r="IJ128" s="47" t="str">
        <f t="shared" si="414"/>
        <v xml:space="preserve">scale(1),technologists(2), </v>
      </c>
      <c r="IK128" s="47" t="str">
        <f t="shared" si="414"/>
        <v xml:space="preserve">wood processing(1),metal processing(1),functions(1),safety(1), </v>
      </c>
      <c r="IL128" s="47" t="str">
        <f t="shared" si="414"/>
        <v xml:space="preserve">wood processing(25),metal processing(25),functions(25),safety(25), </v>
      </c>
      <c r="IM128" s="47" t="str">
        <f t="shared" si="414"/>
        <v xml:space="preserve">scale(2),enthusiasm(3),attention to details(2),seriousness(2),community manager(1),administrator(1),network(2),entrepreneurs(3),technologists(4),spaciousness(2),ease of access(2),reputation(3),efficiency(2),portfolio(3),wood processing(2),metal processing(2),functions(2),safety(2), </v>
      </c>
      <c r="IN128" s="47" t="str">
        <f t="shared" si="414"/>
        <v xml:space="preserve">technologists(1),wood processing(1),metal processing(1),functions(1),safety(1),interaction(1), </v>
      </c>
      <c r="IO128" s="47" t="str">
        <f t="shared" si="414"/>
        <v xml:space="preserve">technologists(6.25),wood processing(6.25),metal processing(6.25),functions(6.25),safety(6.25),interaction(6.25), </v>
      </c>
      <c r="IP128" s="57" t="str">
        <f t="shared" si="414"/>
        <v xml:space="preserve">scale(2),local biz(2),reputation(1), </v>
      </c>
      <c r="IQ128" s="47" t="str">
        <f t="shared" si="414"/>
        <v xml:space="preserve">local biz(1),marketing(1), </v>
      </c>
      <c r="IR128" s="47" t="str">
        <f t="shared" si="414"/>
        <v xml:space="preserve">local biz(25),marketing(25), </v>
      </c>
      <c r="IS128" s="47" t="str">
        <f t="shared" si="414"/>
        <v xml:space="preserve">gifted business strategist(2),enthusiasm(2),agility(2),attention to details(2),fun-ness(2),seriousness(2),leader(1),community manager(1),finance(1),administrator(1),enthusiasm(3),network(2),level of understanding(3),local biz(3),biz group(2),govt(2),non-profits(2),reputation(3),efficiency(2),marketing(2), </v>
      </c>
      <c r="IT128" s="47" t="str">
        <f t="shared" si="414"/>
        <v xml:space="preserve">enthusiasm(1),fun-ness(1),seriousness(1),local biz(1),biz group(1),govt(1),non-profits(1),marketing(1), </v>
      </c>
      <c r="IU128" s="47" t="str">
        <f t="shared" si="414"/>
        <v xml:space="preserve">enthusiasm(6.25),fun-ness(6.25),seriousness(6.25),local biz(6.25),biz group(6.25),govt(6.25),non-profits(6.25),marketing(6.25), </v>
      </c>
      <c r="IV128" s="57" t="str">
        <f t="shared" ref="IV128:LG128" si="415">IF(IV26="",IV129,$C128&amp;"("&amp;IV26&amp;"),"&amp;IV129)</f>
        <v xml:space="preserve">scale(2),local biz(2),reputation(1), </v>
      </c>
      <c r="IW128" s="47" t="str">
        <f t="shared" si="415"/>
        <v xml:space="preserve">local biz(1),marketing(1), </v>
      </c>
      <c r="IX128" s="47" t="str">
        <f t="shared" si="415"/>
        <v xml:space="preserve">local biz(25),marketing(25), </v>
      </c>
      <c r="IY128" s="47" t="str">
        <f t="shared" si="415"/>
        <v xml:space="preserve">gifted business strategist(2),enthusiasm(2),agility(2),attention to details(2),fun-ness(2),seriousness(2),leader(1),community manager(1),finance(1),administrator(1),enthusiasm(3),network(2),level of understanding(3),local biz(3),biz group(2),govt(2),reputation(3),efficiency(2),marketing(2), </v>
      </c>
      <c r="IZ128" s="47" t="str">
        <f t="shared" si="415"/>
        <v xml:space="preserve">enthusiasm(1),fun-ness(1),seriousness(1),local biz(1),biz group(1),govt(1),marketing(1), </v>
      </c>
      <c r="JA128" s="47" t="str">
        <f t="shared" si="415"/>
        <v xml:space="preserve">enthusiasm(6.25),fun-ness(6.25),seriousness(6.25),local biz(6.25),biz group(6.25),govt(6.25),marketing(6.25), </v>
      </c>
      <c r="JB128" s="47" t="str">
        <f t="shared" si="415"/>
        <v xml:space="preserve">scale(1),enthusiasm(2), </v>
      </c>
      <c r="JC128" s="47" t="str">
        <f t="shared" si="415"/>
        <v xml:space="preserve"> </v>
      </c>
      <c r="JD128" s="47" t="str">
        <f t="shared" si="415"/>
        <v xml:space="preserve"> </v>
      </c>
      <c r="JE128" s="47" t="str">
        <f t="shared" si="415"/>
        <v xml:space="preserve">gifted designer(1),scale(2),enthusiasm(3),attention to details(2),fun-ness(2),community manager(1),PR(1),administrator(1),network(2),level of understanding(2),technologists(2),spaciousness(1),ease of access(1),reputation(3),efficiency(2), </v>
      </c>
      <c r="JF128" s="47" t="str">
        <f t="shared" si="415"/>
        <v xml:space="preserve">web(1),infrastructrue(1),database(1),mobile apps(1),sensors(1),security(1),AI&amp; data analysis(1),mobile comm(1),VR&amp;AR(1),wood processing(1),metal processing(1),plastic processing(1),electronics(1),fabric(1),aesthetics(1),functions(1),safety(1),interaction(1), </v>
      </c>
      <c r="JG128" s="47" t="str">
        <f t="shared" si="415"/>
        <v xml:space="preserve">web(6.25),infrastructrue(6.25),database(6.25),mobile apps(6.25),sensors(6.25),security(6.25),AI&amp; data analysis(6.25),mobile comm(6.25),VR&amp;AR(6.25),wood processing(6.25),metal processing(6.25),plastic processing(6.25),electronics(6.25),fabric(6.25),aesthetics(6.25),functions(6.25),safety(6.25),interaction(6.25), </v>
      </c>
      <c r="JH128" s="47" t="str">
        <f t="shared" si="415"/>
        <v xml:space="preserve">scale(1),enthusiasm(1),enthusiasm(1),local biz(1),non-profits(1),reputation(2), </v>
      </c>
      <c r="JI128" s="47" t="str">
        <f t="shared" si="415"/>
        <v xml:space="preserve"> </v>
      </c>
      <c r="JJ128" s="47" t="str">
        <f t="shared" si="415"/>
        <v xml:space="preserve"> </v>
      </c>
      <c r="JK128" s="47" t="str">
        <f t="shared" si="415"/>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8" s="47" t="str">
        <f t="shared" si="415"/>
        <v xml:space="preserve">non-profits(1), </v>
      </c>
      <c r="JM128" s="47" t="str">
        <f t="shared" si="415"/>
        <v xml:space="preserve">non-profits(6.25), </v>
      </c>
      <c r="JN128" s="47" t="str">
        <f t="shared" si="415"/>
        <v xml:space="preserve">scale(2),enthusiasm(2),enthusiasm(1),network(1),local biz(1),investors(1),entrepreneurs(1),technologists(1),non-profits(1),reputation(2),portfolio(2), </v>
      </c>
      <c r="JO128" s="47" t="str">
        <f t="shared" si="415"/>
        <v xml:space="preserve"> </v>
      </c>
      <c r="JP128" s="47" t="str">
        <f t="shared" si="415"/>
        <v xml:space="preserve"> </v>
      </c>
      <c r="JQ128" s="47" t="str">
        <f t="shared" si="415"/>
        <v xml:space="preserve">gifted designer(1),gifted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8" s="47" t="str">
        <f t="shared" si="415"/>
        <v xml:space="preserve"> </v>
      </c>
      <c r="JS128" s="47" t="str">
        <f t="shared" si="415"/>
        <v xml:space="preserve"> </v>
      </c>
      <c r="JT128" s="47" t="str">
        <f t="shared" si="415"/>
        <v xml:space="preserve">scale(3),enthusiasm(3),PR(1),administrator(1),enthusiasm(2),network(2),local biz(2),biz group(1),govt(2),investors(2),entrepreneurs(2),technologists(2),non-profits(2),reputation(2),portfolio(3), </v>
      </c>
      <c r="JU128" s="47" t="str">
        <f t="shared" si="415"/>
        <v xml:space="preserve"> </v>
      </c>
      <c r="JV128" s="47" t="str">
        <f t="shared" si="415"/>
        <v xml:space="preserve"> </v>
      </c>
      <c r="JW128" s="47" t="str">
        <f t="shared" si="415"/>
        <v xml:space="preserve">gifted designer(1),gifted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8" s="47" t="str">
        <f t="shared" si="415"/>
        <v xml:space="preserve"> </v>
      </c>
      <c r="JY128" s="47" t="str">
        <f t="shared" si="415"/>
        <v xml:space="preserve"> </v>
      </c>
      <c r="JZ128" s="47" t="str">
        <f t="shared" si="415"/>
        <v xml:space="preserve">scale(1),enthusiasm(2),network(1),non-profits(1),reputation(2),social project(2), </v>
      </c>
      <c r="KA128" s="47" t="str">
        <f t="shared" si="415"/>
        <v xml:space="preserve">non-profits(1), </v>
      </c>
      <c r="KB128" s="47" t="str">
        <f t="shared" si="415"/>
        <v xml:space="preserve">non-profits(25), </v>
      </c>
      <c r="KC128" s="47" t="str">
        <f t="shared" si="415"/>
        <v xml:space="preserve">gifted designer(1),scale(2),enthusiasm(3),ambition(2),attention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8" s="47" t="str">
        <f t="shared" si="415"/>
        <v xml:space="preserve">non-profits(1), </v>
      </c>
      <c r="KE128" s="47" t="str">
        <f t="shared" si="415"/>
        <v xml:space="preserve">non-profits(6.25), </v>
      </c>
      <c r="KF128" s="47" t="str">
        <f t="shared" si="415"/>
        <v xml:space="preserve"> </v>
      </c>
      <c r="KG128" s="47" t="str">
        <f t="shared" si="415"/>
        <v xml:space="preserve"> </v>
      </c>
      <c r="KH128" s="47" t="str">
        <f t="shared" si="415"/>
        <v xml:space="preserve"> </v>
      </c>
      <c r="KI128" s="47" t="str">
        <f t="shared" si="415"/>
        <v xml:space="preserve"> </v>
      </c>
      <c r="KJ128" s="47" t="str">
        <f t="shared" si="415"/>
        <v xml:space="preserve"> </v>
      </c>
      <c r="KK128" s="47" t="str">
        <f t="shared" si="415"/>
        <v xml:space="preserve"> </v>
      </c>
      <c r="KL128" s="57" t="str">
        <f t="shared" si="415"/>
        <v xml:space="preserve"> </v>
      </c>
      <c r="KM128" s="47" t="str">
        <f t="shared" si="415"/>
        <v xml:space="preserve"> </v>
      </c>
      <c r="KN128" s="47" t="str">
        <f t="shared" si="415"/>
        <v xml:space="preserve"> </v>
      </c>
      <c r="KO128" s="47" t="str">
        <f t="shared" si="415"/>
        <v xml:space="preserve"> </v>
      </c>
      <c r="KP128" s="47" t="str">
        <f t="shared" si="415"/>
        <v xml:space="preserve"> </v>
      </c>
      <c r="KQ128" s="47" t="str">
        <f t="shared" si="415"/>
        <v xml:space="preserve"> </v>
      </c>
      <c r="KR128" s="57" t="str">
        <f t="shared" si="415"/>
        <v xml:space="preserve"> </v>
      </c>
      <c r="KS128" s="47" t="str">
        <f t="shared" si="415"/>
        <v xml:space="preserve"> </v>
      </c>
      <c r="KT128" s="47" t="str">
        <f t="shared" si="415"/>
        <v xml:space="preserve"> </v>
      </c>
      <c r="KU128" s="47" t="str">
        <f t="shared" si="415"/>
        <v xml:space="preserve"> </v>
      </c>
      <c r="KV128" s="47" t="str">
        <f t="shared" si="415"/>
        <v xml:space="preserve"> </v>
      </c>
      <c r="KW128" s="47" t="str">
        <f t="shared" si="415"/>
        <v xml:space="preserve"> </v>
      </c>
      <c r="KX128" s="57" t="str">
        <f t="shared" si="415"/>
        <v xml:space="preserve"> </v>
      </c>
      <c r="KY128" s="47" t="str">
        <f t="shared" si="415"/>
        <v xml:space="preserve"> </v>
      </c>
      <c r="KZ128" s="47" t="str">
        <f t="shared" si="415"/>
        <v xml:space="preserve"> </v>
      </c>
      <c r="LA128" s="47" t="str">
        <f t="shared" si="415"/>
        <v xml:space="preserve"> </v>
      </c>
      <c r="LB128" s="47" t="str">
        <f t="shared" si="415"/>
        <v xml:space="preserve"> </v>
      </c>
      <c r="LC128" s="47" t="str">
        <f t="shared" si="415"/>
        <v xml:space="preserve"> </v>
      </c>
      <c r="LD128" s="57" t="str">
        <f t="shared" si="415"/>
        <v xml:space="preserve"> </v>
      </c>
      <c r="LE128" s="47" t="str">
        <f t="shared" si="415"/>
        <v xml:space="preserve"> </v>
      </c>
      <c r="LF128" s="47" t="str">
        <f t="shared" si="415"/>
        <v xml:space="preserve"> </v>
      </c>
      <c r="LG128" s="47" t="str">
        <f t="shared" si="415"/>
        <v xml:space="preserve"> </v>
      </c>
      <c r="LH128" s="47" t="str">
        <f t="shared" ref="LH128:NM128" si="416">IF(LH26="",LH129,$C128&amp;"("&amp;LH26&amp;"),"&amp;LH129)</f>
        <v xml:space="preserve"> </v>
      </c>
      <c r="LI128" s="47" t="str">
        <f t="shared" si="416"/>
        <v xml:space="preserve"> </v>
      </c>
      <c r="LJ128" s="57" t="str">
        <f t="shared" si="416"/>
        <v xml:space="preserve"> </v>
      </c>
      <c r="LK128" s="47" t="str">
        <f t="shared" si="416"/>
        <v xml:space="preserve"> </v>
      </c>
      <c r="LL128" s="47" t="str">
        <f t="shared" si="416"/>
        <v xml:space="preserve"> </v>
      </c>
      <c r="LM128" s="47" t="str">
        <f t="shared" si="416"/>
        <v xml:space="preserve"> </v>
      </c>
      <c r="LN128" s="47" t="str">
        <f t="shared" si="416"/>
        <v xml:space="preserve"> </v>
      </c>
      <c r="LO128" s="47" t="str">
        <f t="shared" si="416"/>
        <v xml:space="preserve"> </v>
      </c>
      <c r="LP128" s="57" t="str">
        <f t="shared" si="416"/>
        <v xml:space="preserve"> </v>
      </c>
      <c r="LQ128" s="47" t="str">
        <f t="shared" si="416"/>
        <v xml:space="preserve"> </v>
      </c>
      <c r="LR128" s="47" t="str">
        <f t="shared" si="416"/>
        <v xml:space="preserve"> </v>
      </c>
      <c r="LS128" s="47" t="str">
        <f t="shared" si="416"/>
        <v xml:space="preserve"> </v>
      </c>
      <c r="LT128" s="47" t="str">
        <f t="shared" si="416"/>
        <v xml:space="preserve"> </v>
      </c>
      <c r="LU128" s="47" t="str">
        <f t="shared" si="416"/>
        <v xml:space="preserve"> </v>
      </c>
      <c r="LV128" s="57" t="str">
        <f t="shared" si="416"/>
        <v xml:space="preserve"> </v>
      </c>
      <c r="LW128" s="47" t="str">
        <f t="shared" si="416"/>
        <v xml:space="preserve"> </v>
      </c>
      <c r="LX128" s="47" t="str">
        <f t="shared" si="416"/>
        <v xml:space="preserve"> </v>
      </c>
      <c r="LY128" s="47" t="str">
        <f t="shared" si="416"/>
        <v xml:space="preserve"> </v>
      </c>
      <c r="LZ128" s="47" t="str">
        <f t="shared" si="416"/>
        <v xml:space="preserve"> </v>
      </c>
      <c r="MA128" s="47" t="str">
        <f t="shared" si="416"/>
        <v xml:space="preserve"> </v>
      </c>
      <c r="MB128" s="57" t="str">
        <f t="shared" si="416"/>
        <v xml:space="preserve"> </v>
      </c>
      <c r="MC128" s="47" t="str">
        <f t="shared" si="416"/>
        <v xml:space="preserve"> </v>
      </c>
      <c r="MD128" s="47" t="str">
        <f t="shared" si="416"/>
        <v xml:space="preserve"> </v>
      </c>
      <c r="ME128" s="47" t="str">
        <f t="shared" si="416"/>
        <v xml:space="preserve"> </v>
      </c>
      <c r="MF128" s="47" t="str">
        <f t="shared" si="416"/>
        <v xml:space="preserve"> </v>
      </c>
      <c r="MG128" s="47" t="str">
        <f t="shared" si="416"/>
        <v xml:space="preserve"> </v>
      </c>
      <c r="MH128" s="57" t="str">
        <f t="shared" si="416"/>
        <v xml:space="preserve"> </v>
      </c>
      <c r="MI128" s="47" t="str">
        <f t="shared" si="416"/>
        <v xml:space="preserve"> </v>
      </c>
      <c r="MJ128" s="47" t="str">
        <f t="shared" si="416"/>
        <v xml:space="preserve"> </v>
      </c>
      <c r="MK128" s="47" t="str">
        <f t="shared" si="416"/>
        <v xml:space="preserve"> </v>
      </c>
      <c r="ML128" s="47" t="str">
        <f t="shared" si="416"/>
        <v xml:space="preserve"> </v>
      </c>
      <c r="MM128" s="47" t="str">
        <f t="shared" si="416"/>
        <v xml:space="preserve"> </v>
      </c>
      <c r="MN128" s="57" t="str">
        <f t="shared" si="416"/>
        <v xml:space="preserve"> </v>
      </c>
      <c r="MO128" s="47" t="str">
        <f t="shared" si="416"/>
        <v xml:space="preserve"> </v>
      </c>
      <c r="MP128" s="47" t="str">
        <f t="shared" si="416"/>
        <v xml:space="preserve"> </v>
      </c>
      <c r="MQ128" s="47" t="str">
        <f t="shared" si="416"/>
        <v xml:space="preserve"> </v>
      </c>
      <c r="MR128" s="47" t="str">
        <f t="shared" si="416"/>
        <v xml:space="preserve"> </v>
      </c>
      <c r="MS128" s="47" t="str">
        <f t="shared" si="416"/>
        <v xml:space="preserve"> </v>
      </c>
      <c r="MT128" s="57" t="str">
        <f t="shared" si="416"/>
        <v xml:space="preserve"> </v>
      </c>
      <c r="MU128" s="47" t="str">
        <f t="shared" si="416"/>
        <v xml:space="preserve"> </v>
      </c>
      <c r="MV128" s="47" t="str">
        <f t="shared" si="416"/>
        <v xml:space="preserve"> </v>
      </c>
      <c r="MW128" s="47" t="str">
        <f t="shared" si="416"/>
        <v xml:space="preserve"> </v>
      </c>
      <c r="MX128" s="47" t="str">
        <f t="shared" si="416"/>
        <v xml:space="preserve"> </v>
      </c>
      <c r="MY128" s="47" t="str">
        <f t="shared" si="416"/>
        <v xml:space="preserve"> </v>
      </c>
      <c r="MZ128" s="57" t="str">
        <f t="shared" si="416"/>
        <v xml:space="preserve"> </v>
      </c>
      <c r="NA128" s="47" t="str">
        <f t="shared" si="416"/>
        <v xml:space="preserve"> </v>
      </c>
      <c r="NB128" s="47" t="str">
        <f t="shared" si="416"/>
        <v xml:space="preserve"> </v>
      </c>
      <c r="NC128" s="47" t="str">
        <f t="shared" si="416"/>
        <v xml:space="preserve"> </v>
      </c>
      <c r="ND128" s="47" t="str">
        <f t="shared" si="416"/>
        <v xml:space="preserve"> </v>
      </c>
      <c r="NE128" s="47" t="str">
        <f t="shared" si="416"/>
        <v xml:space="preserve"> </v>
      </c>
      <c r="NF128" s="57" t="str">
        <f t="shared" si="416"/>
        <v xml:space="preserve"> </v>
      </c>
      <c r="NG128" s="47" t="str">
        <f t="shared" si="416"/>
        <v xml:space="preserve"> </v>
      </c>
      <c r="NH128" s="47" t="str">
        <f t="shared" si="416"/>
        <v xml:space="preserve"> </v>
      </c>
      <c r="NI128" s="47" t="str">
        <f t="shared" si="416"/>
        <v xml:space="preserve"> </v>
      </c>
      <c r="NJ128" s="47" t="str">
        <f t="shared" si="416"/>
        <v xml:space="preserve"> </v>
      </c>
      <c r="NK128" s="47" t="str">
        <f t="shared" si="416"/>
        <v xml:space="preserve"> </v>
      </c>
      <c r="NL128" s="57" t="str">
        <f t="shared" si="416"/>
        <v xml:space="preserve"> </v>
      </c>
      <c r="NM128" s="47" t="str">
        <f t="shared" si="416"/>
        <v xml:space="preserve"> </v>
      </c>
    </row>
    <row r="129" spans="3:377" ht="15.75" customHeight="1">
      <c r="C129" s="7" t="str">
        <f t="shared" si="296"/>
        <v>gifted business strategist</v>
      </c>
      <c r="D129" s="21" t="str">
        <f t="shared" si="169"/>
        <v xml:space="preserve">scale 1
 </v>
      </c>
      <c r="E129" s="21" t="str">
        <f t="shared" si="297"/>
        <v xml:space="preserve"> </v>
      </c>
      <c r="F129" s="21" t="str">
        <f t="shared" si="170"/>
        <v xml:space="preserve"> </v>
      </c>
      <c r="G129" s="21" t="str">
        <f t="shared" si="298"/>
        <v xml:space="preserve">enthusiasm(2), fun-ness(1), community manager(1), PR(1), fame(1), network(2), ease of access(1), reputation(2), social media(1),  </v>
      </c>
      <c r="H129" s="21" t="str">
        <f t="shared" si="299"/>
        <v xml:space="preserve"> </v>
      </c>
      <c r="I129" s="21" t="str">
        <f t="shared" ref="I129" si="417">IF(I27="",I130,$C129&amp;"("&amp;I27&amp;"),"&amp;I130)</f>
        <v xml:space="preserve"> </v>
      </c>
      <c r="J129" s="21" t="str">
        <f t="shared" si="376"/>
        <v xml:space="preserve">scale 1
interaction 1
 </v>
      </c>
      <c r="K129" s="21" t="str">
        <f t="shared" si="173"/>
        <v xml:space="preserve">reputation(1,75),  </v>
      </c>
      <c r="L129" s="21" t="str">
        <f t="shared" si="377"/>
        <v xml:space="preserve">reputation 75
 </v>
      </c>
      <c r="M129" s="21" t="str">
        <f t="shared" si="175"/>
        <v xml:space="preserve">PR(1), portfolio(1), social innovation(1), non-profit biz(1),  </v>
      </c>
      <c r="N129" s="21" t="str">
        <f t="shared" si="176"/>
        <v xml:space="preserve">seriousness(1,25), non-profits(1,12.5), reputation(1,75), marketing(1,12.5),  </v>
      </c>
      <c r="O129" s="21" t="str">
        <f t="shared" si="378"/>
        <v xml:space="preserve">seriousness(25),non-profits(12.5),reputation(75),marketing(12.5), </v>
      </c>
      <c r="P129" s="21" t="str">
        <f t="shared" si="376"/>
        <v xml:space="preserve">scale 1
biz project 1
 </v>
      </c>
      <c r="Q129" s="21" t="str">
        <f t="shared" si="178"/>
        <v xml:space="preserve"> </v>
      </c>
      <c r="R129" s="21" t="str">
        <f t="shared" si="377"/>
        <v xml:space="preserve"> </v>
      </c>
      <c r="S129" s="21" t="str">
        <f t="shared" si="179"/>
        <v xml:space="preserve">portfolio(1), biz enhancement(1), business(1), start-up(1),  </v>
      </c>
      <c r="T129" s="21" t="str">
        <f t="shared" si="180"/>
        <v xml:space="preserve">seriousness(1,25), local biz(1,6.25), investors(1,6.25), reputation(1,6.25),  </v>
      </c>
      <c r="U129" s="21" t="str">
        <f t="shared" si="378"/>
        <v xml:space="preserve">seriousness(25),local biz(6.25),investors(6.25),reputation(6.25), </v>
      </c>
      <c r="V129" s="21" t="str">
        <f t="shared" si="376"/>
        <v xml:space="preserve">scale 1
 </v>
      </c>
      <c r="W129" s="21" t="str">
        <f t="shared" si="181"/>
        <v xml:space="preserve">local biz(1,),  </v>
      </c>
      <c r="X129" s="21" t="str">
        <f t="shared" si="377"/>
        <v xml:space="preserve"> </v>
      </c>
      <c r="Y129" s="21" t="str">
        <f t="shared" si="182"/>
        <v xml:space="preserve">enthusiasm(1), attention to details(1), PR(1), network(1), ease of access(1), reputation(1), portfolio(1), biz project(1), biz enhancement(1), job creation(1), business(1),  </v>
      </c>
      <c r="Z129" s="21" t="str">
        <f t="shared" si="183"/>
        <v xml:space="preserve">local biz(1,6.25),  </v>
      </c>
      <c r="AA129" s="21" t="str">
        <f t="shared" si="378"/>
        <v xml:space="preserve">local biz(6.25), </v>
      </c>
      <c r="AB129" s="21" t="str">
        <f t="shared" si="376"/>
        <v xml:space="preserve">scale 1
 </v>
      </c>
      <c r="AC129" s="21" t="str">
        <f t="shared" si="184"/>
        <v xml:space="preserve">non-profits(1,100),  </v>
      </c>
      <c r="AD129" s="21" t="str">
        <f t="shared" si="377"/>
        <v xml:space="preserve">non-profits 100
 </v>
      </c>
      <c r="AE129" s="21" t="str">
        <f t="shared" si="185"/>
        <v xml:space="preserve">enthusiasm(1), attention to details(1), PR(1), network(1), ease of access(1), reputation(1), portfolio(1), social project(1), social innovation(1), non-profit biz(1),  </v>
      </c>
      <c r="AF129" s="21" t="str">
        <f t="shared" si="186"/>
        <v xml:space="preserve">seriousness(1,6.25), non-profits(1,6.25),  </v>
      </c>
      <c r="AG129" s="21" t="str">
        <f t="shared" si="378"/>
        <v xml:space="preserve">seriousness(6.25),non-profits(6.25), </v>
      </c>
      <c r="AH129" s="21" t="str">
        <f t="shared" si="376"/>
        <v xml:space="preserve">scale 1
 </v>
      </c>
      <c r="AI129" s="21" t="str">
        <f t="shared" si="187"/>
        <v xml:space="preserve">govt(1,),  </v>
      </c>
      <c r="AJ129" s="21" t="str">
        <f t="shared" si="377"/>
        <v xml:space="preserve"> </v>
      </c>
      <c r="AK129" s="21" t="str">
        <f t="shared" si="188"/>
        <v xml:space="preserve">enthusiasm(1), attention to details(1), seriousness(1), fame(1), network(1), govt(1), ease of access(1), reputation(2), portfolio(1), social project(1), social innovation(1), non-profit biz(1),  </v>
      </c>
      <c r="AL129" s="21" t="str">
        <f t="shared" si="189"/>
        <v xml:space="preserve">govt(1,6.25),  </v>
      </c>
      <c r="AM129" s="21" t="str">
        <f t="shared" si="378"/>
        <v xml:space="preserve">govt(6.25), </v>
      </c>
      <c r="AN129" s="21" t="str">
        <f t="shared" si="376"/>
        <v xml:space="preserve">scale 1
enthusiasm 1
 </v>
      </c>
      <c r="AO129" s="21" t="str">
        <f t="shared" si="190"/>
        <v xml:space="preserve">fame(1,), network(1,), investors(1,6.25),  </v>
      </c>
      <c r="AP129" s="21" t="str">
        <f t="shared" si="377"/>
        <v xml:space="preserve">investors 6.25
 </v>
      </c>
      <c r="AQ129" s="21" t="str">
        <f t="shared" si="191"/>
        <v xml:space="preserve">investors(1), ease of access(1), reputation(1), portfolio(1), start-up(1), start-up with mvp(1), start-up with customers(1),  </v>
      </c>
      <c r="AR129" s="21" t="str">
        <f t="shared" si="192"/>
        <v xml:space="preserve"> </v>
      </c>
      <c r="AS129" s="21" t="str">
        <f t="shared" si="378"/>
        <v xml:space="preserve"> </v>
      </c>
      <c r="AT129" s="21" t="str">
        <f t="shared" si="376"/>
        <v xml:space="preserve">scale 2
enthusiasm 1
seriousness 1
administrator 1
non-profits 2
reputation 1
portfolio 1
social project 1
 </v>
      </c>
      <c r="AU129" s="21" t="str">
        <f t="shared" si="193"/>
        <v xml:space="preserve">ambition(1,), attention to details(1,),  </v>
      </c>
      <c r="AV129" s="21" t="str">
        <f t="shared" si="377"/>
        <v xml:space="preserve"> </v>
      </c>
      <c r="AW129" s="21" t="str">
        <f t="shared" si="194"/>
        <v xml:space="preserve">enthusiasm(3), PR(2), administrator(1), project management(2),  </v>
      </c>
      <c r="AX129" s="21" t="str">
        <f t="shared" si="195"/>
        <v xml:space="preserve">organizational rules and manuals(1,12.5), project management(1,12.5),  </v>
      </c>
      <c r="AY129" s="21" t="str">
        <f t="shared" si="378"/>
        <v xml:space="preserve">organizational rules and manuals(12.5),project management(12.5), </v>
      </c>
      <c r="AZ129" s="21" t="str">
        <f t="shared" si="376"/>
        <v xml:space="preserve">scale 1
enthusiasm 1
non-profits 1
 </v>
      </c>
      <c r="BA129" s="21" t="str">
        <f t="shared" si="196"/>
        <v xml:space="preserve"> </v>
      </c>
      <c r="BB129" s="21" t="str">
        <f t="shared" si="377"/>
        <v xml:space="preserve"> </v>
      </c>
      <c r="BC129" s="21" t="str">
        <f t="shared" si="197"/>
        <v xml:space="preserve"> </v>
      </c>
      <c r="BD129" s="21" t="str">
        <f t="shared" si="198"/>
        <v xml:space="preserve"> </v>
      </c>
      <c r="BE129" s="21" t="str">
        <f t="shared" si="378"/>
        <v xml:space="preserve"> </v>
      </c>
      <c r="BF129" s="21" t="str">
        <f t="shared" si="376"/>
        <v xml:space="preserve">scale 2
enthusiasm 1
seriousness 1
administrator 1
local biz 2
entrepreneurs 1
reputation 1
portfolio 1
biz project 1
 </v>
      </c>
      <c r="BG129" s="21" t="str">
        <f t="shared" si="199"/>
        <v xml:space="preserve">ambition(1,), attention to details(1,),  </v>
      </c>
      <c r="BH129" s="21" t="str">
        <f t="shared" si="377"/>
        <v xml:space="preserve"> </v>
      </c>
      <c r="BI129" s="21" t="str">
        <f t="shared" si="200"/>
        <v xml:space="preserve">enthusiasm(3), PR(2), administrator(1), project management(2),  </v>
      </c>
      <c r="BJ129" s="21" t="str">
        <f t="shared" si="201"/>
        <v xml:space="preserve">organizational rules and manuals(1,12.5), project management(1,12.5),  </v>
      </c>
      <c r="BK129" s="21" t="str">
        <f t="shared" si="378"/>
        <v xml:space="preserve">organizational rules and manuals(12.5),project management(12.5), </v>
      </c>
      <c r="BL129" s="21" t="str">
        <f t="shared" si="376"/>
        <v xml:space="preserve">scale 1
enthusiasm 1
local biz 1
reputation 1
portfolio 1
biz enhancement 1
 </v>
      </c>
      <c r="BM129" s="21" t="str">
        <f t="shared" si="202"/>
        <v xml:space="preserve"> </v>
      </c>
      <c r="BN129" s="21" t="str">
        <f t="shared" si="377"/>
        <v xml:space="preserve"> </v>
      </c>
      <c r="BO129" s="21" t="str">
        <f t="shared" si="203"/>
        <v xml:space="preserve"> </v>
      </c>
      <c r="BP129" s="21" t="str">
        <f t="shared" si="204"/>
        <v xml:space="preserve"> </v>
      </c>
      <c r="BQ129" s="21" t="str">
        <f t="shared" si="378"/>
        <v xml:space="preserve"> </v>
      </c>
      <c r="BR129" s="21" t="str">
        <f t="shared" si="376"/>
        <v xml:space="preserve"> </v>
      </c>
      <c r="BS129" s="21" t="str">
        <f t="shared" si="205"/>
        <v xml:space="preserve"> </v>
      </c>
      <c r="BT129" s="21" t="str">
        <f t="shared" si="377"/>
        <v xml:space="preserve"> </v>
      </c>
      <c r="BU129" s="21" t="str">
        <f t="shared" si="206"/>
        <v xml:space="preserve"> </v>
      </c>
      <c r="BV129" s="21" t="str">
        <f t="shared" si="207"/>
        <v xml:space="preserve"> </v>
      </c>
      <c r="BW129" s="21" t="str">
        <f t="shared" si="378"/>
        <v xml:space="preserve"> </v>
      </c>
      <c r="BX129" s="21" t="str">
        <f t="shared" si="379"/>
        <v xml:space="preserve">scale 1
network 1
 </v>
      </c>
      <c r="BY129" s="21" t="str">
        <f t="shared" si="209"/>
        <v xml:space="preserve">efficiency(1,),  </v>
      </c>
      <c r="BZ129" s="21" t="str">
        <f t="shared" si="380"/>
        <v xml:space="preserve"> </v>
      </c>
      <c r="CA129" s="21" t="str">
        <f t="shared" si="211"/>
        <v xml:space="preserve">scale(2), enthusiasm(1), attention to details(1), administrator(1), negotiation(1),  </v>
      </c>
      <c r="CB129" s="21" t="str">
        <f t="shared" si="212"/>
        <v xml:space="preserve">user rules and manuals(1,50), organizational rules and manuals(1,50),  </v>
      </c>
      <c r="CC129" s="21" t="str">
        <f t="shared" si="381"/>
        <v xml:space="preserve">user rules and manuals(50),organizational rules and manuals(50), </v>
      </c>
      <c r="CD129" s="21" t="str">
        <f t="shared" si="379"/>
        <v xml:space="preserve">scale 1
enthusiasm 1
network 1
 </v>
      </c>
      <c r="CE129" s="21" t="str">
        <f t="shared" si="214"/>
        <v xml:space="preserve">non-profits(1,),  </v>
      </c>
      <c r="CF129" s="21" t="str">
        <f t="shared" si="380"/>
        <v xml:space="preserve"> </v>
      </c>
      <c r="CG129" s="21" t="str">
        <f t="shared" si="215"/>
        <v xml:space="preserve">fun-ness(1), seriousness(1), ease of access(1), portfolio(1), user rules and manuals(1), negotiation(1), social project(1), biz project(1), for basic literacy(1), for the elites(1), for entrepreneurs(1),  </v>
      </c>
      <c r="CH129" s="21" t="str">
        <f t="shared" si="216"/>
        <v xml:space="preserve">technologists(1,6.25), non-profits(1,6.25),  </v>
      </c>
      <c r="CI129" s="21" t="str">
        <f t="shared" si="381"/>
        <v xml:space="preserve">technologists(6.25),non-profits(6.25), </v>
      </c>
      <c r="CJ129" s="21" t="str">
        <f t="shared" si="379"/>
        <v xml:space="preserve">scale 1
 </v>
      </c>
      <c r="CK129" s="21" t="str">
        <f t="shared" si="217"/>
        <v xml:space="preserve">suppliers(1,),  </v>
      </c>
      <c r="CL129" s="21" t="str">
        <f t="shared" si="380"/>
        <v xml:space="preserve"> </v>
      </c>
      <c r="CM129" s="21" t="str">
        <f t="shared" si="218"/>
        <v xml:space="preserve">reputation(1), negotiation(1),  </v>
      </c>
      <c r="CN129" s="21" t="str">
        <f t="shared" si="219"/>
        <v xml:space="preserve">enthusiasm(2,), efficiency(1,6.25),  </v>
      </c>
      <c r="CO129" s="21" t="str">
        <f t="shared" si="381"/>
        <v xml:space="preserve">efficiency(6.25), </v>
      </c>
      <c r="CP129" s="21" t="str">
        <f t="shared" si="379"/>
        <v xml:space="preserve">scale 1
 </v>
      </c>
      <c r="CQ129" s="21" t="str">
        <f t="shared" si="220"/>
        <v xml:space="preserve">technologists(1,),  </v>
      </c>
      <c r="CR129" s="21" t="str">
        <f t="shared" si="380"/>
        <v xml:space="preserve"> </v>
      </c>
      <c r="CS129" s="21" t="str">
        <f t="shared" si="221"/>
        <v xml:space="preserve">enthusiasm(1), network(1), portfolio(1), negotiation(1), web(1), infrastructrue(1), database(1), mobile apps(1), sensors(1), security(1), AI&amp; data analysis(1), mobile comm(1), VR&amp;AR(1), wood processing(1), metal processing(1), plastic processing(1), electronics(1), fabric(1),  </v>
      </c>
      <c r="CT129" s="21" t="str">
        <f t="shared" si="222"/>
        <v xml:space="preserve">efficiency(1,6.25),  </v>
      </c>
      <c r="CU129" s="21" t="str">
        <f t="shared" si="381"/>
        <v xml:space="preserve">efficiency(6.25), </v>
      </c>
      <c r="CV129" s="21" t="str">
        <f t="shared" si="379"/>
        <v xml:space="preserve">scale 1
 </v>
      </c>
      <c r="CW129" s="21" t="str">
        <f t="shared" si="223"/>
        <v xml:space="preserve">local biz(1,),  </v>
      </c>
      <c r="CX129" s="21" t="str">
        <f t="shared" si="380"/>
        <v xml:space="preserve"> </v>
      </c>
      <c r="CY129" s="21" t="str">
        <f t="shared" si="224"/>
        <v xml:space="preserve">ease of access(1), reputation(1), portfolio(1), negotiation(1),  </v>
      </c>
      <c r="CZ129" s="21" t="str">
        <f t="shared" si="225"/>
        <v xml:space="preserve">non-profits(1,6.25),  </v>
      </c>
      <c r="DA129" s="21" t="str">
        <f t="shared" si="381"/>
        <v xml:space="preserve">non-profits(6.25), </v>
      </c>
      <c r="DB129" s="21" t="str">
        <f t="shared" si="379"/>
        <v xml:space="preserve"> </v>
      </c>
      <c r="DC129" s="21" t="str">
        <f t="shared" si="226"/>
        <v xml:space="preserve"> </v>
      </c>
      <c r="DD129" s="21" t="str">
        <f t="shared" si="380"/>
        <v xml:space="preserve"> </v>
      </c>
      <c r="DE129" s="21" t="str">
        <f t="shared" si="227"/>
        <v xml:space="preserve">gifted business strategist(1), 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29" s="21" t="str">
        <f t="shared" si="228"/>
        <v xml:space="preserve">network(1,), local biz(1,6.25), biz group(1,6.25), investors(1,6.25), entrepreneurs(1,6.25),  </v>
      </c>
      <c r="DG129" s="21" t="str">
        <f t="shared" si="381"/>
        <v xml:space="preserve">local biz(6.25),biz group(6.25),investors(6.25),entrepreneurs(6.25), </v>
      </c>
      <c r="DH129" s="21" t="str">
        <f t="shared" si="379"/>
        <v xml:space="preserve">scale 1
enthusiasm 1
network 1
non-profits 1
reputation 1
social project 1
 </v>
      </c>
      <c r="DI129" s="21" t="str">
        <f t="shared" si="229"/>
        <v xml:space="preserve"> </v>
      </c>
      <c r="DJ129" s="21" t="str">
        <f t="shared" si="380"/>
        <v xml:space="preserve"> </v>
      </c>
      <c r="DK129" s="21" t="str">
        <f t="shared" si="230"/>
        <v xml:space="preserve">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29" s="21" t="str">
        <f t="shared" si="231"/>
        <v xml:space="preserve">reputation(1,6.25),  </v>
      </c>
      <c r="DM129" s="21" t="str">
        <f t="shared" si="381"/>
        <v xml:space="preserve">reputation(6.25), </v>
      </c>
      <c r="DN129" s="21" t="str">
        <f t="shared" si="379"/>
        <v xml:space="preserve">scale 1
enthusiasm 1
network 1
local biz 1
reputation 1
biz project 1
 </v>
      </c>
      <c r="DO129" s="21" t="str">
        <f t="shared" si="232"/>
        <v xml:space="preserve"> </v>
      </c>
      <c r="DP129" s="21" t="str">
        <f t="shared" si="380"/>
        <v xml:space="preserve"> </v>
      </c>
      <c r="DQ129" s="21" t="str">
        <f t="shared" si="233"/>
        <v xml:space="preserve">gifted business strategist(1), 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29" s="21" t="str">
        <f t="shared" si="234"/>
        <v xml:space="preserve">reputation(1,6.25),  </v>
      </c>
      <c r="DS129" s="21" t="str">
        <f t="shared" si="381"/>
        <v xml:space="preserve">reputation(6.25), </v>
      </c>
      <c r="DT129" s="21" t="str">
        <f t="shared" si="379"/>
        <v xml:space="preserve">scale 1
enthusiasm 1
network 1
reputation 1
 </v>
      </c>
      <c r="DU129" s="21" t="str">
        <f t="shared" si="235"/>
        <v xml:space="preserve"> </v>
      </c>
      <c r="DV129" s="21" t="str">
        <f t="shared" si="380"/>
        <v xml:space="preserve"> </v>
      </c>
      <c r="DW129"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29" s="21" t="str">
        <f t="shared" si="237"/>
        <v xml:space="preserve">ambition(1,6.25), reputation(1,6.25), for basic literacy(1,6.25),  </v>
      </c>
      <c r="DY129" s="21" t="str">
        <f t="shared" si="381"/>
        <v xml:space="preserve">ambition(6.25),reputation(6.25),for basic literacy(6.25), </v>
      </c>
      <c r="DZ129" s="21" t="str">
        <f t="shared" si="379"/>
        <v xml:space="preserve">scale 1
enthusiasm 1
network 1
reputation 1
 </v>
      </c>
      <c r="EA129" s="21" t="str">
        <f t="shared" si="238"/>
        <v xml:space="preserve"> </v>
      </c>
      <c r="EB129" s="21" t="str">
        <f t="shared" si="380"/>
        <v xml:space="preserve"> </v>
      </c>
      <c r="EC129"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29" s="21" t="str">
        <f t="shared" si="240"/>
        <v xml:space="preserve">ambition(1,6.25), reputation(1,6.25), for basic literacy(1,6.25),  </v>
      </c>
      <c r="EE129" s="21" t="str">
        <f t="shared" si="381"/>
        <v xml:space="preserve">ambition(6.25),reputation(6.25),for basic literacy(6.25), </v>
      </c>
      <c r="EF129" s="21" t="str">
        <f t="shared" si="379"/>
        <v xml:space="preserve">technologists 1
reputation 1
 </v>
      </c>
      <c r="EG129" s="21" t="str">
        <f t="shared" si="241"/>
        <v xml:space="preserve">web(1,50), mobile apps(1,50), interaction(1,50),  </v>
      </c>
      <c r="EH129" s="21" t="str">
        <f t="shared" si="380"/>
        <v xml:space="preserve">web 50
mobile apps 50
interaction 50
 </v>
      </c>
      <c r="EI129" s="21" t="str">
        <f t="shared" si="242"/>
        <v xml:space="preserve">scale(2), enthusiasm(2), seriousness(2), initiative(1), community manager(1), administrator(1), enthusiasm(1), fame(1), network(2), level of understanding(1), technologists(2), ease of access(1), reputation(2), infrastructrue(1), database(1), mobile comm(1), for entrepreneurs(1),  </v>
      </c>
      <c r="EJ129" s="21" t="str">
        <f t="shared" si="243"/>
        <v xml:space="preserve">technologists(1,12.5), infrastructrue(1,12.5), database(1,12.5), mobile comm(1,12.5), for entrepreneurs(1,6.25),  </v>
      </c>
      <c r="EK129" s="21" t="str">
        <f t="shared" si="381"/>
        <v xml:space="preserve">technologists(12.5),infrastructrue(12.5),database(12.5),mobile comm(12.5),for entrepreneurs(6.25), </v>
      </c>
      <c r="EL129" s="21" t="str">
        <f t="shared" si="382"/>
        <v xml:space="preserve">technologists 1
reputation 1
 </v>
      </c>
      <c r="EM129" s="21" t="str">
        <f t="shared" si="245"/>
        <v xml:space="preserve">sensors(1,50),  </v>
      </c>
      <c r="EN129" s="21" t="str">
        <f t="shared" si="383"/>
        <v xml:space="preserve">sensors 50
 </v>
      </c>
      <c r="EO129" s="21" t="str">
        <f t="shared" si="247"/>
        <v xml:space="preserve">scale(2), enthusiasm(2), seriousness(2), initiative(1), community manager(1), administrator(1), enthusiasm(1), fame(1), network(2), level of understanding(1), technologists(2), ease of access(1), reputation(2), project management(2), infrastructrue(1), database(1), mobile comm(1), for entrepreneurs(1),  </v>
      </c>
      <c r="EP129" s="21" t="str">
        <f t="shared" si="248"/>
        <v xml:space="preserve">technologists(1,12.5), infrastructrue(1,12.5), database(1,12.5), mobile comm(1,12.5), electronics(1,6.25), for entrepreneurs(1,6.25),  </v>
      </c>
      <c r="EQ129" s="21" t="str">
        <f t="shared" si="384"/>
        <v xml:space="preserve">technologists(12.5),infrastructrue(12.5),database(12.5),mobile comm(12.5),electronics(6.25),for entrepreneurs(6.25), </v>
      </c>
      <c r="ER129" s="21" t="str">
        <f t="shared" si="382"/>
        <v xml:space="preserve">technologists 1
 </v>
      </c>
      <c r="ES129" s="21" t="str">
        <f t="shared" si="250"/>
        <v xml:space="preserve">AI&amp; data analysis(1,50),  </v>
      </c>
      <c r="ET129" s="21" t="str">
        <f t="shared" si="383"/>
        <v xml:space="preserve">AI&amp; data analysis 50
 </v>
      </c>
      <c r="EU129" s="21" t="str">
        <f t="shared" si="251"/>
        <v xml:space="preserve">scale(2), enthusiasm(2), seriousness(2), initiative(1), community manager(1), administrator(1), enthusiasm(1), fame(1), network(2), level of understanding(1), technologists(2), ease of access(1), reputation(2), database(1), sensors(1), mobile comm(1), for entrepreneurs(1),  </v>
      </c>
      <c r="EV129" s="21" t="str">
        <f t="shared" si="252"/>
        <v xml:space="preserve">technologists(1,12.5), database(1,12.5), sensors(1,12.5), mobile comm(1,12.5), for entrepreneurs(1,6.25),  </v>
      </c>
      <c r="EW129" s="21" t="str">
        <f t="shared" si="384"/>
        <v xml:space="preserve">technologists(12.5),database(12.5),sensors(12.5),mobile comm(12.5),for entrepreneurs(6.25), </v>
      </c>
      <c r="EX129" s="21" t="str">
        <f t="shared" si="382"/>
        <v xml:space="preserve">technologists 1
 </v>
      </c>
      <c r="EY129" s="21" t="str">
        <f t="shared" si="253"/>
        <v xml:space="preserve">law(1,50), security(1,50), interaction(1,25),  </v>
      </c>
      <c r="EZ129" s="21" t="str">
        <f t="shared" si="383"/>
        <v xml:space="preserve">law 50
security 50
interaction 25
 </v>
      </c>
      <c r="FA129" s="21" t="str">
        <f t="shared" si="254"/>
        <v xml:space="preserve">scale(2), enthusiasm(2), seriousness(2), initiative(1), community manager(1), administrator(1), enthusiasm(1), fame(1), network(2), level of understanding(1), technologists(2), ease of access(1), reputation(2), law(2), for entrepreneurs(1),  </v>
      </c>
      <c r="FB129" s="21" t="str">
        <f t="shared" si="255"/>
        <v xml:space="preserve">technologists(1,12.5), law(1,6.25), database(1,12.5), mobile apps(1,12.5), security(1,12.5), mobile comm(1,12.5), for entrepreneurs(1,6.25),  </v>
      </c>
      <c r="FC129" s="21" t="str">
        <f t="shared" si="384"/>
        <v xml:space="preserve">technologists(12.5),law(6.25),database(12.5),mobile apps(12.5),security(12.5),mobile comm(12.5),for entrepreneurs(6.25), </v>
      </c>
      <c r="FD129" s="21" t="str">
        <f t="shared" si="382"/>
        <v xml:space="preserve">technologists 1
 </v>
      </c>
      <c r="FE129" s="21" t="str">
        <f t="shared" si="256"/>
        <v xml:space="preserve">law(1,50), sensors(1,50), security(1,50),  </v>
      </c>
      <c r="FF129" s="21" t="str">
        <f t="shared" si="383"/>
        <v xml:space="preserve">law 50
sensors 50
security 50
 </v>
      </c>
      <c r="FG129" s="21" t="str">
        <f t="shared" si="257"/>
        <v xml:space="preserve">scale(2), enthusiasm(2), seriousness(2), initiative(1), community manager(1), administrator(1), enthusiasm(1), fame(1), network(2), level of understanding(1), technologists(2), ease of access(1), reputation(2), law(2), project management(2), for entrepreneurs(1),  </v>
      </c>
      <c r="FH129" s="21" t="str">
        <f t="shared" si="258"/>
        <v xml:space="preserve">technologists(1,12.5), law(1,6.25), database(1,6.25), mobile apps(1,6.25), AI&amp; data analysis(1,6.25), mobile comm(1,6.25), for entrepreneurs(1,6.25),  </v>
      </c>
      <c r="FI129" s="21" t="str">
        <f t="shared" si="384"/>
        <v xml:space="preserve">technologists(12.5),law(6.25),database(6.25),mobile apps(6.25),AI&amp; data analysis(6.25),mobile comm(6.25),for entrepreneurs(6.25), </v>
      </c>
      <c r="FJ129" s="21" t="str">
        <f t="shared" si="382"/>
        <v xml:space="preserve">technologists 1
 </v>
      </c>
      <c r="FK129" s="21" t="str">
        <f t="shared" si="259"/>
        <v xml:space="preserve">wood processing(1,25), metal processing(1,25), plastic processing(1,25), fabric(1,25), safety(1,25), interaction(1,25),  </v>
      </c>
      <c r="FL129" s="21" t="str">
        <f t="shared" si="383"/>
        <v xml:space="preserve">project management 2
wood processing 25
metal processing 25
plastic processing 25
fabric 25
safety 25
interaction 25
 </v>
      </c>
      <c r="FM129" s="21" t="str">
        <f t="shared" si="260"/>
        <v xml:space="preserve">scale(2), enthusiasm(2), seriousness(2), initiative(1), community manager(1), administrator(1), enthusiasm(1), fame(1), network(2), level of understanding(1), technologists(2), spaciousness(1), ease of access(1), reputation(2), for entrepreneurs(1),  </v>
      </c>
      <c r="FN129" s="21" t="str">
        <f t="shared" si="261"/>
        <v xml:space="preserve">technologists(1,12.5), for entrepreneurs(1,6.25),  </v>
      </c>
      <c r="FO129" s="21" t="str">
        <f t="shared" si="384"/>
        <v xml:space="preserve">technologists(12.5),for entrepreneurs(6.25), </v>
      </c>
      <c r="FP129" s="21" t="str">
        <f t="shared" si="382"/>
        <v xml:space="preserve">technologists 1
 </v>
      </c>
      <c r="FQ129" s="21" t="str">
        <f t="shared" si="262"/>
        <v xml:space="preserve">web(1,25), mobile apps(1,50), functions(1,25), interaction(1,25),  </v>
      </c>
      <c r="FR129" s="21" t="str">
        <f t="shared" si="383"/>
        <v xml:space="preserve">web 25
mobile apps 50
functions 25
interaction 25
 </v>
      </c>
      <c r="FS129" s="21" t="str">
        <f t="shared" si="263"/>
        <v xml:space="preserve">scale(2), enthusiasm(2), seriousness(2), initiative(1), community manager(1), administrator(1), enthusiasm(1), fame(1), network(2), level of understanding(1), technologists(2), spaciousness(1), ease of access(1), reputation(2), for entrepreneurs(1),  </v>
      </c>
      <c r="FT129" s="21" t="str">
        <f t="shared" si="264"/>
        <v xml:space="preserve">technologists(1,12.5), for entrepreneurs(1,6.25),  </v>
      </c>
      <c r="FU129" s="21" t="str">
        <f t="shared" si="384"/>
        <v xml:space="preserve">technologists(12.5),for entrepreneurs(6.25), </v>
      </c>
      <c r="FV129" s="21" t="str">
        <f t="shared" si="382"/>
        <v xml:space="preserve">technologists 1
 </v>
      </c>
      <c r="FW129" s="21" t="str">
        <f t="shared" si="265"/>
        <v xml:space="preserve">mobile apps(1,50), sensors(1,50), wood processing(1,25), plastic processing(1,25), electronics(1,25), functions(1,25), interaction(1,25),  </v>
      </c>
      <c r="FX129" s="21" t="str">
        <f t="shared" si="383"/>
        <v xml:space="preserve">mobile apps 50
sensors 50
wood processing 25
plastic processing 25
electronics 25
functions 25
interaction 25
 </v>
      </c>
      <c r="FY129" s="21" t="str">
        <f t="shared" si="266"/>
        <v xml:space="preserve">scale(2), enthusiasm(2), seriousness(2), initiative(1), community manager(1), administrator(1), enthusiasm(1), fame(1), network(2), level of understanding(1), technologists(2), spaciousness(1), ease of access(1), reputation(2), project management(2), for entrepreneurs(1),  </v>
      </c>
      <c r="FZ129" s="21" t="str">
        <f t="shared" si="267"/>
        <v xml:space="preserve">technologists(1,12.5), web(1,6.25), database(1,6.25), AI&amp; data analysis(1,6.25), mobile comm(1,6.25), for entrepreneurs(1,6.25),  </v>
      </c>
      <c r="GA129" s="21" t="str">
        <f t="shared" si="384"/>
        <v xml:space="preserve">technologists(12.5),web(6.25),database(6.25),AI&amp; data analysis(6.25),mobile comm(6.25),for entrepreneurs(6.25), </v>
      </c>
      <c r="GB129" s="21" t="str">
        <f t="shared" si="382"/>
        <v xml:space="preserve">technologists 1
 </v>
      </c>
      <c r="GC129" s="21" t="str">
        <f t="shared" si="268"/>
        <v xml:space="preserve">sensors(1,25), mobile comm(1,25), electronics(1,50), functions(1,25), safety(1,25),  </v>
      </c>
      <c r="GD129" s="21" t="str">
        <f t="shared" si="383"/>
        <v xml:space="preserve">sensors 25
mobile comm 25
electronics 50
functions 25
safety 25
 </v>
      </c>
      <c r="GE129" s="21" t="str">
        <f t="shared" si="269"/>
        <v xml:space="preserve">scale(2), enthusiasm(2), seriousness(2), initiative(1), community manager(1), administrator(1), enthusiasm(1), fame(1), network(2), level of understanding(1), technologists(2), spaciousness(1), ease of access(1), reputation(2), project management(2), for entrepreneurs(1),  </v>
      </c>
      <c r="GF129" s="21" t="str">
        <f t="shared" si="270"/>
        <v xml:space="preserve">technologists(1,12.5), database(1,6.25), mobile apps(1,6.25), AI&amp; data analysis(1,6.25), plastic processing(1,6.25), interaction(1,6.25), for entrepreneurs(1,6.25),  </v>
      </c>
      <c r="GG129" s="21" t="str">
        <f t="shared" si="384"/>
        <v xml:space="preserve">technologists(12.5),database(6.25),mobile apps(6.25),AI&amp; data analysis(6.25),plastic processing(6.25),interaction(6.25),for entrepreneurs(6.25), </v>
      </c>
      <c r="GH129" s="21" t="str">
        <f t="shared" si="382"/>
        <v xml:space="preserve">technologists 1
 </v>
      </c>
      <c r="GI129" s="21" t="str">
        <f t="shared" si="271"/>
        <v xml:space="preserve">web(1,25), mobile apps(1,50), functions(1,25), interaction(1,25),  </v>
      </c>
      <c r="GJ129" s="21" t="str">
        <f t="shared" si="383"/>
        <v xml:space="preserve">web 25
mobile apps 50
functions 25
interaction 25
 </v>
      </c>
      <c r="GK129" s="21" t="str">
        <f t="shared" si="272"/>
        <v xml:space="preserve">scale(2), enthusiasm(2), seriousness(2), initiative(1), community manager(1), administrator(1), enthusiasm(1), fame(1), network(2), level of understanding(1), technologists(2), spaciousness(1), ease of access(1), reputation(2), project management(2), for entrepreneurs(1),  </v>
      </c>
      <c r="GL129" s="21" t="str">
        <f t="shared" si="273"/>
        <v xml:space="preserve">technologists(1,12.5), for entrepreneurs(1,6.25),  </v>
      </c>
      <c r="GM129" s="21" t="str">
        <f t="shared" si="384"/>
        <v xml:space="preserve">technologists(12.5),for entrepreneurs(6.25), </v>
      </c>
      <c r="GN129" s="21" t="str">
        <f t="shared" si="382"/>
        <v xml:space="preserve">technologists 1
 </v>
      </c>
      <c r="GO129" s="21" t="str">
        <f t="shared" si="274"/>
        <v xml:space="preserve">web(1,25), mobile apps(1,25), VR&amp;AR(1,25), aesthetics(1,25), functions(1,25), interaction(1,50),  </v>
      </c>
      <c r="GP129" s="21" t="str">
        <f t="shared" si="383"/>
        <v xml:space="preserve">web 25
mobile apps 25
VR&amp;AR 25
aesthetics 25
functions 25
interaction 50
 </v>
      </c>
      <c r="GQ129" s="21" t="str">
        <f t="shared" si="275"/>
        <v xml:space="preserve">scale(2), enthusiasm(2), seriousness(2), initiative(1), community manager(1), administrator(1), enthusiasm(1), fame(1), network(2), level of understanding(1), technologists(2), spaciousness(1), ease of access(1), reputation(2), project management(2), for entrepreneurs(1),  </v>
      </c>
      <c r="GR129" s="21" t="str">
        <f t="shared" si="276"/>
        <v xml:space="preserve">technologists(1,12.5), for entrepreneurs(1,6.25),  </v>
      </c>
      <c r="GS129" s="21" t="str">
        <f t="shared" si="384"/>
        <v xml:space="preserve">technologists(12.5),for entrepreneurs(6.25), </v>
      </c>
      <c r="GT129" s="21" t="str">
        <f t="shared" si="382"/>
        <v xml:space="preserve">scale 2
ease of access 1
reputation 2
web 1
mobile apps 1
mobile comm 1
 </v>
      </c>
      <c r="GU129" s="21" t="str">
        <f t="shared" si="277"/>
        <v xml:space="preserve"> </v>
      </c>
      <c r="GV129" s="21" t="str">
        <f t="shared" si="383"/>
        <v xml:space="preserve"> </v>
      </c>
      <c r="GW129" s="21" t="str">
        <f t="shared" si="278"/>
        <v xml:space="preserve">gifted business strategist(1), 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29" s="21" t="str">
        <f t="shared" si="279"/>
        <v xml:space="preserve">enthusiasm(1,6.25), media(1,6.25), entrepreneurs(1,6.25), technologists(1,6.25), project management(1,6.25), social media(1,6.25), web(1,6.25), mobile apps(1,6.25),  </v>
      </c>
      <c r="GY129" s="21" t="str">
        <f t="shared" si="384"/>
        <v xml:space="preserve">enthusiasm(6.25),media(6.25),entrepreneurs(6.25),technologists(6.25),project management(6.25),social media(6.25),web(6.25),mobile apps(6.25), </v>
      </c>
      <c r="GZ129" s="21" t="str">
        <f t="shared" si="385"/>
        <v xml:space="preserve">scale 2
enthusiasm 2
network 1
govt 1
non-profits 1
reputation 2
portfolio 1
 </v>
      </c>
      <c r="HA129" s="21" t="str">
        <f t="shared" si="281"/>
        <v xml:space="preserve"> </v>
      </c>
      <c r="HB129" s="21" t="str">
        <f t="shared" si="386"/>
        <v xml:space="preserve"> </v>
      </c>
      <c r="HC129" s="21" t="str">
        <f t="shared" si="283"/>
        <v xml:space="preserve">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29" s="21" t="str">
        <f t="shared" si="284"/>
        <v xml:space="preserve">enthusiasm(1,6.25), media(1,6.25), technologists(1,6.25), non-profits(1,6.25), reputation(1,6.25), start-up with customers(1,6.25), for basic literacy(1,6.25),  </v>
      </c>
      <c r="HE129" s="21" t="str">
        <f t="shared" si="387"/>
        <v xml:space="preserve">enthusiasm(6.25),media(6.25),technologists(6.25),non-profits(6.25),reputation(6.25),start-up with customers(6.25),for basic literacy(6.25), </v>
      </c>
      <c r="HF129" s="21" t="str">
        <f t="shared" si="385"/>
        <v xml:space="preserve"> </v>
      </c>
      <c r="HG129" s="21" t="str">
        <f t="shared" si="286"/>
        <v xml:space="preserve">scale(2,), enthusiasm(2,),  </v>
      </c>
      <c r="HH129" s="21" t="str">
        <f t="shared" si="386"/>
        <v xml:space="preserve"> </v>
      </c>
      <c r="HI129" s="21" t="str">
        <f t="shared" si="287"/>
        <v xml:space="preserve">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29" s="21" t="str">
        <f t="shared" si="288"/>
        <v xml:space="preserve">enthusiasm(1,6.25), fun-ness(1,6.25), seriousness(1,6.25), govt(1,6.25), media(1,6.25), non-profits(1,6.25), start-up with customers(1,6.25),  </v>
      </c>
      <c r="HK129" s="21" t="str">
        <f t="shared" si="387"/>
        <v xml:space="preserve">enthusiasm(6.25),fun-ness(6.25),seriousness(6.25),govt(6.25),media(6.25),non-profits(6.25),start-up with customers(6.25), </v>
      </c>
      <c r="HL129" s="21" t="str">
        <f t="shared" si="385"/>
        <v xml:space="preserve">scale 2
community manager 1
PR 1
administrator 1
local biz 1
entrepreneurs 1
non-profits 1
reputation 2
portfolio 2
 </v>
      </c>
      <c r="HM129" s="21" t="str">
        <f t="shared" si="289"/>
        <v xml:space="preserve">scale(1,25), enthusiasm(1,25), ambition(1,25), fun-ness(1,25), seriousness(1,25),  </v>
      </c>
      <c r="HN129" s="21" t="str">
        <f t="shared" si="386"/>
        <v xml:space="preserve">scale 25
enthusiasm 25
ambition 25
fun-ness 25
seriousness 25
 </v>
      </c>
      <c r="HO129"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29" s="21" t="str">
        <f t="shared" si="291"/>
        <v xml:space="preserve">enthusiasm(1,6.25), fun-ness(1,6.25), enthusiasm(1,6.25), level of understanding(1,6.25), local biz(1,6.25), biz group(1,6.25), govt(1,6.25), investors(1,6.25), media(1,6.25), entrepreneurs(1,6.25), technologists(1,6.25), suppliers(1,6.25), non-profits(1,6.25), reputation(1,6.25),  </v>
      </c>
      <c r="HQ129" s="47" t="str">
        <f t="shared" si="387"/>
        <v xml:space="preserve">enthusiasm(6.25),fun-ness(6.25),enthusiasm(6.25),level of understanding(6.25),local biz(6.25),biz group(6.25),govt(6.25),investors(6.25),media(6.25),entrepreneurs(6.25),technologists(6.25),suppliers(6.25),non-profits(6.25),reputation(6.25), </v>
      </c>
      <c r="HR129" s="47" t="str">
        <f t="shared" ref="HR129:HW129" si="418">IF(HR27="",HR130,$C129&amp;"("&amp;HR27&amp;"),"&amp;HR130)</f>
        <v xml:space="preserve">scale(2),enthusiasm(2),reputation(2),portfolio(2),mobile apps(1),sensors(1),wood processing(1),aesthetics(1), </v>
      </c>
      <c r="HS129" s="47" t="str">
        <f t="shared" si="418"/>
        <v xml:space="preserve"> </v>
      </c>
      <c r="HT129" s="47" t="str">
        <f t="shared" si="418"/>
        <v xml:space="preserve"> </v>
      </c>
      <c r="HU129" s="47" t="str">
        <f t="shared" si="418"/>
        <v xml:space="preserve">gifted business strategist(1),agility(2),ambition(2),attention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29" s="47" t="str">
        <f t="shared" si="418"/>
        <v xml:space="preserve">local biz(1),biz group(1),govt(1),investors(1),media(1),entrepreneurs(1),technologists(1),suppliers(1),non-profits(1),reputation(1), </v>
      </c>
      <c r="HW129" s="47" t="str">
        <f t="shared" si="418"/>
        <v xml:space="preserve">local biz(6.25),biz group(6.25),govt(6.25),investors(6.25),media(6.25),entrepreneurs(6.25),technologists(12.5),suppliers(6.25),non-profits(6.25),reputation(6.25), </v>
      </c>
      <c r="HX129" s="47" t="str">
        <f t="shared" ref="HX129:IU129" si="419">IF(HX27="",HX130,$C129&amp;"("&amp;HX27&amp;"),"&amp;HX130)</f>
        <v xml:space="preserve">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29" s="47" t="str">
        <f t="shared" si="419"/>
        <v xml:space="preserve">biz enhancement(1), </v>
      </c>
      <c r="HZ129" s="47" t="str">
        <f t="shared" si="419"/>
        <v xml:space="preserve">biz enhancement(100), </v>
      </c>
      <c r="IA129" s="47" t="str">
        <f t="shared" si="419"/>
        <v xml:space="preserve">community manager(1),PR(1),finance(1),administrator(1),enthusiasm(2),network(2),ambition(2),knowledge(2),spaciousness(2),ease of access(3),efficiency(2),portfolio(4),finance(2),business model(2),marketing(3),team building(2),project management(2),social media(3),negotiation(3), </v>
      </c>
      <c r="IB129" s="47" t="str">
        <f t="shared" si="419"/>
        <v xml:space="preserve">gifted business strategist(1),enthusiasm(1),ambition(1),seriousness(1),initiative(1),level of understanding(1),ambition(1),local biz(1),biz group(1),govt(1),media(1),entrepreneurs(1),technologists(1),non-profits(1),reputation(1),team building(1),database(1),AI&amp; data analysis(1),electronics(1),functions(1), </v>
      </c>
      <c r="IC129" s="47" t="str">
        <f t="shared" si="419"/>
        <v xml:space="preserve">gifted business strategist(6.25),enthusiasm(6.25),ambition(6.25),seriousness(6.25),initiative(6.25),level of understanding(6.25),ambition(6.25),local biz(6.25),biz group(6.25),govt(6.25),media(6.25),entrepreneurs(6.25),technologists(6.25),non-profits(6.25),reputation(6.25),team building(6.25),database(6.25),AI&amp; data analysis(6.25),electronics(6.25),functions(6.25), </v>
      </c>
      <c r="ID129" s="47" t="str">
        <f t="shared" si="419"/>
        <v xml:space="preserve">scale(1),technologists(2), </v>
      </c>
      <c r="IE129" s="47" t="str">
        <f t="shared" si="419"/>
        <v xml:space="preserve">web(1),mobile apps(1),security(1),AI&amp; data analysis(1), </v>
      </c>
      <c r="IF129" s="47" t="str">
        <f t="shared" si="419"/>
        <v xml:space="preserve">web(25),mobile apps(25),security(25),AI&amp; data analysis(25), </v>
      </c>
      <c r="IG129" s="47" t="str">
        <f t="shared" si="419"/>
        <v xml:space="preserve">scale(2),enthusiasm(3),attention to details(2),seriousness(2),community manager(1),administrator(1),network(2),entrepreneurs(3),technologists(4),spaciousness(2),ease of access(2),reputation(3),efficiency(2),portfolio(3),web(2),database(2),mobile apps(2),security(2),AI&amp; data analysis(2), </v>
      </c>
      <c r="IH129" s="47" t="str">
        <f t="shared" si="419"/>
        <v xml:space="preserve">technologists(1),web(1),database(1),mobile apps(1),security(1),AI&amp; data analysis(1), </v>
      </c>
      <c r="II129" s="47" t="str">
        <f t="shared" si="419"/>
        <v xml:space="preserve">technologists(6.25),web(6.25),database(6.25),mobile apps(6.25),security(6.25),AI&amp; data analysis(6.25), </v>
      </c>
      <c r="IJ129" s="47" t="str">
        <f t="shared" si="419"/>
        <v xml:space="preserve">scale(1),technologists(2), </v>
      </c>
      <c r="IK129" s="47" t="str">
        <f t="shared" si="419"/>
        <v xml:space="preserve">wood processing(1),metal processing(1),functions(1),safety(1), </v>
      </c>
      <c r="IL129" s="47" t="str">
        <f t="shared" si="419"/>
        <v xml:space="preserve">wood processing(25),metal processing(25),functions(25),safety(25), </v>
      </c>
      <c r="IM129" s="47" t="str">
        <f t="shared" si="419"/>
        <v xml:space="preserve">scale(2),enthusiasm(3),attention to details(2),seriousness(2),community manager(1),administrator(1),network(2),entrepreneurs(3),technologists(4),spaciousness(2),ease of access(2),reputation(3),efficiency(2),portfolio(3),wood processing(2),metal processing(2),functions(2),safety(2), </v>
      </c>
      <c r="IN129" s="47" t="str">
        <f t="shared" si="419"/>
        <v xml:space="preserve">technologists(1),wood processing(1),metal processing(1),functions(1),safety(1),interaction(1), </v>
      </c>
      <c r="IO129" s="47" t="str">
        <f t="shared" si="419"/>
        <v xml:space="preserve">technologists(6.25),wood processing(6.25),metal processing(6.25),functions(6.25),safety(6.25),interaction(6.25), </v>
      </c>
      <c r="IP129" s="57" t="str">
        <f t="shared" si="419"/>
        <v xml:space="preserve">scale(2),local biz(2),reputation(1), </v>
      </c>
      <c r="IQ129" s="47" t="str">
        <f t="shared" si="419"/>
        <v xml:space="preserve">local biz(1),marketing(1), </v>
      </c>
      <c r="IR129" s="47" t="str">
        <f t="shared" si="419"/>
        <v xml:space="preserve">local biz(25),marketing(25), </v>
      </c>
      <c r="IS129" s="47" t="str">
        <f t="shared" si="419"/>
        <v xml:space="preserve">gifted business strategist(2),enthusiasm(2),agility(2),attention to details(2),fun-ness(2),seriousness(2),leader(1),community manager(1),finance(1),administrator(1),enthusiasm(3),network(2),level of understanding(3),local biz(3),biz group(2),govt(2),non-profits(2),reputation(3),efficiency(2),marketing(2), </v>
      </c>
      <c r="IT129" s="47" t="str">
        <f t="shared" si="419"/>
        <v xml:space="preserve">enthusiasm(1),fun-ness(1),seriousness(1),local biz(1),biz group(1),govt(1),non-profits(1),marketing(1), </v>
      </c>
      <c r="IU129" s="47" t="str">
        <f t="shared" si="419"/>
        <v xml:space="preserve">enthusiasm(6.25),fun-ness(6.25),seriousness(6.25),local biz(6.25),biz group(6.25),govt(6.25),non-profits(6.25),marketing(6.25), </v>
      </c>
      <c r="IV129" s="57" t="str">
        <f t="shared" ref="IV129:LG129" si="420">IF(IV27="",IV130,$C129&amp;"("&amp;IV27&amp;"),"&amp;IV130)</f>
        <v xml:space="preserve">scale(2),local biz(2),reputation(1), </v>
      </c>
      <c r="IW129" s="47" t="str">
        <f t="shared" si="420"/>
        <v xml:space="preserve">local biz(1),marketing(1), </v>
      </c>
      <c r="IX129" s="47" t="str">
        <f t="shared" si="420"/>
        <v xml:space="preserve">local biz(25),marketing(25), </v>
      </c>
      <c r="IY129" s="47" t="str">
        <f t="shared" si="420"/>
        <v xml:space="preserve">gifted business strategist(2),enthusiasm(2),agility(2),attention to details(2),fun-ness(2),seriousness(2),leader(1),community manager(1),finance(1),administrator(1),enthusiasm(3),network(2),level of understanding(3),local biz(3),biz group(2),govt(2),reputation(3),efficiency(2),marketing(2), </v>
      </c>
      <c r="IZ129" s="47" t="str">
        <f t="shared" si="420"/>
        <v xml:space="preserve">enthusiasm(1),fun-ness(1),seriousness(1),local biz(1),biz group(1),govt(1),marketing(1), </v>
      </c>
      <c r="JA129" s="47" t="str">
        <f t="shared" si="420"/>
        <v xml:space="preserve">enthusiasm(6.25),fun-ness(6.25),seriousness(6.25),local biz(6.25),biz group(6.25),govt(6.25),marketing(6.25), </v>
      </c>
      <c r="JB129" s="47" t="str">
        <f t="shared" si="420"/>
        <v xml:space="preserve">scale(1),enthusiasm(2), </v>
      </c>
      <c r="JC129" s="47" t="str">
        <f t="shared" si="420"/>
        <v xml:space="preserve"> </v>
      </c>
      <c r="JD129" s="47" t="str">
        <f t="shared" si="420"/>
        <v xml:space="preserve"> </v>
      </c>
      <c r="JE129" s="47" t="str">
        <f t="shared" si="420"/>
        <v xml:space="preserve">scale(2),enthusiasm(3),attention to details(2),fun-ness(2),community manager(1),PR(1),administrator(1),network(2),level of understanding(2),technologists(2),spaciousness(1),ease of access(1),reputation(3),efficiency(2), </v>
      </c>
      <c r="JF129" s="47" t="str">
        <f t="shared" si="420"/>
        <v xml:space="preserve">web(1),infrastructrue(1),database(1),mobile apps(1),sensors(1),security(1),AI&amp; data analysis(1),mobile comm(1),VR&amp;AR(1),wood processing(1),metal processing(1),plastic processing(1),electronics(1),fabric(1),aesthetics(1),functions(1),safety(1),interaction(1), </v>
      </c>
      <c r="JG129" s="47" t="str">
        <f t="shared" si="420"/>
        <v xml:space="preserve">web(6.25),infrastructrue(6.25),database(6.25),mobile apps(6.25),sensors(6.25),security(6.25),AI&amp; data analysis(6.25),mobile comm(6.25),VR&amp;AR(6.25),wood processing(6.25),metal processing(6.25),plastic processing(6.25),electronics(6.25),fabric(6.25),aesthetics(6.25),functions(6.25),safety(6.25),interaction(6.25), </v>
      </c>
      <c r="JH129" s="47" t="str">
        <f t="shared" si="420"/>
        <v xml:space="preserve">scale(1),enthusiasm(1),enthusiasm(1),local biz(1),non-profits(1),reputation(2), </v>
      </c>
      <c r="JI129" s="47" t="str">
        <f t="shared" si="420"/>
        <v xml:space="preserve"> </v>
      </c>
      <c r="JJ129" s="47" t="str">
        <f t="shared" si="420"/>
        <v xml:space="preserve"> </v>
      </c>
      <c r="JK129" s="47" t="str">
        <f t="shared" si="420"/>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29" s="47" t="str">
        <f t="shared" si="420"/>
        <v xml:space="preserve">non-profits(1), </v>
      </c>
      <c r="JM129" s="47" t="str">
        <f t="shared" si="420"/>
        <v xml:space="preserve">non-profits(6.25), </v>
      </c>
      <c r="JN129" s="47" t="str">
        <f t="shared" si="420"/>
        <v xml:space="preserve">scale(2),enthusiasm(2),enthusiasm(1),network(1),local biz(1),investors(1),entrepreneurs(1),technologists(1),non-profits(1),reputation(2),portfolio(2), </v>
      </c>
      <c r="JO129" s="47" t="str">
        <f t="shared" si="420"/>
        <v xml:space="preserve"> </v>
      </c>
      <c r="JP129" s="47" t="str">
        <f t="shared" si="420"/>
        <v xml:space="preserve"> </v>
      </c>
      <c r="JQ129" s="47" t="str">
        <f t="shared" si="420"/>
        <v xml:space="preserve">gifted business strategist(1),scale(3),enthusiasm(3),agility(2),ambition(2),attention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29" s="47" t="str">
        <f t="shared" si="420"/>
        <v xml:space="preserve"> </v>
      </c>
      <c r="JS129" s="47" t="str">
        <f t="shared" si="420"/>
        <v xml:space="preserve"> </v>
      </c>
      <c r="JT129" s="47" t="str">
        <f t="shared" si="420"/>
        <v xml:space="preserve">scale(3),enthusiasm(3),PR(1),administrator(1),enthusiasm(2),network(2),local biz(2),biz group(1),govt(2),investors(2),entrepreneurs(2),technologists(2),non-profits(2),reputation(2),portfolio(3), </v>
      </c>
      <c r="JU129" s="47" t="str">
        <f t="shared" si="420"/>
        <v xml:space="preserve"> </v>
      </c>
      <c r="JV129" s="47" t="str">
        <f t="shared" si="420"/>
        <v xml:space="preserve"> </v>
      </c>
      <c r="JW129" s="47" t="str">
        <f t="shared" si="420"/>
        <v xml:space="preserve">gifted business strategist(1),scale(4),enthusiasm(4),enthusiasm(3),fame(3),network(3),level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29" s="47" t="str">
        <f t="shared" si="420"/>
        <v xml:space="preserve"> </v>
      </c>
      <c r="JY129" s="47" t="str">
        <f t="shared" si="420"/>
        <v xml:space="preserve"> </v>
      </c>
      <c r="JZ129" s="47" t="str">
        <f t="shared" si="420"/>
        <v xml:space="preserve">scale(1),enthusiasm(2),network(1),non-profits(1),reputation(2),social project(2), </v>
      </c>
      <c r="KA129" s="47" t="str">
        <f t="shared" si="420"/>
        <v xml:space="preserve">non-profits(1), </v>
      </c>
      <c r="KB129" s="47" t="str">
        <f t="shared" si="420"/>
        <v xml:space="preserve">non-profits(25), </v>
      </c>
      <c r="KC129" s="47" t="str">
        <f t="shared" si="420"/>
        <v xml:space="preserve">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29" s="47" t="str">
        <f t="shared" si="420"/>
        <v xml:space="preserve">non-profits(1), </v>
      </c>
      <c r="KE129" s="47" t="str">
        <f t="shared" si="420"/>
        <v xml:space="preserve">non-profits(6.25), </v>
      </c>
      <c r="KF129" s="47" t="str">
        <f t="shared" si="420"/>
        <v xml:space="preserve"> </v>
      </c>
      <c r="KG129" s="47" t="str">
        <f t="shared" si="420"/>
        <v xml:space="preserve"> </v>
      </c>
      <c r="KH129" s="47" t="str">
        <f t="shared" si="420"/>
        <v xml:space="preserve"> </v>
      </c>
      <c r="KI129" s="47" t="str">
        <f t="shared" si="420"/>
        <v xml:space="preserve"> </v>
      </c>
      <c r="KJ129" s="47" t="str">
        <f t="shared" si="420"/>
        <v xml:space="preserve"> </v>
      </c>
      <c r="KK129" s="47" t="str">
        <f t="shared" si="420"/>
        <v xml:space="preserve"> </v>
      </c>
      <c r="KL129" s="57" t="str">
        <f t="shared" si="420"/>
        <v xml:space="preserve"> </v>
      </c>
      <c r="KM129" s="47" t="str">
        <f t="shared" si="420"/>
        <v xml:space="preserve"> </v>
      </c>
      <c r="KN129" s="47" t="str">
        <f t="shared" si="420"/>
        <v xml:space="preserve"> </v>
      </c>
      <c r="KO129" s="47" t="str">
        <f t="shared" si="420"/>
        <v xml:space="preserve"> </v>
      </c>
      <c r="KP129" s="47" t="str">
        <f t="shared" si="420"/>
        <v xml:space="preserve"> </v>
      </c>
      <c r="KQ129" s="47" t="str">
        <f t="shared" si="420"/>
        <v xml:space="preserve"> </v>
      </c>
      <c r="KR129" s="57" t="str">
        <f t="shared" si="420"/>
        <v xml:space="preserve"> </v>
      </c>
      <c r="KS129" s="47" t="str">
        <f t="shared" si="420"/>
        <v xml:space="preserve"> </v>
      </c>
      <c r="KT129" s="47" t="str">
        <f t="shared" si="420"/>
        <v xml:space="preserve"> </v>
      </c>
      <c r="KU129" s="47" t="str">
        <f t="shared" si="420"/>
        <v xml:space="preserve"> </v>
      </c>
      <c r="KV129" s="47" t="str">
        <f t="shared" si="420"/>
        <v xml:space="preserve"> </v>
      </c>
      <c r="KW129" s="47" t="str">
        <f t="shared" si="420"/>
        <v xml:space="preserve"> </v>
      </c>
      <c r="KX129" s="57" t="str">
        <f t="shared" si="420"/>
        <v xml:space="preserve"> </v>
      </c>
      <c r="KY129" s="47" t="str">
        <f t="shared" si="420"/>
        <v xml:space="preserve"> </v>
      </c>
      <c r="KZ129" s="47" t="str">
        <f t="shared" si="420"/>
        <v xml:space="preserve"> </v>
      </c>
      <c r="LA129" s="47" t="str">
        <f t="shared" si="420"/>
        <v xml:space="preserve"> </v>
      </c>
      <c r="LB129" s="47" t="str">
        <f t="shared" si="420"/>
        <v xml:space="preserve"> </v>
      </c>
      <c r="LC129" s="47" t="str">
        <f t="shared" si="420"/>
        <v xml:space="preserve"> </v>
      </c>
      <c r="LD129" s="57" t="str">
        <f t="shared" si="420"/>
        <v xml:space="preserve"> </v>
      </c>
      <c r="LE129" s="47" t="str">
        <f t="shared" si="420"/>
        <v xml:space="preserve"> </v>
      </c>
      <c r="LF129" s="47" t="str">
        <f t="shared" si="420"/>
        <v xml:space="preserve"> </v>
      </c>
      <c r="LG129" s="47" t="str">
        <f t="shared" si="420"/>
        <v xml:space="preserve"> </v>
      </c>
      <c r="LH129" s="47" t="str">
        <f t="shared" ref="LH129:NM129" si="421">IF(LH27="",LH130,$C129&amp;"("&amp;LH27&amp;"),"&amp;LH130)</f>
        <v xml:space="preserve"> </v>
      </c>
      <c r="LI129" s="47" t="str">
        <f t="shared" si="421"/>
        <v xml:space="preserve"> </v>
      </c>
      <c r="LJ129" s="57" t="str">
        <f t="shared" si="421"/>
        <v xml:space="preserve"> </v>
      </c>
      <c r="LK129" s="47" t="str">
        <f t="shared" si="421"/>
        <v xml:space="preserve"> </v>
      </c>
      <c r="LL129" s="47" t="str">
        <f t="shared" si="421"/>
        <v xml:space="preserve"> </v>
      </c>
      <c r="LM129" s="47" t="str">
        <f t="shared" si="421"/>
        <v xml:space="preserve"> </v>
      </c>
      <c r="LN129" s="47" t="str">
        <f t="shared" si="421"/>
        <v xml:space="preserve"> </v>
      </c>
      <c r="LO129" s="47" t="str">
        <f t="shared" si="421"/>
        <v xml:space="preserve"> </v>
      </c>
      <c r="LP129" s="57" t="str">
        <f t="shared" si="421"/>
        <v xml:space="preserve"> </v>
      </c>
      <c r="LQ129" s="47" t="str">
        <f t="shared" si="421"/>
        <v xml:space="preserve"> </v>
      </c>
      <c r="LR129" s="47" t="str">
        <f t="shared" si="421"/>
        <v xml:space="preserve"> </v>
      </c>
      <c r="LS129" s="47" t="str">
        <f t="shared" si="421"/>
        <v xml:space="preserve"> </v>
      </c>
      <c r="LT129" s="47" t="str">
        <f t="shared" si="421"/>
        <v xml:space="preserve"> </v>
      </c>
      <c r="LU129" s="47" t="str">
        <f t="shared" si="421"/>
        <v xml:space="preserve"> </v>
      </c>
      <c r="LV129" s="57" t="str">
        <f t="shared" si="421"/>
        <v xml:space="preserve"> </v>
      </c>
      <c r="LW129" s="47" t="str">
        <f t="shared" si="421"/>
        <v xml:space="preserve"> </v>
      </c>
      <c r="LX129" s="47" t="str">
        <f t="shared" si="421"/>
        <v xml:space="preserve"> </v>
      </c>
      <c r="LY129" s="47" t="str">
        <f t="shared" si="421"/>
        <v xml:space="preserve"> </v>
      </c>
      <c r="LZ129" s="47" t="str">
        <f t="shared" si="421"/>
        <v xml:space="preserve"> </v>
      </c>
      <c r="MA129" s="47" t="str">
        <f t="shared" si="421"/>
        <v xml:space="preserve"> </v>
      </c>
      <c r="MB129" s="57" t="str">
        <f t="shared" si="421"/>
        <v xml:space="preserve"> </v>
      </c>
      <c r="MC129" s="47" t="str">
        <f t="shared" si="421"/>
        <v xml:space="preserve"> </v>
      </c>
      <c r="MD129" s="47" t="str">
        <f t="shared" si="421"/>
        <v xml:space="preserve"> </v>
      </c>
      <c r="ME129" s="47" t="str">
        <f t="shared" si="421"/>
        <v xml:space="preserve"> </v>
      </c>
      <c r="MF129" s="47" t="str">
        <f t="shared" si="421"/>
        <v xml:space="preserve"> </v>
      </c>
      <c r="MG129" s="47" t="str">
        <f t="shared" si="421"/>
        <v xml:space="preserve"> </v>
      </c>
      <c r="MH129" s="57" t="str">
        <f t="shared" si="421"/>
        <v xml:space="preserve"> </v>
      </c>
      <c r="MI129" s="47" t="str">
        <f t="shared" si="421"/>
        <v xml:space="preserve"> </v>
      </c>
      <c r="MJ129" s="47" t="str">
        <f t="shared" si="421"/>
        <v xml:space="preserve"> </v>
      </c>
      <c r="MK129" s="47" t="str">
        <f t="shared" si="421"/>
        <v xml:space="preserve"> </v>
      </c>
      <c r="ML129" s="47" t="str">
        <f t="shared" si="421"/>
        <v xml:space="preserve"> </v>
      </c>
      <c r="MM129" s="47" t="str">
        <f t="shared" si="421"/>
        <v xml:space="preserve"> </v>
      </c>
      <c r="MN129" s="57" t="str">
        <f t="shared" si="421"/>
        <v xml:space="preserve"> </v>
      </c>
      <c r="MO129" s="47" t="str">
        <f t="shared" si="421"/>
        <v xml:space="preserve"> </v>
      </c>
      <c r="MP129" s="47" t="str">
        <f t="shared" si="421"/>
        <v xml:space="preserve"> </v>
      </c>
      <c r="MQ129" s="47" t="str">
        <f t="shared" si="421"/>
        <v xml:space="preserve"> </v>
      </c>
      <c r="MR129" s="47" t="str">
        <f t="shared" si="421"/>
        <v xml:space="preserve"> </v>
      </c>
      <c r="MS129" s="47" t="str">
        <f t="shared" si="421"/>
        <v xml:space="preserve"> </v>
      </c>
      <c r="MT129" s="57" t="str">
        <f t="shared" si="421"/>
        <v xml:space="preserve"> </v>
      </c>
      <c r="MU129" s="47" t="str">
        <f t="shared" si="421"/>
        <v xml:space="preserve"> </v>
      </c>
      <c r="MV129" s="47" t="str">
        <f t="shared" si="421"/>
        <v xml:space="preserve"> </v>
      </c>
      <c r="MW129" s="47" t="str">
        <f t="shared" si="421"/>
        <v xml:space="preserve"> </v>
      </c>
      <c r="MX129" s="47" t="str">
        <f t="shared" si="421"/>
        <v xml:space="preserve"> </v>
      </c>
      <c r="MY129" s="47" t="str">
        <f t="shared" si="421"/>
        <v xml:space="preserve"> </v>
      </c>
      <c r="MZ129" s="57" t="str">
        <f t="shared" si="421"/>
        <v xml:space="preserve"> </v>
      </c>
      <c r="NA129" s="47" t="str">
        <f t="shared" si="421"/>
        <v xml:space="preserve"> </v>
      </c>
      <c r="NB129" s="47" t="str">
        <f t="shared" si="421"/>
        <v xml:space="preserve"> </v>
      </c>
      <c r="NC129" s="47" t="str">
        <f t="shared" si="421"/>
        <v xml:space="preserve"> </v>
      </c>
      <c r="ND129" s="47" t="str">
        <f t="shared" si="421"/>
        <v xml:space="preserve"> </v>
      </c>
      <c r="NE129" s="47" t="str">
        <f t="shared" si="421"/>
        <v xml:space="preserve"> </v>
      </c>
      <c r="NF129" s="57" t="str">
        <f t="shared" si="421"/>
        <v xml:space="preserve"> </v>
      </c>
      <c r="NG129" s="47" t="str">
        <f t="shared" si="421"/>
        <v xml:space="preserve"> </v>
      </c>
      <c r="NH129" s="47" t="str">
        <f t="shared" si="421"/>
        <v xml:space="preserve"> </v>
      </c>
      <c r="NI129" s="47" t="str">
        <f t="shared" si="421"/>
        <v xml:space="preserve"> </v>
      </c>
      <c r="NJ129" s="47" t="str">
        <f t="shared" si="421"/>
        <v xml:space="preserve"> </v>
      </c>
      <c r="NK129" s="47" t="str">
        <f t="shared" si="421"/>
        <v xml:space="preserve"> </v>
      </c>
      <c r="NL129" s="57" t="str">
        <f t="shared" si="421"/>
        <v xml:space="preserve"> </v>
      </c>
      <c r="NM129" s="47" t="str">
        <f t="shared" si="421"/>
        <v xml:space="preserve"> </v>
      </c>
    </row>
    <row r="130" spans="3:377" ht="15.75" customHeight="1">
      <c r="C130" s="7" t="str">
        <f t="shared" si="296"/>
        <v>scale</v>
      </c>
      <c r="D130" s="21" t="str">
        <f t="shared" si="169"/>
        <v xml:space="preserve">scale 1
 </v>
      </c>
      <c r="E130" s="21" t="str">
        <f t="shared" si="297"/>
        <v xml:space="preserve"> </v>
      </c>
      <c r="F130" s="21" t="str">
        <f t="shared" si="170"/>
        <v xml:space="preserve"> </v>
      </c>
      <c r="G130" s="21" t="str">
        <f t="shared" si="298"/>
        <v xml:space="preserve">enthusiasm(2), fun-ness(1), community manager(1), PR(1), fame(1), network(2), ease of access(1), reputation(2), social media(1),  </v>
      </c>
      <c r="H130" s="21" t="str">
        <f t="shared" si="299"/>
        <v xml:space="preserve"> </v>
      </c>
      <c r="I130" s="21" t="str">
        <f t="shared" ref="I130" si="422">IF(I28="",I131,$C130&amp;"("&amp;I28&amp;"),"&amp;I131)</f>
        <v xml:space="preserve"> </v>
      </c>
      <c r="J130" s="21" t="str">
        <f t="shared" si="376"/>
        <v xml:space="preserve">scale 1
interaction 1
 </v>
      </c>
      <c r="K130" s="21" t="str">
        <f t="shared" si="173"/>
        <v xml:space="preserve">reputation(1,75),  </v>
      </c>
      <c r="L130" s="21" t="str">
        <f t="shared" si="377"/>
        <v xml:space="preserve">reputation 75
 </v>
      </c>
      <c r="M130" s="21" t="str">
        <f t="shared" si="175"/>
        <v xml:space="preserve">PR(1), portfolio(1), social innovation(1), non-profit biz(1),  </v>
      </c>
      <c r="N130" s="21" t="str">
        <f t="shared" si="176"/>
        <v xml:space="preserve">seriousness(1,25), non-profits(1,12.5), reputation(1,75), marketing(1,12.5),  </v>
      </c>
      <c r="O130" s="21" t="str">
        <f t="shared" si="378"/>
        <v xml:space="preserve">seriousness(25),non-profits(12.5),reputation(75),marketing(12.5), </v>
      </c>
      <c r="P130" s="21" t="str">
        <f t="shared" si="376"/>
        <v xml:space="preserve">scale 1
biz project 1
 </v>
      </c>
      <c r="Q130" s="21" t="str">
        <f t="shared" si="178"/>
        <v xml:space="preserve"> </v>
      </c>
      <c r="R130" s="21" t="str">
        <f t="shared" si="377"/>
        <v xml:space="preserve"> </v>
      </c>
      <c r="S130" s="21" t="str">
        <f t="shared" si="179"/>
        <v xml:space="preserve">portfolio(1), biz enhancement(1), business(1), start-up(1),  </v>
      </c>
      <c r="T130" s="21" t="str">
        <f t="shared" si="180"/>
        <v xml:space="preserve">seriousness(1,25), local biz(1,6.25), investors(1,6.25), reputation(1,6.25),  </v>
      </c>
      <c r="U130" s="21" t="str">
        <f t="shared" si="378"/>
        <v xml:space="preserve">seriousness(25),local biz(6.25),investors(6.25),reputation(6.25), </v>
      </c>
      <c r="V130" s="21" t="str">
        <f t="shared" si="376"/>
        <v xml:space="preserve">scale 1
 </v>
      </c>
      <c r="W130" s="21" t="str">
        <f t="shared" si="181"/>
        <v xml:space="preserve">local biz(1,),  </v>
      </c>
      <c r="X130" s="21" t="str">
        <f t="shared" si="377"/>
        <v xml:space="preserve"> </v>
      </c>
      <c r="Y130" s="21" t="str">
        <f t="shared" si="182"/>
        <v xml:space="preserve">enthusiasm(1), attention to details(1), PR(1), network(1), ease of access(1), reputation(1), portfolio(1), biz project(1), biz enhancement(1), job creation(1), business(1),  </v>
      </c>
      <c r="Z130" s="21" t="str">
        <f t="shared" si="183"/>
        <v xml:space="preserve">local biz(1,6.25),  </v>
      </c>
      <c r="AA130" s="21" t="str">
        <f t="shared" si="378"/>
        <v xml:space="preserve">local biz(6.25), </v>
      </c>
      <c r="AB130" s="21" t="str">
        <f t="shared" si="376"/>
        <v xml:space="preserve">scale 1
 </v>
      </c>
      <c r="AC130" s="21" t="str">
        <f t="shared" si="184"/>
        <v xml:space="preserve">non-profits(1,100),  </v>
      </c>
      <c r="AD130" s="21" t="str">
        <f t="shared" si="377"/>
        <v xml:space="preserve">non-profits 100
 </v>
      </c>
      <c r="AE130" s="21" t="str">
        <f t="shared" si="185"/>
        <v xml:space="preserve">enthusiasm(1), attention to details(1), PR(1), network(1), ease of access(1), reputation(1), portfolio(1), social project(1), social innovation(1), non-profit biz(1),  </v>
      </c>
      <c r="AF130" s="21" t="str">
        <f t="shared" si="186"/>
        <v xml:space="preserve">seriousness(1,6.25), non-profits(1,6.25),  </v>
      </c>
      <c r="AG130" s="21" t="str">
        <f t="shared" si="378"/>
        <v xml:space="preserve">seriousness(6.25),non-profits(6.25), </v>
      </c>
      <c r="AH130" s="21" t="str">
        <f t="shared" si="376"/>
        <v xml:space="preserve">scale 1
 </v>
      </c>
      <c r="AI130" s="21" t="str">
        <f t="shared" si="187"/>
        <v xml:space="preserve">govt(1,),  </v>
      </c>
      <c r="AJ130" s="21" t="str">
        <f t="shared" si="377"/>
        <v xml:space="preserve"> </v>
      </c>
      <c r="AK130" s="21" t="str">
        <f t="shared" si="188"/>
        <v xml:space="preserve">enthusiasm(1), attention to details(1), seriousness(1), fame(1), network(1), govt(1), ease of access(1), reputation(2), portfolio(1), social project(1), social innovation(1), non-profit biz(1),  </v>
      </c>
      <c r="AL130" s="21" t="str">
        <f t="shared" si="189"/>
        <v xml:space="preserve">govt(1,6.25),  </v>
      </c>
      <c r="AM130" s="21" t="str">
        <f t="shared" si="378"/>
        <v xml:space="preserve">govt(6.25), </v>
      </c>
      <c r="AN130" s="21" t="str">
        <f t="shared" si="376"/>
        <v xml:space="preserve">scale 1
enthusiasm 1
 </v>
      </c>
      <c r="AO130" s="21" t="str">
        <f t="shared" si="190"/>
        <v xml:space="preserve">fame(1,), network(1,), investors(1,6.25),  </v>
      </c>
      <c r="AP130" s="21" t="str">
        <f t="shared" si="377"/>
        <v xml:space="preserve">investors 6.25
 </v>
      </c>
      <c r="AQ130" s="21" t="str">
        <f t="shared" si="191"/>
        <v xml:space="preserve">investors(1), ease of access(1), reputation(1), portfolio(1), start-up(1), start-up with mvp(1), start-up with customers(1),  </v>
      </c>
      <c r="AR130" s="21" t="str">
        <f t="shared" si="192"/>
        <v xml:space="preserve"> </v>
      </c>
      <c r="AS130" s="21" t="str">
        <f t="shared" si="378"/>
        <v xml:space="preserve"> </v>
      </c>
      <c r="AT130" s="21" t="str">
        <f t="shared" si="376"/>
        <v xml:space="preserve">scale 2
enthusiasm 1
seriousness 1
administrator 1
non-profits 2
reputation 1
portfolio 1
social project 1
 </v>
      </c>
      <c r="AU130" s="21" t="str">
        <f t="shared" si="193"/>
        <v xml:space="preserve">ambition(1,), attention to details(1,),  </v>
      </c>
      <c r="AV130" s="21" t="str">
        <f t="shared" si="377"/>
        <v xml:space="preserve"> </v>
      </c>
      <c r="AW130" s="21" t="str">
        <f t="shared" si="194"/>
        <v xml:space="preserve">enthusiasm(3), PR(2), administrator(1), project management(2),  </v>
      </c>
      <c r="AX130" s="21" t="str">
        <f t="shared" si="195"/>
        <v xml:space="preserve">organizational rules and manuals(1,12.5), project management(1,12.5),  </v>
      </c>
      <c r="AY130" s="21" t="str">
        <f t="shared" si="378"/>
        <v xml:space="preserve">organizational rules and manuals(12.5),project management(12.5), </v>
      </c>
      <c r="AZ130" s="21" t="str">
        <f t="shared" si="376"/>
        <v xml:space="preserve">scale 1
enthusiasm 1
non-profits 1
 </v>
      </c>
      <c r="BA130" s="21" t="str">
        <f t="shared" si="196"/>
        <v xml:space="preserve"> </v>
      </c>
      <c r="BB130" s="21" t="str">
        <f t="shared" si="377"/>
        <v xml:space="preserve"> </v>
      </c>
      <c r="BC130" s="21" t="str">
        <f t="shared" si="197"/>
        <v xml:space="preserve"> </v>
      </c>
      <c r="BD130" s="21" t="str">
        <f t="shared" si="198"/>
        <v xml:space="preserve"> </v>
      </c>
      <c r="BE130" s="21" t="str">
        <f t="shared" si="378"/>
        <v xml:space="preserve"> </v>
      </c>
      <c r="BF130" s="21" t="str">
        <f t="shared" si="376"/>
        <v xml:space="preserve">scale 2
enthusiasm 1
seriousness 1
administrator 1
local biz 2
entrepreneurs 1
reputation 1
portfolio 1
biz project 1
 </v>
      </c>
      <c r="BG130" s="21" t="str">
        <f t="shared" si="199"/>
        <v xml:space="preserve">ambition(1,), attention to details(1,),  </v>
      </c>
      <c r="BH130" s="21" t="str">
        <f t="shared" si="377"/>
        <v xml:space="preserve"> </v>
      </c>
      <c r="BI130" s="21" t="str">
        <f t="shared" si="200"/>
        <v xml:space="preserve">enthusiasm(3), PR(2), administrator(1), project management(2),  </v>
      </c>
      <c r="BJ130" s="21" t="str">
        <f t="shared" si="201"/>
        <v xml:space="preserve">organizational rules and manuals(1,12.5), project management(1,12.5),  </v>
      </c>
      <c r="BK130" s="21" t="str">
        <f t="shared" si="378"/>
        <v xml:space="preserve">organizational rules and manuals(12.5),project management(12.5), </v>
      </c>
      <c r="BL130" s="21" t="str">
        <f t="shared" si="376"/>
        <v xml:space="preserve">scale 1
enthusiasm 1
local biz 1
reputation 1
portfolio 1
biz enhancement 1
 </v>
      </c>
      <c r="BM130" s="21" t="str">
        <f t="shared" si="202"/>
        <v xml:space="preserve"> </v>
      </c>
      <c r="BN130" s="21" t="str">
        <f t="shared" si="377"/>
        <v xml:space="preserve"> </v>
      </c>
      <c r="BO130" s="21" t="str">
        <f t="shared" si="203"/>
        <v xml:space="preserve"> </v>
      </c>
      <c r="BP130" s="21" t="str">
        <f t="shared" si="204"/>
        <v xml:space="preserve"> </v>
      </c>
      <c r="BQ130" s="21" t="str">
        <f t="shared" si="378"/>
        <v xml:space="preserve"> </v>
      </c>
      <c r="BR130" s="21" t="str">
        <f t="shared" si="376"/>
        <v xml:space="preserve"> </v>
      </c>
      <c r="BS130" s="21" t="str">
        <f t="shared" si="205"/>
        <v xml:space="preserve"> </v>
      </c>
      <c r="BT130" s="21" t="str">
        <f t="shared" si="377"/>
        <v xml:space="preserve"> </v>
      </c>
      <c r="BU130" s="21" t="str">
        <f t="shared" si="206"/>
        <v xml:space="preserve"> </v>
      </c>
      <c r="BV130" s="21" t="str">
        <f t="shared" si="207"/>
        <v xml:space="preserve"> </v>
      </c>
      <c r="BW130" s="21" t="str">
        <f t="shared" si="378"/>
        <v xml:space="preserve"> </v>
      </c>
      <c r="BX130" s="21" t="str">
        <f t="shared" si="379"/>
        <v xml:space="preserve">scale 1
network 1
 </v>
      </c>
      <c r="BY130" s="21" t="str">
        <f t="shared" si="209"/>
        <v xml:space="preserve">efficiency(1,),  </v>
      </c>
      <c r="BZ130" s="21" t="str">
        <f t="shared" si="380"/>
        <v xml:space="preserve"> </v>
      </c>
      <c r="CA130" s="21" t="str">
        <f t="shared" si="211"/>
        <v xml:space="preserve">scale(2), enthusiasm(1), attention to details(1), administrator(1), negotiation(1),  </v>
      </c>
      <c r="CB130" s="21" t="str">
        <f t="shared" si="212"/>
        <v xml:space="preserve">user rules and manuals(1,50), organizational rules and manuals(1,50),  </v>
      </c>
      <c r="CC130" s="21" t="str">
        <f t="shared" si="381"/>
        <v xml:space="preserve">user rules and manuals(50),organizational rules and manuals(50), </v>
      </c>
      <c r="CD130" s="21" t="str">
        <f t="shared" si="379"/>
        <v xml:space="preserve">scale 1
enthusiasm 1
network 1
 </v>
      </c>
      <c r="CE130" s="21" t="str">
        <f t="shared" si="214"/>
        <v xml:space="preserve">non-profits(1,),  </v>
      </c>
      <c r="CF130" s="21" t="str">
        <f t="shared" si="380"/>
        <v xml:space="preserve"> </v>
      </c>
      <c r="CG130" s="21" t="str">
        <f t="shared" si="215"/>
        <v xml:space="preserve">fun-ness(1), seriousness(1), ease of access(1), portfolio(1), user rules and manuals(1), negotiation(1), social project(1), biz project(1), for basic literacy(1), for the elites(1), for entrepreneurs(1),  </v>
      </c>
      <c r="CH130" s="21" t="str">
        <f t="shared" si="216"/>
        <v xml:space="preserve">technologists(1,6.25), non-profits(1,6.25),  </v>
      </c>
      <c r="CI130" s="21" t="str">
        <f t="shared" si="381"/>
        <v xml:space="preserve">technologists(6.25),non-profits(6.25), </v>
      </c>
      <c r="CJ130" s="21" t="str">
        <f t="shared" si="379"/>
        <v xml:space="preserve">scale 1
 </v>
      </c>
      <c r="CK130" s="21" t="str">
        <f t="shared" si="217"/>
        <v xml:space="preserve">suppliers(1,),  </v>
      </c>
      <c r="CL130" s="21" t="str">
        <f t="shared" si="380"/>
        <v xml:space="preserve"> </v>
      </c>
      <c r="CM130" s="21" t="str">
        <f t="shared" si="218"/>
        <v xml:space="preserve">reputation(1), negotiation(1),  </v>
      </c>
      <c r="CN130" s="21" t="str">
        <f t="shared" si="219"/>
        <v xml:space="preserve">enthusiasm(2,), efficiency(1,6.25),  </v>
      </c>
      <c r="CO130" s="21" t="str">
        <f t="shared" si="381"/>
        <v xml:space="preserve">efficiency(6.25), </v>
      </c>
      <c r="CP130" s="21" t="str">
        <f t="shared" si="379"/>
        <v xml:space="preserve">scale 1
 </v>
      </c>
      <c r="CQ130" s="21" t="str">
        <f t="shared" si="220"/>
        <v xml:space="preserve">technologists(1,),  </v>
      </c>
      <c r="CR130" s="21" t="str">
        <f t="shared" si="380"/>
        <v xml:space="preserve"> </v>
      </c>
      <c r="CS130" s="21" t="str">
        <f t="shared" si="221"/>
        <v xml:space="preserve">enthusiasm(1), network(1), portfolio(1), negotiation(1), web(1), infrastructrue(1), database(1), mobile apps(1), sensors(1), security(1), AI&amp; data analysis(1), mobile comm(1), VR&amp;AR(1), wood processing(1), metal processing(1), plastic processing(1), electronics(1), fabric(1),  </v>
      </c>
      <c r="CT130" s="21" t="str">
        <f t="shared" si="222"/>
        <v xml:space="preserve">efficiency(1,6.25),  </v>
      </c>
      <c r="CU130" s="21" t="str">
        <f t="shared" si="381"/>
        <v xml:space="preserve">efficiency(6.25), </v>
      </c>
      <c r="CV130" s="21" t="str">
        <f t="shared" si="379"/>
        <v xml:space="preserve">scale 1
 </v>
      </c>
      <c r="CW130" s="21" t="str">
        <f t="shared" si="223"/>
        <v xml:space="preserve">local biz(1,),  </v>
      </c>
      <c r="CX130" s="21" t="str">
        <f t="shared" si="380"/>
        <v xml:space="preserve"> </v>
      </c>
      <c r="CY130" s="21" t="str">
        <f t="shared" si="224"/>
        <v xml:space="preserve">ease of access(1), reputation(1), portfolio(1), negotiation(1),  </v>
      </c>
      <c r="CZ130" s="21" t="str">
        <f t="shared" si="225"/>
        <v xml:space="preserve">non-profits(1,6.25),  </v>
      </c>
      <c r="DA130" s="21" t="str">
        <f t="shared" si="381"/>
        <v xml:space="preserve">non-profits(6.25), </v>
      </c>
      <c r="DB130" s="21" t="str">
        <f t="shared" si="379"/>
        <v xml:space="preserve"> </v>
      </c>
      <c r="DC130" s="21" t="str">
        <f t="shared" si="226"/>
        <v xml:space="preserve"> </v>
      </c>
      <c r="DD130" s="21" t="str">
        <f t="shared" si="380"/>
        <v xml:space="preserve"> </v>
      </c>
      <c r="DE130"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0" s="21" t="str">
        <f t="shared" si="228"/>
        <v xml:space="preserve">network(1,), local biz(1,6.25), biz group(1,6.25), investors(1,6.25), entrepreneurs(1,6.25),  </v>
      </c>
      <c r="DG130" s="21" t="str">
        <f t="shared" si="381"/>
        <v xml:space="preserve">local biz(6.25),biz group(6.25),investors(6.25),entrepreneurs(6.25), </v>
      </c>
      <c r="DH130" s="21" t="str">
        <f t="shared" si="379"/>
        <v xml:space="preserve">scale 1
enthusiasm 1
network 1
non-profits 1
reputation 1
social project 1
 </v>
      </c>
      <c r="DI130" s="21" t="str">
        <f t="shared" si="229"/>
        <v xml:space="preserve"> </v>
      </c>
      <c r="DJ130" s="21" t="str">
        <f t="shared" si="380"/>
        <v xml:space="preserve"> </v>
      </c>
      <c r="DK130" s="21" t="str">
        <f t="shared" si="230"/>
        <v xml:space="preserve">scale(3), 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0" s="21" t="str">
        <f t="shared" si="231"/>
        <v xml:space="preserve">reputation(1,6.25),  </v>
      </c>
      <c r="DM130" s="21" t="str">
        <f t="shared" si="381"/>
        <v xml:space="preserve">reputation(6.25), </v>
      </c>
      <c r="DN130" s="21" t="str">
        <f t="shared" si="379"/>
        <v xml:space="preserve">scale 1
enthusiasm 1
network 1
local biz 1
reputation 1
biz project 1
 </v>
      </c>
      <c r="DO130" s="21" t="str">
        <f t="shared" si="232"/>
        <v xml:space="preserve"> </v>
      </c>
      <c r="DP130" s="21" t="str">
        <f t="shared" si="380"/>
        <v xml:space="preserve"> </v>
      </c>
      <c r="DQ130" s="21" t="str">
        <f t="shared" si="233"/>
        <v xml:space="preserve">scale(3), 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0" s="21" t="str">
        <f t="shared" si="234"/>
        <v xml:space="preserve">reputation(1,6.25),  </v>
      </c>
      <c r="DS130" s="21" t="str">
        <f t="shared" si="381"/>
        <v xml:space="preserve">reputation(6.25), </v>
      </c>
      <c r="DT130" s="21" t="str">
        <f t="shared" si="379"/>
        <v xml:space="preserve">scale 1
enthusiasm 1
network 1
reputation 1
 </v>
      </c>
      <c r="DU130" s="21" t="str">
        <f t="shared" si="235"/>
        <v xml:space="preserve"> </v>
      </c>
      <c r="DV130" s="21" t="str">
        <f t="shared" si="380"/>
        <v xml:space="preserve"> </v>
      </c>
      <c r="DW130" s="21" t="str">
        <f t="shared" si="236"/>
        <v xml:space="preserve">scale(2), 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0" s="21" t="str">
        <f t="shared" si="237"/>
        <v xml:space="preserve">ambition(1,6.25), reputation(1,6.25), for basic literacy(1,6.25),  </v>
      </c>
      <c r="DY130" s="21" t="str">
        <f t="shared" si="381"/>
        <v xml:space="preserve">ambition(6.25),reputation(6.25),for basic literacy(6.25), </v>
      </c>
      <c r="DZ130" s="21" t="str">
        <f t="shared" si="379"/>
        <v xml:space="preserve">scale 1
enthusiasm 1
network 1
reputation 1
 </v>
      </c>
      <c r="EA130" s="21" t="str">
        <f t="shared" si="238"/>
        <v xml:space="preserve"> </v>
      </c>
      <c r="EB130" s="21" t="str">
        <f t="shared" si="380"/>
        <v xml:space="preserve"> </v>
      </c>
      <c r="EC130" s="21" t="str">
        <f t="shared" si="239"/>
        <v xml:space="preserve">scale(2), 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0" s="21" t="str">
        <f t="shared" si="240"/>
        <v xml:space="preserve">ambition(1,6.25), reputation(1,6.25), for basic literacy(1,6.25),  </v>
      </c>
      <c r="EE130" s="21" t="str">
        <f t="shared" si="381"/>
        <v xml:space="preserve">ambition(6.25),reputation(6.25),for basic literacy(6.25), </v>
      </c>
      <c r="EF130" s="21" t="str">
        <f t="shared" si="379"/>
        <v xml:space="preserve">technologists 1
reputation 1
 </v>
      </c>
      <c r="EG130" s="21" t="str">
        <f t="shared" si="241"/>
        <v xml:space="preserve">web(1,50), mobile apps(1,50), interaction(1,50),  </v>
      </c>
      <c r="EH130" s="21" t="str">
        <f t="shared" si="380"/>
        <v xml:space="preserve">web 50
mobile apps 50
interaction 50
 </v>
      </c>
      <c r="EI130" s="21" t="str">
        <f t="shared" si="242"/>
        <v xml:space="preserve">scale(2), enthusiasm(2), seriousness(2), initiative(1), community manager(1), administrator(1), enthusiasm(1), fame(1), network(2), level of understanding(1), technologists(2), ease of access(1), reputation(2), infrastructrue(1), database(1), mobile comm(1), for entrepreneurs(1),  </v>
      </c>
      <c r="EJ130" s="21" t="str">
        <f t="shared" si="243"/>
        <v xml:space="preserve">technologists(1,12.5), infrastructrue(1,12.5), database(1,12.5), mobile comm(1,12.5), for entrepreneurs(1,6.25),  </v>
      </c>
      <c r="EK130" s="21" t="str">
        <f t="shared" si="381"/>
        <v xml:space="preserve">technologists(12.5),infrastructrue(12.5),database(12.5),mobile comm(12.5),for entrepreneurs(6.25), </v>
      </c>
      <c r="EL130" s="21" t="str">
        <f t="shared" si="382"/>
        <v xml:space="preserve">technologists 1
reputation 1
 </v>
      </c>
      <c r="EM130" s="21" t="str">
        <f t="shared" si="245"/>
        <v xml:space="preserve">sensors(1,50),  </v>
      </c>
      <c r="EN130" s="21" t="str">
        <f t="shared" si="383"/>
        <v xml:space="preserve">sensors 50
 </v>
      </c>
      <c r="EO130" s="21" t="str">
        <f t="shared" si="247"/>
        <v xml:space="preserve">scale(2), enthusiasm(2), seriousness(2), initiative(1), community manager(1), administrator(1), enthusiasm(1), fame(1), network(2), level of understanding(1), technologists(2), ease of access(1), reputation(2), project management(2), infrastructrue(1), database(1), mobile comm(1), for entrepreneurs(1),  </v>
      </c>
      <c r="EP130" s="21" t="str">
        <f t="shared" si="248"/>
        <v xml:space="preserve">technologists(1,12.5), infrastructrue(1,12.5), database(1,12.5), mobile comm(1,12.5), electronics(1,6.25), for entrepreneurs(1,6.25),  </v>
      </c>
      <c r="EQ130" s="21" t="str">
        <f t="shared" si="384"/>
        <v xml:space="preserve">technologists(12.5),infrastructrue(12.5),database(12.5),mobile comm(12.5),electronics(6.25),for entrepreneurs(6.25), </v>
      </c>
      <c r="ER130" s="21" t="str">
        <f t="shared" si="382"/>
        <v xml:space="preserve">technologists 1
 </v>
      </c>
      <c r="ES130" s="21" t="str">
        <f t="shared" si="250"/>
        <v xml:space="preserve">AI&amp; data analysis(1,50),  </v>
      </c>
      <c r="ET130" s="21" t="str">
        <f t="shared" si="383"/>
        <v xml:space="preserve">AI&amp; data analysis 50
 </v>
      </c>
      <c r="EU130" s="21" t="str">
        <f t="shared" si="251"/>
        <v xml:space="preserve">scale(2), enthusiasm(2), seriousness(2), initiative(1), community manager(1), administrator(1), enthusiasm(1), fame(1), network(2), level of understanding(1), technologists(2), ease of access(1), reputation(2), database(1), sensors(1), mobile comm(1), for entrepreneurs(1),  </v>
      </c>
      <c r="EV130" s="21" t="str">
        <f t="shared" si="252"/>
        <v xml:space="preserve">technologists(1,12.5), database(1,12.5), sensors(1,12.5), mobile comm(1,12.5), for entrepreneurs(1,6.25),  </v>
      </c>
      <c r="EW130" s="21" t="str">
        <f t="shared" si="384"/>
        <v xml:space="preserve">technologists(12.5),database(12.5),sensors(12.5),mobile comm(12.5),for entrepreneurs(6.25), </v>
      </c>
      <c r="EX130" s="21" t="str">
        <f t="shared" si="382"/>
        <v xml:space="preserve">technologists 1
 </v>
      </c>
      <c r="EY130" s="21" t="str">
        <f t="shared" si="253"/>
        <v xml:space="preserve">law(1,50), security(1,50), interaction(1,25),  </v>
      </c>
      <c r="EZ130" s="21" t="str">
        <f t="shared" si="383"/>
        <v xml:space="preserve">law 50
security 50
interaction 25
 </v>
      </c>
      <c r="FA130" s="21" t="str">
        <f t="shared" si="254"/>
        <v xml:space="preserve">scale(2), enthusiasm(2), seriousness(2), initiative(1), community manager(1), administrator(1), enthusiasm(1), fame(1), network(2), level of understanding(1), technologists(2), ease of access(1), reputation(2), law(2), for entrepreneurs(1),  </v>
      </c>
      <c r="FB130" s="21" t="str">
        <f t="shared" si="255"/>
        <v xml:space="preserve">technologists(1,12.5), law(1,6.25), database(1,12.5), mobile apps(1,12.5), security(1,12.5), mobile comm(1,12.5), for entrepreneurs(1,6.25),  </v>
      </c>
      <c r="FC130" s="21" t="str">
        <f t="shared" si="384"/>
        <v xml:space="preserve">technologists(12.5),law(6.25),database(12.5),mobile apps(12.5),security(12.5),mobile comm(12.5),for entrepreneurs(6.25), </v>
      </c>
      <c r="FD130" s="21" t="str">
        <f t="shared" si="382"/>
        <v xml:space="preserve">technologists 1
 </v>
      </c>
      <c r="FE130" s="21" t="str">
        <f t="shared" si="256"/>
        <v xml:space="preserve">law(1,50), sensors(1,50), security(1,50),  </v>
      </c>
      <c r="FF130" s="21" t="str">
        <f t="shared" si="383"/>
        <v xml:space="preserve">law 50
sensors 50
security 50
 </v>
      </c>
      <c r="FG130" s="21" t="str">
        <f t="shared" si="257"/>
        <v xml:space="preserve">scale(2), enthusiasm(2), seriousness(2), initiative(1), community manager(1), administrator(1), enthusiasm(1), fame(1), network(2), level of understanding(1), technologists(2), ease of access(1), reputation(2), law(2), project management(2), for entrepreneurs(1),  </v>
      </c>
      <c r="FH130" s="21" t="str">
        <f t="shared" si="258"/>
        <v xml:space="preserve">technologists(1,12.5), law(1,6.25), database(1,6.25), mobile apps(1,6.25), AI&amp; data analysis(1,6.25), mobile comm(1,6.25), for entrepreneurs(1,6.25),  </v>
      </c>
      <c r="FI130" s="21" t="str">
        <f t="shared" si="384"/>
        <v xml:space="preserve">technologists(12.5),law(6.25),database(6.25),mobile apps(6.25),AI&amp; data analysis(6.25),mobile comm(6.25),for entrepreneurs(6.25), </v>
      </c>
      <c r="FJ130" s="21" t="str">
        <f t="shared" si="382"/>
        <v xml:space="preserve">technologists 1
 </v>
      </c>
      <c r="FK130" s="21" t="str">
        <f t="shared" si="259"/>
        <v xml:space="preserve">wood processing(1,25), metal processing(1,25), plastic processing(1,25), fabric(1,25), safety(1,25), interaction(1,25),  </v>
      </c>
      <c r="FL130" s="21" t="str">
        <f t="shared" si="383"/>
        <v xml:space="preserve">project management 2
wood processing 25
metal processing 25
plastic processing 25
fabric 25
safety 25
interaction 25
 </v>
      </c>
      <c r="FM130" s="21" t="str">
        <f t="shared" si="260"/>
        <v xml:space="preserve">scale(2), enthusiasm(2), seriousness(2), initiative(1), community manager(1), administrator(1), enthusiasm(1), fame(1), network(2), level of understanding(1), technologists(2), spaciousness(1), ease of access(1), reputation(2), for entrepreneurs(1),  </v>
      </c>
      <c r="FN130" s="21" t="str">
        <f t="shared" si="261"/>
        <v xml:space="preserve">technologists(1,12.5), for entrepreneurs(1,6.25),  </v>
      </c>
      <c r="FO130" s="21" t="str">
        <f t="shared" si="384"/>
        <v xml:space="preserve">technologists(12.5),for entrepreneurs(6.25), </v>
      </c>
      <c r="FP130" s="21" t="str">
        <f t="shared" si="382"/>
        <v xml:space="preserve">technologists 1
 </v>
      </c>
      <c r="FQ130" s="21" t="str">
        <f t="shared" si="262"/>
        <v xml:space="preserve">web(1,25), mobile apps(1,50), functions(1,25), interaction(1,25),  </v>
      </c>
      <c r="FR130" s="21" t="str">
        <f t="shared" si="383"/>
        <v xml:space="preserve">web 25
mobile apps 50
functions 25
interaction 25
 </v>
      </c>
      <c r="FS130" s="21" t="str">
        <f t="shared" si="263"/>
        <v xml:space="preserve">scale(2), enthusiasm(2), seriousness(2), initiative(1), community manager(1), administrator(1), enthusiasm(1), fame(1), network(2), level of understanding(1), technologists(2), spaciousness(1), ease of access(1), reputation(2), for entrepreneurs(1),  </v>
      </c>
      <c r="FT130" s="21" t="str">
        <f t="shared" si="264"/>
        <v xml:space="preserve">technologists(1,12.5), for entrepreneurs(1,6.25),  </v>
      </c>
      <c r="FU130" s="21" t="str">
        <f t="shared" si="384"/>
        <v xml:space="preserve">technologists(12.5),for entrepreneurs(6.25), </v>
      </c>
      <c r="FV130" s="21" t="str">
        <f t="shared" si="382"/>
        <v xml:space="preserve">technologists 1
 </v>
      </c>
      <c r="FW130" s="21" t="str">
        <f t="shared" si="265"/>
        <v xml:space="preserve">mobile apps(1,50), sensors(1,50), wood processing(1,25), plastic processing(1,25), electronics(1,25), functions(1,25), interaction(1,25),  </v>
      </c>
      <c r="FX130" s="21" t="str">
        <f t="shared" si="383"/>
        <v xml:space="preserve">mobile apps 50
sensors 50
wood processing 25
plastic processing 25
electronics 25
functions 25
interaction 25
 </v>
      </c>
      <c r="FY130" s="21" t="str">
        <f t="shared" si="266"/>
        <v xml:space="preserve">scale(2), enthusiasm(2), seriousness(2), initiative(1), community manager(1), administrator(1), enthusiasm(1), fame(1), network(2), level of understanding(1), technologists(2), spaciousness(1), ease of access(1), reputation(2), project management(2), for entrepreneurs(1),  </v>
      </c>
      <c r="FZ130" s="21" t="str">
        <f t="shared" si="267"/>
        <v xml:space="preserve">technologists(1,12.5), web(1,6.25), database(1,6.25), AI&amp; data analysis(1,6.25), mobile comm(1,6.25), for entrepreneurs(1,6.25),  </v>
      </c>
      <c r="GA130" s="21" t="str">
        <f t="shared" si="384"/>
        <v xml:space="preserve">technologists(12.5),web(6.25),database(6.25),AI&amp; data analysis(6.25),mobile comm(6.25),for entrepreneurs(6.25), </v>
      </c>
      <c r="GB130" s="21" t="str">
        <f t="shared" si="382"/>
        <v xml:space="preserve">technologists 1
 </v>
      </c>
      <c r="GC130" s="21" t="str">
        <f t="shared" si="268"/>
        <v xml:space="preserve">sensors(1,25), mobile comm(1,25), electronics(1,50), functions(1,25), safety(1,25),  </v>
      </c>
      <c r="GD130" s="21" t="str">
        <f t="shared" si="383"/>
        <v xml:space="preserve">sensors 25
mobile comm 25
electronics 50
functions 25
safety 25
 </v>
      </c>
      <c r="GE130" s="21" t="str">
        <f t="shared" si="269"/>
        <v xml:space="preserve">scale(2), enthusiasm(2), seriousness(2), initiative(1), community manager(1), administrator(1), enthusiasm(1), fame(1), network(2), level of understanding(1), technologists(2), spaciousness(1), ease of access(1), reputation(2), project management(2), for entrepreneurs(1),  </v>
      </c>
      <c r="GF130" s="21" t="str">
        <f t="shared" si="270"/>
        <v xml:space="preserve">technologists(1,12.5), database(1,6.25), mobile apps(1,6.25), AI&amp; data analysis(1,6.25), plastic processing(1,6.25), interaction(1,6.25), for entrepreneurs(1,6.25),  </v>
      </c>
      <c r="GG130" s="21" t="str">
        <f t="shared" si="384"/>
        <v xml:space="preserve">technologists(12.5),database(6.25),mobile apps(6.25),AI&amp; data analysis(6.25),plastic processing(6.25),interaction(6.25),for entrepreneurs(6.25), </v>
      </c>
      <c r="GH130" s="21" t="str">
        <f t="shared" si="382"/>
        <v xml:space="preserve">technologists 1
 </v>
      </c>
      <c r="GI130" s="21" t="str">
        <f t="shared" si="271"/>
        <v xml:space="preserve">web(1,25), mobile apps(1,50), functions(1,25), interaction(1,25),  </v>
      </c>
      <c r="GJ130" s="21" t="str">
        <f t="shared" si="383"/>
        <v xml:space="preserve">web 25
mobile apps 50
functions 25
interaction 25
 </v>
      </c>
      <c r="GK130" s="21" t="str">
        <f t="shared" si="272"/>
        <v xml:space="preserve">scale(2), enthusiasm(2), seriousness(2), initiative(1), community manager(1), administrator(1), enthusiasm(1), fame(1), network(2), level of understanding(1), technologists(2), spaciousness(1), ease of access(1), reputation(2), project management(2), for entrepreneurs(1),  </v>
      </c>
      <c r="GL130" s="21" t="str">
        <f t="shared" si="273"/>
        <v xml:space="preserve">technologists(1,12.5), for entrepreneurs(1,6.25),  </v>
      </c>
      <c r="GM130" s="21" t="str">
        <f t="shared" si="384"/>
        <v xml:space="preserve">technologists(12.5),for entrepreneurs(6.25), </v>
      </c>
      <c r="GN130" s="21" t="str">
        <f t="shared" si="382"/>
        <v xml:space="preserve">technologists 1
 </v>
      </c>
      <c r="GO130" s="21" t="str">
        <f t="shared" si="274"/>
        <v xml:space="preserve">web(1,25), mobile apps(1,25), VR&amp;AR(1,25), aesthetics(1,25), functions(1,25), interaction(1,50),  </v>
      </c>
      <c r="GP130" s="21" t="str">
        <f t="shared" si="383"/>
        <v xml:space="preserve">web 25
mobile apps 25
VR&amp;AR 25
aesthetics 25
functions 25
interaction 50
 </v>
      </c>
      <c r="GQ130" s="21" t="str">
        <f t="shared" si="275"/>
        <v xml:space="preserve">scale(2), enthusiasm(2), seriousness(2), initiative(1), community manager(1), administrator(1), enthusiasm(1), fame(1), network(2), level of understanding(1), technologists(2), spaciousness(1), ease of access(1), reputation(2), project management(2), for entrepreneurs(1),  </v>
      </c>
      <c r="GR130" s="21" t="str">
        <f t="shared" si="276"/>
        <v xml:space="preserve">technologists(1,12.5), for entrepreneurs(1,6.25),  </v>
      </c>
      <c r="GS130" s="21" t="str">
        <f t="shared" si="384"/>
        <v xml:space="preserve">technologists(12.5),for entrepreneurs(6.25), </v>
      </c>
      <c r="GT130" s="21" t="str">
        <f t="shared" si="382"/>
        <v xml:space="preserve">scale 2
ease of access 1
reputation 2
web 1
mobile apps 1
mobile comm 1
 </v>
      </c>
      <c r="GU130" s="21" t="str">
        <f t="shared" si="277"/>
        <v xml:space="preserve"> </v>
      </c>
      <c r="GV130" s="21" t="str">
        <f t="shared" si="383"/>
        <v xml:space="preserve"> </v>
      </c>
      <c r="GW130" s="21" t="str">
        <f t="shared" si="278"/>
        <v xml:space="preserve">scale(3), 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0" s="21" t="str">
        <f t="shared" si="279"/>
        <v xml:space="preserve">enthusiasm(1,6.25), media(1,6.25), entrepreneurs(1,6.25), technologists(1,6.25), project management(1,6.25), social media(1,6.25), web(1,6.25), mobile apps(1,6.25),  </v>
      </c>
      <c r="GY130" s="21" t="str">
        <f t="shared" si="384"/>
        <v xml:space="preserve">enthusiasm(6.25),media(6.25),entrepreneurs(6.25),technologists(6.25),project management(6.25),social media(6.25),web(6.25),mobile apps(6.25), </v>
      </c>
      <c r="GZ130" s="21" t="str">
        <f t="shared" si="385"/>
        <v xml:space="preserve">scale 2
enthusiasm 2
network 1
govt 1
non-profits 1
reputation 2
portfolio 1
 </v>
      </c>
      <c r="HA130" s="21" t="str">
        <f t="shared" si="281"/>
        <v xml:space="preserve"> </v>
      </c>
      <c r="HB130" s="21" t="str">
        <f t="shared" si="386"/>
        <v xml:space="preserve"> </v>
      </c>
      <c r="HC130" s="21" t="str">
        <f t="shared" si="283"/>
        <v xml:space="preserve">scale(3), 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30" s="21" t="str">
        <f t="shared" si="284"/>
        <v xml:space="preserve">enthusiasm(1,6.25), media(1,6.25), technologists(1,6.25), non-profits(1,6.25), reputation(1,6.25), start-up with customers(1,6.25), for basic literacy(1,6.25),  </v>
      </c>
      <c r="HE130" s="21" t="str">
        <f t="shared" si="387"/>
        <v xml:space="preserve">enthusiasm(6.25),media(6.25),technologists(6.25),non-profits(6.25),reputation(6.25),start-up with customers(6.25),for basic literacy(6.25), </v>
      </c>
      <c r="HF130" s="21" t="str">
        <f t="shared" si="385"/>
        <v xml:space="preserve"> </v>
      </c>
      <c r="HG130" s="21" t="str">
        <f t="shared" si="286"/>
        <v xml:space="preserve">scale(2,), enthusiasm(2,),  </v>
      </c>
      <c r="HH130" s="21" t="str">
        <f t="shared" si="386"/>
        <v xml:space="preserve"> </v>
      </c>
      <c r="HI130" s="21" t="str">
        <f t="shared" si="287"/>
        <v xml:space="preserve">scale(3), 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30" s="21" t="str">
        <f t="shared" si="288"/>
        <v xml:space="preserve">enthusiasm(1,6.25), fun-ness(1,6.25), seriousness(1,6.25), govt(1,6.25), media(1,6.25), non-profits(1,6.25), start-up with customers(1,6.25),  </v>
      </c>
      <c r="HK130" s="21" t="str">
        <f t="shared" si="387"/>
        <v xml:space="preserve">enthusiasm(6.25),fun-ness(6.25),seriousness(6.25),govt(6.25),media(6.25),non-profits(6.25),start-up with customers(6.25), </v>
      </c>
      <c r="HL130" s="21" t="str">
        <f t="shared" si="385"/>
        <v xml:space="preserve">scale 2
community manager 1
PR 1
administrator 1
local biz 1
entrepreneurs 1
non-profits 1
reputation 2
portfolio 2
 </v>
      </c>
      <c r="HM130" s="21" t="str">
        <f t="shared" si="289"/>
        <v xml:space="preserve">scale(1,25), enthusiasm(1,25), ambition(1,25), fun-ness(1,25), seriousness(1,25),  </v>
      </c>
      <c r="HN130" s="21" t="str">
        <f t="shared" si="386"/>
        <v xml:space="preserve">scale 25
enthusiasm 25
ambition 25
fun-ness 25
seriousness 25
 </v>
      </c>
      <c r="HO130"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0" s="21" t="str">
        <f t="shared" si="291"/>
        <v xml:space="preserve">enthusiasm(1,6.25), fun-ness(1,6.25), enthusiasm(1,6.25), level of understanding(1,6.25), local biz(1,6.25), biz group(1,6.25), govt(1,6.25), investors(1,6.25), media(1,6.25), entrepreneurs(1,6.25), technologists(1,6.25), suppliers(1,6.25), non-profits(1,6.25), reputation(1,6.25),  </v>
      </c>
      <c r="HQ130" s="47" t="str">
        <f t="shared" si="387"/>
        <v xml:space="preserve">enthusiasm(6.25),fun-ness(6.25),enthusiasm(6.25),level of understanding(6.25),local biz(6.25),biz group(6.25),govt(6.25),investors(6.25),media(6.25),entrepreneurs(6.25),technologists(6.25),suppliers(6.25),non-profits(6.25),reputation(6.25), </v>
      </c>
      <c r="HR130" s="47" t="str">
        <f t="shared" ref="HR130:HW130" si="423">IF(HR28="",HR131,$C130&amp;"("&amp;HR28&amp;"),"&amp;HR131)</f>
        <v xml:space="preserve">scale(2),enthusiasm(2),reputation(2),portfolio(2),mobile apps(1),sensors(1),wood processing(1),aesthetics(1), </v>
      </c>
      <c r="HS130" s="47" t="str">
        <f t="shared" si="423"/>
        <v xml:space="preserve"> </v>
      </c>
      <c r="HT130" s="47" t="str">
        <f t="shared" si="423"/>
        <v xml:space="preserve"> </v>
      </c>
      <c r="HU130" s="47" t="str">
        <f t="shared" si="423"/>
        <v xml:space="preserve">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0" s="47" t="str">
        <f t="shared" si="423"/>
        <v xml:space="preserve">local biz(1),biz group(1),govt(1),investors(1),media(1),entrepreneurs(1),technologists(1),suppliers(1),non-profits(1),reputation(1), </v>
      </c>
      <c r="HW130" s="47" t="str">
        <f t="shared" si="423"/>
        <v xml:space="preserve">local biz(6.25),biz group(6.25),govt(6.25),investors(6.25),media(6.25),entrepreneurs(6.25),technologists(12.5),suppliers(6.25),non-profits(6.25),reputation(6.25), </v>
      </c>
      <c r="HX130" s="47" t="str">
        <f t="shared" ref="HX130:IU130" si="424">IF(HX28="",HX131,$C130&amp;"("&amp;HX28&amp;"),"&amp;HX131)</f>
        <v xml:space="preserve">scale(2),enthusiasm(2),ambition(2),seriousness(2),leader(1),local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0" s="47" t="str">
        <f t="shared" si="424"/>
        <v xml:space="preserve">biz enhancement(1), </v>
      </c>
      <c r="HZ130" s="47" t="str">
        <f t="shared" si="424"/>
        <v xml:space="preserve">biz enhancement(100), </v>
      </c>
      <c r="IA130" s="47" t="str">
        <f t="shared" si="424"/>
        <v xml:space="preserve">community manager(1),PR(1),finance(1),administrator(1),enthusiasm(2),network(2),ambition(2),knowledge(2),spaciousness(2),ease of access(3),efficiency(2),portfolio(4),finance(2),business model(2),marketing(3),team building(2),project management(2),social media(3),negotiation(3), </v>
      </c>
      <c r="IB130" s="47" t="str">
        <f t="shared" si="424"/>
        <v xml:space="preserve">enthusiasm(1),ambition(1),seriousness(1),initiative(1),level of understanding(1),ambition(1),local biz(1),biz group(1),govt(1),media(1),entrepreneurs(1),technologists(1),non-profits(1),reputation(1),team building(1),database(1),AI&amp; data analysis(1),electronics(1),functions(1), </v>
      </c>
      <c r="IC130" s="47" t="str">
        <f t="shared" si="424"/>
        <v xml:space="preserve">enthusiasm(6.25),ambition(6.25),seriousness(6.25),initiative(6.25),level of understanding(6.25),ambition(6.25),local biz(6.25),biz group(6.25),govt(6.25),media(6.25),entrepreneurs(6.25),technologists(6.25),non-profits(6.25),reputation(6.25),team building(6.25),database(6.25),AI&amp; data analysis(6.25),electronics(6.25),functions(6.25), </v>
      </c>
      <c r="ID130" s="47" t="str">
        <f t="shared" si="424"/>
        <v xml:space="preserve">scale(1),technologists(2), </v>
      </c>
      <c r="IE130" s="47" t="str">
        <f t="shared" si="424"/>
        <v xml:space="preserve">web(1),mobile apps(1),security(1),AI&amp; data analysis(1), </v>
      </c>
      <c r="IF130" s="47" t="str">
        <f t="shared" si="424"/>
        <v xml:space="preserve">web(25),mobile apps(25),security(25),AI&amp; data analysis(25), </v>
      </c>
      <c r="IG130" s="47" t="str">
        <f t="shared" si="424"/>
        <v xml:space="preserve">scale(2),enthusiasm(3),attention to details(2),seriousness(2),community manager(1),administrator(1),network(2),entrepreneurs(3),technologists(4),spaciousness(2),ease of access(2),reputation(3),efficiency(2),portfolio(3),web(2),database(2),mobile apps(2),security(2),AI&amp; data analysis(2), </v>
      </c>
      <c r="IH130" s="47" t="str">
        <f t="shared" si="424"/>
        <v xml:space="preserve">technologists(1),web(1),database(1),mobile apps(1),security(1),AI&amp; data analysis(1), </v>
      </c>
      <c r="II130" s="47" t="str">
        <f t="shared" si="424"/>
        <v xml:space="preserve">technologists(6.25),web(6.25),database(6.25),mobile apps(6.25),security(6.25),AI&amp; data analysis(6.25), </v>
      </c>
      <c r="IJ130" s="47" t="str">
        <f t="shared" si="424"/>
        <v xml:space="preserve">scale(1),technologists(2), </v>
      </c>
      <c r="IK130" s="47" t="str">
        <f t="shared" si="424"/>
        <v xml:space="preserve">wood processing(1),metal processing(1),functions(1),safety(1), </v>
      </c>
      <c r="IL130" s="47" t="str">
        <f t="shared" si="424"/>
        <v xml:space="preserve">wood processing(25),metal processing(25),functions(25),safety(25), </v>
      </c>
      <c r="IM130" s="47" t="str">
        <f t="shared" si="424"/>
        <v xml:space="preserve">scale(2),enthusiasm(3),attention to details(2),seriousness(2),community manager(1),administrator(1),network(2),entrepreneurs(3),technologists(4),spaciousness(2),ease of access(2),reputation(3),efficiency(2),portfolio(3),wood processing(2),metal processing(2),functions(2),safety(2), </v>
      </c>
      <c r="IN130" s="47" t="str">
        <f t="shared" si="424"/>
        <v xml:space="preserve">technologists(1),wood processing(1),metal processing(1),functions(1),safety(1),interaction(1), </v>
      </c>
      <c r="IO130" s="47" t="str">
        <f t="shared" si="424"/>
        <v xml:space="preserve">technologists(6.25),wood processing(6.25),metal processing(6.25),functions(6.25),safety(6.25),interaction(6.25), </v>
      </c>
      <c r="IP130" s="57" t="str">
        <f t="shared" si="424"/>
        <v xml:space="preserve">scale(2),local biz(2),reputation(1), </v>
      </c>
      <c r="IQ130" s="47" t="str">
        <f t="shared" si="424"/>
        <v xml:space="preserve">local biz(1),marketing(1), </v>
      </c>
      <c r="IR130" s="47" t="str">
        <f t="shared" si="424"/>
        <v xml:space="preserve">local biz(25),marketing(25), </v>
      </c>
      <c r="IS130" s="47" t="str">
        <f t="shared" si="424"/>
        <v xml:space="preserve">enthusiasm(2),agility(2),attention to details(2),fun-ness(2),seriousness(2),leader(1),community manager(1),finance(1),administrator(1),enthusiasm(3),network(2),level of understanding(3),local biz(3),biz group(2),govt(2),non-profits(2),reputation(3),efficiency(2),marketing(2), </v>
      </c>
      <c r="IT130" s="47" t="str">
        <f t="shared" si="424"/>
        <v xml:space="preserve">enthusiasm(1),fun-ness(1),seriousness(1),local biz(1),biz group(1),govt(1),non-profits(1),marketing(1), </v>
      </c>
      <c r="IU130" s="47" t="str">
        <f t="shared" si="424"/>
        <v xml:space="preserve">enthusiasm(6.25),fun-ness(6.25),seriousness(6.25),local biz(6.25),biz group(6.25),govt(6.25),non-profits(6.25),marketing(6.25), </v>
      </c>
      <c r="IV130" s="57" t="str">
        <f t="shared" ref="IV130:LG130" si="425">IF(IV28="",IV131,$C130&amp;"("&amp;IV28&amp;"),"&amp;IV131)</f>
        <v xml:space="preserve">scale(2),local biz(2),reputation(1), </v>
      </c>
      <c r="IW130" s="47" t="str">
        <f t="shared" si="425"/>
        <v xml:space="preserve">local biz(1),marketing(1), </v>
      </c>
      <c r="IX130" s="47" t="str">
        <f t="shared" si="425"/>
        <v xml:space="preserve">local biz(25),marketing(25), </v>
      </c>
      <c r="IY130" s="47" t="str">
        <f t="shared" si="425"/>
        <v xml:space="preserve">enthusiasm(2),agility(2),attention to details(2),fun-ness(2),seriousness(2),leader(1),community manager(1),finance(1),administrator(1),enthusiasm(3),network(2),level of understanding(3),local biz(3),biz group(2),govt(2),reputation(3),efficiency(2),marketing(2), </v>
      </c>
      <c r="IZ130" s="47" t="str">
        <f t="shared" si="425"/>
        <v xml:space="preserve">enthusiasm(1),fun-ness(1),seriousness(1),local biz(1),biz group(1),govt(1),marketing(1), </v>
      </c>
      <c r="JA130" s="47" t="str">
        <f t="shared" si="425"/>
        <v xml:space="preserve">enthusiasm(6.25),fun-ness(6.25),seriousness(6.25),local biz(6.25),biz group(6.25),govt(6.25),marketing(6.25), </v>
      </c>
      <c r="JB130" s="47" t="str">
        <f t="shared" si="425"/>
        <v xml:space="preserve">scale(1),enthusiasm(2), </v>
      </c>
      <c r="JC130" s="47" t="str">
        <f t="shared" si="425"/>
        <v xml:space="preserve"> </v>
      </c>
      <c r="JD130" s="47" t="str">
        <f t="shared" si="425"/>
        <v xml:space="preserve"> </v>
      </c>
      <c r="JE130" s="47" t="str">
        <f t="shared" si="425"/>
        <v xml:space="preserve">scale(2),enthusiasm(3),attention to details(2),fun-ness(2),community manager(1),PR(1),administrator(1),network(2),level of understanding(2),technologists(2),spaciousness(1),ease of access(1),reputation(3),efficiency(2), </v>
      </c>
      <c r="JF130" s="47" t="str">
        <f t="shared" si="425"/>
        <v xml:space="preserve">web(1),infrastructrue(1),database(1),mobile apps(1),sensors(1),security(1),AI&amp; data analysis(1),mobile comm(1),VR&amp;AR(1),wood processing(1),metal processing(1),plastic processing(1),electronics(1),fabric(1),aesthetics(1),functions(1),safety(1),interaction(1), </v>
      </c>
      <c r="JG130" s="47" t="str">
        <f t="shared" si="425"/>
        <v xml:space="preserve">web(6.25),infrastructrue(6.25),database(6.25),mobile apps(6.25),sensors(6.25),security(6.25),AI&amp; data analysis(6.25),mobile comm(6.25),VR&amp;AR(6.25),wood processing(6.25),metal processing(6.25),plastic processing(6.25),electronics(6.25),fabric(6.25),aesthetics(6.25),functions(6.25),safety(6.25),interaction(6.25), </v>
      </c>
      <c r="JH130" s="47" t="str">
        <f t="shared" si="425"/>
        <v xml:space="preserve">scale(1),enthusiasm(1),enthusiasm(1),local biz(1),non-profits(1),reputation(2), </v>
      </c>
      <c r="JI130" s="47" t="str">
        <f t="shared" si="425"/>
        <v xml:space="preserve"> </v>
      </c>
      <c r="JJ130" s="47" t="str">
        <f t="shared" si="425"/>
        <v xml:space="preserve"> </v>
      </c>
      <c r="JK130" s="47" t="str">
        <f t="shared" si="425"/>
        <v xml:space="preserve">scale(2),enthusiasm(2),agility(2),ambition(2),PR(1),finance(1),enthusiasm(2),fame(2),network(2),ambition(2),local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0" s="47" t="str">
        <f t="shared" si="425"/>
        <v xml:space="preserve">non-profits(1), </v>
      </c>
      <c r="JM130" s="47" t="str">
        <f t="shared" si="425"/>
        <v xml:space="preserve">non-profits(6.25), </v>
      </c>
      <c r="JN130" s="47" t="str">
        <f t="shared" si="425"/>
        <v xml:space="preserve">scale(2),enthusiasm(2),enthusiasm(1),network(1),local biz(1),investors(1),entrepreneurs(1),technologists(1),non-profits(1),reputation(2),portfolio(2), </v>
      </c>
      <c r="JO130" s="47" t="str">
        <f t="shared" si="425"/>
        <v xml:space="preserve"> </v>
      </c>
      <c r="JP130" s="47" t="str">
        <f t="shared" si="425"/>
        <v xml:space="preserve"> </v>
      </c>
      <c r="JQ130" s="47" t="str">
        <f t="shared" si="425"/>
        <v xml:space="preserve">scale(3),enthusiasm(3),agility(2),ambition(2),attention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0" s="47" t="str">
        <f t="shared" si="425"/>
        <v xml:space="preserve"> </v>
      </c>
      <c r="JS130" s="47" t="str">
        <f t="shared" si="425"/>
        <v xml:space="preserve"> </v>
      </c>
      <c r="JT130" s="47" t="str">
        <f t="shared" si="425"/>
        <v xml:space="preserve">scale(3),enthusiasm(3),PR(1),administrator(1),enthusiasm(2),network(2),local biz(2),biz group(1),govt(2),investors(2),entrepreneurs(2),technologists(2),non-profits(2),reputation(2),portfolio(3), </v>
      </c>
      <c r="JU130" s="47" t="str">
        <f t="shared" si="425"/>
        <v xml:space="preserve"> </v>
      </c>
      <c r="JV130" s="47" t="str">
        <f t="shared" si="425"/>
        <v xml:space="preserve"> </v>
      </c>
      <c r="JW130" s="47" t="str">
        <f t="shared" si="425"/>
        <v xml:space="preserve">scale(4),enthusiasm(4),enthusiasm(3),fame(3),network(3),level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0" s="47" t="str">
        <f t="shared" si="425"/>
        <v xml:space="preserve"> </v>
      </c>
      <c r="JY130" s="47" t="str">
        <f t="shared" si="425"/>
        <v xml:space="preserve"> </v>
      </c>
      <c r="JZ130" s="47" t="str">
        <f t="shared" si="425"/>
        <v xml:space="preserve">scale(1),enthusiasm(2),network(1),non-profits(1),reputation(2),social project(2), </v>
      </c>
      <c r="KA130" s="47" t="str">
        <f t="shared" si="425"/>
        <v xml:space="preserve">non-profits(1), </v>
      </c>
      <c r="KB130" s="47" t="str">
        <f t="shared" si="425"/>
        <v xml:space="preserve">non-profits(25), </v>
      </c>
      <c r="KC130" s="47" t="str">
        <f t="shared" si="425"/>
        <v xml:space="preserve">scale(2),enthusiasm(3),ambition(2),attention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0" s="47" t="str">
        <f t="shared" si="425"/>
        <v xml:space="preserve">non-profits(1), </v>
      </c>
      <c r="KE130" s="47" t="str">
        <f t="shared" si="425"/>
        <v xml:space="preserve">non-profits(6.25), </v>
      </c>
      <c r="KF130" s="47" t="str">
        <f t="shared" si="425"/>
        <v xml:space="preserve"> </v>
      </c>
      <c r="KG130" s="47" t="str">
        <f t="shared" si="425"/>
        <v xml:space="preserve"> </v>
      </c>
      <c r="KH130" s="47" t="str">
        <f t="shared" si="425"/>
        <v xml:space="preserve"> </v>
      </c>
      <c r="KI130" s="47" t="str">
        <f t="shared" si="425"/>
        <v xml:space="preserve"> </v>
      </c>
      <c r="KJ130" s="47" t="str">
        <f t="shared" si="425"/>
        <v xml:space="preserve"> </v>
      </c>
      <c r="KK130" s="47" t="str">
        <f t="shared" si="425"/>
        <v xml:space="preserve"> </v>
      </c>
      <c r="KL130" s="57" t="str">
        <f t="shared" si="425"/>
        <v xml:space="preserve"> </v>
      </c>
      <c r="KM130" s="47" t="str">
        <f t="shared" si="425"/>
        <v xml:space="preserve"> </v>
      </c>
      <c r="KN130" s="47" t="str">
        <f t="shared" si="425"/>
        <v xml:space="preserve"> </v>
      </c>
      <c r="KO130" s="47" t="str">
        <f t="shared" si="425"/>
        <v xml:space="preserve"> </v>
      </c>
      <c r="KP130" s="47" t="str">
        <f t="shared" si="425"/>
        <v xml:space="preserve"> </v>
      </c>
      <c r="KQ130" s="47" t="str">
        <f t="shared" si="425"/>
        <v xml:space="preserve"> </v>
      </c>
      <c r="KR130" s="57" t="str">
        <f t="shared" si="425"/>
        <v xml:space="preserve"> </v>
      </c>
      <c r="KS130" s="47" t="str">
        <f t="shared" si="425"/>
        <v xml:space="preserve"> </v>
      </c>
      <c r="KT130" s="47" t="str">
        <f t="shared" si="425"/>
        <v xml:space="preserve"> </v>
      </c>
      <c r="KU130" s="47" t="str">
        <f t="shared" si="425"/>
        <v xml:space="preserve"> </v>
      </c>
      <c r="KV130" s="47" t="str">
        <f t="shared" si="425"/>
        <v xml:space="preserve"> </v>
      </c>
      <c r="KW130" s="47" t="str">
        <f t="shared" si="425"/>
        <v xml:space="preserve"> </v>
      </c>
      <c r="KX130" s="57" t="str">
        <f t="shared" si="425"/>
        <v xml:space="preserve"> </v>
      </c>
      <c r="KY130" s="47" t="str">
        <f t="shared" si="425"/>
        <v xml:space="preserve"> </v>
      </c>
      <c r="KZ130" s="47" t="str">
        <f t="shared" si="425"/>
        <v xml:space="preserve"> </v>
      </c>
      <c r="LA130" s="47" t="str">
        <f t="shared" si="425"/>
        <v xml:space="preserve"> </v>
      </c>
      <c r="LB130" s="47" t="str">
        <f t="shared" si="425"/>
        <v xml:space="preserve"> </v>
      </c>
      <c r="LC130" s="47" t="str">
        <f t="shared" si="425"/>
        <v xml:space="preserve"> </v>
      </c>
      <c r="LD130" s="57" t="str">
        <f t="shared" si="425"/>
        <v xml:space="preserve"> </v>
      </c>
      <c r="LE130" s="47" t="str">
        <f t="shared" si="425"/>
        <v xml:space="preserve"> </v>
      </c>
      <c r="LF130" s="47" t="str">
        <f t="shared" si="425"/>
        <v xml:space="preserve"> </v>
      </c>
      <c r="LG130" s="47" t="str">
        <f t="shared" si="425"/>
        <v xml:space="preserve"> </v>
      </c>
      <c r="LH130" s="47" t="str">
        <f t="shared" ref="LH130:NM130" si="426">IF(LH28="",LH131,$C130&amp;"("&amp;LH28&amp;"),"&amp;LH131)</f>
        <v xml:space="preserve"> </v>
      </c>
      <c r="LI130" s="47" t="str">
        <f t="shared" si="426"/>
        <v xml:space="preserve"> </v>
      </c>
      <c r="LJ130" s="57" t="str">
        <f t="shared" si="426"/>
        <v xml:space="preserve"> </v>
      </c>
      <c r="LK130" s="47" t="str">
        <f t="shared" si="426"/>
        <v xml:space="preserve"> </v>
      </c>
      <c r="LL130" s="47" t="str">
        <f t="shared" si="426"/>
        <v xml:space="preserve"> </v>
      </c>
      <c r="LM130" s="47" t="str">
        <f t="shared" si="426"/>
        <v xml:space="preserve"> </v>
      </c>
      <c r="LN130" s="47" t="str">
        <f t="shared" si="426"/>
        <v xml:space="preserve"> </v>
      </c>
      <c r="LO130" s="47" t="str">
        <f t="shared" si="426"/>
        <v xml:space="preserve"> </v>
      </c>
      <c r="LP130" s="57" t="str">
        <f t="shared" si="426"/>
        <v xml:space="preserve"> </v>
      </c>
      <c r="LQ130" s="47" t="str">
        <f t="shared" si="426"/>
        <v xml:space="preserve"> </v>
      </c>
      <c r="LR130" s="47" t="str">
        <f t="shared" si="426"/>
        <v xml:space="preserve"> </v>
      </c>
      <c r="LS130" s="47" t="str">
        <f t="shared" si="426"/>
        <v xml:space="preserve"> </v>
      </c>
      <c r="LT130" s="47" t="str">
        <f t="shared" si="426"/>
        <v xml:space="preserve"> </v>
      </c>
      <c r="LU130" s="47" t="str">
        <f t="shared" si="426"/>
        <v xml:space="preserve"> </v>
      </c>
      <c r="LV130" s="57" t="str">
        <f t="shared" si="426"/>
        <v xml:space="preserve"> </v>
      </c>
      <c r="LW130" s="47" t="str">
        <f t="shared" si="426"/>
        <v xml:space="preserve"> </v>
      </c>
      <c r="LX130" s="47" t="str">
        <f t="shared" si="426"/>
        <v xml:space="preserve"> </v>
      </c>
      <c r="LY130" s="47" t="str">
        <f t="shared" si="426"/>
        <v xml:space="preserve"> </v>
      </c>
      <c r="LZ130" s="47" t="str">
        <f t="shared" si="426"/>
        <v xml:space="preserve"> </v>
      </c>
      <c r="MA130" s="47" t="str">
        <f t="shared" si="426"/>
        <v xml:space="preserve"> </v>
      </c>
      <c r="MB130" s="57" t="str">
        <f t="shared" si="426"/>
        <v xml:space="preserve"> </v>
      </c>
      <c r="MC130" s="47" t="str">
        <f t="shared" si="426"/>
        <v xml:space="preserve"> </v>
      </c>
      <c r="MD130" s="47" t="str">
        <f t="shared" si="426"/>
        <v xml:space="preserve"> </v>
      </c>
      <c r="ME130" s="47" t="str">
        <f t="shared" si="426"/>
        <v xml:space="preserve"> </v>
      </c>
      <c r="MF130" s="47" t="str">
        <f t="shared" si="426"/>
        <v xml:space="preserve"> </v>
      </c>
      <c r="MG130" s="47" t="str">
        <f t="shared" si="426"/>
        <v xml:space="preserve"> </v>
      </c>
      <c r="MH130" s="57" t="str">
        <f t="shared" si="426"/>
        <v xml:space="preserve"> </v>
      </c>
      <c r="MI130" s="47" t="str">
        <f t="shared" si="426"/>
        <v xml:space="preserve"> </v>
      </c>
      <c r="MJ130" s="47" t="str">
        <f t="shared" si="426"/>
        <v xml:space="preserve"> </v>
      </c>
      <c r="MK130" s="47" t="str">
        <f t="shared" si="426"/>
        <v xml:space="preserve"> </v>
      </c>
      <c r="ML130" s="47" t="str">
        <f t="shared" si="426"/>
        <v xml:space="preserve"> </v>
      </c>
      <c r="MM130" s="47" t="str">
        <f t="shared" si="426"/>
        <v xml:space="preserve"> </v>
      </c>
      <c r="MN130" s="57" t="str">
        <f t="shared" si="426"/>
        <v xml:space="preserve"> </v>
      </c>
      <c r="MO130" s="47" t="str">
        <f t="shared" si="426"/>
        <v xml:space="preserve"> </v>
      </c>
      <c r="MP130" s="47" t="str">
        <f t="shared" si="426"/>
        <v xml:space="preserve"> </v>
      </c>
      <c r="MQ130" s="47" t="str">
        <f t="shared" si="426"/>
        <v xml:space="preserve"> </v>
      </c>
      <c r="MR130" s="47" t="str">
        <f t="shared" si="426"/>
        <v xml:space="preserve"> </v>
      </c>
      <c r="MS130" s="47" t="str">
        <f t="shared" si="426"/>
        <v xml:space="preserve"> </v>
      </c>
      <c r="MT130" s="57" t="str">
        <f t="shared" si="426"/>
        <v xml:space="preserve"> </v>
      </c>
      <c r="MU130" s="47" t="str">
        <f t="shared" si="426"/>
        <v xml:space="preserve"> </v>
      </c>
      <c r="MV130" s="47" t="str">
        <f t="shared" si="426"/>
        <v xml:space="preserve"> </v>
      </c>
      <c r="MW130" s="47" t="str">
        <f t="shared" si="426"/>
        <v xml:space="preserve"> </v>
      </c>
      <c r="MX130" s="47" t="str">
        <f t="shared" si="426"/>
        <v xml:space="preserve"> </v>
      </c>
      <c r="MY130" s="47" t="str">
        <f t="shared" si="426"/>
        <v xml:space="preserve"> </v>
      </c>
      <c r="MZ130" s="57" t="str">
        <f t="shared" si="426"/>
        <v xml:space="preserve"> </v>
      </c>
      <c r="NA130" s="47" t="str">
        <f t="shared" si="426"/>
        <v xml:space="preserve"> </v>
      </c>
      <c r="NB130" s="47" t="str">
        <f t="shared" si="426"/>
        <v xml:space="preserve"> </v>
      </c>
      <c r="NC130" s="47" t="str">
        <f t="shared" si="426"/>
        <v xml:space="preserve"> </v>
      </c>
      <c r="ND130" s="47" t="str">
        <f t="shared" si="426"/>
        <v xml:space="preserve"> </v>
      </c>
      <c r="NE130" s="47" t="str">
        <f t="shared" si="426"/>
        <v xml:space="preserve"> </v>
      </c>
      <c r="NF130" s="57" t="str">
        <f t="shared" si="426"/>
        <v xml:space="preserve"> </v>
      </c>
      <c r="NG130" s="47" t="str">
        <f t="shared" si="426"/>
        <v xml:space="preserve"> </v>
      </c>
      <c r="NH130" s="47" t="str">
        <f t="shared" si="426"/>
        <v xml:space="preserve"> </v>
      </c>
      <c r="NI130" s="47" t="str">
        <f t="shared" si="426"/>
        <v xml:space="preserve"> </v>
      </c>
      <c r="NJ130" s="47" t="str">
        <f t="shared" si="426"/>
        <v xml:space="preserve"> </v>
      </c>
      <c r="NK130" s="47" t="str">
        <f t="shared" si="426"/>
        <v xml:space="preserve"> </v>
      </c>
      <c r="NL130" s="57" t="str">
        <f t="shared" si="426"/>
        <v xml:space="preserve"> </v>
      </c>
      <c r="NM130" s="47" t="str">
        <f t="shared" si="426"/>
        <v xml:space="preserve"> </v>
      </c>
    </row>
    <row r="131" spans="3:377" ht="15.75" customHeight="1">
      <c r="C131" s="7" t="str">
        <f t="shared" si="296"/>
        <v>enthusiasm</v>
      </c>
      <c r="D131" s="21" t="str">
        <f t="shared" si="169"/>
        <v xml:space="preserve"> </v>
      </c>
      <c r="E131" s="21" t="str">
        <f t="shared" si="297"/>
        <v xml:space="preserve"> </v>
      </c>
      <c r="F131" s="21" t="str">
        <f t="shared" si="170"/>
        <v xml:space="preserve"> </v>
      </c>
      <c r="G131" s="21" t="str">
        <f t="shared" si="298"/>
        <v xml:space="preserve">enthusiasm(2), fun-ness(1), community manager(1), PR(1), fame(1), network(2), ease of access(1), reputation(2), social media(1),  </v>
      </c>
      <c r="H131" s="21" t="str">
        <f t="shared" si="299"/>
        <v xml:space="preserve"> </v>
      </c>
      <c r="I131" s="21" t="str">
        <f t="shared" ref="I131" si="427">IF(I29="",I132,$C131&amp;"("&amp;I29&amp;"),"&amp;I132)</f>
        <v xml:space="preserve"> </v>
      </c>
      <c r="J131" s="21" t="str">
        <f t="shared" si="376"/>
        <v xml:space="preserve">interaction 1
 </v>
      </c>
      <c r="K131" s="21" t="str">
        <f t="shared" si="173"/>
        <v xml:space="preserve">reputation(1,75),  </v>
      </c>
      <c r="L131" s="21" t="str">
        <f t="shared" si="377"/>
        <v xml:space="preserve">reputation 75
 </v>
      </c>
      <c r="M131" s="21" t="str">
        <f t="shared" si="175"/>
        <v xml:space="preserve">PR(1), portfolio(1), social innovation(1), non-profit biz(1),  </v>
      </c>
      <c r="N131" s="21" t="str">
        <f t="shared" si="176"/>
        <v xml:space="preserve">seriousness(1,25), non-profits(1,12.5), reputation(1,75), marketing(1,12.5),  </v>
      </c>
      <c r="O131" s="21" t="str">
        <f t="shared" si="378"/>
        <v xml:space="preserve">seriousness(25),non-profits(12.5),reputation(75),marketing(12.5), </v>
      </c>
      <c r="P131" s="21" t="str">
        <f t="shared" si="376"/>
        <v xml:space="preserve">biz project 1
 </v>
      </c>
      <c r="Q131" s="21" t="str">
        <f t="shared" si="178"/>
        <v xml:space="preserve"> </v>
      </c>
      <c r="R131" s="21" t="str">
        <f t="shared" si="377"/>
        <v xml:space="preserve"> </v>
      </c>
      <c r="S131" s="21" t="str">
        <f t="shared" si="179"/>
        <v xml:space="preserve">portfolio(1), biz enhancement(1), business(1), start-up(1),  </v>
      </c>
      <c r="T131" s="21" t="str">
        <f t="shared" si="180"/>
        <v xml:space="preserve">seriousness(1,25), local biz(1,6.25), investors(1,6.25), reputation(1,6.25),  </v>
      </c>
      <c r="U131" s="21" t="str">
        <f t="shared" si="378"/>
        <v xml:space="preserve">seriousness(25),local biz(6.25),investors(6.25),reputation(6.25), </v>
      </c>
      <c r="V131" s="21" t="str">
        <f t="shared" si="376"/>
        <v xml:space="preserve"> </v>
      </c>
      <c r="W131" s="21" t="str">
        <f t="shared" si="181"/>
        <v xml:space="preserve">local biz(1,),  </v>
      </c>
      <c r="X131" s="21" t="str">
        <f t="shared" si="377"/>
        <v xml:space="preserve"> </v>
      </c>
      <c r="Y131" s="21" t="str">
        <f t="shared" si="182"/>
        <v xml:space="preserve">enthusiasm(1), attention to details(1), PR(1), network(1), ease of access(1), reputation(1), portfolio(1), biz project(1), biz enhancement(1), job creation(1), business(1),  </v>
      </c>
      <c r="Z131" s="21" t="str">
        <f t="shared" si="183"/>
        <v xml:space="preserve">local biz(1,6.25),  </v>
      </c>
      <c r="AA131" s="21" t="str">
        <f t="shared" si="378"/>
        <v xml:space="preserve">local biz(6.25), </v>
      </c>
      <c r="AB131" s="21" t="str">
        <f t="shared" si="376"/>
        <v xml:space="preserve"> </v>
      </c>
      <c r="AC131" s="21" t="str">
        <f t="shared" si="184"/>
        <v xml:space="preserve">non-profits(1,100),  </v>
      </c>
      <c r="AD131" s="21" t="str">
        <f t="shared" si="377"/>
        <v xml:space="preserve">non-profits 100
 </v>
      </c>
      <c r="AE131" s="21" t="str">
        <f t="shared" si="185"/>
        <v xml:space="preserve">enthusiasm(1), attention to details(1), PR(1), network(1), ease of access(1), reputation(1), portfolio(1), social project(1), social innovation(1), non-profit biz(1),  </v>
      </c>
      <c r="AF131" s="21" t="str">
        <f t="shared" si="186"/>
        <v xml:space="preserve">seriousness(1,6.25), non-profits(1,6.25),  </v>
      </c>
      <c r="AG131" s="21" t="str">
        <f t="shared" si="378"/>
        <v xml:space="preserve">seriousness(6.25),non-profits(6.25), </v>
      </c>
      <c r="AH131" s="21" t="str">
        <f t="shared" si="376"/>
        <v xml:space="preserve"> </v>
      </c>
      <c r="AI131" s="21" t="str">
        <f t="shared" si="187"/>
        <v xml:space="preserve">govt(1,),  </v>
      </c>
      <c r="AJ131" s="21" t="str">
        <f t="shared" si="377"/>
        <v xml:space="preserve"> </v>
      </c>
      <c r="AK131" s="21" t="str">
        <f t="shared" si="188"/>
        <v xml:space="preserve">enthusiasm(1), attention to details(1), seriousness(1), fame(1), network(1), govt(1), ease of access(1), reputation(2), portfolio(1), social project(1), social innovation(1), non-profit biz(1),  </v>
      </c>
      <c r="AL131" s="21" t="str">
        <f t="shared" si="189"/>
        <v xml:space="preserve">govt(1,6.25),  </v>
      </c>
      <c r="AM131" s="21" t="str">
        <f t="shared" si="378"/>
        <v xml:space="preserve">govt(6.25), </v>
      </c>
      <c r="AN131" s="21" t="str">
        <f t="shared" si="376"/>
        <v xml:space="preserve">enthusiasm 1
 </v>
      </c>
      <c r="AO131" s="21" t="str">
        <f t="shared" si="190"/>
        <v xml:space="preserve">fame(1,), network(1,), investors(1,6.25),  </v>
      </c>
      <c r="AP131" s="21" t="str">
        <f t="shared" si="377"/>
        <v xml:space="preserve">investors 6.25
 </v>
      </c>
      <c r="AQ131" s="21" t="str">
        <f t="shared" si="191"/>
        <v xml:space="preserve">investors(1), ease of access(1), reputation(1), portfolio(1), start-up(1), start-up with mvp(1), start-up with customers(1),  </v>
      </c>
      <c r="AR131" s="21" t="str">
        <f t="shared" si="192"/>
        <v xml:space="preserve"> </v>
      </c>
      <c r="AS131" s="21" t="str">
        <f t="shared" si="378"/>
        <v xml:space="preserve"> </v>
      </c>
      <c r="AT131" s="21" t="str">
        <f t="shared" si="376"/>
        <v xml:space="preserve">enthusiasm 1
seriousness 1
administrator 1
non-profits 2
reputation 1
portfolio 1
social project 1
 </v>
      </c>
      <c r="AU131" s="21" t="str">
        <f t="shared" si="193"/>
        <v xml:space="preserve">ambition(1,), attention to details(1,),  </v>
      </c>
      <c r="AV131" s="21" t="str">
        <f t="shared" si="377"/>
        <v xml:space="preserve"> </v>
      </c>
      <c r="AW131" s="21" t="str">
        <f t="shared" si="194"/>
        <v xml:space="preserve">enthusiasm(3), PR(2), administrator(1), project management(2),  </v>
      </c>
      <c r="AX131" s="21" t="str">
        <f t="shared" si="195"/>
        <v xml:space="preserve">organizational rules and manuals(1,12.5), project management(1,12.5),  </v>
      </c>
      <c r="AY131" s="21" t="str">
        <f t="shared" si="378"/>
        <v xml:space="preserve">organizational rules and manuals(12.5),project management(12.5), </v>
      </c>
      <c r="AZ131" s="21" t="str">
        <f t="shared" si="376"/>
        <v xml:space="preserve">enthusiasm 1
non-profits 1
 </v>
      </c>
      <c r="BA131" s="21" t="str">
        <f t="shared" si="196"/>
        <v xml:space="preserve"> </v>
      </c>
      <c r="BB131" s="21" t="str">
        <f t="shared" si="377"/>
        <v xml:space="preserve"> </v>
      </c>
      <c r="BC131" s="21" t="str">
        <f t="shared" si="197"/>
        <v xml:space="preserve"> </v>
      </c>
      <c r="BD131" s="21" t="str">
        <f t="shared" si="198"/>
        <v xml:space="preserve"> </v>
      </c>
      <c r="BE131" s="21" t="str">
        <f t="shared" si="378"/>
        <v xml:space="preserve"> </v>
      </c>
      <c r="BF131" s="21" t="str">
        <f t="shared" si="376"/>
        <v xml:space="preserve">enthusiasm 1
seriousness 1
administrator 1
local biz 2
entrepreneurs 1
reputation 1
portfolio 1
biz project 1
 </v>
      </c>
      <c r="BG131" s="21" t="str">
        <f t="shared" si="199"/>
        <v xml:space="preserve">ambition(1,), attention to details(1,),  </v>
      </c>
      <c r="BH131" s="21" t="str">
        <f t="shared" si="377"/>
        <v xml:space="preserve"> </v>
      </c>
      <c r="BI131" s="21" t="str">
        <f t="shared" si="200"/>
        <v xml:space="preserve">enthusiasm(3), PR(2), administrator(1), project management(2),  </v>
      </c>
      <c r="BJ131" s="21" t="str">
        <f t="shared" si="201"/>
        <v xml:space="preserve">organizational rules and manuals(1,12.5), project management(1,12.5),  </v>
      </c>
      <c r="BK131" s="21" t="str">
        <f t="shared" si="378"/>
        <v xml:space="preserve">organizational rules and manuals(12.5),project management(12.5), </v>
      </c>
      <c r="BL131" s="21" t="str">
        <f t="shared" si="376"/>
        <v xml:space="preserve">enthusiasm 1
local biz 1
reputation 1
portfolio 1
biz enhancement 1
 </v>
      </c>
      <c r="BM131" s="21" t="str">
        <f t="shared" si="202"/>
        <v xml:space="preserve"> </v>
      </c>
      <c r="BN131" s="21" t="str">
        <f t="shared" si="377"/>
        <v xml:space="preserve"> </v>
      </c>
      <c r="BO131" s="21" t="str">
        <f t="shared" si="203"/>
        <v xml:space="preserve"> </v>
      </c>
      <c r="BP131" s="21" t="str">
        <f t="shared" si="204"/>
        <v xml:space="preserve"> </v>
      </c>
      <c r="BQ131" s="21" t="str">
        <f t="shared" si="378"/>
        <v xml:space="preserve"> </v>
      </c>
      <c r="BR131" s="21" t="str">
        <f t="shared" si="376"/>
        <v xml:space="preserve"> </v>
      </c>
      <c r="BS131" s="21" t="str">
        <f t="shared" si="205"/>
        <v xml:space="preserve"> </v>
      </c>
      <c r="BT131" s="21" t="str">
        <f t="shared" si="377"/>
        <v xml:space="preserve"> </v>
      </c>
      <c r="BU131" s="21" t="str">
        <f t="shared" si="206"/>
        <v xml:space="preserve"> </v>
      </c>
      <c r="BV131" s="21" t="str">
        <f t="shared" si="207"/>
        <v xml:space="preserve"> </v>
      </c>
      <c r="BW131" s="21" t="str">
        <f t="shared" si="378"/>
        <v xml:space="preserve"> </v>
      </c>
      <c r="BX131" s="21" t="str">
        <f t="shared" si="379"/>
        <v xml:space="preserve">network 1
 </v>
      </c>
      <c r="BY131" s="21" t="str">
        <f t="shared" si="209"/>
        <v xml:space="preserve">efficiency(1,),  </v>
      </c>
      <c r="BZ131" s="21" t="str">
        <f t="shared" si="380"/>
        <v xml:space="preserve"> </v>
      </c>
      <c r="CA131" s="21" t="str">
        <f t="shared" si="211"/>
        <v xml:space="preserve">enthusiasm(1), attention to details(1), administrator(1), negotiation(1),  </v>
      </c>
      <c r="CB131" s="21" t="str">
        <f t="shared" si="212"/>
        <v xml:space="preserve">user rules and manuals(1,50), organizational rules and manuals(1,50),  </v>
      </c>
      <c r="CC131" s="21" t="str">
        <f t="shared" si="381"/>
        <v xml:space="preserve">user rules and manuals(50),organizational rules and manuals(50), </v>
      </c>
      <c r="CD131" s="21" t="str">
        <f t="shared" si="379"/>
        <v xml:space="preserve">enthusiasm 1
network 1
 </v>
      </c>
      <c r="CE131" s="21" t="str">
        <f t="shared" si="214"/>
        <v xml:space="preserve">non-profits(1,),  </v>
      </c>
      <c r="CF131" s="21" t="str">
        <f t="shared" si="380"/>
        <v xml:space="preserve"> </v>
      </c>
      <c r="CG131" s="21" t="str">
        <f t="shared" si="215"/>
        <v xml:space="preserve">fun-ness(1), seriousness(1), ease of access(1), portfolio(1), user rules and manuals(1), negotiation(1), social project(1), biz project(1), for basic literacy(1), for the elites(1), for entrepreneurs(1),  </v>
      </c>
      <c r="CH131" s="21" t="str">
        <f t="shared" si="216"/>
        <v xml:space="preserve">technologists(1,6.25), non-profits(1,6.25),  </v>
      </c>
      <c r="CI131" s="21" t="str">
        <f t="shared" si="381"/>
        <v xml:space="preserve">technologists(6.25),non-profits(6.25), </v>
      </c>
      <c r="CJ131" s="21" t="str">
        <f t="shared" si="379"/>
        <v xml:space="preserve"> </v>
      </c>
      <c r="CK131" s="21" t="str">
        <f t="shared" si="217"/>
        <v xml:space="preserve">suppliers(1,),  </v>
      </c>
      <c r="CL131" s="21" t="str">
        <f t="shared" si="380"/>
        <v xml:space="preserve"> </v>
      </c>
      <c r="CM131" s="21" t="str">
        <f t="shared" si="218"/>
        <v xml:space="preserve">reputation(1), negotiation(1),  </v>
      </c>
      <c r="CN131" s="21" t="str">
        <f t="shared" si="219"/>
        <v xml:space="preserve">enthusiasm(2,), efficiency(1,6.25),  </v>
      </c>
      <c r="CO131" s="21" t="str">
        <f t="shared" si="381"/>
        <v xml:space="preserve">efficiency(6.25), </v>
      </c>
      <c r="CP131" s="21" t="str">
        <f t="shared" si="379"/>
        <v xml:space="preserve"> </v>
      </c>
      <c r="CQ131" s="21" t="str">
        <f t="shared" si="220"/>
        <v xml:space="preserve">technologists(1,),  </v>
      </c>
      <c r="CR131" s="21" t="str">
        <f t="shared" si="380"/>
        <v xml:space="preserve"> </v>
      </c>
      <c r="CS131" s="21" t="str">
        <f t="shared" si="221"/>
        <v xml:space="preserve">enthusiasm(1), network(1), portfolio(1), negotiation(1), web(1), infrastructrue(1), database(1), mobile apps(1), sensors(1), security(1), AI&amp; data analysis(1), mobile comm(1), VR&amp;AR(1), wood processing(1), metal processing(1), plastic processing(1), electronics(1), fabric(1),  </v>
      </c>
      <c r="CT131" s="21" t="str">
        <f t="shared" si="222"/>
        <v xml:space="preserve">efficiency(1,6.25),  </v>
      </c>
      <c r="CU131" s="21" t="str">
        <f t="shared" si="381"/>
        <v xml:space="preserve">efficiency(6.25), </v>
      </c>
      <c r="CV131" s="21" t="str">
        <f t="shared" si="379"/>
        <v xml:space="preserve"> </v>
      </c>
      <c r="CW131" s="21" t="str">
        <f t="shared" si="223"/>
        <v xml:space="preserve">local biz(1,),  </v>
      </c>
      <c r="CX131" s="21" t="str">
        <f t="shared" si="380"/>
        <v xml:space="preserve"> </v>
      </c>
      <c r="CY131" s="21" t="str">
        <f t="shared" si="224"/>
        <v xml:space="preserve">ease of access(1), reputation(1), portfolio(1), negotiation(1),  </v>
      </c>
      <c r="CZ131" s="21" t="str">
        <f t="shared" si="225"/>
        <v xml:space="preserve">non-profits(1,6.25),  </v>
      </c>
      <c r="DA131" s="21" t="str">
        <f t="shared" si="381"/>
        <v xml:space="preserve">non-profits(6.25), </v>
      </c>
      <c r="DB131" s="21" t="str">
        <f t="shared" si="379"/>
        <v xml:space="preserve"> </v>
      </c>
      <c r="DC131" s="21" t="str">
        <f t="shared" si="226"/>
        <v xml:space="preserve"> </v>
      </c>
      <c r="DD131" s="21" t="str">
        <f t="shared" si="380"/>
        <v xml:space="preserve"> </v>
      </c>
      <c r="DE131"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1" s="21" t="str">
        <f t="shared" si="228"/>
        <v xml:space="preserve">network(1,), local biz(1,6.25), biz group(1,6.25), investors(1,6.25), entrepreneurs(1,6.25),  </v>
      </c>
      <c r="DG131" s="21" t="str">
        <f t="shared" si="381"/>
        <v xml:space="preserve">local biz(6.25),biz group(6.25),investors(6.25),entrepreneurs(6.25), </v>
      </c>
      <c r="DH131" s="21" t="str">
        <f t="shared" si="379"/>
        <v xml:space="preserve">enthusiasm 1
network 1
non-profits 1
reputation 1
social project 1
 </v>
      </c>
      <c r="DI131" s="21" t="str">
        <f t="shared" si="229"/>
        <v xml:space="preserve"> </v>
      </c>
      <c r="DJ131" s="21" t="str">
        <f t="shared" si="380"/>
        <v xml:space="preserve"> </v>
      </c>
      <c r="DK131" s="21" t="str">
        <f t="shared" si="230"/>
        <v xml:space="preserve">enthusiasm(3), 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1" s="21" t="str">
        <f t="shared" si="231"/>
        <v xml:space="preserve">reputation(1,6.25),  </v>
      </c>
      <c r="DM131" s="21" t="str">
        <f t="shared" si="381"/>
        <v xml:space="preserve">reputation(6.25), </v>
      </c>
      <c r="DN131" s="21" t="str">
        <f t="shared" si="379"/>
        <v xml:space="preserve">enthusiasm 1
network 1
local biz 1
reputation 1
biz project 1
 </v>
      </c>
      <c r="DO131" s="21" t="str">
        <f t="shared" si="232"/>
        <v xml:space="preserve"> </v>
      </c>
      <c r="DP131" s="21" t="str">
        <f t="shared" si="380"/>
        <v xml:space="preserve"> </v>
      </c>
      <c r="DQ131" s="21" t="str">
        <f t="shared" si="233"/>
        <v xml:space="preserve">enthusiasm(3), 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1" s="21" t="str">
        <f t="shared" si="234"/>
        <v xml:space="preserve">reputation(1,6.25),  </v>
      </c>
      <c r="DS131" s="21" t="str">
        <f t="shared" si="381"/>
        <v xml:space="preserve">reputation(6.25), </v>
      </c>
      <c r="DT131" s="21" t="str">
        <f t="shared" si="379"/>
        <v xml:space="preserve">enthusiasm 1
network 1
reputation 1
 </v>
      </c>
      <c r="DU131" s="21" t="str">
        <f t="shared" si="235"/>
        <v xml:space="preserve"> </v>
      </c>
      <c r="DV131" s="21" t="str">
        <f t="shared" si="380"/>
        <v xml:space="preserve"> </v>
      </c>
      <c r="DW131" s="21" t="str">
        <f t="shared" si="236"/>
        <v xml:space="preserve">enthusiasm(1), 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1" s="21" t="str">
        <f t="shared" si="237"/>
        <v xml:space="preserve">ambition(1,6.25), reputation(1,6.25), for basic literacy(1,6.25),  </v>
      </c>
      <c r="DY131" s="21" t="str">
        <f t="shared" si="381"/>
        <v xml:space="preserve">ambition(6.25),reputation(6.25),for basic literacy(6.25), </v>
      </c>
      <c r="DZ131" s="21" t="str">
        <f t="shared" si="379"/>
        <v xml:space="preserve">enthusiasm 1
network 1
reputation 1
 </v>
      </c>
      <c r="EA131" s="21" t="str">
        <f t="shared" si="238"/>
        <v xml:space="preserve"> </v>
      </c>
      <c r="EB131" s="21" t="str">
        <f t="shared" si="380"/>
        <v xml:space="preserve"> </v>
      </c>
      <c r="EC131" s="21" t="str">
        <f t="shared" si="239"/>
        <v xml:space="preserve">enthusiasm(1), 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1" s="21" t="str">
        <f t="shared" si="240"/>
        <v xml:space="preserve">ambition(1,6.25), reputation(1,6.25), for basic literacy(1,6.25),  </v>
      </c>
      <c r="EE131" s="21" t="str">
        <f t="shared" si="381"/>
        <v xml:space="preserve">ambition(6.25),reputation(6.25),for basic literacy(6.25), </v>
      </c>
      <c r="EF131" s="21" t="str">
        <f t="shared" si="379"/>
        <v xml:space="preserve">technologists 1
reputation 1
 </v>
      </c>
      <c r="EG131" s="21" t="str">
        <f t="shared" si="241"/>
        <v xml:space="preserve">web(1,50), mobile apps(1,50), interaction(1,50),  </v>
      </c>
      <c r="EH131" s="21" t="str">
        <f t="shared" si="380"/>
        <v xml:space="preserve">web 50
mobile apps 50
interaction 50
 </v>
      </c>
      <c r="EI131" s="21" t="str">
        <f t="shared" si="242"/>
        <v xml:space="preserve">enthusiasm(2), seriousness(2), initiative(1), community manager(1), administrator(1), enthusiasm(1), fame(1), network(2), level of understanding(1), technologists(2), ease of access(1), reputation(2), infrastructrue(1), database(1), mobile comm(1), for entrepreneurs(1),  </v>
      </c>
      <c r="EJ131" s="21" t="str">
        <f t="shared" si="243"/>
        <v xml:space="preserve">technologists(1,12.5), infrastructrue(1,12.5), database(1,12.5), mobile comm(1,12.5), for entrepreneurs(1,6.25),  </v>
      </c>
      <c r="EK131" s="21" t="str">
        <f t="shared" si="381"/>
        <v xml:space="preserve">technologists(12.5),infrastructrue(12.5),database(12.5),mobile comm(12.5),for entrepreneurs(6.25), </v>
      </c>
      <c r="EL131" s="21" t="str">
        <f t="shared" si="382"/>
        <v xml:space="preserve">technologists 1
reputation 1
 </v>
      </c>
      <c r="EM131" s="21" t="str">
        <f t="shared" si="245"/>
        <v xml:space="preserve">sensors(1,50),  </v>
      </c>
      <c r="EN131" s="21" t="str">
        <f t="shared" si="383"/>
        <v xml:space="preserve">sensors 50
 </v>
      </c>
      <c r="EO131" s="21" t="str">
        <f t="shared" si="247"/>
        <v xml:space="preserve">enthusiasm(2), seriousness(2), initiative(1), community manager(1), administrator(1), enthusiasm(1), fame(1), network(2), level of understanding(1), technologists(2), ease of access(1), reputation(2), project management(2), infrastructrue(1), database(1), mobile comm(1), for entrepreneurs(1),  </v>
      </c>
      <c r="EP131" s="21" t="str">
        <f t="shared" si="248"/>
        <v xml:space="preserve">technologists(1,12.5), infrastructrue(1,12.5), database(1,12.5), mobile comm(1,12.5), electronics(1,6.25), for entrepreneurs(1,6.25),  </v>
      </c>
      <c r="EQ131" s="21" t="str">
        <f t="shared" si="384"/>
        <v xml:space="preserve">technologists(12.5),infrastructrue(12.5),database(12.5),mobile comm(12.5),electronics(6.25),for entrepreneurs(6.25), </v>
      </c>
      <c r="ER131" s="21" t="str">
        <f t="shared" si="382"/>
        <v xml:space="preserve">technologists 1
 </v>
      </c>
      <c r="ES131" s="21" t="str">
        <f t="shared" si="250"/>
        <v xml:space="preserve">AI&amp; data analysis(1,50),  </v>
      </c>
      <c r="ET131" s="21" t="str">
        <f t="shared" si="383"/>
        <v xml:space="preserve">AI&amp; data analysis 50
 </v>
      </c>
      <c r="EU131" s="21" t="str">
        <f t="shared" si="251"/>
        <v xml:space="preserve">enthusiasm(2), seriousness(2), initiative(1), community manager(1), administrator(1), enthusiasm(1), fame(1), network(2), level of understanding(1), technologists(2), ease of access(1), reputation(2), database(1), sensors(1), mobile comm(1), for entrepreneurs(1),  </v>
      </c>
      <c r="EV131" s="21" t="str">
        <f t="shared" si="252"/>
        <v xml:space="preserve">technologists(1,12.5), database(1,12.5), sensors(1,12.5), mobile comm(1,12.5), for entrepreneurs(1,6.25),  </v>
      </c>
      <c r="EW131" s="21" t="str">
        <f t="shared" si="384"/>
        <v xml:space="preserve">technologists(12.5),database(12.5),sensors(12.5),mobile comm(12.5),for entrepreneurs(6.25), </v>
      </c>
      <c r="EX131" s="21" t="str">
        <f t="shared" si="382"/>
        <v xml:space="preserve">technologists 1
 </v>
      </c>
      <c r="EY131" s="21" t="str">
        <f t="shared" si="253"/>
        <v xml:space="preserve">law(1,50), security(1,50), interaction(1,25),  </v>
      </c>
      <c r="EZ131" s="21" t="str">
        <f t="shared" si="383"/>
        <v xml:space="preserve">law 50
security 50
interaction 25
 </v>
      </c>
      <c r="FA131" s="21" t="str">
        <f t="shared" si="254"/>
        <v xml:space="preserve">enthusiasm(2), seriousness(2), initiative(1), community manager(1), administrator(1), enthusiasm(1), fame(1), network(2), level of understanding(1), technologists(2), ease of access(1), reputation(2), law(2), for entrepreneurs(1),  </v>
      </c>
      <c r="FB131" s="21" t="str">
        <f t="shared" si="255"/>
        <v xml:space="preserve">technologists(1,12.5), law(1,6.25), database(1,12.5), mobile apps(1,12.5), security(1,12.5), mobile comm(1,12.5), for entrepreneurs(1,6.25),  </v>
      </c>
      <c r="FC131" s="21" t="str">
        <f t="shared" si="384"/>
        <v xml:space="preserve">technologists(12.5),law(6.25),database(12.5),mobile apps(12.5),security(12.5),mobile comm(12.5),for entrepreneurs(6.25), </v>
      </c>
      <c r="FD131" s="21" t="str">
        <f t="shared" si="382"/>
        <v xml:space="preserve">technologists 1
 </v>
      </c>
      <c r="FE131" s="21" t="str">
        <f t="shared" si="256"/>
        <v xml:space="preserve">law(1,50), sensors(1,50), security(1,50),  </v>
      </c>
      <c r="FF131" s="21" t="str">
        <f t="shared" si="383"/>
        <v xml:space="preserve">law 50
sensors 50
security 50
 </v>
      </c>
      <c r="FG131" s="21" t="str">
        <f t="shared" si="257"/>
        <v xml:space="preserve">enthusiasm(2), seriousness(2), initiative(1), community manager(1), administrator(1), enthusiasm(1), fame(1), network(2), level of understanding(1), technologists(2), ease of access(1), reputation(2), law(2), project management(2), for entrepreneurs(1),  </v>
      </c>
      <c r="FH131" s="21" t="str">
        <f t="shared" si="258"/>
        <v xml:space="preserve">technologists(1,12.5), law(1,6.25), database(1,6.25), mobile apps(1,6.25), AI&amp; data analysis(1,6.25), mobile comm(1,6.25), for entrepreneurs(1,6.25),  </v>
      </c>
      <c r="FI131" s="21" t="str">
        <f t="shared" si="384"/>
        <v xml:space="preserve">technologists(12.5),law(6.25),database(6.25),mobile apps(6.25),AI&amp; data analysis(6.25),mobile comm(6.25),for entrepreneurs(6.25), </v>
      </c>
      <c r="FJ131" s="21" t="str">
        <f t="shared" si="382"/>
        <v xml:space="preserve">technologists 1
 </v>
      </c>
      <c r="FK131" s="21" t="str">
        <f t="shared" si="259"/>
        <v xml:space="preserve">wood processing(1,25), metal processing(1,25), plastic processing(1,25), fabric(1,25), safety(1,25), interaction(1,25),  </v>
      </c>
      <c r="FL131" s="21" t="str">
        <f t="shared" si="383"/>
        <v xml:space="preserve">project management 2
wood processing 25
metal processing 25
plastic processing 25
fabric 25
safety 25
interaction 25
 </v>
      </c>
      <c r="FM131" s="21" t="str">
        <f t="shared" si="260"/>
        <v xml:space="preserve">enthusiasm(2), seriousness(2), initiative(1), community manager(1), administrator(1), enthusiasm(1), fame(1), network(2), level of understanding(1), technologists(2), spaciousness(1), ease of access(1), reputation(2), for entrepreneurs(1),  </v>
      </c>
      <c r="FN131" s="21" t="str">
        <f t="shared" si="261"/>
        <v xml:space="preserve">technologists(1,12.5), for entrepreneurs(1,6.25),  </v>
      </c>
      <c r="FO131" s="21" t="str">
        <f t="shared" si="384"/>
        <v xml:space="preserve">technologists(12.5),for entrepreneurs(6.25), </v>
      </c>
      <c r="FP131" s="21" t="str">
        <f t="shared" si="382"/>
        <v xml:space="preserve">technologists 1
 </v>
      </c>
      <c r="FQ131" s="21" t="str">
        <f t="shared" si="262"/>
        <v xml:space="preserve">web(1,25), mobile apps(1,50), functions(1,25), interaction(1,25),  </v>
      </c>
      <c r="FR131" s="21" t="str">
        <f t="shared" si="383"/>
        <v xml:space="preserve">web 25
mobile apps 50
functions 25
interaction 25
 </v>
      </c>
      <c r="FS131" s="21" t="str">
        <f t="shared" si="263"/>
        <v xml:space="preserve">enthusiasm(2), seriousness(2), initiative(1), community manager(1), administrator(1), enthusiasm(1), fame(1), network(2), level of understanding(1), technologists(2), spaciousness(1), ease of access(1), reputation(2), for entrepreneurs(1),  </v>
      </c>
      <c r="FT131" s="21" t="str">
        <f t="shared" si="264"/>
        <v xml:space="preserve">technologists(1,12.5), for entrepreneurs(1,6.25),  </v>
      </c>
      <c r="FU131" s="21" t="str">
        <f t="shared" si="384"/>
        <v xml:space="preserve">technologists(12.5),for entrepreneurs(6.25), </v>
      </c>
      <c r="FV131" s="21" t="str">
        <f t="shared" si="382"/>
        <v xml:space="preserve">technologists 1
 </v>
      </c>
      <c r="FW131" s="21" t="str">
        <f t="shared" si="265"/>
        <v xml:space="preserve">mobile apps(1,50), sensors(1,50), wood processing(1,25), plastic processing(1,25), electronics(1,25), functions(1,25), interaction(1,25),  </v>
      </c>
      <c r="FX131" s="21" t="str">
        <f t="shared" si="383"/>
        <v xml:space="preserve">mobile apps 50
sensors 50
wood processing 25
plastic processing 25
electronics 25
functions 25
interaction 25
 </v>
      </c>
      <c r="FY131" s="21" t="str">
        <f t="shared" si="266"/>
        <v xml:space="preserve">enthusiasm(2), seriousness(2), initiative(1), community manager(1), administrator(1), enthusiasm(1), fame(1), network(2), level of understanding(1), technologists(2), spaciousness(1), ease of access(1), reputation(2), project management(2), for entrepreneurs(1),  </v>
      </c>
      <c r="FZ131" s="21" t="str">
        <f t="shared" si="267"/>
        <v xml:space="preserve">technologists(1,12.5), web(1,6.25), database(1,6.25), AI&amp; data analysis(1,6.25), mobile comm(1,6.25), for entrepreneurs(1,6.25),  </v>
      </c>
      <c r="GA131" s="21" t="str">
        <f t="shared" si="384"/>
        <v xml:space="preserve">technologists(12.5),web(6.25),database(6.25),AI&amp; data analysis(6.25),mobile comm(6.25),for entrepreneurs(6.25), </v>
      </c>
      <c r="GB131" s="21" t="str">
        <f t="shared" si="382"/>
        <v xml:space="preserve">technologists 1
 </v>
      </c>
      <c r="GC131" s="21" t="str">
        <f t="shared" si="268"/>
        <v xml:space="preserve">sensors(1,25), mobile comm(1,25), electronics(1,50), functions(1,25), safety(1,25),  </v>
      </c>
      <c r="GD131" s="21" t="str">
        <f t="shared" si="383"/>
        <v xml:space="preserve">sensors 25
mobile comm 25
electronics 50
functions 25
safety 25
 </v>
      </c>
      <c r="GE131" s="21" t="str">
        <f t="shared" si="269"/>
        <v xml:space="preserve">enthusiasm(2), seriousness(2), initiative(1), community manager(1), administrator(1), enthusiasm(1), fame(1), network(2), level of understanding(1), technologists(2), spaciousness(1), ease of access(1), reputation(2), project management(2), for entrepreneurs(1),  </v>
      </c>
      <c r="GF131" s="21" t="str">
        <f t="shared" si="270"/>
        <v xml:space="preserve">technologists(1,12.5), database(1,6.25), mobile apps(1,6.25), AI&amp; data analysis(1,6.25), plastic processing(1,6.25), interaction(1,6.25), for entrepreneurs(1,6.25),  </v>
      </c>
      <c r="GG131" s="21" t="str">
        <f t="shared" si="384"/>
        <v xml:space="preserve">technologists(12.5),database(6.25),mobile apps(6.25),AI&amp; data analysis(6.25),plastic processing(6.25),interaction(6.25),for entrepreneurs(6.25), </v>
      </c>
      <c r="GH131" s="21" t="str">
        <f t="shared" si="382"/>
        <v xml:space="preserve">technologists 1
 </v>
      </c>
      <c r="GI131" s="21" t="str">
        <f t="shared" si="271"/>
        <v xml:space="preserve">web(1,25), mobile apps(1,50), functions(1,25), interaction(1,25),  </v>
      </c>
      <c r="GJ131" s="21" t="str">
        <f t="shared" si="383"/>
        <v xml:space="preserve">web 25
mobile apps 50
functions 25
interaction 25
 </v>
      </c>
      <c r="GK131" s="21" t="str">
        <f t="shared" si="272"/>
        <v xml:space="preserve">enthusiasm(2), seriousness(2), initiative(1), community manager(1), administrator(1), enthusiasm(1), fame(1), network(2), level of understanding(1), technologists(2), spaciousness(1), ease of access(1), reputation(2), project management(2), for entrepreneurs(1),  </v>
      </c>
      <c r="GL131" s="21" t="str">
        <f t="shared" si="273"/>
        <v xml:space="preserve">technologists(1,12.5), for entrepreneurs(1,6.25),  </v>
      </c>
      <c r="GM131" s="21" t="str">
        <f t="shared" si="384"/>
        <v xml:space="preserve">technologists(12.5),for entrepreneurs(6.25), </v>
      </c>
      <c r="GN131" s="21" t="str">
        <f t="shared" si="382"/>
        <v xml:space="preserve">technologists 1
 </v>
      </c>
      <c r="GO131" s="21" t="str">
        <f t="shared" si="274"/>
        <v xml:space="preserve">web(1,25), mobile apps(1,25), VR&amp;AR(1,25), aesthetics(1,25), functions(1,25), interaction(1,50),  </v>
      </c>
      <c r="GP131" s="21" t="str">
        <f t="shared" si="383"/>
        <v xml:space="preserve">web 25
mobile apps 25
VR&amp;AR 25
aesthetics 25
functions 25
interaction 50
 </v>
      </c>
      <c r="GQ131" s="21" t="str">
        <f t="shared" si="275"/>
        <v xml:space="preserve">enthusiasm(2), seriousness(2), initiative(1), community manager(1), administrator(1), enthusiasm(1), fame(1), network(2), level of understanding(1), technologists(2), spaciousness(1), ease of access(1), reputation(2), project management(2), for entrepreneurs(1),  </v>
      </c>
      <c r="GR131" s="21" t="str">
        <f t="shared" si="276"/>
        <v xml:space="preserve">technologists(1,12.5), for entrepreneurs(1,6.25),  </v>
      </c>
      <c r="GS131" s="21" t="str">
        <f t="shared" si="384"/>
        <v xml:space="preserve">technologists(12.5),for entrepreneurs(6.25), </v>
      </c>
      <c r="GT131" s="21" t="str">
        <f t="shared" si="382"/>
        <v xml:space="preserve">ease of access 1
reputation 2
web 1
mobile apps 1
mobile comm 1
 </v>
      </c>
      <c r="GU131" s="21" t="str">
        <f t="shared" si="277"/>
        <v xml:space="preserve"> </v>
      </c>
      <c r="GV131" s="21" t="str">
        <f t="shared" si="383"/>
        <v xml:space="preserve"> </v>
      </c>
      <c r="GW131" s="21" t="str">
        <f t="shared" si="278"/>
        <v xml:space="preserve">enthusiasm(2), 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1" s="21" t="str">
        <f t="shared" si="279"/>
        <v xml:space="preserve">enthusiasm(1,6.25), media(1,6.25), entrepreneurs(1,6.25), technologists(1,6.25), project management(1,6.25), social media(1,6.25), web(1,6.25), mobile apps(1,6.25),  </v>
      </c>
      <c r="GY131" s="21" t="str">
        <f t="shared" si="384"/>
        <v xml:space="preserve">enthusiasm(6.25),media(6.25),entrepreneurs(6.25),technologists(6.25),project management(6.25),social media(6.25),web(6.25),mobile apps(6.25), </v>
      </c>
      <c r="GZ131" s="21" t="str">
        <f t="shared" si="385"/>
        <v xml:space="preserve">enthusiasm 2
network 1
govt 1
non-profits 1
reputation 2
portfolio 1
 </v>
      </c>
      <c r="HA131" s="21" t="str">
        <f t="shared" si="281"/>
        <v xml:space="preserve"> </v>
      </c>
      <c r="HB131" s="21" t="str">
        <f t="shared" si="386"/>
        <v xml:space="preserve"> </v>
      </c>
      <c r="HC131" s="21" t="str">
        <f t="shared" si="283"/>
        <v xml:space="preserve">enthusiasm(3), 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31" s="21" t="str">
        <f t="shared" si="284"/>
        <v xml:space="preserve">enthusiasm(1,6.25), media(1,6.25), technologists(1,6.25), non-profits(1,6.25), reputation(1,6.25), start-up with customers(1,6.25), for basic literacy(1,6.25),  </v>
      </c>
      <c r="HE131" s="21" t="str">
        <f t="shared" si="387"/>
        <v xml:space="preserve">enthusiasm(6.25),media(6.25),technologists(6.25),non-profits(6.25),reputation(6.25),start-up with customers(6.25),for basic literacy(6.25), </v>
      </c>
      <c r="HF131" s="21" t="str">
        <f t="shared" si="385"/>
        <v xml:space="preserve"> </v>
      </c>
      <c r="HG131" s="21" t="str">
        <f t="shared" si="286"/>
        <v xml:space="preserve">enthusiasm(2,),  </v>
      </c>
      <c r="HH131" s="21" t="str">
        <f t="shared" si="386"/>
        <v xml:space="preserve"> </v>
      </c>
      <c r="HI131" s="21" t="str">
        <f t="shared" si="287"/>
        <v xml:space="preserve">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31" s="21" t="str">
        <f t="shared" si="288"/>
        <v xml:space="preserve">enthusiasm(1,6.25), fun-ness(1,6.25), seriousness(1,6.25), govt(1,6.25), media(1,6.25), non-profits(1,6.25), start-up with customers(1,6.25),  </v>
      </c>
      <c r="HK131" s="21" t="str">
        <f t="shared" si="387"/>
        <v xml:space="preserve">enthusiasm(6.25),fun-ness(6.25),seriousness(6.25),govt(6.25),media(6.25),non-profits(6.25),start-up with customers(6.25), </v>
      </c>
      <c r="HL131" s="21" t="str">
        <f t="shared" si="385"/>
        <v xml:space="preserve">community manager 1
PR 1
administrator 1
local biz 1
entrepreneurs 1
non-profits 1
reputation 2
portfolio 2
 </v>
      </c>
      <c r="HM131" s="21" t="str">
        <f t="shared" si="289"/>
        <v xml:space="preserve">enthusiasm(1,25), ambition(1,25), fun-ness(1,25), seriousness(1,25),  </v>
      </c>
      <c r="HN131" s="21" t="str">
        <f t="shared" si="386"/>
        <v xml:space="preserve">enthusiasm 25
ambition 25
fun-ness 25
seriousness 25
 </v>
      </c>
      <c r="HO131"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1" s="21" t="str">
        <f t="shared" si="291"/>
        <v xml:space="preserve">enthusiasm(1,6.25), fun-ness(1,6.25), enthusiasm(1,6.25), level of understanding(1,6.25), local biz(1,6.25), biz group(1,6.25), govt(1,6.25), investors(1,6.25), media(1,6.25), entrepreneurs(1,6.25), technologists(1,6.25), suppliers(1,6.25), non-profits(1,6.25), reputation(1,6.25),  </v>
      </c>
      <c r="HQ131" s="47" t="str">
        <f t="shared" si="387"/>
        <v xml:space="preserve">enthusiasm(6.25),fun-ness(6.25),enthusiasm(6.25),level of understanding(6.25),local biz(6.25),biz group(6.25),govt(6.25),investors(6.25),media(6.25),entrepreneurs(6.25),technologists(6.25),suppliers(6.25),non-profits(6.25),reputation(6.25), </v>
      </c>
      <c r="HR131" s="47" t="str">
        <f t="shared" ref="HR131:HW131" si="428">IF(HR29="",HR132,$C131&amp;"("&amp;HR29&amp;"),"&amp;HR132)</f>
        <v xml:space="preserve">enthusiasm(2),reputation(2),portfolio(2),mobile apps(1),sensors(1),wood processing(1),aesthetics(1), </v>
      </c>
      <c r="HS131" s="47" t="str">
        <f t="shared" si="428"/>
        <v xml:space="preserve"> </v>
      </c>
      <c r="HT131" s="47" t="str">
        <f t="shared" si="428"/>
        <v xml:space="preserve"> </v>
      </c>
      <c r="HU131" s="47" t="str">
        <f t="shared" si="428"/>
        <v xml:space="preserve">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1" s="47" t="str">
        <f t="shared" si="428"/>
        <v xml:space="preserve">local biz(1),biz group(1),govt(1),investors(1),media(1),entrepreneurs(1),technologists(1),suppliers(1),non-profits(1),reputation(1), </v>
      </c>
      <c r="HW131" s="47" t="str">
        <f t="shared" si="428"/>
        <v xml:space="preserve">local biz(6.25),biz group(6.25),govt(6.25),investors(6.25),media(6.25),entrepreneurs(6.25),technologists(12.5),suppliers(6.25),non-profits(6.25),reputation(6.25), </v>
      </c>
      <c r="HX131" s="47" t="str">
        <f t="shared" ref="HX131:IU131" si="429">IF(HX29="",HX132,$C131&amp;"("&amp;HX29&amp;"),"&amp;HX132)</f>
        <v xml:space="preserve">enthusiasm(2),ambition(2),seriousness(2),leader(1),local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1" s="47" t="str">
        <f t="shared" si="429"/>
        <v xml:space="preserve">biz enhancement(1), </v>
      </c>
      <c r="HZ131" s="47" t="str">
        <f t="shared" si="429"/>
        <v xml:space="preserve">biz enhancement(100), </v>
      </c>
      <c r="IA131" s="47" t="str">
        <f t="shared" si="429"/>
        <v xml:space="preserve">community manager(1),PR(1),finance(1),administrator(1),enthusiasm(2),network(2),ambition(2),knowledge(2),spaciousness(2),ease of access(3),efficiency(2),portfolio(4),finance(2),business model(2),marketing(3),team building(2),project management(2),social media(3),negotiation(3), </v>
      </c>
      <c r="IB131" s="47" t="str">
        <f t="shared" si="429"/>
        <v xml:space="preserve">enthusiasm(1),ambition(1),seriousness(1),initiative(1),level of understanding(1),ambition(1),local biz(1),biz group(1),govt(1),media(1),entrepreneurs(1),technologists(1),non-profits(1),reputation(1),team building(1),database(1),AI&amp; data analysis(1),electronics(1),functions(1), </v>
      </c>
      <c r="IC131" s="47" t="str">
        <f t="shared" si="429"/>
        <v xml:space="preserve">enthusiasm(6.25),ambition(6.25),seriousness(6.25),initiative(6.25),level of understanding(6.25),ambition(6.25),local biz(6.25),biz group(6.25),govt(6.25),media(6.25),entrepreneurs(6.25),technologists(6.25),non-profits(6.25),reputation(6.25),team building(6.25),database(6.25),AI&amp; data analysis(6.25),electronics(6.25),functions(6.25), </v>
      </c>
      <c r="ID131" s="47" t="str">
        <f t="shared" si="429"/>
        <v xml:space="preserve">technologists(2), </v>
      </c>
      <c r="IE131" s="47" t="str">
        <f t="shared" si="429"/>
        <v xml:space="preserve">web(1),mobile apps(1),security(1),AI&amp; data analysis(1), </v>
      </c>
      <c r="IF131" s="47" t="str">
        <f t="shared" si="429"/>
        <v xml:space="preserve">web(25),mobile apps(25),security(25),AI&amp; data analysis(25), </v>
      </c>
      <c r="IG131" s="47" t="str">
        <f t="shared" si="429"/>
        <v xml:space="preserve">enthusiasm(3),attention to details(2),seriousness(2),community manager(1),administrator(1),network(2),entrepreneurs(3),technologists(4),spaciousness(2),ease of access(2),reputation(3),efficiency(2),portfolio(3),web(2),database(2),mobile apps(2),security(2),AI&amp; data analysis(2), </v>
      </c>
      <c r="IH131" s="47" t="str">
        <f t="shared" si="429"/>
        <v xml:space="preserve">technologists(1),web(1),database(1),mobile apps(1),security(1),AI&amp; data analysis(1), </v>
      </c>
      <c r="II131" s="47" t="str">
        <f t="shared" si="429"/>
        <v xml:space="preserve">technologists(6.25),web(6.25),database(6.25),mobile apps(6.25),security(6.25),AI&amp; data analysis(6.25), </v>
      </c>
      <c r="IJ131" s="47" t="str">
        <f t="shared" si="429"/>
        <v xml:space="preserve">technologists(2), </v>
      </c>
      <c r="IK131" s="47" t="str">
        <f t="shared" si="429"/>
        <v xml:space="preserve">wood processing(1),metal processing(1),functions(1),safety(1), </v>
      </c>
      <c r="IL131" s="47" t="str">
        <f t="shared" si="429"/>
        <v xml:space="preserve">wood processing(25),metal processing(25),functions(25),safety(25), </v>
      </c>
      <c r="IM131" s="47" t="str">
        <f t="shared" si="429"/>
        <v xml:space="preserve">enthusiasm(3),attention to details(2),seriousness(2),community manager(1),administrator(1),network(2),entrepreneurs(3),technologists(4),spaciousness(2),ease of access(2),reputation(3),efficiency(2),portfolio(3),wood processing(2),metal processing(2),functions(2),safety(2), </v>
      </c>
      <c r="IN131" s="47" t="str">
        <f t="shared" si="429"/>
        <v xml:space="preserve">technologists(1),wood processing(1),metal processing(1),functions(1),safety(1),interaction(1), </v>
      </c>
      <c r="IO131" s="47" t="str">
        <f t="shared" si="429"/>
        <v xml:space="preserve">technologists(6.25),wood processing(6.25),metal processing(6.25),functions(6.25),safety(6.25),interaction(6.25), </v>
      </c>
      <c r="IP131" s="57" t="str">
        <f t="shared" si="429"/>
        <v xml:space="preserve">local biz(2),reputation(1), </v>
      </c>
      <c r="IQ131" s="47" t="str">
        <f t="shared" si="429"/>
        <v xml:space="preserve">local biz(1),marketing(1), </v>
      </c>
      <c r="IR131" s="47" t="str">
        <f t="shared" si="429"/>
        <v xml:space="preserve">local biz(25),marketing(25), </v>
      </c>
      <c r="IS131" s="47" t="str">
        <f t="shared" si="429"/>
        <v xml:space="preserve">enthusiasm(2),agility(2),attention to details(2),fun-ness(2),seriousness(2),leader(1),community manager(1),finance(1),administrator(1),enthusiasm(3),network(2),level of understanding(3),local biz(3),biz group(2),govt(2),non-profits(2),reputation(3),efficiency(2),marketing(2), </v>
      </c>
      <c r="IT131" s="47" t="str">
        <f t="shared" si="429"/>
        <v xml:space="preserve">enthusiasm(1),fun-ness(1),seriousness(1),local biz(1),biz group(1),govt(1),non-profits(1),marketing(1), </v>
      </c>
      <c r="IU131" s="47" t="str">
        <f t="shared" si="429"/>
        <v xml:space="preserve">enthusiasm(6.25),fun-ness(6.25),seriousness(6.25),local biz(6.25),biz group(6.25),govt(6.25),non-profits(6.25),marketing(6.25), </v>
      </c>
      <c r="IV131" s="57" t="str">
        <f t="shared" ref="IV131:LG131" si="430">IF(IV29="",IV132,$C131&amp;"("&amp;IV29&amp;"),"&amp;IV132)</f>
        <v xml:space="preserve">local biz(2),reputation(1), </v>
      </c>
      <c r="IW131" s="47" t="str">
        <f t="shared" si="430"/>
        <v xml:space="preserve">local biz(1),marketing(1), </v>
      </c>
      <c r="IX131" s="47" t="str">
        <f t="shared" si="430"/>
        <v xml:space="preserve">local biz(25),marketing(25), </v>
      </c>
      <c r="IY131" s="47" t="str">
        <f t="shared" si="430"/>
        <v xml:space="preserve">enthusiasm(2),agility(2),attention to details(2),fun-ness(2),seriousness(2),leader(1),community manager(1),finance(1),administrator(1),enthusiasm(3),network(2),level of understanding(3),local biz(3),biz group(2),govt(2),reputation(3),efficiency(2),marketing(2), </v>
      </c>
      <c r="IZ131" s="47" t="str">
        <f t="shared" si="430"/>
        <v xml:space="preserve">enthusiasm(1),fun-ness(1),seriousness(1),local biz(1),biz group(1),govt(1),marketing(1), </v>
      </c>
      <c r="JA131" s="47" t="str">
        <f t="shared" si="430"/>
        <v xml:space="preserve">enthusiasm(6.25),fun-ness(6.25),seriousness(6.25),local biz(6.25),biz group(6.25),govt(6.25),marketing(6.25), </v>
      </c>
      <c r="JB131" s="47" t="str">
        <f t="shared" si="430"/>
        <v xml:space="preserve">enthusiasm(2), </v>
      </c>
      <c r="JC131" s="47" t="str">
        <f t="shared" si="430"/>
        <v xml:space="preserve"> </v>
      </c>
      <c r="JD131" s="47" t="str">
        <f t="shared" si="430"/>
        <v xml:space="preserve"> </v>
      </c>
      <c r="JE131" s="47" t="str">
        <f t="shared" si="430"/>
        <v xml:space="preserve">enthusiasm(3),attention to details(2),fun-ness(2),community manager(1),PR(1),administrator(1),network(2),level of understanding(2),technologists(2),spaciousness(1),ease of access(1),reputation(3),efficiency(2), </v>
      </c>
      <c r="JF131" s="47" t="str">
        <f t="shared" si="430"/>
        <v xml:space="preserve">web(1),infrastructrue(1),database(1),mobile apps(1),sensors(1),security(1),AI&amp; data analysis(1),mobile comm(1),VR&amp;AR(1),wood processing(1),metal processing(1),plastic processing(1),electronics(1),fabric(1),aesthetics(1),functions(1),safety(1),interaction(1), </v>
      </c>
      <c r="JG131" s="47" t="str">
        <f t="shared" si="430"/>
        <v xml:space="preserve">web(6.25),infrastructrue(6.25),database(6.25),mobile apps(6.25),sensors(6.25),security(6.25),AI&amp; data analysis(6.25),mobile comm(6.25),VR&amp;AR(6.25),wood processing(6.25),metal processing(6.25),plastic processing(6.25),electronics(6.25),fabric(6.25),aesthetics(6.25),functions(6.25),safety(6.25),interaction(6.25), </v>
      </c>
      <c r="JH131" s="47" t="str">
        <f t="shared" si="430"/>
        <v xml:space="preserve">enthusiasm(1),enthusiasm(1),local biz(1),non-profits(1),reputation(2), </v>
      </c>
      <c r="JI131" s="47" t="str">
        <f t="shared" si="430"/>
        <v xml:space="preserve"> </v>
      </c>
      <c r="JJ131" s="47" t="str">
        <f t="shared" si="430"/>
        <v xml:space="preserve"> </v>
      </c>
      <c r="JK131" s="47" t="str">
        <f t="shared" si="430"/>
        <v xml:space="preserve">enthusiasm(2),agility(2),ambition(2),PR(1),finance(1),enthusiasm(2),fame(2),network(2),ambition(2),local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1" s="47" t="str">
        <f t="shared" si="430"/>
        <v xml:space="preserve">non-profits(1), </v>
      </c>
      <c r="JM131" s="47" t="str">
        <f t="shared" si="430"/>
        <v xml:space="preserve">non-profits(6.25), </v>
      </c>
      <c r="JN131" s="47" t="str">
        <f t="shared" si="430"/>
        <v xml:space="preserve">enthusiasm(2),enthusiasm(1),network(1),local biz(1),investors(1),entrepreneurs(1),technologists(1),non-profits(1),reputation(2),portfolio(2), </v>
      </c>
      <c r="JO131" s="47" t="str">
        <f t="shared" si="430"/>
        <v xml:space="preserve"> </v>
      </c>
      <c r="JP131" s="47" t="str">
        <f t="shared" si="430"/>
        <v xml:space="preserve"> </v>
      </c>
      <c r="JQ131" s="47" t="str">
        <f t="shared" si="430"/>
        <v xml:space="preserve">enthusiasm(3),agility(2),ambition(2),attention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1" s="47" t="str">
        <f t="shared" si="430"/>
        <v xml:space="preserve"> </v>
      </c>
      <c r="JS131" s="47" t="str">
        <f t="shared" si="430"/>
        <v xml:space="preserve"> </v>
      </c>
      <c r="JT131" s="47" t="str">
        <f t="shared" si="430"/>
        <v xml:space="preserve">enthusiasm(3),PR(1),administrator(1),enthusiasm(2),network(2),local biz(2),biz group(1),govt(2),investors(2),entrepreneurs(2),technologists(2),non-profits(2),reputation(2),portfolio(3), </v>
      </c>
      <c r="JU131" s="47" t="str">
        <f t="shared" si="430"/>
        <v xml:space="preserve"> </v>
      </c>
      <c r="JV131" s="47" t="str">
        <f t="shared" si="430"/>
        <v xml:space="preserve"> </v>
      </c>
      <c r="JW131" s="47" t="str">
        <f t="shared" si="430"/>
        <v xml:space="preserve">enthusiasm(4),enthusiasm(3),fame(3),network(3),level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1" s="47" t="str">
        <f t="shared" si="430"/>
        <v xml:space="preserve"> </v>
      </c>
      <c r="JY131" s="47" t="str">
        <f t="shared" si="430"/>
        <v xml:space="preserve"> </v>
      </c>
      <c r="JZ131" s="47" t="str">
        <f t="shared" si="430"/>
        <v xml:space="preserve">enthusiasm(2),network(1),non-profits(1),reputation(2),social project(2), </v>
      </c>
      <c r="KA131" s="47" t="str">
        <f t="shared" si="430"/>
        <v xml:space="preserve">non-profits(1), </v>
      </c>
      <c r="KB131" s="47" t="str">
        <f t="shared" si="430"/>
        <v xml:space="preserve">non-profits(25), </v>
      </c>
      <c r="KC131" s="47" t="str">
        <f t="shared" si="430"/>
        <v xml:space="preserve">enthusiasm(3),ambition(2),attention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1" s="47" t="str">
        <f t="shared" si="430"/>
        <v xml:space="preserve">non-profits(1), </v>
      </c>
      <c r="KE131" s="47" t="str">
        <f t="shared" si="430"/>
        <v xml:space="preserve">non-profits(6.25), </v>
      </c>
      <c r="KF131" s="47" t="str">
        <f t="shared" si="430"/>
        <v xml:space="preserve"> </v>
      </c>
      <c r="KG131" s="47" t="str">
        <f t="shared" si="430"/>
        <v xml:space="preserve"> </v>
      </c>
      <c r="KH131" s="47" t="str">
        <f t="shared" si="430"/>
        <v xml:space="preserve"> </v>
      </c>
      <c r="KI131" s="47" t="str">
        <f t="shared" si="430"/>
        <v xml:space="preserve"> </v>
      </c>
      <c r="KJ131" s="47" t="str">
        <f t="shared" si="430"/>
        <v xml:space="preserve"> </v>
      </c>
      <c r="KK131" s="47" t="str">
        <f t="shared" si="430"/>
        <v xml:space="preserve"> </v>
      </c>
      <c r="KL131" s="57" t="str">
        <f t="shared" si="430"/>
        <v xml:space="preserve"> </v>
      </c>
      <c r="KM131" s="47" t="str">
        <f t="shared" si="430"/>
        <v xml:space="preserve"> </v>
      </c>
      <c r="KN131" s="47" t="str">
        <f t="shared" si="430"/>
        <v xml:space="preserve"> </v>
      </c>
      <c r="KO131" s="47" t="str">
        <f t="shared" si="430"/>
        <v xml:space="preserve"> </v>
      </c>
      <c r="KP131" s="47" t="str">
        <f t="shared" si="430"/>
        <v xml:space="preserve"> </v>
      </c>
      <c r="KQ131" s="47" t="str">
        <f t="shared" si="430"/>
        <v xml:space="preserve"> </v>
      </c>
      <c r="KR131" s="57" t="str">
        <f t="shared" si="430"/>
        <v xml:space="preserve"> </v>
      </c>
      <c r="KS131" s="47" t="str">
        <f t="shared" si="430"/>
        <v xml:space="preserve"> </v>
      </c>
      <c r="KT131" s="47" t="str">
        <f t="shared" si="430"/>
        <v xml:space="preserve"> </v>
      </c>
      <c r="KU131" s="47" t="str">
        <f t="shared" si="430"/>
        <v xml:space="preserve"> </v>
      </c>
      <c r="KV131" s="47" t="str">
        <f t="shared" si="430"/>
        <v xml:space="preserve"> </v>
      </c>
      <c r="KW131" s="47" t="str">
        <f t="shared" si="430"/>
        <v xml:space="preserve"> </v>
      </c>
      <c r="KX131" s="57" t="str">
        <f t="shared" si="430"/>
        <v xml:space="preserve"> </v>
      </c>
      <c r="KY131" s="47" t="str">
        <f t="shared" si="430"/>
        <v xml:space="preserve"> </v>
      </c>
      <c r="KZ131" s="47" t="str">
        <f t="shared" si="430"/>
        <v xml:space="preserve"> </v>
      </c>
      <c r="LA131" s="47" t="str">
        <f t="shared" si="430"/>
        <v xml:space="preserve"> </v>
      </c>
      <c r="LB131" s="47" t="str">
        <f t="shared" si="430"/>
        <v xml:space="preserve"> </v>
      </c>
      <c r="LC131" s="47" t="str">
        <f t="shared" si="430"/>
        <v xml:space="preserve"> </v>
      </c>
      <c r="LD131" s="57" t="str">
        <f t="shared" si="430"/>
        <v xml:space="preserve"> </v>
      </c>
      <c r="LE131" s="47" t="str">
        <f t="shared" si="430"/>
        <v xml:space="preserve"> </v>
      </c>
      <c r="LF131" s="47" t="str">
        <f t="shared" si="430"/>
        <v xml:space="preserve"> </v>
      </c>
      <c r="LG131" s="47" t="str">
        <f t="shared" si="430"/>
        <v xml:space="preserve"> </v>
      </c>
      <c r="LH131" s="47" t="str">
        <f t="shared" ref="LH131:NM131" si="431">IF(LH29="",LH132,$C131&amp;"("&amp;LH29&amp;"),"&amp;LH132)</f>
        <v xml:space="preserve"> </v>
      </c>
      <c r="LI131" s="47" t="str">
        <f t="shared" si="431"/>
        <v xml:space="preserve"> </v>
      </c>
      <c r="LJ131" s="57" t="str">
        <f t="shared" si="431"/>
        <v xml:space="preserve"> </v>
      </c>
      <c r="LK131" s="47" t="str">
        <f t="shared" si="431"/>
        <v xml:space="preserve"> </v>
      </c>
      <c r="LL131" s="47" t="str">
        <f t="shared" si="431"/>
        <v xml:space="preserve"> </v>
      </c>
      <c r="LM131" s="47" t="str">
        <f t="shared" si="431"/>
        <v xml:space="preserve"> </v>
      </c>
      <c r="LN131" s="47" t="str">
        <f t="shared" si="431"/>
        <v xml:space="preserve"> </v>
      </c>
      <c r="LO131" s="47" t="str">
        <f t="shared" si="431"/>
        <v xml:space="preserve"> </v>
      </c>
      <c r="LP131" s="57" t="str">
        <f t="shared" si="431"/>
        <v xml:space="preserve"> </v>
      </c>
      <c r="LQ131" s="47" t="str">
        <f t="shared" si="431"/>
        <v xml:space="preserve"> </v>
      </c>
      <c r="LR131" s="47" t="str">
        <f t="shared" si="431"/>
        <v xml:space="preserve"> </v>
      </c>
      <c r="LS131" s="47" t="str">
        <f t="shared" si="431"/>
        <v xml:space="preserve"> </v>
      </c>
      <c r="LT131" s="47" t="str">
        <f t="shared" si="431"/>
        <v xml:space="preserve"> </v>
      </c>
      <c r="LU131" s="47" t="str">
        <f t="shared" si="431"/>
        <v xml:space="preserve"> </v>
      </c>
      <c r="LV131" s="57" t="str">
        <f t="shared" si="431"/>
        <v xml:space="preserve"> </v>
      </c>
      <c r="LW131" s="47" t="str">
        <f t="shared" si="431"/>
        <v xml:space="preserve"> </v>
      </c>
      <c r="LX131" s="47" t="str">
        <f t="shared" si="431"/>
        <v xml:space="preserve"> </v>
      </c>
      <c r="LY131" s="47" t="str">
        <f t="shared" si="431"/>
        <v xml:space="preserve"> </v>
      </c>
      <c r="LZ131" s="47" t="str">
        <f t="shared" si="431"/>
        <v xml:space="preserve"> </v>
      </c>
      <c r="MA131" s="47" t="str">
        <f t="shared" si="431"/>
        <v xml:space="preserve"> </v>
      </c>
      <c r="MB131" s="57" t="str">
        <f t="shared" si="431"/>
        <v xml:space="preserve"> </v>
      </c>
      <c r="MC131" s="47" t="str">
        <f t="shared" si="431"/>
        <v xml:space="preserve"> </v>
      </c>
      <c r="MD131" s="47" t="str">
        <f t="shared" si="431"/>
        <v xml:space="preserve"> </v>
      </c>
      <c r="ME131" s="47" t="str">
        <f t="shared" si="431"/>
        <v xml:space="preserve"> </v>
      </c>
      <c r="MF131" s="47" t="str">
        <f t="shared" si="431"/>
        <v xml:space="preserve"> </v>
      </c>
      <c r="MG131" s="47" t="str">
        <f t="shared" si="431"/>
        <v xml:space="preserve"> </v>
      </c>
      <c r="MH131" s="57" t="str">
        <f t="shared" si="431"/>
        <v xml:space="preserve"> </v>
      </c>
      <c r="MI131" s="47" t="str">
        <f t="shared" si="431"/>
        <v xml:space="preserve"> </v>
      </c>
      <c r="MJ131" s="47" t="str">
        <f t="shared" si="431"/>
        <v xml:space="preserve"> </v>
      </c>
      <c r="MK131" s="47" t="str">
        <f t="shared" si="431"/>
        <v xml:space="preserve"> </v>
      </c>
      <c r="ML131" s="47" t="str">
        <f t="shared" si="431"/>
        <v xml:space="preserve"> </v>
      </c>
      <c r="MM131" s="47" t="str">
        <f t="shared" si="431"/>
        <v xml:space="preserve"> </v>
      </c>
      <c r="MN131" s="57" t="str">
        <f t="shared" si="431"/>
        <v xml:space="preserve"> </v>
      </c>
      <c r="MO131" s="47" t="str">
        <f t="shared" si="431"/>
        <v xml:space="preserve"> </v>
      </c>
      <c r="MP131" s="47" t="str">
        <f t="shared" si="431"/>
        <v xml:space="preserve"> </v>
      </c>
      <c r="MQ131" s="47" t="str">
        <f t="shared" si="431"/>
        <v xml:space="preserve"> </v>
      </c>
      <c r="MR131" s="47" t="str">
        <f t="shared" si="431"/>
        <v xml:space="preserve"> </v>
      </c>
      <c r="MS131" s="47" t="str">
        <f t="shared" si="431"/>
        <v xml:space="preserve"> </v>
      </c>
      <c r="MT131" s="57" t="str">
        <f t="shared" si="431"/>
        <v xml:space="preserve"> </v>
      </c>
      <c r="MU131" s="47" t="str">
        <f t="shared" si="431"/>
        <v xml:space="preserve"> </v>
      </c>
      <c r="MV131" s="47" t="str">
        <f t="shared" si="431"/>
        <v xml:space="preserve"> </v>
      </c>
      <c r="MW131" s="47" t="str">
        <f t="shared" si="431"/>
        <v xml:space="preserve"> </v>
      </c>
      <c r="MX131" s="47" t="str">
        <f t="shared" si="431"/>
        <v xml:space="preserve"> </v>
      </c>
      <c r="MY131" s="47" t="str">
        <f t="shared" si="431"/>
        <v xml:space="preserve"> </v>
      </c>
      <c r="MZ131" s="57" t="str">
        <f t="shared" si="431"/>
        <v xml:space="preserve"> </v>
      </c>
      <c r="NA131" s="47" t="str">
        <f t="shared" si="431"/>
        <v xml:space="preserve"> </v>
      </c>
      <c r="NB131" s="47" t="str">
        <f t="shared" si="431"/>
        <v xml:space="preserve"> </v>
      </c>
      <c r="NC131" s="47" t="str">
        <f t="shared" si="431"/>
        <v xml:space="preserve"> </v>
      </c>
      <c r="ND131" s="47" t="str">
        <f t="shared" si="431"/>
        <v xml:space="preserve"> </v>
      </c>
      <c r="NE131" s="47" t="str">
        <f t="shared" si="431"/>
        <v xml:space="preserve"> </v>
      </c>
      <c r="NF131" s="57" t="str">
        <f t="shared" si="431"/>
        <v xml:space="preserve"> </v>
      </c>
      <c r="NG131" s="47" t="str">
        <f t="shared" si="431"/>
        <v xml:space="preserve"> </v>
      </c>
      <c r="NH131" s="47" t="str">
        <f t="shared" si="431"/>
        <v xml:space="preserve"> </v>
      </c>
      <c r="NI131" s="47" t="str">
        <f t="shared" si="431"/>
        <v xml:space="preserve"> </v>
      </c>
      <c r="NJ131" s="47" t="str">
        <f t="shared" si="431"/>
        <v xml:space="preserve"> </v>
      </c>
      <c r="NK131" s="47" t="str">
        <f t="shared" si="431"/>
        <v xml:space="preserve"> </v>
      </c>
      <c r="NL131" s="57" t="str">
        <f t="shared" si="431"/>
        <v xml:space="preserve"> </v>
      </c>
      <c r="NM131" s="47" t="str">
        <f t="shared" si="431"/>
        <v xml:space="preserve"> </v>
      </c>
    </row>
    <row r="132" spans="3:377" ht="15.75" customHeight="1">
      <c r="C132" s="7" t="str">
        <f t="shared" si="296"/>
        <v>agility</v>
      </c>
      <c r="D132" s="21" t="str">
        <f t="shared" si="169"/>
        <v xml:space="preserve"> </v>
      </c>
      <c r="E132" s="21" t="str">
        <f t="shared" si="297"/>
        <v xml:space="preserve"> </v>
      </c>
      <c r="F132" s="21" t="str">
        <f t="shared" si="170"/>
        <v xml:space="preserve"> </v>
      </c>
      <c r="G132" s="21" t="str">
        <f t="shared" si="298"/>
        <v xml:space="preserve">fun-ness(1), community manager(1), PR(1), fame(1), network(2), ease of access(1), reputation(2), social media(1),  </v>
      </c>
      <c r="H132" s="21" t="str">
        <f t="shared" si="299"/>
        <v xml:space="preserve"> </v>
      </c>
      <c r="I132" s="21" t="str">
        <f t="shared" ref="I132" si="432">IF(I30="",I133,$C132&amp;"("&amp;I30&amp;"),"&amp;I133)</f>
        <v xml:space="preserve"> </v>
      </c>
      <c r="J132" s="21" t="str">
        <f t="shared" si="376"/>
        <v xml:space="preserve">interaction 1
 </v>
      </c>
      <c r="K132" s="21" t="str">
        <f t="shared" si="173"/>
        <v xml:space="preserve">reputation(1,75),  </v>
      </c>
      <c r="L132" s="21" t="str">
        <f t="shared" si="377"/>
        <v xml:space="preserve">reputation 75
 </v>
      </c>
      <c r="M132" s="21" t="str">
        <f t="shared" si="175"/>
        <v xml:space="preserve">PR(1), portfolio(1), social innovation(1), non-profit biz(1),  </v>
      </c>
      <c r="N132" s="21" t="str">
        <f t="shared" si="176"/>
        <v xml:space="preserve">seriousness(1,25), non-profits(1,12.5), reputation(1,75), marketing(1,12.5),  </v>
      </c>
      <c r="O132" s="21" t="str">
        <f t="shared" si="378"/>
        <v xml:space="preserve">seriousness(25),non-profits(12.5),reputation(75),marketing(12.5), </v>
      </c>
      <c r="P132" s="21" t="str">
        <f t="shared" si="376"/>
        <v xml:space="preserve">biz project 1
 </v>
      </c>
      <c r="Q132" s="21" t="str">
        <f t="shared" si="178"/>
        <v xml:space="preserve"> </v>
      </c>
      <c r="R132" s="21" t="str">
        <f t="shared" si="377"/>
        <v xml:space="preserve"> </v>
      </c>
      <c r="S132" s="21" t="str">
        <f t="shared" si="179"/>
        <v xml:space="preserve">portfolio(1), biz enhancement(1), business(1), start-up(1),  </v>
      </c>
      <c r="T132" s="21" t="str">
        <f t="shared" si="180"/>
        <v xml:space="preserve">seriousness(1,25), local biz(1,6.25), investors(1,6.25), reputation(1,6.25),  </v>
      </c>
      <c r="U132" s="21" t="str">
        <f t="shared" si="378"/>
        <v xml:space="preserve">seriousness(25),local biz(6.25),investors(6.25),reputation(6.25), </v>
      </c>
      <c r="V132" s="21" t="str">
        <f t="shared" si="376"/>
        <v xml:space="preserve"> </v>
      </c>
      <c r="W132" s="21" t="str">
        <f t="shared" si="181"/>
        <v xml:space="preserve">local biz(1,),  </v>
      </c>
      <c r="X132" s="21" t="str">
        <f t="shared" si="377"/>
        <v xml:space="preserve"> </v>
      </c>
      <c r="Y132" s="21" t="str">
        <f t="shared" si="182"/>
        <v xml:space="preserve">attention to details(1), PR(1), network(1), ease of access(1), reputation(1), portfolio(1), biz project(1), biz enhancement(1), job creation(1), business(1),  </v>
      </c>
      <c r="Z132" s="21" t="str">
        <f t="shared" si="183"/>
        <v xml:space="preserve">local biz(1,6.25),  </v>
      </c>
      <c r="AA132" s="21" t="str">
        <f t="shared" si="378"/>
        <v xml:space="preserve">local biz(6.25), </v>
      </c>
      <c r="AB132" s="21" t="str">
        <f t="shared" si="376"/>
        <v xml:space="preserve"> </v>
      </c>
      <c r="AC132" s="21" t="str">
        <f t="shared" si="184"/>
        <v xml:space="preserve">non-profits(1,100),  </v>
      </c>
      <c r="AD132" s="21" t="str">
        <f t="shared" si="377"/>
        <v xml:space="preserve">non-profits 100
 </v>
      </c>
      <c r="AE132" s="21" t="str">
        <f t="shared" si="185"/>
        <v xml:space="preserve">attention to details(1), PR(1), network(1), ease of access(1), reputation(1), portfolio(1), social project(1), social innovation(1), non-profit biz(1),  </v>
      </c>
      <c r="AF132" s="21" t="str">
        <f t="shared" si="186"/>
        <v xml:space="preserve">seriousness(1,6.25), non-profits(1,6.25),  </v>
      </c>
      <c r="AG132" s="21" t="str">
        <f t="shared" si="378"/>
        <v xml:space="preserve">seriousness(6.25),non-profits(6.25), </v>
      </c>
      <c r="AH132" s="21" t="str">
        <f t="shared" si="376"/>
        <v xml:space="preserve"> </v>
      </c>
      <c r="AI132" s="21" t="str">
        <f t="shared" si="187"/>
        <v xml:space="preserve">govt(1,),  </v>
      </c>
      <c r="AJ132" s="21" t="str">
        <f t="shared" si="377"/>
        <v xml:space="preserve"> </v>
      </c>
      <c r="AK132" s="21" t="str">
        <f t="shared" si="188"/>
        <v xml:space="preserve">attention to details(1), seriousness(1), fame(1), network(1), govt(1), ease of access(1), reputation(2), portfolio(1), social project(1), social innovation(1), non-profit biz(1),  </v>
      </c>
      <c r="AL132" s="21" t="str">
        <f t="shared" si="189"/>
        <v xml:space="preserve">govt(1,6.25),  </v>
      </c>
      <c r="AM132" s="21" t="str">
        <f t="shared" si="378"/>
        <v xml:space="preserve">govt(6.25), </v>
      </c>
      <c r="AN132" s="21" t="str">
        <f t="shared" si="376"/>
        <v xml:space="preserve"> </v>
      </c>
      <c r="AO132" s="21" t="str">
        <f t="shared" si="190"/>
        <v xml:space="preserve">fame(1,), network(1,), investors(1,6.25),  </v>
      </c>
      <c r="AP132" s="21" t="str">
        <f t="shared" si="377"/>
        <v xml:space="preserve">investors 6.25
 </v>
      </c>
      <c r="AQ132" s="21" t="str">
        <f t="shared" si="191"/>
        <v xml:space="preserve">investors(1), ease of access(1), reputation(1), portfolio(1), start-up(1), start-up with mvp(1), start-up with customers(1),  </v>
      </c>
      <c r="AR132" s="21" t="str">
        <f t="shared" si="192"/>
        <v xml:space="preserve"> </v>
      </c>
      <c r="AS132" s="21" t="str">
        <f t="shared" si="378"/>
        <v xml:space="preserve"> </v>
      </c>
      <c r="AT132" s="21" t="str">
        <f t="shared" si="376"/>
        <v xml:space="preserve">seriousness 1
administrator 1
non-profits 2
reputation 1
portfolio 1
social project 1
 </v>
      </c>
      <c r="AU132" s="21" t="str">
        <f t="shared" si="193"/>
        <v xml:space="preserve">ambition(1,), attention to details(1,),  </v>
      </c>
      <c r="AV132" s="21" t="str">
        <f t="shared" si="377"/>
        <v xml:space="preserve"> </v>
      </c>
      <c r="AW132" s="21" t="str">
        <f t="shared" si="194"/>
        <v xml:space="preserve">PR(2), administrator(1), project management(2),  </v>
      </c>
      <c r="AX132" s="21" t="str">
        <f t="shared" si="195"/>
        <v xml:space="preserve">organizational rules and manuals(1,12.5), project management(1,12.5),  </v>
      </c>
      <c r="AY132" s="21" t="str">
        <f t="shared" si="378"/>
        <v xml:space="preserve">organizational rules and manuals(12.5),project management(12.5), </v>
      </c>
      <c r="AZ132" s="21" t="str">
        <f t="shared" si="376"/>
        <v xml:space="preserve">non-profits 1
 </v>
      </c>
      <c r="BA132" s="21" t="str">
        <f t="shared" si="196"/>
        <v xml:space="preserve"> </v>
      </c>
      <c r="BB132" s="21" t="str">
        <f t="shared" si="377"/>
        <v xml:space="preserve"> </v>
      </c>
      <c r="BC132" s="21" t="str">
        <f t="shared" si="197"/>
        <v xml:space="preserve"> </v>
      </c>
      <c r="BD132" s="21" t="str">
        <f t="shared" si="198"/>
        <v xml:space="preserve"> </v>
      </c>
      <c r="BE132" s="21" t="str">
        <f t="shared" si="378"/>
        <v xml:space="preserve"> </v>
      </c>
      <c r="BF132" s="21" t="str">
        <f t="shared" si="376"/>
        <v xml:space="preserve">seriousness 1
administrator 1
local biz 2
entrepreneurs 1
reputation 1
portfolio 1
biz project 1
 </v>
      </c>
      <c r="BG132" s="21" t="str">
        <f t="shared" si="199"/>
        <v xml:space="preserve">ambition(1,), attention to details(1,),  </v>
      </c>
      <c r="BH132" s="21" t="str">
        <f t="shared" si="377"/>
        <v xml:space="preserve"> </v>
      </c>
      <c r="BI132" s="21" t="str">
        <f t="shared" si="200"/>
        <v xml:space="preserve">PR(2), administrator(1), project management(2),  </v>
      </c>
      <c r="BJ132" s="21" t="str">
        <f t="shared" si="201"/>
        <v xml:space="preserve">organizational rules and manuals(1,12.5), project management(1,12.5),  </v>
      </c>
      <c r="BK132" s="21" t="str">
        <f t="shared" si="378"/>
        <v xml:space="preserve">organizational rules and manuals(12.5),project management(12.5), </v>
      </c>
      <c r="BL132" s="21" t="str">
        <f t="shared" si="376"/>
        <v xml:space="preserve">local biz 1
reputation 1
portfolio 1
biz enhancement 1
 </v>
      </c>
      <c r="BM132" s="21" t="str">
        <f t="shared" si="202"/>
        <v xml:space="preserve"> </v>
      </c>
      <c r="BN132" s="21" t="str">
        <f t="shared" si="377"/>
        <v xml:space="preserve"> </v>
      </c>
      <c r="BO132" s="21" t="str">
        <f t="shared" si="203"/>
        <v xml:space="preserve"> </v>
      </c>
      <c r="BP132" s="21" t="str">
        <f t="shared" si="204"/>
        <v xml:space="preserve"> </v>
      </c>
      <c r="BQ132" s="21" t="str">
        <f t="shared" si="378"/>
        <v xml:space="preserve"> </v>
      </c>
      <c r="BR132" s="21" t="str">
        <f t="shared" si="376"/>
        <v xml:space="preserve"> </v>
      </c>
      <c r="BS132" s="21" t="str">
        <f t="shared" si="205"/>
        <v xml:space="preserve"> </v>
      </c>
      <c r="BT132" s="21" t="str">
        <f t="shared" si="377"/>
        <v xml:space="preserve"> </v>
      </c>
      <c r="BU132" s="21" t="str">
        <f t="shared" si="206"/>
        <v xml:space="preserve"> </v>
      </c>
      <c r="BV132" s="21" t="str">
        <f t="shared" si="207"/>
        <v xml:space="preserve"> </v>
      </c>
      <c r="BW132" s="21" t="str">
        <f t="shared" si="378"/>
        <v xml:space="preserve"> </v>
      </c>
      <c r="BX132" s="21" t="str">
        <f t="shared" si="379"/>
        <v xml:space="preserve">network 1
 </v>
      </c>
      <c r="BY132" s="21" t="str">
        <f t="shared" si="209"/>
        <v xml:space="preserve">efficiency(1,),  </v>
      </c>
      <c r="BZ132" s="21" t="str">
        <f t="shared" si="380"/>
        <v xml:space="preserve"> </v>
      </c>
      <c r="CA132" s="21" t="str">
        <f t="shared" si="211"/>
        <v xml:space="preserve">attention to details(1), administrator(1), negotiation(1),  </v>
      </c>
      <c r="CB132" s="21" t="str">
        <f t="shared" si="212"/>
        <v xml:space="preserve">user rules and manuals(1,50), organizational rules and manuals(1,50),  </v>
      </c>
      <c r="CC132" s="21" t="str">
        <f t="shared" si="381"/>
        <v xml:space="preserve">user rules and manuals(50),organizational rules and manuals(50), </v>
      </c>
      <c r="CD132" s="21" t="str">
        <f t="shared" si="379"/>
        <v xml:space="preserve">network 1
 </v>
      </c>
      <c r="CE132" s="21" t="str">
        <f t="shared" si="214"/>
        <v xml:space="preserve">non-profits(1,),  </v>
      </c>
      <c r="CF132" s="21" t="str">
        <f t="shared" si="380"/>
        <v xml:space="preserve"> </v>
      </c>
      <c r="CG132" s="21" t="str">
        <f t="shared" si="215"/>
        <v xml:space="preserve">fun-ness(1), seriousness(1), ease of access(1), portfolio(1), user rules and manuals(1), negotiation(1), social project(1), biz project(1), for basic literacy(1), for the elites(1), for entrepreneurs(1),  </v>
      </c>
      <c r="CH132" s="21" t="str">
        <f t="shared" si="216"/>
        <v xml:space="preserve">technologists(1,6.25), non-profits(1,6.25),  </v>
      </c>
      <c r="CI132" s="21" t="str">
        <f t="shared" si="381"/>
        <v xml:space="preserve">technologists(6.25),non-profits(6.25), </v>
      </c>
      <c r="CJ132" s="21" t="str">
        <f t="shared" si="379"/>
        <v xml:space="preserve"> </v>
      </c>
      <c r="CK132" s="21" t="str">
        <f t="shared" si="217"/>
        <v xml:space="preserve">suppliers(1,),  </v>
      </c>
      <c r="CL132" s="21" t="str">
        <f t="shared" si="380"/>
        <v xml:space="preserve"> </v>
      </c>
      <c r="CM132" s="21" t="str">
        <f t="shared" si="218"/>
        <v xml:space="preserve">reputation(1), negotiation(1),  </v>
      </c>
      <c r="CN132" s="21" t="str">
        <f t="shared" si="219"/>
        <v xml:space="preserve">efficiency(1,6.25),  </v>
      </c>
      <c r="CO132" s="21" t="str">
        <f t="shared" si="381"/>
        <v xml:space="preserve">efficiency(6.25), </v>
      </c>
      <c r="CP132" s="21" t="str">
        <f t="shared" si="379"/>
        <v xml:space="preserve"> </v>
      </c>
      <c r="CQ132" s="21" t="str">
        <f t="shared" si="220"/>
        <v xml:space="preserve">technologists(1,),  </v>
      </c>
      <c r="CR132" s="21" t="str">
        <f t="shared" si="380"/>
        <v xml:space="preserve"> </v>
      </c>
      <c r="CS132" s="21" t="str">
        <f t="shared" si="221"/>
        <v xml:space="preserve">network(1), portfolio(1), negotiation(1), web(1), infrastructrue(1), database(1), mobile apps(1), sensors(1), security(1), AI&amp; data analysis(1), mobile comm(1), VR&amp;AR(1), wood processing(1), metal processing(1), plastic processing(1), electronics(1), fabric(1),  </v>
      </c>
      <c r="CT132" s="21" t="str">
        <f t="shared" si="222"/>
        <v xml:space="preserve">efficiency(1,6.25),  </v>
      </c>
      <c r="CU132" s="21" t="str">
        <f t="shared" si="381"/>
        <v xml:space="preserve">efficiency(6.25), </v>
      </c>
      <c r="CV132" s="21" t="str">
        <f t="shared" si="379"/>
        <v xml:space="preserve"> </v>
      </c>
      <c r="CW132" s="21" t="str">
        <f t="shared" si="223"/>
        <v xml:space="preserve">local biz(1,),  </v>
      </c>
      <c r="CX132" s="21" t="str">
        <f t="shared" si="380"/>
        <v xml:space="preserve"> </v>
      </c>
      <c r="CY132" s="21" t="str">
        <f t="shared" si="224"/>
        <v xml:space="preserve">ease of access(1), reputation(1), portfolio(1), negotiation(1),  </v>
      </c>
      <c r="CZ132" s="21" t="str">
        <f t="shared" si="225"/>
        <v xml:space="preserve">non-profits(1,6.25),  </v>
      </c>
      <c r="DA132" s="21" t="str">
        <f t="shared" si="381"/>
        <v xml:space="preserve">non-profits(6.25), </v>
      </c>
      <c r="DB132" s="21" t="str">
        <f t="shared" si="379"/>
        <v xml:space="preserve"> </v>
      </c>
      <c r="DC132" s="21" t="str">
        <f t="shared" si="226"/>
        <v xml:space="preserve"> </v>
      </c>
      <c r="DD132" s="21" t="str">
        <f t="shared" si="380"/>
        <v xml:space="preserve"> </v>
      </c>
      <c r="DE132"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2" s="21" t="str">
        <f t="shared" si="228"/>
        <v xml:space="preserve">network(1,), local biz(1,6.25), biz group(1,6.25), investors(1,6.25), entrepreneurs(1,6.25),  </v>
      </c>
      <c r="DG132" s="21" t="str">
        <f t="shared" si="381"/>
        <v xml:space="preserve">local biz(6.25),biz group(6.25),investors(6.25),entrepreneurs(6.25), </v>
      </c>
      <c r="DH132" s="21" t="str">
        <f t="shared" si="379"/>
        <v xml:space="preserve">network 1
non-profits 1
reputation 1
social project 1
 </v>
      </c>
      <c r="DI132" s="21" t="str">
        <f t="shared" si="229"/>
        <v xml:space="preserve"> </v>
      </c>
      <c r="DJ132" s="21" t="str">
        <f t="shared" si="380"/>
        <v xml:space="preserve"> </v>
      </c>
      <c r="DK132" s="21" t="str">
        <f t="shared" si="230"/>
        <v xml:space="preserve">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2" s="21" t="str">
        <f t="shared" si="231"/>
        <v xml:space="preserve">reputation(1,6.25),  </v>
      </c>
      <c r="DM132" s="21" t="str">
        <f t="shared" si="381"/>
        <v xml:space="preserve">reputation(6.25), </v>
      </c>
      <c r="DN132" s="21" t="str">
        <f t="shared" si="379"/>
        <v xml:space="preserve">network 1
local biz 1
reputation 1
biz project 1
 </v>
      </c>
      <c r="DO132" s="21" t="str">
        <f t="shared" si="232"/>
        <v xml:space="preserve"> </v>
      </c>
      <c r="DP132" s="21" t="str">
        <f t="shared" si="380"/>
        <v xml:space="preserve"> </v>
      </c>
      <c r="DQ132" s="21" t="str">
        <f t="shared" si="233"/>
        <v xml:space="preserve">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2" s="21" t="str">
        <f t="shared" si="234"/>
        <v xml:space="preserve">reputation(1,6.25),  </v>
      </c>
      <c r="DS132" s="21" t="str">
        <f t="shared" si="381"/>
        <v xml:space="preserve">reputation(6.25), </v>
      </c>
      <c r="DT132" s="21" t="str">
        <f t="shared" si="379"/>
        <v xml:space="preserve">network 1
reputation 1
 </v>
      </c>
      <c r="DU132" s="21" t="str">
        <f t="shared" si="235"/>
        <v xml:space="preserve"> </v>
      </c>
      <c r="DV132" s="21" t="str">
        <f t="shared" si="380"/>
        <v xml:space="preserve"> </v>
      </c>
      <c r="DW132" s="21" t="str">
        <f t="shared" si="236"/>
        <v xml:space="preserve">agility(1), 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2" s="21" t="str">
        <f t="shared" si="237"/>
        <v xml:space="preserve">ambition(1,6.25), reputation(1,6.25), for basic literacy(1,6.25),  </v>
      </c>
      <c r="DY132" s="21" t="str">
        <f t="shared" si="381"/>
        <v xml:space="preserve">ambition(6.25),reputation(6.25),for basic literacy(6.25), </v>
      </c>
      <c r="DZ132" s="21" t="str">
        <f t="shared" si="379"/>
        <v xml:space="preserve">network 1
reputation 1
 </v>
      </c>
      <c r="EA132" s="21" t="str">
        <f t="shared" si="238"/>
        <v xml:space="preserve"> </v>
      </c>
      <c r="EB132" s="21" t="str">
        <f t="shared" si="380"/>
        <v xml:space="preserve"> </v>
      </c>
      <c r="EC132" s="21" t="str">
        <f t="shared" si="239"/>
        <v xml:space="preserve">agility(1), 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2" s="21" t="str">
        <f t="shared" si="240"/>
        <v xml:space="preserve">ambition(1,6.25), reputation(1,6.25), for basic literacy(1,6.25),  </v>
      </c>
      <c r="EE132" s="21" t="str">
        <f t="shared" si="381"/>
        <v xml:space="preserve">ambition(6.25),reputation(6.25),for basic literacy(6.25), </v>
      </c>
      <c r="EF132" s="21" t="str">
        <f t="shared" si="379"/>
        <v xml:space="preserve">technologists 1
reputation 1
 </v>
      </c>
      <c r="EG132" s="21" t="str">
        <f t="shared" si="241"/>
        <v xml:space="preserve">web(1,50), mobile apps(1,50), interaction(1,50),  </v>
      </c>
      <c r="EH132" s="21" t="str">
        <f t="shared" si="380"/>
        <v xml:space="preserve">web 50
mobile apps 50
interaction 50
 </v>
      </c>
      <c r="EI132" s="21" t="str">
        <f t="shared" si="242"/>
        <v xml:space="preserve">seriousness(2), initiative(1), community manager(1), administrator(1), enthusiasm(1), fame(1), network(2), level of understanding(1), technologists(2), ease of access(1), reputation(2), infrastructrue(1), database(1), mobile comm(1), for entrepreneurs(1),  </v>
      </c>
      <c r="EJ132" s="21" t="str">
        <f t="shared" si="243"/>
        <v xml:space="preserve">technologists(1,12.5), infrastructrue(1,12.5), database(1,12.5), mobile comm(1,12.5), for entrepreneurs(1,6.25),  </v>
      </c>
      <c r="EK132" s="21" t="str">
        <f t="shared" si="381"/>
        <v xml:space="preserve">technologists(12.5),infrastructrue(12.5),database(12.5),mobile comm(12.5),for entrepreneurs(6.25), </v>
      </c>
      <c r="EL132" s="21" t="str">
        <f t="shared" si="382"/>
        <v xml:space="preserve">technologists 1
reputation 1
 </v>
      </c>
      <c r="EM132" s="21" t="str">
        <f t="shared" si="245"/>
        <v xml:space="preserve">sensors(1,50),  </v>
      </c>
      <c r="EN132" s="21" t="str">
        <f t="shared" si="383"/>
        <v xml:space="preserve">sensors 50
 </v>
      </c>
      <c r="EO132" s="21" t="str">
        <f t="shared" si="247"/>
        <v xml:space="preserve">seriousness(2), initiative(1), community manager(1), administrator(1), enthusiasm(1), fame(1), network(2), level of understanding(1), technologists(2), ease of access(1), reputation(2), project management(2), infrastructrue(1), database(1), mobile comm(1), for entrepreneurs(1),  </v>
      </c>
      <c r="EP132" s="21" t="str">
        <f t="shared" si="248"/>
        <v xml:space="preserve">technologists(1,12.5), infrastructrue(1,12.5), database(1,12.5), mobile comm(1,12.5), electronics(1,6.25), for entrepreneurs(1,6.25),  </v>
      </c>
      <c r="EQ132" s="21" t="str">
        <f t="shared" si="384"/>
        <v xml:space="preserve">technologists(12.5),infrastructrue(12.5),database(12.5),mobile comm(12.5),electronics(6.25),for entrepreneurs(6.25), </v>
      </c>
      <c r="ER132" s="21" t="str">
        <f t="shared" si="382"/>
        <v xml:space="preserve">technologists 1
 </v>
      </c>
      <c r="ES132" s="21" t="str">
        <f t="shared" si="250"/>
        <v xml:space="preserve">AI&amp; data analysis(1,50),  </v>
      </c>
      <c r="ET132" s="21" t="str">
        <f t="shared" si="383"/>
        <v xml:space="preserve">AI&amp; data analysis 50
 </v>
      </c>
      <c r="EU132" s="21" t="str">
        <f t="shared" si="251"/>
        <v xml:space="preserve">seriousness(2), initiative(1), community manager(1), administrator(1), enthusiasm(1), fame(1), network(2), level of understanding(1), technologists(2), ease of access(1), reputation(2), database(1), sensors(1), mobile comm(1), for entrepreneurs(1),  </v>
      </c>
      <c r="EV132" s="21" t="str">
        <f t="shared" si="252"/>
        <v xml:space="preserve">technologists(1,12.5), database(1,12.5), sensors(1,12.5), mobile comm(1,12.5), for entrepreneurs(1,6.25),  </v>
      </c>
      <c r="EW132" s="21" t="str">
        <f t="shared" si="384"/>
        <v xml:space="preserve">technologists(12.5),database(12.5),sensors(12.5),mobile comm(12.5),for entrepreneurs(6.25), </v>
      </c>
      <c r="EX132" s="21" t="str">
        <f t="shared" si="382"/>
        <v xml:space="preserve">technologists 1
 </v>
      </c>
      <c r="EY132" s="21" t="str">
        <f t="shared" si="253"/>
        <v xml:space="preserve">law(1,50), security(1,50), interaction(1,25),  </v>
      </c>
      <c r="EZ132" s="21" t="str">
        <f t="shared" si="383"/>
        <v xml:space="preserve">law 50
security 50
interaction 25
 </v>
      </c>
      <c r="FA132" s="21" t="str">
        <f t="shared" si="254"/>
        <v xml:space="preserve">seriousness(2), initiative(1), community manager(1), administrator(1), enthusiasm(1), fame(1), network(2), level of understanding(1), technologists(2), ease of access(1), reputation(2), law(2), for entrepreneurs(1),  </v>
      </c>
      <c r="FB132" s="21" t="str">
        <f t="shared" si="255"/>
        <v xml:space="preserve">technologists(1,12.5), law(1,6.25), database(1,12.5), mobile apps(1,12.5), security(1,12.5), mobile comm(1,12.5), for entrepreneurs(1,6.25),  </v>
      </c>
      <c r="FC132" s="21" t="str">
        <f t="shared" si="384"/>
        <v xml:space="preserve">technologists(12.5),law(6.25),database(12.5),mobile apps(12.5),security(12.5),mobile comm(12.5),for entrepreneurs(6.25), </v>
      </c>
      <c r="FD132" s="21" t="str">
        <f t="shared" si="382"/>
        <v xml:space="preserve">technologists 1
 </v>
      </c>
      <c r="FE132" s="21" t="str">
        <f t="shared" si="256"/>
        <v xml:space="preserve">law(1,50), sensors(1,50), security(1,50),  </v>
      </c>
      <c r="FF132" s="21" t="str">
        <f t="shared" si="383"/>
        <v xml:space="preserve">law 50
sensors 50
security 50
 </v>
      </c>
      <c r="FG132" s="21" t="str">
        <f t="shared" si="257"/>
        <v xml:space="preserve">seriousness(2), initiative(1), community manager(1), administrator(1), enthusiasm(1), fame(1), network(2), level of understanding(1), technologists(2), ease of access(1), reputation(2), law(2), project management(2), for entrepreneurs(1),  </v>
      </c>
      <c r="FH132" s="21" t="str">
        <f t="shared" si="258"/>
        <v xml:space="preserve">technologists(1,12.5), law(1,6.25), database(1,6.25), mobile apps(1,6.25), AI&amp; data analysis(1,6.25), mobile comm(1,6.25), for entrepreneurs(1,6.25),  </v>
      </c>
      <c r="FI132" s="21" t="str">
        <f t="shared" si="384"/>
        <v xml:space="preserve">technologists(12.5),law(6.25),database(6.25),mobile apps(6.25),AI&amp; data analysis(6.25),mobile comm(6.25),for entrepreneurs(6.25), </v>
      </c>
      <c r="FJ132" s="21" t="str">
        <f t="shared" si="382"/>
        <v xml:space="preserve">technologists 1
 </v>
      </c>
      <c r="FK132" s="21" t="str">
        <f t="shared" si="259"/>
        <v xml:space="preserve">wood processing(1,25), metal processing(1,25), plastic processing(1,25), fabric(1,25), safety(1,25), interaction(1,25),  </v>
      </c>
      <c r="FL132" s="21" t="str">
        <f t="shared" si="383"/>
        <v xml:space="preserve">project management 2
wood processing 25
metal processing 25
plastic processing 25
fabric 25
safety 25
interaction 25
 </v>
      </c>
      <c r="FM132" s="21" t="str">
        <f t="shared" si="260"/>
        <v xml:space="preserve">seriousness(2), initiative(1), community manager(1), administrator(1), enthusiasm(1), fame(1), network(2), level of understanding(1), technologists(2), spaciousness(1), ease of access(1), reputation(2), for entrepreneurs(1),  </v>
      </c>
      <c r="FN132" s="21" t="str">
        <f t="shared" si="261"/>
        <v xml:space="preserve">technologists(1,12.5), for entrepreneurs(1,6.25),  </v>
      </c>
      <c r="FO132" s="21" t="str">
        <f t="shared" si="384"/>
        <v xml:space="preserve">technologists(12.5),for entrepreneurs(6.25), </v>
      </c>
      <c r="FP132" s="21" t="str">
        <f t="shared" si="382"/>
        <v xml:space="preserve">technologists 1
 </v>
      </c>
      <c r="FQ132" s="21" t="str">
        <f t="shared" si="262"/>
        <v xml:space="preserve">web(1,25), mobile apps(1,50), functions(1,25), interaction(1,25),  </v>
      </c>
      <c r="FR132" s="21" t="str">
        <f t="shared" si="383"/>
        <v xml:space="preserve">web 25
mobile apps 50
functions 25
interaction 25
 </v>
      </c>
      <c r="FS132" s="21" t="str">
        <f t="shared" si="263"/>
        <v xml:space="preserve">seriousness(2), initiative(1), community manager(1), administrator(1), enthusiasm(1), fame(1), network(2), level of understanding(1), technologists(2), spaciousness(1), ease of access(1), reputation(2), for entrepreneurs(1),  </v>
      </c>
      <c r="FT132" s="21" t="str">
        <f t="shared" si="264"/>
        <v xml:space="preserve">technologists(1,12.5), for entrepreneurs(1,6.25),  </v>
      </c>
      <c r="FU132" s="21" t="str">
        <f t="shared" si="384"/>
        <v xml:space="preserve">technologists(12.5),for entrepreneurs(6.25), </v>
      </c>
      <c r="FV132" s="21" t="str">
        <f t="shared" si="382"/>
        <v xml:space="preserve">technologists 1
 </v>
      </c>
      <c r="FW132" s="21" t="str">
        <f t="shared" si="265"/>
        <v xml:space="preserve">mobile apps(1,50), sensors(1,50), wood processing(1,25), plastic processing(1,25), electronics(1,25), functions(1,25), interaction(1,25),  </v>
      </c>
      <c r="FX132" s="21" t="str">
        <f t="shared" si="383"/>
        <v xml:space="preserve">mobile apps 50
sensors 50
wood processing 25
plastic processing 25
electronics 25
functions 25
interaction 25
 </v>
      </c>
      <c r="FY132" s="21" t="str">
        <f t="shared" si="266"/>
        <v xml:space="preserve">seriousness(2), initiative(1), community manager(1), administrator(1), enthusiasm(1), fame(1), network(2), level of understanding(1), technologists(2), spaciousness(1), ease of access(1), reputation(2), project management(2), for entrepreneurs(1),  </v>
      </c>
      <c r="FZ132" s="21" t="str">
        <f t="shared" si="267"/>
        <v xml:space="preserve">technologists(1,12.5), web(1,6.25), database(1,6.25), AI&amp; data analysis(1,6.25), mobile comm(1,6.25), for entrepreneurs(1,6.25),  </v>
      </c>
      <c r="GA132" s="21" t="str">
        <f t="shared" si="384"/>
        <v xml:space="preserve">technologists(12.5),web(6.25),database(6.25),AI&amp; data analysis(6.25),mobile comm(6.25),for entrepreneurs(6.25), </v>
      </c>
      <c r="GB132" s="21" t="str">
        <f t="shared" si="382"/>
        <v xml:space="preserve">technologists 1
 </v>
      </c>
      <c r="GC132" s="21" t="str">
        <f t="shared" si="268"/>
        <v xml:space="preserve">sensors(1,25), mobile comm(1,25), electronics(1,50), functions(1,25), safety(1,25),  </v>
      </c>
      <c r="GD132" s="21" t="str">
        <f t="shared" si="383"/>
        <v xml:space="preserve">sensors 25
mobile comm 25
electronics 50
functions 25
safety 25
 </v>
      </c>
      <c r="GE132" s="21" t="str">
        <f t="shared" si="269"/>
        <v xml:space="preserve">seriousness(2), initiative(1), community manager(1), administrator(1), enthusiasm(1), fame(1), network(2), level of understanding(1), technologists(2), spaciousness(1), ease of access(1), reputation(2), project management(2), for entrepreneurs(1),  </v>
      </c>
      <c r="GF132" s="21" t="str">
        <f t="shared" si="270"/>
        <v xml:space="preserve">technologists(1,12.5), database(1,6.25), mobile apps(1,6.25), AI&amp; data analysis(1,6.25), plastic processing(1,6.25), interaction(1,6.25), for entrepreneurs(1,6.25),  </v>
      </c>
      <c r="GG132" s="21" t="str">
        <f t="shared" si="384"/>
        <v xml:space="preserve">technologists(12.5),database(6.25),mobile apps(6.25),AI&amp; data analysis(6.25),plastic processing(6.25),interaction(6.25),for entrepreneurs(6.25), </v>
      </c>
      <c r="GH132" s="21" t="str">
        <f t="shared" si="382"/>
        <v xml:space="preserve">technologists 1
 </v>
      </c>
      <c r="GI132" s="21" t="str">
        <f t="shared" si="271"/>
        <v xml:space="preserve">web(1,25), mobile apps(1,50), functions(1,25), interaction(1,25),  </v>
      </c>
      <c r="GJ132" s="21" t="str">
        <f t="shared" si="383"/>
        <v xml:space="preserve">web 25
mobile apps 50
functions 25
interaction 25
 </v>
      </c>
      <c r="GK132" s="21" t="str">
        <f t="shared" si="272"/>
        <v xml:space="preserve">seriousness(2), initiative(1), community manager(1), administrator(1), enthusiasm(1), fame(1), network(2), level of understanding(1), technologists(2), spaciousness(1), ease of access(1), reputation(2), project management(2), for entrepreneurs(1),  </v>
      </c>
      <c r="GL132" s="21" t="str">
        <f t="shared" si="273"/>
        <v xml:space="preserve">technologists(1,12.5), for entrepreneurs(1,6.25),  </v>
      </c>
      <c r="GM132" s="21" t="str">
        <f t="shared" si="384"/>
        <v xml:space="preserve">technologists(12.5),for entrepreneurs(6.25), </v>
      </c>
      <c r="GN132" s="21" t="str">
        <f t="shared" si="382"/>
        <v xml:space="preserve">technologists 1
 </v>
      </c>
      <c r="GO132" s="21" t="str">
        <f t="shared" si="274"/>
        <v xml:space="preserve">web(1,25), mobile apps(1,25), VR&amp;AR(1,25), aesthetics(1,25), functions(1,25), interaction(1,50),  </v>
      </c>
      <c r="GP132" s="21" t="str">
        <f t="shared" si="383"/>
        <v xml:space="preserve">web 25
mobile apps 25
VR&amp;AR 25
aesthetics 25
functions 25
interaction 50
 </v>
      </c>
      <c r="GQ132" s="21" t="str">
        <f t="shared" si="275"/>
        <v xml:space="preserve">seriousness(2), initiative(1), community manager(1), administrator(1), enthusiasm(1), fame(1), network(2), level of understanding(1), technologists(2), spaciousness(1), ease of access(1), reputation(2), project management(2), for entrepreneurs(1),  </v>
      </c>
      <c r="GR132" s="21" t="str">
        <f t="shared" si="276"/>
        <v xml:space="preserve">technologists(1,12.5), for entrepreneurs(1,6.25),  </v>
      </c>
      <c r="GS132" s="21" t="str">
        <f t="shared" si="384"/>
        <v xml:space="preserve">technologists(12.5),for entrepreneurs(6.25), </v>
      </c>
      <c r="GT132" s="21" t="str">
        <f t="shared" si="382"/>
        <v xml:space="preserve">ease of access 1
reputation 2
web 1
mobile apps 1
mobile comm 1
 </v>
      </c>
      <c r="GU132" s="21" t="str">
        <f t="shared" si="277"/>
        <v xml:space="preserve"> </v>
      </c>
      <c r="GV132" s="21" t="str">
        <f t="shared" si="383"/>
        <v xml:space="preserve"> </v>
      </c>
      <c r="GW132" s="21" t="str">
        <f t="shared" si="278"/>
        <v xml:space="preserve">agility(1), 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2" s="21" t="str">
        <f t="shared" si="279"/>
        <v xml:space="preserve">media(1,6.25), entrepreneurs(1,6.25), technologists(1,6.25), project management(1,6.25), social media(1,6.25), web(1,6.25), mobile apps(1,6.25),  </v>
      </c>
      <c r="GY132" s="21" t="str">
        <f t="shared" si="384"/>
        <v xml:space="preserve">media(6.25),entrepreneurs(6.25),technologists(6.25),project management(6.25),social media(6.25),web(6.25),mobile apps(6.25), </v>
      </c>
      <c r="GZ132" s="21" t="str">
        <f t="shared" si="385"/>
        <v xml:space="preserve">network 1
govt 1
non-profits 1
reputation 2
portfolio 1
 </v>
      </c>
      <c r="HA132" s="21" t="str">
        <f t="shared" si="281"/>
        <v xml:space="preserve"> </v>
      </c>
      <c r="HB132" s="21" t="str">
        <f t="shared" si="386"/>
        <v xml:space="preserve"> </v>
      </c>
      <c r="HC132" s="21" t="str">
        <f t="shared" si="283"/>
        <v xml:space="preserve">agility(1), 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32" s="21" t="str">
        <f t="shared" si="284"/>
        <v xml:space="preserve">media(1,6.25), technologists(1,6.25), non-profits(1,6.25), reputation(1,6.25), start-up with customers(1,6.25), for basic literacy(1,6.25),  </v>
      </c>
      <c r="HE132" s="21" t="str">
        <f t="shared" si="387"/>
        <v xml:space="preserve">media(6.25),technologists(6.25),non-profits(6.25),reputation(6.25),start-up with customers(6.25),for basic literacy(6.25), </v>
      </c>
      <c r="HF132" s="21" t="str">
        <f t="shared" si="385"/>
        <v xml:space="preserve"> </v>
      </c>
      <c r="HG132" s="21" t="str">
        <f t="shared" si="286"/>
        <v xml:space="preserve"> </v>
      </c>
      <c r="HH132" s="21" t="str">
        <f t="shared" si="386"/>
        <v xml:space="preserve"> </v>
      </c>
      <c r="HI132" s="21" t="str">
        <f t="shared" si="287"/>
        <v xml:space="preserve">agility(2), attention to details(2), fun-ness(2), seriousness(2), initiative(2), leader(1), community manager(1), PR(1), finance(1), administrator(1), network(2), portfolio(3), marketing(2), team building(3), project management(2), mobile apps(3), sensors(2), plastic processing(2), electronics(2), aesthetics(2), functions(2), interaction(2),  </v>
      </c>
      <c r="HJ132" s="21" t="str">
        <f t="shared" si="288"/>
        <v xml:space="preserve">fun-ness(1,6.25), seriousness(1,6.25), govt(1,6.25), media(1,6.25), non-profits(1,6.25), start-up with customers(1,6.25),  </v>
      </c>
      <c r="HK132" s="21" t="str">
        <f t="shared" si="387"/>
        <v xml:space="preserve">fun-ness(6.25),seriousness(6.25),govt(6.25),media(6.25),non-profits(6.25),start-up with customers(6.25), </v>
      </c>
      <c r="HL132" s="21" t="str">
        <f t="shared" si="385"/>
        <v xml:space="preserve">community manager 1
PR 1
administrator 1
local biz 1
entrepreneurs 1
non-profits 1
reputation 2
portfolio 2
 </v>
      </c>
      <c r="HM132" s="21" t="str">
        <f t="shared" si="289"/>
        <v xml:space="preserve">ambition(1,25), fun-ness(1,25), seriousness(1,25),  </v>
      </c>
      <c r="HN132" s="21" t="str">
        <f t="shared" si="386"/>
        <v xml:space="preserve">ambition 25
fun-ness 25
seriousness 25
 </v>
      </c>
      <c r="HO132"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2" s="21" t="str">
        <f t="shared" si="291"/>
        <v xml:space="preserve">fun-ness(1,6.25), enthusiasm(1,6.25), level of understanding(1,6.25), local biz(1,6.25), biz group(1,6.25), govt(1,6.25), investors(1,6.25), media(1,6.25), entrepreneurs(1,6.25), technologists(1,6.25), suppliers(1,6.25), non-profits(1,6.25), reputation(1,6.25),  </v>
      </c>
      <c r="HQ132" s="47" t="str">
        <f t="shared" si="387"/>
        <v xml:space="preserve">fun-ness(6.25),enthusiasm(6.25),level of understanding(6.25),local biz(6.25),biz group(6.25),govt(6.25),investors(6.25),media(6.25),entrepreneurs(6.25),technologists(6.25),suppliers(6.25),non-profits(6.25),reputation(6.25), </v>
      </c>
      <c r="HR132" s="47" t="str">
        <f t="shared" ref="HR132:HW132" si="433">IF(HR30="",HR133,$C132&amp;"("&amp;HR30&amp;"),"&amp;HR133)</f>
        <v xml:space="preserve">reputation(2),portfolio(2),mobile apps(1),sensors(1),wood processing(1),aesthetics(1), </v>
      </c>
      <c r="HS132" s="47" t="str">
        <f t="shared" si="433"/>
        <v xml:space="preserve"> </v>
      </c>
      <c r="HT132" s="47" t="str">
        <f t="shared" si="433"/>
        <v xml:space="preserve"> </v>
      </c>
      <c r="HU132" s="47" t="str">
        <f t="shared" si="433"/>
        <v xml:space="preserve">agility(2),ambition(2),attention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2" s="47" t="str">
        <f t="shared" si="433"/>
        <v xml:space="preserve">local biz(1),biz group(1),govt(1),investors(1),media(1),entrepreneurs(1),technologists(1),suppliers(1),non-profits(1),reputation(1), </v>
      </c>
      <c r="HW132" s="47" t="str">
        <f t="shared" si="433"/>
        <v xml:space="preserve">local biz(6.25),biz group(6.25),govt(6.25),investors(6.25),media(6.25),entrepreneurs(6.25),technologists(12.5),suppliers(6.25),non-profits(6.25),reputation(6.25), </v>
      </c>
      <c r="HX132" s="47" t="str">
        <f t="shared" ref="HX132:IU132" si="434">IF(HX30="",HX133,$C132&amp;"("&amp;HX30&amp;"),"&amp;HX133)</f>
        <v xml:space="preserve">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2" s="47" t="str">
        <f t="shared" si="434"/>
        <v xml:space="preserve">biz enhancement(1), </v>
      </c>
      <c r="HZ132" s="47" t="str">
        <f t="shared" si="434"/>
        <v xml:space="preserve">biz enhancement(100), </v>
      </c>
      <c r="IA132" s="47" t="str">
        <f t="shared" si="434"/>
        <v xml:space="preserve">community manager(1),PR(1),finance(1),administrator(1),enthusiasm(2),network(2),ambition(2),knowledge(2),spaciousness(2),ease of access(3),efficiency(2),portfolio(4),finance(2),business model(2),marketing(3),team building(2),project management(2),social media(3),negotiation(3), </v>
      </c>
      <c r="IB132" s="47" t="str">
        <f t="shared" si="434"/>
        <v xml:space="preserve">ambition(1),seriousness(1),initiative(1),level of understanding(1),ambition(1),local biz(1),biz group(1),govt(1),media(1),entrepreneurs(1),technologists(1),non-profits(1),reputation(1),team building(1),database(1),AI&amp; data analysis(1),electronics(1),functions(1), </v>
      </c>
      <c r="IC132" s="47" t="str">
        <f t="shared" si="434"/>
        <v xml:space="preserve">ambition(6.25),seriousness(6.25),initiative(6.25),level of understanding(6.25),ambition(6.25),local biz(6.25),biz group(6.25),govt(6.25),media(6.25),entrepreneurs(6.25),technologists(6.25),non-profits(6.25),reputation(6.25),team building(6.25),database(6.25),AI&amp; data analysis(6.25),electronics(6.25),functions(6.25), </v>
      </c>
      <c r="ID132" s="47" t="str">
        <f t="shared" si="434"/>
        <v xml:space="preserve">technologists(2), </v>
      </c>
      <c r="IE132" s="47" t="str">
        <f t="shared" si="434"/>
        <v xml:space="preserve">web(1),mobile apps(1),security(1),AI&amp; data analysis(1), </v>
      </c>
      <c r="IF132" s="47" t="str">
        <f t="shared" si="434"/>
        <v xml:space="preserve">web(25),mobile apps(25),security(25),AI&amp; data analysis(25), </v>
      </c>
      <c r="IG132" s="47" t="str">
        <f t="shared" si="434"/>
        <v xml:space="preserve">attention to details(2),seriousness(2),community manager(1),administrator(1),network(2),entrepreneurs(3),technologists(4),spaciousness(2),ease of access(2),reputation(3),efficiency(2),portfolio(3),web(2),database(2),mobile apps(2),security(2),AI&amp; data analysis(2), </v>
      </c>
      <c r="IH132" s="47" t="str">
        <f t="shared" si="434"/>
        <v xml:space="preserve">technologists(1),web(1),database(1),mobile apps(1),security(1),AI&amp; data analysis(1), </v>
      </c>
      <c r="II132" s="47" t="str">
        <f t="shared" si="434"/>
        <v xml:space="preserve">technologists(6.25),web(6.25),database(6.25),mobile apps(6.25),security(6.25),AI&amp; data analysis(6.25), </v>
      </c>
      <c r="IJ132" s="47" t="str">
        <f t="shared" si="434"/>
        <v xml:space="preserve">technologists(2), </v>
      </c>
      <c r="IK132" s="47" t="str">
        <f t="shared" si="434"/>
        <v xml:space="preserve">wood processing(1),metal processing(1),functions(1),safety(1), </v>
      </c>
      <c r="IL132" s="47" t="str">
        <f t="shared" si="434"/>
        <v xml:space="preserve">wood processing(25),metal processing(25),functions(25),safety(25), </v>
      </c>
      <c r="IM132" s="47" t="str">
        <f t="shared" si="434"/>
        <v xml:space="preserve">attention to details(2),seriousness(2),community manager(1),administrator(1),network(2),entrepreneurs(3),technologists(4),spaciousness(2),ease of access(2),reputation(3),efficiency(2),portfolio(3),wood processing(2),metal processing(2),functions(2),safety(2), </v>
      </c>
      <c r="IN132" s="47" t="str">
        <f t="shared" si="434"/>
        <v xml:space="preserve">technologists(1),wood processing(1),metal processing(1),functions(1),safety(1),interaction(1), </v>
      </c>
      <c r="IO132" s="47" t="str">
        <f t="shared" si="434"/>
        <v xml:space="preserve">technologists(6.25),wood processing(6.25),metal processing(6.25),functions(6.25),safety(6.25),interaction(6.25), </v>
      </c>
      <c r="IP132" s="57" t="str">
        <f t="shared" si="434"/>
        <v xml:space="preserve">local biz(2),reputation(1), </v>
      </c>
      <c r="IQ132" s="47" t="str">
        <f t="shared" si="434"/>
        <v xml:space="preserve">local biz(1),marketing(1), </v>
      </c>
      <c r="IR132" s="47" t="str">
        <f t="shared" si="434"/>
        <v xml:space="preserve">local biz(25),marketing(25), </v>
      </c>
      <c r="IS132" s="47" t="str">
        <f t="shared" si="434"/>
        <v xml:space="preserve">agility(2),attention to details(2),fun-ness(2),seriousness(2),leader(1),community manager(1),finance(1),administrator(1),enthusiasm(3),network(2),level of understanding(3),local biz(3),biz group(2),govt(2),non-profits(2),reputation(3),efficiency(2),marketing(2), </v>
      </c>
      <c r="IT132" s="47" t="str">
        <f t="shared" si="434"/>
        <v xml:space="preserve">fun-ness(1),seriousness(1),local biz(1),biz group(1),govt(1),non-profits(1),marketing(1), </v>
      </c>
      <c r="IU132" s="47" t="str">
        <f t="shared" si="434"/>
        <v xml:space="preserve">fun-ness(6.25),seriousness(6.25),local biz(6.25),biz group(6.25),govt(6.25),non-profits(6.25),marketing(6.25), </v>
      </c>
      <c r="IV132" s="57" t="str">
        <f t="shared" ref="IV132:LG132" si="435">IF(IV30="",IV133,$C132&amp;"("&amp;IV30&amp;"),"&amp;IV133)</f>
        <v xml:space="preserve">local biz(2),reputation(1), </v>
      </c>
      <c r="IW132" s="47" t="str">
        <f t="shared" si="435"/>
        <v xml:space="preserve">local biz(1),marketing(1), </v>
      </c>
      <c r="IX132" s="47" t="str">
        <f t="shared" si="435"/>
        <v xml:space="preserve">local biz(25),marketing(25), </v>
      </c>
      <c r="IY132" s="47" t="str">
        <f t="shared" si="435"/>
        <v xml:space="preserve">agility(2),attention to details(2),fun-ness(2),seriousness(2),leader(1),community manager(1),finance(1),administrator(1),enthusiasm(3),network(2),level of understanding(3),local biz(3),biz group(2),govt(2),reputation(3),efficiency(2),marketing(2), </v>
      </c>
      <c r="IZ132" s="47" t="str">
        <f t="shared" si="435"/>
        <v xml:space="preserve">fun-ness(1),seriousness(1),local biz(1),biz group(1),govt(1),marketing(1), </v>
      </c>
      <c r="JA132" s="47" t="str">
        <f t="shared" si="435"/>
        <v xml:space="preserve">fun-ness(6.25),seriousness(6.25),local biz(6.25),biz group(6.25),govt(6.25),marketing(6.25), </v>
      </c>
      <c r="JB132" s="47" t="str">
        <f t="shared" si="435"/>
        <v xml:space="preserve"> </v>
      </c>
      <c r="JC132" s="47" t="str">
        <f t="shared" si="435"/>
        <v xml:space="preserve"> </v>
      </c>
      <c r="JD132" s="47" t="str">
        <f t="shared" si="435"/>
        <v xml:space="preserve"> </v>
      </c>
      <c r="JE132" s="47" t="str">
        <f t="shared" si="435"/>
        <v xml:space="preserve">attention to details(2),fun-ness(2),community manager(1),PR(1),administrator(1),network(2),level of understanding(2),technologists(2),spaciousness(1),ease of access(1),reputation(3),efficiency(2), </v>
      </c>
      <c r="JF132" s="47" t="str">
        <f t="shared" si="435"/>
        <v xml:space="preserve">web(1),infrastructrue(1),database(1),mobile apps(1),sensors(1),security(1),AI&amp; data analysis(1),mobile comm(1),VR&amp;AR(1),wood processing(1),metal processing(1),plastic processing(1),electronics(1),fabric(1),aesthetics(1),functions(1),safety(1),interaction(1), </v>
      </c>
      <c r="JG132" s="47" t="str">
        <f t="shared" si="435"/>
        <v xml:space="preserve">web(6.25),infrastructrue(6.25),database(6.25),mobile apps(6.25),sensors(6.25),security(6.25),AI&amp; data analysis(6.25),mobile comm(6.25),VR&amp;AR(6.25),wood processing(6.25),metal processing(6.25),plastic processing(6.25),electronics(6.25),fabric(6.25),aesthetics(6.25),functions(6.25),safety(6.25),interaction(6.25), </v>
      </c>
      <c r="JH132" s="47" t="str">
        <f t="shared" si="435"/>
        <v xml:space="preserve">enthusiasm(1),local biz(1),non-profits(1),reputation(2), </v>
      </c>
      <c r="JI132" s="47" t="str">
        <f t="shared" si="435"/>
        <v xml:space="preserve"> </v>
      </c>
      <c r="JJ132" s="47" t="str">
        <f t="shared" si="435"/>
        <v xml:space="preserve"> </v>
      </c>
      <c r="JK132" s="47" t="str">
        <f t="shared" si="435"/>
        <v xml:space="preserve">agility(2),ambition(2),PR(1),finance(1),enthusiasm(2),fame(2),network(2),ambition(2),local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2" s="47" t="str">
        <f t="shared" si="435"/>
        <v xml:space="preserve">non-profits(1), </v>
      </c>
      <c r="JM132" s="47" t="str">
        <f t="shared" si="435"/>
        <v xml:space="preserve">non-profits(6.25), </v>
      </c>
      <c r="JN132" s="47" t="str">
        <f t="shared" si="435"/>
        <v xml:space="preserve">enthusiasm(1),network(1),local biz(1),investors(1),entrepreneurs(1),technologists(1),non-profits(1),reputation(2),portfolio(2), </v>
      </c>
      <c r="JO132" s="47" t="str">
        <f t="shared" si="435"/>
        <v xml:space="preserve"> </v>
      </c>
      <c r="JP132" s="47" t="str">
        <f t="shared" si="435"/>
        <v xml:space="preserve"> </v>
      </c>
      <c r="JQ132" s="47" t="str">
        <f t="shared" si="435"/>
        <v xml:space="preserve">agility(2),ambition(2),attention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2" s="47" t="str">
        <f t="shared" si="435"/>
        <v xml:space="preserve"> </v>
      </c>
      <c r="JS132" s="47" t="str">
        <f t="shared" si="435"/>
        <v xml:space="preserve"> </v>
      </c>
      <c r="JT132" s="47" t="str">
        <f t="shared" si="435"/>
        <v xml:space="preserve">PR(1),administrator(1),enthusiasm(2),network(2),local biz(2),biz group(1),govt(2),investors(2),entrepreneurs(2),technologists(2),non-profits(2),reputation(2),portfolio(3), </v>
      </c>
      <c r="JU132" s="47" t="str">
        <f t="shared" si="435"/>
        <v xml:space="preserve"> </v>
      </c>
      <c r="JV132" s="47" t="str">
        <f t="shared" si="435"/>
        <v xml:space="preserve"> </v>
      </c>
      <c r="JW132" s="47" t="str">
        <f t="shared" si="435"/>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2" s="47" t="str">
        <f t="shared" si="435"/>
        <v xml:space="preserve"> </v>
      </c>
      <c r="JY132" s="47" t="str">
        <f t="shared" si="435"/>
        <v xml:space="preserve"> </v>
      </c>
      <c r="JZ132" s="47" t="str">
        <f t="shared" si="435"/>
        <v xml:space="preserve">network(1),non-profits(1),reputation(2),social project(2), </v>
      </c>
      <c r="KA132" s="47" t="str">
        <f t="shared" si="435"/>
        <v xml:space="preserve">non-profits(1), </v>
      </c>
      <c r="KB132" s="47" t="str">
        <f t="shared" si="435"/>
        <v xml:space="preserve">non-profits(25), </v>
      </c>
      <c r="KC132" s="47" t="str">
        <f t="shared" si="435"/>
        <v xml:space="preserve">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2" s="47" t="str">
        <f t="shared" si="435"/>
        <v xml:space="preserve">non-profits(1), </v>
      </c>
      <c r="KE132" s="47" t="str">
        <f t="shared" si="435"/>
        <v xml:space="preserve">non-profits(6.25), </v>
      </c>
      <c r="KF132" s="47" t="str">
        <f t="shared" si="435"/>
        <v xml:space="preserve"> </v>
      </c>
      <c r="KG132" s="47" t="str">
        <f t="shared" si="435"/>
        <v xml:space="preserve"> </v>
      </c>
      <c r="KH132" s="47" t="str">
        <f t="shared" si="435"/>
        <v xml:space="preserve"> </v>
      </c>
      <c r="KI132" s="47" t="str">
        <f t="shared" si="435"/>
        <v xml:space="preserve"> </v>
      </c>
      <c r="KJ132" s="47" t="str">
        <f t="shared" si="435"/>
        <v xml:space="preserve"> </v>
      </c>
      <c r="KK132" s="47" t="str">
        <f t="shared" si="435"/>
        <v xml:space="preserve"> </v>
      </c>
      <c r="KL132" s="57" t="str">
        <f t="shared" si="435"/>
        <v xml:space="preserve"> </v>
      </c>
      <c r="KM132" s="47" t="str">
        <f t="shared" si="435"/>
        <v xml:space="preserve"> </v>
      </c>
      <c r="KN132" s="47" t="str">
        <f t="shared" si="435"/>
        <v xml:space="preserve"> </v>
      </c>
      <c r="KO132" s="47" t="str">
        <f t="shared" si="435"/>
        <v xml:space="preserve"> </v>
      </c>
      <c r="KP132" s="47" t="str">
        <f t="shared" si="435"/>
        <v xml:space="preserve"> </v>
      </c>
      <c r="KQ132" s="47" t="str">
        <f t="shared" si="435"/>
        <v xml:space="preserve"> </v>
      </c>
      <c r="KR132" s="57" t="str">
        <f t="shared" si="435"/>
        <v xml:space="preserve"> </v>
      </c>
      <c r="KS132" s="47" t="str">
        <f t="shared" si="435"/>
        <v xml:space="preserve"> </v>
      </c>
      <c r="KT132" s="47" t="str">
        <f t="shared" si="435"/>
        <v xml:space="preserve"> </v>
      </c>
      <c r="KU132" s="47" t="str">
        <f t="shared" si="435"/>
        <v xml:space="preserve"> </v>
      </c>
      <c r="KV132" s="47" t="str">
        <f t="shared" si="435"/>
        <v xml:space="preserve"> </v>
      </c>
      <c r="KW132" s="47" t="str">
        <f t="shared" si="435"/>
        <v xml:space="preserve"> </v>
      </c>
      <c r="KX132" s="57" t="str">
        <f t="shared" si="435"/>
        <v xml:space="preserve"> </v>
      </c>
      <c r="KY132" s="47" t="str">
        <f t="shared" si="435"/>
        <v xml:space="preserve"> </v>
      </c>
      <c r="KZ132" s="47" t="str">
        <f t="shared" si="435"/>
        <v xml:space="preserve"> </v>
      </c>
      <c r="LA132" s="47" t="str">
        <f t="shared" si="435"/>
        <v xml:space="preserve"> </v>
      </c>
      <c r="LB132" s="47" t="str">
        <f t="shared" si="435"/>
        <v xml:space="preserve"> </v>
      </c>
      <c r="LC132" s="47" t="str">
        <f t="shared" si="435"/>
        <v xml:space="preserve"> </v>
      </c>
      <c r="LD132" s="57" t="str">
        <f t="shared" si="435"/>
        <v xml:space="preserve"> </v>
      </c>
      <c r="LE132" s="47" t="str">
        <f t="shared" si="435"/>
        <v xml:space="preserve"> </v>
      </c>
      <c r="LF132" s="47" t="str">
        <f t="shared" si="435"/>
        <v xml:space="preserve"> </v>
      </c>
      <c r="LG132" s="47" t="str">
        <f t="shared" si="435"/>
        <v xml:space="preserve"> </v>
      </c>
      <c r="LH132" s="47" t="str">
        <f t="shared" ref="LH132:NM132" si="436">IF(LH30="",LH133,$C132&amp;"("&amp;LH30&amp;"),"&amp;LH133)</f>
        <v xml:space="preserve"> </v>
      </c>
      <c r="LI132" s="47" t="str">
        <f t="shared" si="436"/>
        <v xml:space="preserve"> </v>
      </c>
      <c r="LJ132" s="57" t="str">
        <f t="shared" si="436"/>
        <v xml:space="preserve"> </v>
      </c>
      <c r="LK132" s="47" t="str">
        <f t="shared" si="436"/>
        <v xml:space="preserve"> </v>
      </c>
      <c r="LL132" s="47" t="str">
        <f t="shared" si="436"/>
        <v xml:space="preserve"> </v>
      </c>
      <c r="LM132" s="47" t="str">
        <f t="shared" si="436"/>
        <v xml:space="preserve"> </v>
      </c>
      <c r="LN132" s="47" t="str">
        <f t="shared" si="436"/>
        <v xml:space="preserve"> </v>
      </c>
      <c r="LO132" s="47" t="str">
        <f t="shared" si="436"/>
        <v xml:space="preserve"> </v>
      </c>
      <c r="LP132" s="57" t="str">
        <f t="shared" si="436"/>
        <v xml:space="preserve"> </v>
      </c>
      <c r="LQ132" s="47" t="str">
        <f t="shared" si="436"/>
        <v xml:space="preserve"> </v>
      </c>
      <c r="LR132" s="47" t="str">
        <f t="shared" si="436"/>
        <v xml:space="preserve"> </v>
      </c>
      <c r="LS132" s="47" t="str">
        <f t="shared" si="436"/>
        <v xml:space="preserve"> </v>
      </c>
      <c r="LT132" s="47" t="str">
        <f t="shared" si="436"/>
        <v xml:space="preserve"> </v>
      </c>
      <c r="LU132" s="47" t="str">
        <f t="shared" si="436"/>
        <v xml:space="preserve"> </v>
      </c>
      <c r="LV132" s="57" t="str">
        <f t="shared" si="436"/>
        <v xml:space="preserve"> </v>
      </c>
      <c r="LW132" s="47" t="str">
        <f t="shared" si="436"/>
        <v xml:space="preserve"> </v>
      </c>
      <c r="LX132" s="47" t="str">
        <f t="shared" si="436"/>
        <v xml:space="preserve"> </v>
      </c>
      <c r="LY132" s="47" t="str">
        <f t="shared" si="436"/>
        <v xml:space="preserve"> </v>
      </c>
      <c r="LZ132" s="47" t="str">
        <f t="shared" si="436"/>
        <v xml:space="preserve"> </v>
      </c>
      <c r="MA132" s="47" t="str">
        <f t="shared" si="436"/>
        <v xml:space="preserve"> </v>
      </c>
      <c r="MB132" s="57" t="str">
        <f t="shared" si="436"/>
        <v xml:space="preserve"> </v>
      </c>
      <c r="MC132" s="47" t="str">
        <f t="shared" si="436"/>
        <v xml:space="preserve"> </v>
      </c>
      <c r="MD132" s="47" t="str">
        <f t="shared" si="436"/>
        <v xml:space="preserve"> </v>
      </c>
      <c r="ME132" s="47" t="str">
        <f t="shared" si="436"/>
        <v xml:space="preserve"> </v>
      </c>
      <c r="MF132" s="47" t="str">
        <f t="shared" si="436"/>
        <v xml:space="preserve"> </v>
      </c>
      <c r="MG132" s="47" t="str">
        <f t="shared" si="436"/>
        <v xml:space="preserve"> </v>
      </c>
      <c r="MH132" s="57" t="str">
        <f t="shared" si="436"/>
        <v xml:space="preserve"> </v>
      </c>
      <c r="MI132" s="47" t="str">
        <f t="shared" si="436"/>
        <v xml:space="preserve"> </v>
      </c>
      <c r="MJ132" s="47" t="str">
        <f t="shared" si="436"/>
        <v xml:space="preserve"> </v>
      </c>
      <c r="MK132" s="47" t="str">
        <f t="shared" si="436"/>
        <v xml:space="preserve"> </v>
      </c>
      <c r="ML132" s="47" t="str">
        <f t="shared" si="436"/>
        <v xml:space="preserve"> </v>
      </c>
      <c r="MM132" s="47" t="str">
        <f t="shared" si="436"/>
        <v xml:space="preserve"> </v>
      </c>
      <c r="MN132" s="57" t="str">
        <f t="shared" si="436"/>
        <v xml:space="preserve"> </v>
      </c>
      <c r="MO132" s="47" t="str">
        <f t="shared" si="436"/>
        <v xml:space="preserve"> </v>
      </c>
      <c r="MP132" s="47" t="str">
        <f t="shared" si="436"/>
        <v xml:space="preserve"> </v>
      </c>
      <c r="MQ132" s="47" t="str">
        <f t="shared" si="436"/>
        <v xml:space="preserve"> </v>
      </c>
      <c r="MR132" s="47" t="str">
        <f t="shared" si="436"/>
        <v xml:space="preserve"> </v>
      </c>
      <c r="MS132" s="47" t="str">
        <f t="shared" si="436"/>
        <v xml:space="preserve"> </v>
      </c>
      <c r="MT132" s="57" t="str">
        <f t="shared" si="436"/>
        <v xml:space="preserve"> </v>
      </c>
      <c r="MU132" s="47" t="str">
        <f t="shared" si="436"/>
        <v xml:space="preserve"> </v>
      </c>
      <c r="MV132" s="47" t="str">
        <f t="shared" si="436"/>
        <v xml:space="preserve"> </v>
      </c>
      <c r="MW132" s="47" t="str">
        <f t="shared" si="436"/>
        <v xml:space="preserve"> </v>
      </c>
      <c r="MX132" s="47" t="str">
        <f t="shared" si="436"/>
        <v xml:space="preserve"> </v>
      </c>
      <c r="MY132" s="47" t="str">
        <f t="shared" si="436"/>
        <v xml:space="preserve"> </v>
      </c>
      <c r="MZ132" s="57" t="str">
        <f t="shared" si="436"/>
        <v xml:space="preserve"> </v>
      </c>
      <c r="NA132" s="47" t="str">
        <f t="shared" si="436"/>
        <v xml:space="preserve"> </v>
      </c>
      <c r="NB132" s="47" t="str">
        <f t="shared" si="436"/>
        <v xml:space="preserve"> </v>
      </c>
      <c r="NC132" s="47" t="str">
        <f t="shared" si="436"/>
        <v xml:space="preserve"> </v>
      </c>
      <c r="ND132" s="47" t="str">
        <f t="shared" si="436"/>
        <v xml:space="preserve"> </v>
      </c>
      <c r="NE132" s="47" t="str">
        <f t="shared" si="436"/>
        <v xml:space="preserve"> </v>
      </c>
      <c r="NF132" s="57" t="str">
        <f t="shared" si="436"/>
        <v xml:space="preserve"> </v>
      </c>
      <c r="NG132" s="47" t="str">
        <f t="shared" si="436"/>
        <v xml:space="preserve"> </v>
      </c>
      <c r="NH132" s="47" t="str">
        <f t="shared" si="436"/>
        <v xml:space="preserve"> </v>
      </c>
      <c r="NI132" s="47" t="str">
        <f t="shared" si="436"/>
        <v xml:space="preserve"> </v>
      </c>
      <c r="NJ132" s="47" t="str">
        <f t="shared" si="436"/>
        <v xml:space="preserve"> </v>
      </c>
      <c r="NK132" s="47" t="str">
        <f t="shared" si="436"/>
        <v xml:space="preserve"> </v>
      </c>
      <c r="NL132" s="57" t="str">
        <f t="shared" si="436"/>
        <v xml:space="preserve"> </v>
      </c>
      <c r="NM132" s="47" t="str">
        <f t="shared" si="436"/>
        <v xml:space="preserve"> </v>
      </c>
    </row>
    <row r="133" spans="3:377" ht="15.75" customHeight="1">
      <c r="C133" s="7" t="str">
        <f t="shared" si="296"/>
        <v>ambition</v>
      </c>
      <c r="D133" s="21" t="str">
        <f t="shared" si="169"/>
        <v xml:space="preserve"> </v>
      </c>
      <c r="E133" s="21" t="str">
        <f t="shared" si="297"/>
        <v xml:space="preserve"> </v>
      </c>
      <c r="F133" s="21" t="str">
        <f t="shared" si="170"/>
        <v xml:space="preserve"> </v>
      </c>
      <c r="G133" s="21" t="str">
        <f t="shared" si="298"/>
        <v xml:space="preserve">fun-ness(1), community manager(1), PR(1), fame(1), network(2), ease of access(1), reputation(2), social media(1),  </v>
      </c>
      <c r="H133" s="21" t="str">
        <f t="shared" si="299"/>
        <v xml:space="preserve"> </v>
      </c>
      <c r="I133" s="21" t="str">
        <f t="shared" ref="I133" si="437">IF(I31="",I134,$C133&amp;"("&amp;I31&amp;"),"&amp;I134)</f>
        <v xml:space="preserve"> </v>
      </c>
      <c r="J133" s="21" t="str">
        <f t="shared" si="376"/>
        <v xml:space="preserve">interaction 1
 </v>
      </c>
      <c r="K133" s="21" t="str">
        <f t="shared" si="173"/>
        <v xml:space="preserve">reputation(1,75),  </v>
      </c>
      <c r="L133" s="21" t="str">
        <f t="shared" si="377"/>
        <v xml:space="preserve">reputation 75
 </v>
      </c>
      <c r="M133" s="21" t="str">
        <f t="shared" si="175"/>
        <v xml:space="preserve">PR(1), portfolio(1), social innovation(1), non-profit biz(1),  </v>
      </c>
      <c r="N133" s="21" t="str">
        <f t="shared" si="176"/>
        <v xml:space="preserve">seriousness(1,25), non-profits(1,12.5), reputation(1,75), marketing(1,12.5),  </v>
      </c>
      <c r="O133" s="21" t="str">
        <f t="shared" si="378"/>
        <v xml:space="preserve">seriousness(25),non-profits(12.5),reputation(75),marketing(12.5), </v>
      </c>
      <c r="P133" s="21" t="str">
        <f t="shared" si="376"/>
        <v xml:space="preserve">biz project 1
 </v>
      </c>
      <c r="Q133" s="21" t="str">
        <f t="shared" si="178"/>
        <v xml:space="preserve"> </v>
      </c>
      <c r="R133" s="21" t="str">
        <f t="shared" si="377"/>
        <v xml:space="preserve"> </v>
      </c>
      <c r="S133" s="21" t="str">
        <f t="shared" si="179"/>
        <v xml:space="preserve">portfolio(1), biz enhancement(1), business(1), start-up(1),  </v>
      </c>
      <c r="T133" s="21" t="str">
        <f t="shared" si="180"/>
        <v xml:space="preserve">seriousness(1,25), local biz(1,6.25), investors(1,6.25), reputation(1,6.25),  </v>
      </c>
      <c r="U133" s="21" t="str">
        <f t="shared" si="378"/>
        <v xml:space="preserve">seriousness(25),local biz(6.25),investors(6.25),reputation(6.25), </v>
      </c>
      <c r="V133" s="21" t="str">
        <f t="shared" si="376"/>
        <v xml:space="preserve"> </v>
      </c>
      <c r="W133" s="21" t="str">
        <f t="shared" si="181"/>
        <v xml:space="preserve">local biz(1,),  </v>
      </c>
      <c r="X133" s="21" t="str">
        <f t="shared" si="377"/>
        <v xml:space="preserve"> </v>
      </c>
      <c r="Y133" s="21" t="str">
        <f t="shared" si="182"/>
        <v xml:space="preserve">attention to details(1), PR(1), network(1), ease of access(1), reputation(1), portfolio(1), biz project(1), biz enhancement(1), job creation(1), business(1),  </v>
      </c>
      <c r="Z133" s="21" t="str">
        <f t="shared" si="183"/>
        <v xml:space="preserve">local biz(1,6.25),  </v>
      </c>
      <c r="AA133" s="21" t="str">
        <f t="shared" si="378"/>
        <v xml:space="preserve">local biz(6.25), </v>
      </c>
      <c r="AB133" s="21" t="str">
        <f t="shared" si="376"/>
        <v xml:space="preserve"> </v>
      </c>
      <c r="AC133" s="21" t="str">
        <f t="shared" si="184"/>
        <v xml:space="preserve">non-profits(1,100),  </v>
      </c>
      <c r="AD133" s="21" t="str">
        <f t="shared" si="377"/>
        <v xml:space="preserve">non-profits 100
 </v>
      </c>
      <c r="AE133" s="21" t="str">
        <f t="shared" si="185"/>
        <v xml:space="preserve">attention to details(1), PR(1), network(1), ease of access(1), reputation(1), portfolio(1), social project(1), social innovation(1), non-profit biz(1),  </v>
      </c>
      <c r="AF133" s="21" t="str">
        <f t="shared" si="186"/>
        <v xml:space="preserve">seriousness(1,6.25), non-profits(1,6.25),  </v>
      </c>
      <c r="AG133" s="21" t="str">
        <f t="shared" si="378"/>
        <v xml:space="preserve">seriousness(6.25),non-profits(6.25), </v>
      </c>
      <c r="AH133" s="21" t="str">
        <f t="shared" si="376"/>
        <v xml:space="preserve"> </v>
      </c>
      <c r="AI133" s="21" t="str">
        <f t="shared" si="187"/>
        <v xml:space="preserve">govt(1,),  </v>
      </c>
      <c r="AJ133" s="21" t="str">
        <f t="shared" si="377"/>
        <v xml:space="preserve"> </v>
      </c>
      <c r="AK133" s="21" t="str">
        <f t="shared" si="188"/>
        <v xml:space="preserve">attention to details(1), seriousness(1), fame(1), network(1), govt(1), ease of access(1), reputation(2), portfolio(1), social project(1), social innovation(1), non-profit biz(1),  </v>
      </c>
      <c r="AL133" s="21" t="str">
        <f t="shared" si="189"/>
        <v xml:space="preserve">govt(1,6.25),  </v>
      </c>
      <c r="AM133" s="21" t="str">
        <f t="shared" si="378"/>
        <v xml:space="preserve">govt(6.25), </v>
      </c>
      <c r="AN133" s="21" t="str">
        <f t="shared" si="376"/>
        <v xml:space="preserve"> </v>
      </c>
      <c r="AO133" s="21" t="str">
        <f t="shared" si="190"/>
        <v xml:space="preserve">fame(1,), network(1,), investors(1,6.25),  </v>
      </c>
      <c r="AP133" s="21" t="str">
        <f t="shared" si="377"/>
        <v xml:space="preserve">investors 6.25
 </v>
      </c>
      <c r="AQ133" s="21" t="str">
        <f t="shared" si="191"/>
        <v xml:space="preserve">investors(1), ease of access(1), reputation(1), portfolio(1), start-up(1), start-up with mvp(1), start-up with customers(1),  </v>
      </c>
      <c r="AR133" s="21" t="str">
        <f t="shared" si="192"/>
        <v xml:space="preserve"> </v>
      </c>
      <c r="AS133" s="21" t="str">
        <f t="shared" si="378"/>
        <v xml:space="preserve"> </v>
      </c>
      <c r="AT133" s="21" t="str">
        <f t="shared" si="376"/>
        <v xml:space="preserve">seriousness 1
administrator 1
non-profits 2
reputation 1
portfolio 1
social project 1
 </v>
      </c>
      <c r="AU133" s="21" t="str">
        <f t="shared" si="193"/>
        <v xml:space="preserve">ambition(1,), attention to details(1,),  </v>
      </c>
      <c r="AV133" s="21" t="str">
        <f t="shared" si="377"/>
        <v xml:space="preserve"> </v>
      </c>
      <c r="AW133" s="21" t="str">
        <f t="shared" si="194"/>
        <v xml:space="preserve">PR(2), administrator(1), project management(2),  </v>
      </c>
      <c r="AX133" s="21" t="str">
        <f t="shared" si="195"/>
        <v xml:space="preserve">organizational rules and manuals(1,12.5), project management(1,12.5),  </v>
      </c>
      <c r="AY133" s="21" t="str">
        <f t="shared" si="378"/>
        <v xml:space="preserve">organizational rules and manuals(12.5),project management(12.5), </v>
      </c>
      <c r="AZ133" s="21" t="str">
        <f t="shared" si="376"/>
        <v xml:space="preserve">non-profits 1
 </v>
      </c>
      <c r="BA133" s="21" t="str">
        <f t="shared" si="196"/>
        <v xml:space="preserve"> </v>
      </c>
      <c r="BB133" s="21" t="str">
        <f t="shared" si="377"/>
        <v xml:space="preserve"> </v>
      </c>
      <c r="BC133" s="21" t="str">
        <f t="shared" si="197"/>
        <v xml:space="preserve"> </v>
      </c>
      <c r="BD133" s="21" t="str">
        <f t="shared" si="198"/>
        <v xml:space="preserve"> </v>
      </c>
      <c r="BE133" s="21" t="str">
        <f t="shared" si="378"/>
        <v xml:space="preserve"> </v>
      </c>
      <c r="BF133" s="21" t="str">
        <f t="shared" si="376"/>
        <v xml:space="preserve">seriousness 1
administrator 1
local biz 2
entrepreneurs 1
reputation 1
portfolio 1
biz project 1
 </v>
      </c>
      <c r="BG133" s="21" t="str">
        <f t="shared" si="199"/>
        <v xml:space="preserve">ambition(1,), attention to details(1,),  </v>
      </c>
      <c r="BH133" s="21" t="str">
        <f t="shared" si="377"/>
        <v xml:space="preserve"> </v>
      </c>
      <c r="BI133" s="21" t="str">
        <f t="shared" si="200"/>
        <v xml:space="preserve">PR(2), administrator(1), project management(2),  </v>
      </c>
      <c r="BJ133" s="21" t="str">
        <f t="shared" si="201"/>
        <v xml:space="preserve">organizational rules and manuals(1,12.5), project management(1,12.5),  </v>
      </c>
      <c r="BK133" s="21" t="str">
        <f t="shared" si="378"/>
        <v xml:space="preserve">organizational rules and manuals(12.5),project management(12.5), </v>
      </c>
      <c r="BL133" s="21" t="str">
        <f t="shared" si="376"/>
        <v xml:space="preserve">local biz 1
reputation 1
portfolio 1
biz enhancement 1
 </v>
      </c>
      <c r="BM133" s="21" t="str">
        <f t="shared" si="202"/>
        <v xml:space="preserve"> </v>
      </c>
      <c r="BN133" s="21" t="str">
        <f t="shared" si="377"/>
        <v xml:space="preserve"> </v>
      </c>
      <c r="BO133" s="21" t="str">
        <f t="shared" si="203"/>
        <v xml:space="preserve"> </v>
      </c>
      <c r="BP133" s="21" t="str">
        <f t="shared" si="204"/>
        <v xml:space="preserve"> </v>
      </c>
      <c r="BQ133" s="21" t="str">
        <f t="shared" si="378"/>
        <v xml:space="preserve"> </v>
      </c>
      <c r="BR133" s="21" t="str">
        <f t="shared" si="376"/>
        <v xml:space="preserve"> </v>
      </c>
      <c r="BS133" s="21" t="str">
        <f t="shared" si="205"/>
        <v xml:space="preserve"> </v>
      </c>
      <c r="BT133" s="21" t="str">
        <f t="shared" si="377"/>
        <v xml:space="preserve"> </v>
      </c>
      <c r="BU133" s="21" t="str">
        <f t="shared" si="206"/>
        <v xml:space="preserve"> </v>
      </c>
      <c r="BV133" s="21" t="str">
        <f t="shared" si="207"/>
        <v xml:space="preserve"> </v>
      </c>
      <c r="BW133" s="21" t="str">
        <f t="shared" si="378"/>
        <v xml:space="preserve"> </v>
      </c>
      <c r="BX133" s="21" t="str">
        <f t="shared" si="379"/>
        <v xml:space="preserve">network 1
 </v>
      </c>
      <c r="BY133" s="21" t="str">
        <f t="shared" si="209"/>
        <v xml:space="preserve">efficiency(1,),  </v>
      </c>
      <c r="BZ133" s="21" t="str">
        <f t="shared" si="380"/>
        <v xml:space="preserve"> </v>
      </c>
      <c r="CA133" s="21" t="str">
        <f t="shared" si="211"/>
        <v xml:space="preserve">attention to details(1), administrator(1), negotiation(1),  </v>
      </c>
      <c r="CB133" s="21" t="str">
        <f t="shared" si="212"/>
        <v xml:space="preserve">user rules and manuals(1,50), organizational rules and manuals(1,50),  </v>
      </c>
      <c r="CC133" s="21" t="str">
        <f t="shared" si="381"/>
        <v xml:space="preserve">user rules and manuals(50),organizational rules and manuals(50), </v>
      </c>
      <c r="CD133" s="21" t="str">
        <f t="shared" si="379"/>
        <v xml:space="preserve">network 1
 </v>
      </c>
      <c r="CE133" s="21" t="str">
        <f t="shared" si="214"/>
        <v xml:space="preserve">non-profits(1,),  </v>
      </c>
      <c r="CF133" s="21" t="str">
        <f t="shared" si="380"/>
        <v xml:space="preserve"> </v>
      </c>
      <c r="CG133" s="21" t="str">
        <f t="shared" si="215"/>
        <v xml:space="preserve">fun-ness(1), seriousness(1), ease of access(1), portfolio(1), user rules and manuals(1), negotiation(1), social project(1), biz project(1), for basic literacy(1), for the elites(1), for entrepreneurs(1),  </v>
      </c>
      <c r="CH133" s="21" t="str">
        <f t="shared" si="216"/>
        <v xml:space="preserve">technologists(1,6.25), non-profits(1,6.25),  </v>
      </c>
      <c r="CI133" s="21" t="str">
        <f t="shared" si="381"/>
        <v xml:space="preserve">technologists(6.25),non-profits(6.25), </v>
      </c>
      <c r="CJ133" s="21" t="str">
        <f t="shared" si="379"/>
        <v xml:space="preserve"> </v>
      </c>
      <c r="CK133" s="21" t="str">
        <f t="shared" si="217"/>
        <v xml:space="preserve">suppliers(1,),  </v>
      </c>
      <c r="CL133" s="21" t="str">
        <f t="shared" si="380"/>
        <v xml:space="preserve"> </v>
      </c>
      <c r="CM133" s="21" t="str">
        <f t="shared" si="218"/>
        <v xml:space="preserve">reputation(1), negotiation(1),  </v>
      </c>
      <c r="CN133" s="21" t="str">
        <f t="shared" si="219"/>
        <v xml:space="preserve">efficiency(1,6.25),  </v>
      </c>
      <c r="CO133" s="21" t="str">
        <f t="shared" si="381"/>
        <v xml:space="preserve">efficiency(6.25), </v>
      </c>
      <c r="CP133" s="21" t="str">
        <f t="shared" si="379"/>
        <v xml:space="preserve"> </v>
      </c>
      <c r="CQ133" s="21" t="str">
        <f t="shared" si="220"/>
        <v xml:space="preserve">technologists(1,),  </v>
      </c>
      <c r="CR133" s="21" t="str">
        <f t="shared" si="380"/>
        <v xml:space="preserve"> </v>
      </c>
      <c r="CS133" s="21" t="str">
        <f t="shared" si="221"/>
        <v xml:space="preserve">network(1), portfolio(1), negotiation(1), web(1), infrastructrue(1), database(1), mobile apps(1), sensors(1), security(1), AI&amp; data analysis(1), mobile comm(1), VR&amp;AR(1), wood processing(1), metal processing(1), plastic processing(1), electronics(1), fabric(1),  </v>
      </c>
      <c r="CT133" s="21" t="str">
        <f t="shared" si="222"/>
        <v xml:space="preserve">efficiency(1,6.25),  </v>
      </c>
      <c r="CU133" s="21" t="str">
        <f t="shared" si="381"/>
        <v xml:space="preserve">efficiency(6.25), </v>
      </c>
      <c r="CV133" s="21" t="str">
        <f t="shared" si="379"/>
        <v xml:space="preserve"> </v>
      </c>
      <c r="CW133" s="21" t="str">
        <f t="shared" si="223"/>
        <v xml:space="preserve">local biz(1,),  </v>
      </c>
      <c r="CX133" s="21" t="str">
        <f t="shared" si="380"/>
        <v xml:space="preserve"> </v>
      </c>
      <c r="CY133" s="21" t="str">
        <f t="shared" si="224"/>
        <v xml:space="preserve">ease of access(1), reputation(1), portfolio(1), negotiation(1),  </v>
      </c>
      <c r="CZ133" s="21" t="str">
        <f t="shared" si="225"/>
        <v xml:space="preserve">non-profits(1,6.25),  </v>
      </c>
      <c r="DA133" s="21" t="str">
        <f t="shared" si="381"/>
        <v xml:space="preserve">non-profits(6.25), </v>
      </c>
      <c r="DB133" s="21" t="str">
        <f t="shared" si="379"/>
        <v xml:space="preserve"> </v>
      </c>
      <c r="DC133" s="21" t="str">
        <f t="shared" si="226"/>
        <v xml:space="preserve"> </v>
      </c>
      <c r="DD133" s="21" t="str">
        <f t="shared" si="380"/>
        <v xml:space="preserve"> </v>
      </c>
      <c r="DE133"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3" s="21" t="str">
        <f t="shared" si="228"/>
        <v xml:space="preserve">network(1,), local biz(1,6.25), biz group(1,6.25), investors(1,6.25), entrepreneurs(1,6.25),  </v>
      </c>
      <c r="DG133" s="21" t="str">
        <f t="shared" si="381"/>
        <v xml:space="preserve">local biz(6.25),biz group(6.25),investors(6.25),entrepreneurs(6.25), </v>
      </c>
      <c r="DH133" s="21" t="str">
        <f t="shared" si="379"/>
        <v xml:space="preserve">network 1
non-profits 1
reputation 1
social project 1
 </v>
      </c>
      <c r="DI133" s="21" t="str">
        <f t="shared" si="229"/>
        <v xml:space="preserve"> </v>
      </c>
      <c r="DJ133" s="21" t="str">
        <f t="shared" si="380"/>
        <v xml:space="preserve"> </v>
      </c>
      <c r="DK133" s="21" t="str">
        <f t="shared" si="230"/>
        <v xml:space="preserve">ambition(3), 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3" s="21" t="str">
        <f t="shared" si="231"/>
        <v xml:space="preserve">reputation(1,6.25),  </v>
      </c>
      <c r="DM133" s="21" t="str">
        <f t="shared" si="381"/>
        <v xml:space="preserve">reputation(6.25), </v>
      </c>
      <c r="DN133" s="21" t="str">
        <f t="shared" si="379"/>
        <v xml:space="preserve">network 1
local biz 1
reputation 1
biz project 1
 </v>
      </c>
      <c r="DO133" s="21" t="str">
        <f t="shared" si="232"/>
        <v xml:space="preserve"> </v>
      </c>
      <c r="DP133" s="21" t="str">
        <f t="shared" si="380"/>
        <v xml:space="preserve"> </v>
      </c>
      <c r="DQ133" s="21" t="str">
        <f t="shared" si="233"/>
        <v xml:space="preserve">ambition(3), 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3" s="21" t="str">
        <f t="shared" si="234"/>
        <v xml:space="preserve">reputation(1,6.25),  </v>
      </c>
      <c r="DS133" s="21" t="str">
        <f t="shared" si="381"/>
        <v xml:space="preserve">reputation(6.25), </v>
      </c>
      <c r="DT133" s="21" t="str">
        <f t="shared" si="379"/>
        <v xml:space="preserve">network 1
reputation 1
 </v>
      </c>
      <c r="DU133" s="21" t="str">
        <f t="shared" si="235"/>
        <v xml:space="preserve"> </v>
      </c>
      <c r="DV133" s="21" t="str">
        <f t="shared" si="380"/>
        <v xml:space="preserve"> </v>
      </c>
      <c r="DW133" s="21" t="str">
        <f t="shared" si="236"/>
        <v xml:space="preserve">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3" s="21" t="str">
        <f t="shared" si="237"/>
        <v xml:space="preserve">ambition(1,6.25), reputation(1,6.25), for basic literacy(1,6.25),  </v>
      </c>
      <c r="DY133" s="21" t="str">
        <f t="shared" si="381"/>
        <v xml:space="preserve">ambition(6.25),reputation(6.25),for basic literacy(6.25), </v>
      </c>
      <c r="DZ133" s="21" t="str">
        <f t="shared" si="379"/>
        <v xml:space="preserve">network 1
reputation 1
 </v>
      </c>
      <c r="EA133" s="21" t="str">
        <f t="shared" si="238"/>
        <v xml:space="preserve"> </v>
      </c>
      <c r="EB133" s="21" t="str">
        <f t="shared" si="380"/>
        <v xml:space="preserve"> </v>
      </c>
      <c r="EC133" s="21" t="str">
        <f t="shared" si="239"/>
        <v xml:space="preserve">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3" s="21" t="str">
        <f t="shared" si="240"/>
        <v xml:space="preserve">ambition(1,6.25), reputation(1,6.25), for basic literacy(1,6.25),  </v>
      </c>
      <c r="EE133" s="21" t="str">
        <f t="shared" si="381"/>
        <v xml:space="preserve">ambition(6.25),reputation(6.25),for basic literacy(6.25), </v>
      </c>
      <c r="EF133" s="21" t="str">
        <f t="shared" si="379"/>
        <v xml:space="preserve">technologists 1
reputation 1
 </v>
      </c>
      <c r="EG133" s="21" t="str">
        <f t="shared" si="241"/>
        <v xml:space="preserve">web(1,50), mobile apps(1,50), interaction(1,50),  </v>
      </c>
      <c r="EH133" s="21" t="str">
        <f t="shared" si="380"/>
        <v xml:space="preserve">web 50
mobile apps 50
interaction 50
 </v>
      </c>
      <c r="EI133" s="21" t="str">
        <f t="shared" si="242"/>
        <v xml:space="preserve">seriousness(2), initiative(1), community manager(1), administrator(1), enthusiasm(1), fame(1), network(2), level of understanding(1), technologists(2), ease of access(1), reputation(2), infrastructrue(1), database(1), mobile comm(1), for entrepreneurs(1),  </v>
      </c>
      <c r="EJ133" s="21" t="str">
        <f t="shared" si="243"/>
        <v xml:space="preserve">technologists(1,12.5), infrastructrue(1,12.5), database(1,12.5), mobile comm(1,12.5), for entrepreneurs(1,6.25),  </v>
      </c>
      <c r="EK133" s="21" t="str">
        <f t="shared" si="381"/>
        <v xml:space="preserve">technologists(12.5),infrastructrue(12.5),database(12.5),mobile comm(12.5),for entrepreneurs(6.25), </v>
      </c>
      <c r="EL133" s="21" t="str">
        <f t="shared" si="382"/>
        <v xml:space="preserve">technologists 1
reputation 1
 </v>
      </c>
      <c r="EM133" s="21" t="str">
        <f t="shared" si="245"/>
        <v xml:space="preserve">sensors(1,50),  </v>
      </c>
      <c r="EN133" s="21" t="str">
        <f t="shared" si="383"/>
        <v xml:space="preserve">sensors 50
 </v>
      </c>
      <c r="EO133" s="21" t="str">
        <f t="shared" si="247"/>
        <v xml:space="preserve">seriousness(2), initiative(1), community manager(1), administrator(1), enthusiasm(1), fame(1), network(2), level of understanding(1), technologists(2), ease of access(1), reputation(2), project management(2), infrastructrue(1), database(1), mobile comm(1), for entrepreneurs(1),  </v>
      </c>
      <c r="EP133" s="21" t="str">
        <f t="shared" si="248"/>
        <v xml:space="preserve">technologists(1,12.5), infrastructrue(1,12.5), database(1,12.5), mobile comm(1,12.5), electronics(1,6.25), for entrepreneurs(1,6.25),  </v>
      </c>
      <c r="EQ133" s="21" t="str">
        <f t="shared" si="384"/>
        <v xml:space="preserve">technologists(12.5),infrastructrue(12.5),database(12.5),mobile comm(12.5),electronics(6.25),for entrepreneurs(6.25), </v>
      </c>
      <c r="ER133" s="21" t="str">
        <f t="shared" si="382"/>
        <v xml:space="preserve">technologists 1
 </v>
      </c>
      <c r="ES133" s="21" t="str">
        <f t="shared" si="250"/>
        <v xml:space="preserve">AI&amp; data analysis(1,50),  </v>
      </c>
      <c r="ET133" s="21" t="str">
        <f t="shared" si="383"/>
        <v xml:space="preserve">AI&amp; data analysis 50
 </v>
      </c>
      <c r="EU133" s="21" t="str">
        <f t="shared" si="251"/>
        <v xml:space="preserve">seriousness(2), initiative(1), community manager(1), administrator(1), enthusiasm(1), fame(1), network(2), level of understanding(1), technologists(2), ease of access(1), reputation(2), database(1), sensors(1), mobile comm(1), for entrepreneurs(1),  </v>
      </c>
      <c r="EV133" s="21" t="str">
        <f t="shared" si="252"/>
        <v xml:space="preserve">technologists(1,12.5), database(1,12.5), sensors(1,12.5), mobile comm(1,12.5), for entrepreneurs(1,6.25),  </v>
      </c>
      <c r="EW133" s="21" t="str">
        <f t="shared" si="384"/>
        <v xml:space="preserve">technologists(12.5),database(12.5),sensors(12.5),mobile comm(12.5),for entrepreneurs(6.25), </v>
      </c>
      <c r="EX133" s="21" t="str">
        <f t="shared" si="382"/>
        <v xml:space="preserve">technologists 1
 </v>
      </c>
      <c r="EY133" s="21" t="str">
        <f t="shared" si="253"/>
        <v xml:space="preserve">law(1,50), security(1,50), interaction(1,25),  </v>
      </c>
      <c r="EZ133" s="21" t="str">
        <f t="shared" si="383"/>
        <v xml:space="preserve">law 50
security 50
interaction 25
 </v>
      </c>
      <c r="FA133" s="21" t="str">
        <f t="shared" si="254"/>
        <v xml:space="preserve">seriousness(2), initiative(1), community manager(1), administrator(1), enthusiasm(1), fame(1), network(2), level of understanding(1), technologists(2), ease of access(1), reputation(2), law(2), for entrepreneurs(1),  </v>
      </c>
      <c r="FB133" s="21" t="str">
        <f t="shared" si="255"/>
        <v xml:space="preserve">technologists(1,12.5), law(1,6.25), database(1,12.5), mobile apps(1,12.5), security(1,12.5), mobile comm(1,12.5), for entrepreneurs(1,6.25),  </v>
      </c>
      <c r="FC133" s="21" t="str">
        <f t="shared" si="384"/>
        <v xml:space="preserve">technologists(12.5),law(6.25),database(12.5),mobile apps(12.5),security(12.5),mobile comm(12.5),for entrepreneurs(6.25), </v>
      </c>
      <c r="FD133" s="21" t="str">
        <f t="shared" si="382"/>
        <v xml:space="preserve">technologists 1
 </v>
      </c>
      <c r="FE133" s="21" t="str">
        <f t="shared" si="256"/>
        <v xml:space="preserve">law(1,50), sensors(1,50), security(1,50),  </v>
      </c>
      <c r="FF133" s="21" t="str">
        <f t="shared" si="383"/>
        <v xml:space="preserve">law 50
sensors 50
security 50
 </v>
      </c>
      <c r="FG133" s="21" t="str">
        <f t="shared" si="257"/>
        <v xml:space="preserve">seriousness(2), initiative(1), community manager(1), administrator(1), enthusiasm(1), fame(1), network(2), level of understanding(1), technologists(2), ease of access(1), reputation(2), law(2), project management(2), for entrepreneurs(1),  </v>
      </c>
      <c r="FH133" s="21" t="str">
        <f t="shared" si="258"/>
        <v xml:space="preserve">technologists(1,12.5), law(1,6.25), database(1,6.25), mobile apps(1,6.25), AI&amp; data analysis(1,6.25), mobile comm(1,6.25), for entrepreneurs(1,6.25),  </v>
      </c>
      <c r="FI133" s="21" t="str">
        <f t="shared" si="384"/>
        <v xml:space="preserve">technologists(12.5),law(6.25),database(6.25),mobile apps(6.25),AI&amp; data analysis(6.25),mobile comm(6.25),for entrepreneurs(6.25), </v>
      </c>
      <c r="FJ133" s="21" t="str">
        <f t="shared" si="382"/>
        <v xml:space="preserve">technologists 1
 </v>
      </c>
      <c r="FK133" s="21" t="str">
        <f t="shared" si="259"/>
        <v xml:space="preserve">wood processing(1,25), metal processing(1,25), plastic processing(1,25), fabric(1,25), safety(1,25), interaction(1,25),  </v>
      </c>
      <c r="FL133" s="21" t="str">
        <f t="shared" si="383"/>
        <v xml:space="preserve">project management 2
wood processing 25
metal processing 25
plastic processing 25
fabric 25
safety 25
interaction 25
 </v>
      </c>
      <c r="FM133" s="21" t="str">
        <f t="shared" si="260"/>
        <v xml:space="preserve">seriousness(2), initiative(1), community manager(1), administrator(1), enthusiasm(1), fame(1), network(2), level of understanding(1), technologists(2), spaciousness(1), ease of access(1), reputation(2), for entrepreneurs(1),  </v>
      </c>
      <c r="FN133" s="21" t="str">
        <f t="shared" si="261"/>
        <v xml:space="preserve">technologists(1,12.5), for entrepreneurs(1,6.25),  </v>
      </c>
      <c r="FO133" s="21" t="str">
        <f t="shared" si="384"/>
        <v xml:space="preserve">technologists(12.5),for entrepreneurs(6.25), </v>
      </c>
      <c r="FP133" s="21" t="str">
        <f t="shared" si="382"/>
        <v xml:space="preserve">technologists 1
 </v>
      </c>
      <c r="FQ133" s="21" t="str">
        <f t="shared" si="262"/>
        <v xml:space="preserve">web(1,25), mobile apps(1,50), functions(1,25), interaction(1,25),  </v>
      </c>
      <c r="FR133" s="21" t="str">
        <f t="shared" si="383"/>
        <v xml:space="preserve">web 25
mobile apps 50
functions 25
interaction 25
 </v>
      </c>
      <c r="FS133" s="21" t="str">
        <f t="shared" si="263"/>
        <v xml:space="preserve">seriousness(2), initiative(1), community manager(1), administrator(1), enthusiasm(1), fame(1), network(2), level of understanding(1), technologists(2), spaciousness(1), ease of access(1), reputation(2), for entrepreneurs(1),  </v>
      </c>
      <c r="FT133" s="21" t="str">
        <f t="shared" si="264"/>
        <v xml:space="preserve">technologists(1,12.5), for entrepreneurs(1,6.25),  </v>
      </c>
      <c r="FU133" s="21" t="str">
        <f t="shared" si="384"/>
        <v xml:space="preserve">technologists(12.5),for entrepreneurs(6.25), </v>
      </c>
      <c r="FV133" s="21" t="str">
        <f t="shared" si="382"/>
        <v xml:space="preserve">technologists 1
 </v>
      </c>
      <c r="FW133" s="21" t="str">
        <f t="shared" si="265"/>
        <v xml:space="preserve">mobile apps(1,50), sensors(1,50), wood processing(1,25), plastic processing(1,25), electronics(1,25), functions(1,25), interaction(1,25),  </v>
      </c>
      <c r="FX133" s="21" t="str">
        <f t="shared" si="383"/>
        <v xml:space="preserve">mobile apps 50
sensors 50
wood processing 25
plastic processing 25
electronics 25
functions 25
interaction 25
 </v>
      </c>
      <c r="FY133" s="21" t="str">
        <f t="shared" si="266"/>
        <v xml:space="preserve">seriousness(2), initiative(1), community manager(1), administrator(1), enthusiasm(1), fame(1), network(2), level of understanding(1), technologists(2), spaciousness(1), ease of access(1), reputation(2), project management(2), for entrepreneurs(1),  </v>
      </c>
      <c r="FZ133" s="21" t="str">
        <f t="shared" si="267"/>
        <v xml:space="preserve">technologists(1,12.5), web(1,6.25), database(1,6.25), AI&amp; data analysis(1,6.25), mobile comm(1,6.25), for entrepreneurs(1,6.25),  </v>
      </c>
      <c r="GA133" s="21" t="str">
        <f t="shared" si="384"/>
        <v xml:space="preserve">technologists(12.5),web(6.25),database(6.25),AI&amp; data analysis(6.25),mobile comm(6.25),for entrepreneurs(6.25), </v>
      </c>
      <c r="GB133" s="21" t="str">
        <f t="shared" si="382"/>
        <v xml:space="preserve">technologists 1
 </v>
      </c>
      <c r="GC133" s="21" t="str">
        <f t="shared" si="268"/>
        <v xml:space="preserve">sensors(1,25), mobile comm(1,25), electronics(1,50), functions(1,25), safety(1,25),  </v>
      </c>
      <c r="GD133" s="21" t="str">
        <f t="shared" si="383"/>
        <v xml:space="preserve">sensors 25
mobile comm 25
electronics 50
functions 25
safety 25
 </v>
      </c>
      <c r="GE133" s="21" t="str">
        <f t="shared" si="269"/>
        <v xml:space="preserve">seriousness(2), initiative(1), community manager(1), administrator(1), enthusiasm(1), fame(1), network(2), level of understanding(1), technologists(2), spaciousness(1), ease of access(1), reputation(2), project management(2), for entrepreneurs(1),  </v>
      </c>
      <c r="GF133" s="21" t="str">
        <f t="shared" si="270"/>
        <v xml:space="preserve">technologists(1,12.5), database(1,6.25), mobile apps(1,6.25), AI&amp; data analysis(1,6.25), plastic processing(1,6.25), interaction(1,6.25), for entrepreneurs(1,6.25),  </v>
      </c>
      <c r="GG133" s="21" t="str">
        <f t="shared" si="384"/>
        <v xml:space="preserve">technologists(12.5),database(6.25),mobile apps(6.25),AI&amp; data analysis(6.25),plastic processing(6.25),interaction(6.25),for entrepreneurs(6.25), </v>
      </c>
      <c r="GH133" s="21" t="str">
        <f t="shared" si="382"/>
        <v xml:space="preserve">technologists 1
 </v>
      </c>
      <c r="GI133" s="21" t="str">
        <f t="shared" si="271"/>
        <v xml:space="preserve">web(1,25), mobile apps(1,50), functions(1,25), interaction(1,25),  </v>
      </c>
      <c r="GJ133" s="21" t="str">
        <f t="shared" si="383"/>
        <v xml:space="preserve">web 25
mobile apps 50
functions 25
interaction 25
 </v>
      </c>
      <c r="GK133" s="21" t="str">
        <f t="shared" si="272"/>
        <v xml:space="preserve">seriousness(2), initiative(1), community manager(1), administrator(1), enthusiasm(1), fame(1), network(2), level of understanding(1), technologists(2), spaciousness(1), ease of access(1), reputation(2), project management(2), for entrepreneurs(1),  </v>
      </c>
      <c r="GL133" s="21" t="str">
        <f t="shared" si="273"/>
        <v xml:space="preserve">technologists(1,12.5), for entrepreneurs(1,6.25),  </v>
      </c>
      <c r="GM133" s="21" t="str">
        <f t="shared" si="384"/>
        <v xml:space="preserve">technologists(12.5),for entrepreneurs(6.25), </v>
      </c>
      <c r="GN133" s="21" t="str">
        <f t="shared" si="382"/>
        <v xml:space="preserve">technologists 1
 </v>
      </c>
      <c r="GO133" s="21" t="str">
        <f t="shared" si="274"/>
        <v xml:space="preserve">web(1,25), mobile apps(1,25), VR&amp;AR(1,25), aesthetics(1,25), functions(1,25), interaction(1,50),  </v>
      </c>
      <c r="GP133" s="21" t="str">
        <f t="shared" si="383"/>
        <v xml:space="preserve">web 25
mobile apps 25
VR&amp;AR 25
aesthetics 25
functions 25
interaction 50
 </v>
      </c>
      <c r="GQ133" s="21" t="str">
        <f t="shared" si="275"/>
        <v xml:space="preserve">seriousness(2), initiative(1), community manager(1), administrator(1), enthusiasm(1), fame(1), network(2), level of understanding(1), technologists(2), spaciousness(1), ease of access(1), reputation(2), project management(2), for entrepreneurs(1),  </v>
      </c>
      <c r="GR133" s="21" t="str">
        <f t="shared" si="276"/>
        <v xml:space="preserve">technologists(1,12.5), for entrepreneurs(1,6.25),  </v>
      </c>
      <c r="GS133" s="21" t="str">
        <f t="shared" si="384"/>
        <v xml:space="preserve">technologists(12.5),for entrepreneurs(6.25), </v>
      </c>
      <c r="GT133" s="21" t="str">
        <f t="shared" si="382"/>
        <v xml:space="preserve">ease of access 1
reputation 2
web 1
mobile apps 1
mobile comm 1
 </v>
      </c>
      <c r="GU133" s="21" t="str">
        <f t="shared" si="277"/>
        <v xml:space="preserve"> </v>
      </c>
      <c r="GV133" s="21" t="str">
        <f t="shared" si="383"/>
        <v xml:space="preserve"> </v>
      </c>
      <c r="GW133" s="21" t="str">
        <f t="shared" si="278"/>
        <v xml:space="preserve">ambition(1), 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3" s="21" t="str">
        <f t="shared" si="279"/>
        <v xml:space="preserve">media(1,6.25), entrepreneurs(1,6.25), technologists(1,6.25), project management(1,6.25), social media(1,6.25), web(1,6.25), mobile apps(1,6.25),  </v>
      </c>
      <c r="GY133" s="21" t="str">
        <f t="shared" si="384"/>
        <v xml:space="preserve">media(6.25),entrepreneurs(6.25),technologists(6.25),project management(6.25),social media(6.25),web(6.25),mobile apps(6.25), </v>
      </c>
      <c r="GZ133" s="21" t="str">
        <f t="shared" si="385"/>
        <v xml:space="preserve">network 1
govt 1
non-profits 1
reputation 2
portfolio 1
 </v>
      </c>
      <c r="HA133" s="21" t="str">
        <f t="shared" si="281"/>
        <v xml:space="preserve"> </v>
      </c>
      <c r="HB133" s="21" t="str">
        <f t="shared" si="386"/>
        <v xml:space="preserve"> </v>
      </c>
      <c r="HC133" s="21" t="str">
        <f t="shared" si="283"/>
        <v xml:space="preserve">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33" s="21" t="str">
        <f t="shared" si="284"/>
        <v xml:space="preserve">media(1,6.25), technologists(1,6.25), non-profits(1,6.25), reputation(1,6.25), start-up with customers(1,6.25), for basic literacy(1,6.25),  </v>
      </c>
      <c r="HE133" s="21" t="str">
        <f t="shared" si="387"/>
        <v xml:space="preserve">media(6.25),technologists(6.25),non-profits(6.25),reputation(6.25),start-up with customers(6.25),for basic literacy(6.25), </v>
      </c>
      <c r="HF133" s="21" t="str">
        <f t="shared" si="385"/>
        <v xml:space="preserve"> </v>
      </c>
      <c r="HG133" s="21" t="str">
        <f t="shared" si="286"/>
        <v xml:space="preserve"> </v>
      </c>
      <c r="HH133" s="21" t="str">
        <f t="shared" si="386"/>
        <v xml:space="preserve"> </v>
      </c>
      <c r="HI133" s="21" t="str">
        <f t="shared" si="287"/>
        <v xml:space="preserve">attention to details(2), fun-ness(2), seriousness(2), initiative(2), leader(1), community manager(1), PR(1), finance(1), administrator(1), network(2), portfolio(3), marketing(2), team building(3), project management(2), mobile apps(3), sensors(2), plastic processing(2), electronics(2), aesthetics(2), functions(2), interaction(2),  </v>
      </c>
      <c r="HJ133" s="21" t="str">
        <f t="shared" si="288"/>
        <v xml:space="preserve">fun-ness(1,6.25), seriousness(1,6.25), govt(1,6.25), media(1,6.25), non-profits(1,6.25), start-up with customers(1,6.25),  </v>
      </c>
      <c r="HK133" s="21" t="str">
        <f t="shared" si="387"/>
        <v xml:space="preserve">fun-ness(6.25),seriousness(6.25),govt(6.25),media(6.25),non-profits(6.25),start-up with customers(6.25), </v>
      </c>
      <c r="HL133" s="21" t="str">
        <f t="shared" si="385"/>
        <v xml:space="preserve">community manager 1
PR 1
administrator 1
local biz 1
entrepreneurs 1
non-profits 1
reputation 2
portfolio 2
 </v>
      </c>
      <c r="HM133" s="21" t="str">
        <f t="shared" si="289"/>
        <v xml:space="preserve">ambition(1,25), fun-ness(1,25), seriousness(1,25),  </v>
      </c>
      <c r="HN133" s="21" t="str">
        <f t="shared" si="386"/>
        <v xml:space="preserve">ambition 25
fun-ness 25
seriousness 25
 </v>
      </c>
      <c r="HO133"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3" s="21" t="str">
        <f t="shared" si="291"/>
        <v xml:space="preserve">fun-ness(1,6.25), enthusiasm(1,6.25), level of understanding(1,6.25), local biz(1,6.25), biz group(1,6.25), govt(1,6.25), investors(1,6.25), media(1,6.25), entrepreneurs(1,6.25), technologists(1,6.25), suppliers(1,6.25), non-profits(1,6.25), reputation(1,6.25),  </v>
      </c>
      <c r="HQ133" s="47" t="str">
        <f t="shared" si="387"/>
        <v xml:space="preserve">fun-ness(6.25),enthusiasm(6.25),level of understanding(6.25),local biz(6.25),biz group(6.25),govt(6.25),investors(6.25),media(6.25),entrepreneurs(6.25),technologists(6.25),suppliers(6.25),non-profits(6.25),reputation(6.25), </v>
      </c>
      <c r="HR133" s="47" t="str">
        <f t="shared" ref="HR133:HW133" si="438">IF(HR31="",HR134,$C133&amp;"("&amp;HR31&amp;"),"&amp;HR134)</f>
        <v xml:space="preserve">reputation(2),portfolio(2),mobile apps(1),sensors(1),wood processing(1),aesthetics(1), </v>
      </c>
      <c r="HS133" s="47" t="str">
        <f t="shared" si="438"/>
        <v xml:space="preserve"> </v>
      </c>
      <c r="HT133" s="47" t="str">
        <f t="shared" si="438"/>
        <v xml:space="preserve"> </v>
      </c>
      <c r="HU133" s="47" t="str">
        <f t="shared" si="438"/>
        <v xml:space="preserve">ambition(2),attention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3" s="47" t="str">
        <f t="shared" si="438"/>
        <v xml:space="preserve">local biz(1),biz group(1),govt(1),investors(1),media(1),entrepreneurs(1),technologists(1),suppliers(1),non-profits(1),reputation(1), </v>
      </c>
      <c r="HW133" s="47" t="str">
        <f t="shared" si="438"/>
        <v xml:space="preserve">local biz(6.25),biz group(6.25),govt(6.25),investors(6.25),media(6.25),entrepreneurs(6.25),technologists(12.5),suppliers(6.25),non-profits(6.25),reputation(6.25), </v>
      </c>
      <c r="HX133" s="47" t="str">
        <f t="shared" ref="HX133:IU133" si="439">IF(HX31="",HX134,$C133&amp;"("&amp;HX31&amp;"),"&amp;HX134)</f>
        <v xml:space="preserve">ambition(2),seriousness(2),leader(1),local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3" s="47" t="str">
        <f t="shared" si="439"/>
        <v xml:space="preserve">biz enhancement(1), </v>
      </c>
      <c r="HZ133" s="47" t="str">
        <f t="shared" si="439"/>
        <v xml:space="preserve">biz enhancement(100), </v>
      </c>
      <c r="IA133" s="47" t="str">
        <f t="shared" si="439"/>
        <v xml:space="preserve">community manager(1),PR(1),finance(1),administrator(1),enthusiasm(2),network(2),ambition(2),knowledge(2),spaciousness(2),ease of access(3),efficiency(2),portfolio(4),finance(2),business model(2),marketing(3),team building(2),project management(2),social media(3),negotiation(3), </v>
      </c>
      <c r="IB133" s="47" t="str">
        <f t="shared" si="439"/>
        <v xml:space="preserve">ambition(1),seriousness(1),initiative(1),level of understanding(1),ambition(1),local biz(1),biz group(1),govt(1),media(1),entrepreneurs(1),technologists(1),non-profits(1),reputation(1),team building(1),database(1),AI&amp; data analysis(1),electronics(1),functions(1), </v>
      </c>
      <c r="IC133" s="47" t="str">
        <f t="shared" si="439"/>
        <v xml:space="preserve">ambition(6.25),seriousness(6.25),initiative(6.25),level of understanding(6.25),ambition(6.25),local biz(6.25),biz group(6.25),govt(6.25),media(6.25),entrepreneurs(6.25),technologists(6.25),non-profits(6.25),reputation(6.25),team building(6.25),database(6.25),AI&amp; data analysis(6.25),electronics(6.25),functions(6.25), </v>
      </c>
      <c r="ID133" s="47" t="str">
        <f t="shared" si="439"/>
        <v xml:space="preserve">technologists(2), </v>
      </c>
      <c r="IE133" s="47" t="str">
        <f t="shared" si="439"/>
        <v xml:space="preserve">web(1),mobile apps(1),security(1),AI&amp; data analysis(1), </v>
      </c>
      <c r="IF133" s="47" t="str">
        <f t="shared" si="439"/>
        <v xml:space="preserve">web(25),mobile apps(25),security(25),AI&amp; data analysis(25), </v>
      </c>
      <c r="IG133" s="47" t="str">
        <f t="shared" si="439"/>
        <v xml:space="preserve">attention to details(2),seriousness(2),community manager(1),administrator(1),network(2),entrepreneurs(3),technologists(4),spaciousness(2),ease of access(2),reputation(3),efficiency(2),portfolio(3),web(2),database(2),mobile apps(2),security(2),AI&amp; data analysis(2), </v>
      </c>
      <c r="IH133" s="47" t="str">
        <f t="shared" si="439"/>
        <v xml:space="preserve">technologists(1),web(1),database(1),mobile apps(1),security(1),AI&amp; data analysis(1), </v>
      </c>
      <c r="II133" s="47" t="str">
        <f t="shared" si="439"/>
        <v xml:space="preserve">technologists(6.25),web(6.25),database(6.25),mobile apps(6.25),security(6.25),AI&amp; data analysis(6.25), </v>
      </c>
      <c r="IJ133" s="47" t="str">
        <f t="shared" si="439"/>
        <v xml:space="preserve">technologists(2), </v>
      </c>
      <c r="IK133" s="47" t="str">
        <f t="shared" si="439"/>
        <v xml:space="preserve">wood processing(1),metal processing(1),functions(1),safety(1), </v>
      </c>
      <c r="IL133" s="47" t="str">
        <f t="shared" si="439"/>
        <v xml:space="preserve">wood processing(25),metal processing(25),functions(25),safety(25), </v>
      </c>
      <c r="IM133" s="47" t="str">
        <f t="shared" si="439"/>
        <v xml:space="preserve">attention to details(2),seriousness(2),community manager(1),administrator(1),network(2),entrepreneurs(3),technologists(4),spaciousness(2),ease of access(2),reputation(3),efficiency(2),portfolio(3),wood processing(2),metal processing(2),functions(2),safety(2), </v>
      </c>
      <c r="IN133" s="47" t="str">
        <f t="shared" si="439"/>
        <v xml:space="preserve">technologists(1),wood processing(1),metal processing(1),functions(1),safety(1),interaction(1), </v>
      </c>
      <c r="IO133" s="47" t="str">
        <f t="shared" si="439"/>
        <v xml:space="preserve">technologists(6.25),wood processing(6.25),metal processing(6.25),functions(6.25),safety(6.25),interaction(6.25), </v>
      </c>
      <c r="IP133" s="57" t="str">
        <f t="shared" si="439"/>
        <v xml:space="preserve">local biz(2),reputation(1), </v>
      </c>
      <c r="IQ133" s="47" t="str">
        <f t="shared" si="439"/>
        <v xml:space="preserve">local biz(1),marketing(1), </v>
      </c>
      <c r="IR133" s="47" t="str">
        <f t="shared" si="439"/>
        <v xml:space="preserve">local biz(25),marketing(25), </v>
      </c>
      <c r="IS133" s="47" t="str">
        <f t="shared" si="439"/>
        <v xml:space="preserve">attention to details(2),fun-ness(2),seriousness(2),leader(1),community manager(1),finance(1),administrator(1),enthusiasm(3),network(2),level of understanding(3),local biz(3),biz group(2),govt(2),non-profits(2),reputation(3),efficiency(2),marketing(2), </v>
      </c>
      <c r="IT133" s="47" t="str">
        <f t="shared" si="439"/>
        <v xml:space="preserve">fun-ness(1),seriousness(1),local biz(1),biz group(1),govt(1),non-profits(1),marketing(1), </v>
      </c>
      <c r="IU133" s="47" t="str">
        <f t="shared" si="439"/>
        <v xml:space="preserve">fun-ness(6.25),seriousness(6.25),local biz(6.25),biz group(6.25),govt(6.25),non-profits(6.25),marketing(6.25), </v>
      </c>
      <c r="IV133" s="57" t="str">
        <f t="shared" ref="IV133:LG133" si="440">IF(IV31="",IV134,$C133&amp;"("&amp;IV31&amp;"),"&amp;IV134)</f>
        <v xml:space="preserve">local biz(2),reputation(1), </v>
      </c>
      <c r="IW133" s="47" t="str">
        <f t="shared" si="440"/>
        <v xml:space="preserve">local biz(1),marketing(1), </v>
      </c>
      <c r="IX133" s="47" t="str">
        <f t="shared" si="440"/>
        <v xml:space="preserve">local biz(25),marketing(25), </v>
      </c>
      <c r="IY133" s="47" t="str">
        <f t="shared" si="440"/>
        <v xml:space="preserve">attention to details(2),fun-ness(2),seriousness(2),leader(1),community manager(1),finance(1),administrator(1),enthusiasm(3),network(2),level of understanding(3),local biz(3),biz group(2),govt(2),reputation(3),efficiency(2),marketing(2), </v>
      </c>
      <c r="IZ133" s="47" t="str">
        <f t="shared" si="440"/>
        <v xml:space="preserve">fun-ness(1),seriousness(1),local biz(1),biz group(1),govt(1),marketing(1), </v>
      </c>
      <c r="JA133" s="47" t="str">
        <f t="shared" si="440"/>
        <v xml:space="preserve">fun-ness(6.25),seriousness(6.25),local biz(6.25),biz group(6.25),govt(6.25),marketing(6.25), </v>
      </c>
      <c r="JB133" s="47" t="str">
        <f t="shared" si="440"/>
        <v xml:space="preserve"> </v>
      </c>
      <c r="JC133" s="47" t="str">
        <f t="shared" si="440"/>
        <v xml:space="preserve"> </v>
      </c>
      <c r="JD133" s="47" t="str">
        <f t="shared" si="440"/>
        <v xml:space="preserve"> </v>
      </c>
      <c r="JE133" s="47" t="str">
        <f t="shared" si="440"/>
        <v xml:space="preserve">attention to details(2),fun-ness(2),community manager(1),PR(1),administrator(1),network(2),level of understanding(2),technologists(2),spaciousness(1),ease of access(1),reputation(3),efficiency(2), </v>
      </c>
      <c r="JF133" s="47" t="str">
        <f t="shared" si="440"/>
        <v xml:space="preserve">web(1),infrastructrue(1),database(1),mobile apps(1),sensors(1),security(1),AI&amp; data analysis(1),mobile comm(1),VR&amp;AR(1),wood processing(1),metal processing(1),plastic processing(1),electronics(1),fabric(1),aesthetics(1),functions(1),safety(1),interaction(1), </v>
      </c>
      <c r="JG133" s="47" t="str">
        <f t="shared" si="440"/>
        <v xml:space="preserve">web(6.25),infrastructrue(6.25),database(6.25),mobile apps(6.25),sensors(6.25),security(6.25),AI&amp; data analysis(6.25),mobile comm(6.25),VR&amp;AR(6.25),wood processing(6.25),metal processing(6.25),plastic processing(6.25),electronics(6.25),fabric(6.25),aesthetics(6.25),functions(6.25),safety(6.25),interaction(6.25), </v>
      </c>
      <c r="JH133" s="47" t="str">
        <f t="shared" si="440"/>
        <v xml:space="preserve">enthusiasm(1),local biz(1),non-profits(1),reputation(2), </v>
      </c>
      <c r="JI133" s="47" t="str">
        <f t="shared" si="440"/>
        <v xml:space="preserve"> </v>
      </c>
      <c r="JJ133" s="47" t="str">
        <f t="shared" si="440"/>
        <v xml:space="preserve"> </v>
      </c>
      <c r="JK133" s="47" t="str">
        <f t="shared" si="440"/>
        <v xml:space="preserve">ambition(2),PR(1),finance(1),enthusiasm(2),fame(2),network(2),ambition(2),local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3" s="47" t="str">
        <f t="shared" si="440"/>
        <v xml:space="preserve">non-profits(1), </v>
      </c>
      <c r="JM133" s="47" t="str">
        <f t="shared" si="440"/>
        <v xml:space="preserve">non-profits(6.25), </v>
      </c>
      <c r="JN133" s="47" t="str">
        <f t="shared" si="440"/>
        <v xml:space="preserve">enthusiasm(1),network(1),local biz(1),investors(1),entrepreneurs(1),technologists(1),non-profits(1),reputation(2),portfolio(2), </v>
      </c>
      <c r="JO133" s="47" t="str">
        <f t="shared" si="440"/>
        <v xml:space="preserve"> </v>
      </c>
      <c r="JP133" s="47" t="str">
        <f t="shared" si="440"/>
        <v xml:space="preserve"> </v>
      </c>
      <c r="JQ133" s="47" t="str">
        <f t="shared" si="440"/>
        <v xml:space="preserve">ambition(2),attention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3" s="47" t="str">
        <f t="shared" si="440"/>
        <v xml:space="preserve"> </v>
      </c>
      <c r="JS133" s="47" t="str">
        <f t="shared" si="440"/>
        <v xml:space="preserve"> </v>
      </c>
      <c r="JT133" s="47" t="str">
        <f t="shared" si="440"/>
        <v xml:space="preserve">PR(1),administrator(1),enthusiasm(2),network(2),local biz(2),biz group(1),govt(2),investors(2),entrepreneurs(2),technologists(2),non-profits(2),reputation(2),portfolio(3), </v>
      </c>
      <c r="JU133" s="47" t="str">
        <f t="shared" si="440"/>
        <v xml:space="preserve"> </v>
      </c>
      <c r="JV133" s="47" t="str">
        <f t="shared" si="440"/>
        <v xml:space="preserve"> </v>
      </c>
      <c r="JW133" s="47" t="str">
        <f t="shared" si="440"/>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3" s="47" t="str">
        <f t="shared" si="440"/>
        <v xml:space="preserve"> </v>
      </c>
      <c r="JY133" s="47" t="str">
        <f t="shared" si="440"/>
        <v xml:space="preserve"> </v>
      </c>
      <c r="JZ133" s="47" t="str">
        <f t="shared" si="440"/>
        <v xml:space="preserve">network(1),non-profits(1),reputation(2),social project(2), </v>
      </c>
      <c r="KA133" s="47" t="str">
        <f t="shared" si="440"/>
        <v xml:space="preserve">non-profits(1), </v>
      </c>
      <c r="KB133" s="47" t="str">
        <f t="shared" si="440"/>
        <v xml:space="preserve">non-profits(25), </v>
      </c>
      <c r="KC133" s="47" t="str">
        <f t="shared" si="440"/>
        <v xml:space="preserve">ambition(2),attention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3" s="47" t="str">
        <f t="shared" si="440"/>
        <v xml:space="preserve">non-profits(1), </v>
      </c>
      <c r="KE133" s="47" t="str">
        <f t="shared" si="440"/>
        <v xml:space="preserve">non-profits(6.25), </v>
      </c>
      <c r="KF133" s="47" t="str">
        <f t="shared" si="440"/>
        <v xml:space="preserve"> </v>
      </c>
      <c r="KG133" s="47" t="str">
        <f t="shared" si="440"/>
        <v xml:space="preserve"> </v>
      </c>
      <c r="KH133" s="47" t="str">
        <f t="shared" si="440"/>
        <v xml:space="preserve"> </v>
      </c>
      <c r="KI133" s="47" t="str">
        <f t="shared" si="440"/>
        <v xml:space="preserve"> </v>
      </c>
      <c r="KJ133" s="47" t="str">
        <f t="shared" si="440"/>
        <v xml:space="preserve"> </v>
      </c>
      <c r="KK133" s="47" t="str">
        <f t="shared" si="440"/>
        <v xml:space="preserve"> </v>
      </c>
      <c r="KL133" s="57" t="str">
        <f t="shared" si="440"/>
        <v xml:space="preserve"> </v>
      </c>
      <c r="KM133" s="47" t="str">
        <f t="shared" si="440"/>
        <v xml:space="preserve"> </v>
      </c>
      <c r="KN133" s="47" t="str">
        <f t="shared" si="440"/>
        <v xml:space="preserve"> </v>
      </c>
      <c r="KO133" s="47" t="str">
        <f t="shared" si="440"/>
        <v xml:space="preserve"> </v>
      </c>
      <c r="KP133" s="47" t="str">
        <f t="shared" si="440"/>
        <v xml:space="preserve"> </v>
      </c>
      <c r="KQ133" s="47" t="str">
        <f t="shared" si="440"/>
        <v xml:space="preserve"> </v>
      </c>
      <c r="KR133" s="57" t="str">
        <f t="shared" si="440"/>
        <v xml:space="preserve"> </v>
      </c>
      <c r="KS133" s="47" t="str">
        <f t="shared" si="440"/>
        <v xml:space="preserve"> </v>
      </c>
      <c r="KT133" s="47" t="str">
        <f t="shared" si="440"/>
        <v xml:space="preserve"> </v>
      </c>
      <c r="KU133" s="47" t="str">
        <f t="shared" si="440"/>
        <v xml:space="preserve"> </v>
      </c>
      <c r="KV133" s="47" t="str">
        <f t="shared" si="440"/>
        <v xml:space="preserve"> </v>
      </c>
      <c r="KW133" s="47" t="str">
        <f t="shared" si="440"/>
        <v xml:space="preserve"> </v>
      </c>
      <c r="KX133" s="57" t="str">
        <f t="shared" si="440"/>
        <v xml:space="preserve"> </v>
      </c>
      <c r="KY133" s="47" t="str">
        <f t="shared" si="440"/>
        <v xml:space="preserve"> </v>
      </c>
      <c r="KZ133" s="47" t="str">
        <f t="shared" si="440"/>
        <v xml:space="preserve"> </v>
      </c>
      <c r="LA133" s="47" t="str">
        <f t="shared" si="440"/>
        <v xml:space="preserve"> </v>
      </c>
      <c r="LB133" s="47" t="str">
        <f t="shared" si="440"/>
        <v xml:space="preserve"> </v>
      </c>
      <c r="LC133" s="47" t="str">
        <f t="shared" si="440"/>
        <v xml:space="preserve"> </v>
      </c>
      <c r="LD133" s="57" t="str">
        <f t="shared" si="440"/>
        <v xml:space="preserve"> </v>
      </c>
      <c r="LE133" s="47" t="str">
        <f t="shared" si="440"/>
        <v xml:space="preserve"> </v>
      </c>
      <c r="LF133" s="47" t="str">
        <f t="shared" si="440"/>
        <v xml:space="preserve"> </v>
      </c>
      <c r="LG133" s="47" t="str">
        <f t="shared" si="440"/>
        <v xml:space="preserve"> </v>
      </c>
      <c r="LH133" s="47" t="str">
        <f t="shared" ref="LH133:NM133" si="441">IF(LH31="",LH134,$C133&amp;"("&amp;LH31&amp;"),"&amp;LH134)</f>
        <v xml:space="preserve"> </v>
      </c>
      <c r="LI133" s="47" t="str">
        <f t="shared" si="441"/>
        <v xml:space="preserve"> </v>
      </c>
      <c r="LJ133" s="57" t="str">
        <f t="shared" si="441"/>
        <v xml:space="preserve"> </v>
      </c>
      <c r="LK133" s="47" t="str">
        <f t="shared" si="441"/>
        <v xml:space="preserve"> </v>
      </c>
      <c r="LL133" s="47" t="str">
        <f t="shared" si="441"/>
        <v xml:space="preserve"> </v>
      </c>
      <c r="LM133" s="47" t="str">
        <f t="shared" si="441"/>
        <v xml:space="preserve"> </v>
      </c>
      <c r="LN133" s="47" t="str">
        <f t="shared" si="441"/>
        <v xml:space="preserve"> </v>
      </c>
      <c r="LO133" s="47" t="str">
        <f t="shared" si="441"/>
        <v xml:space="preserve"> </v>
      </c>
      <c r="LP133" s="57" t="str">
        <f t="shared" si="441"/>
        <v xml:space="preserve"> </v>
      </c>
      <c r="LQ133" s="47" t="str">
        <f t="shared" si="441"/>
        <v xml:space="preserve"> </v>
      </c>
      <c r="LR133" s="47" t="str">
        <f t="shared" si="441"/>
        <v xml:space="preserve"> </v>
      </c>
      <c r="LS133" s="47" t="str">
        <f t="shared" si="441"/>
        <v xml:space="preserve"> </v>
      </c>
      <c r="LT133" s="47" t="str">
        <f t="shared" si="441"/>
        <v xml:space="preserve"> </v>
      </c>
      <c r="LU133" s="47" t="str">
        <f t="shared" si="441"/>
        <v xml:space="preserve"> </v>
      </c>
      <c r="LV133" s="57" t="str">
        <f t="shared" si="441"/>
        <v xml:space="preserve"> </v>
      </c>
      <c r="LW133" s="47" t="str">
        <f t="shared" si="441"/>
        <v xml:space="preserve"> </v>
      </c>
      <c r="LX133" s="47" t="str">
        <f t="shared" si="441"/>
        <v xml:space="preserve"> </v>
      </c>
      <c r="LY133" s="47" t="str">
        <f t="shared" si="441"/>
        <v xml:space="preserve"> </v>
      </c>
      <c r="LZ133" s="47" t="str">
        <f t="shared" si="441"/>
        <v xml:space="preserve"> </v>
      </c>
      <c r="MA133" s="47" t="str">
        <f t="shared" si="441"/>
        <v xml:space="preserve"> </v>
      </c>
      <c r="MB133" s="57" t="str">
        <f t="shared" si="441"/>
        <v xml:space="preserve"> </v>
      </c>
      <c r="MC133" s="47" t="str">
        <f t="shared" si="441"/>
        <v xml:space="preserve"> </v>
      </c>
      <c r="MD133" s="47" t="str">
        <f t="shared" si="441"/>
        <v xml:space="preserve"> </v>
      </c>
      <c r="ME133" s="47" t="str">
        <f t="shared" si="441"/>
        <v xml:space="preserve"> </v>
      </c>
      <c r="MF133" s="47" t="str">
        <f t="shared" si="441"/>
        <v xml:space="preserve"> </v>
      </c>
      <c r="MG133" s="47" t="str">
        <f t="shared" si="441"/>
        <v xml:space="preserve"> </v>
      </c>
      <c r="MH133" s="57" t="str">
        <f t="shared" si="441"/>
        <v xml:space="preserve"> </v>
      </c>
      <c r="MI133" s="47" t="str">
        <f t="shared" si="441"/>
        <v xml:space="preserve"> </v>
      </c>
      <c r="MJ133" s="47" t="str">
        <f t="shared" si="441"/>
        <v xml:space="preserve"> </v>
      </c>
      <c r="MK133" s="47" t="str">
        <f t="shared" si="441"/>
        <v xml:space="preserve"> </v>
      </c>
      <c r="ML133" s="47" t="str">
        <f t="shared" si="441"/>
        <v xml:space="preserve"> </v>
      </c>
      <c r="MM133" s="47" t="str">
        <f t="shared" si="441"/>
        <v xml:space="preserve"> </v>
      </c>
      <c r="MN133" s="57" t="str">
        <f t="shared" si="441"/>
        <v xml:space="preserve"> </v>
      </c>
      <c r="MO133" s="47" t="str">
        <f t="shared" si="441"/>
        <v xml:space="preserve"> </v>
      </c>
      <c r="MP133" s="47" t="str">
        <f t="shared" si="441"/>
        <v xml:space="preserve"> </v>
      </c>
      <c r="MQ133" s="47" t="str">
        <f t="shared" si="441"/>
        <v xml:space="preserve"> </v>
      </c>
      <c r="MR133" s="47" t="str">
        <f t="shared" si="441"/>
        <v xml:space="preserve"> </v>
      </c>
      <c r="MS133" s="47" t="str">
        <f t="shared" si="441"/>
        <v xml:space="preserve"> </v>
      </c>
      <c r="MT133" s="57" t="str">
        <f t="shared" si="441"/>
        <v xml:space="preserve"> </v>
      </c>
      <c r="MU133" s="47" t="str">
        <f t="shared" si="441"/>
        <v xml:space="preserve"> </v>
      </c>
      <c r="MV133" s="47" t="str">
        <f t="shared" si="441"/>
        <v xml:space="preserve"> </v>
      </c>
      <c r="MW133" s="47" t="str">
        <f t="shared" si="441"/>
        <v xml:space="preserve"> </v>
      </c>
      <c r="MX133" s="47" t="str">
        <f t="shared" si="441"/>
        <v xml:space="preserve"> </v>
      </c>
      <c r="MY133" s="47" t="str">
        <f t="shared" si="441"/>
        <v xml:space="preserve"> </v>
      </c>
      <c r="MZ133" s="57" t="str">
        <f t="shared" si="441"/>
        <v xml:space="preserve"> </v>
      </c>
      <c r="NA133" s="47" t="str">
        <f t="shared" si="441"/>
        <v xml:space="preserve"> </v>
      </c>
      <c r="NB133" s="47" t="str">
        <f t="shared" si="441"/>
        <v xml:space="preserve"> </v>
      </c>
      <c r="NC133" s="47" t="str">
        <f t="shared" si="441"/>
        <v xml:space="preserve"> </v>
      </c>
      <c r="ND133" s="47" t="str">
        <f t="shared" si="441"/>
        <v xml:space="preserve"> </v>
      </c>
      <c r="NE133" s="47" t="str">
        <f t="shared" si="441"/>
        <v xml:space="preserve"> </v>
      </c>
      <c r="NF133" s="57" t="str">
        <f t="shared" si="441"/>
        <v xml:space="preserve"> </v>
      </c>
      <c r="NG133" s="47" t="str">
        <f t="shared" si="441"/>
        <v xml:space="preserve"> </v>
      </c>
      <c r="NH133" s="47" t="str">
        <f t="shared" si="441"/>
        <v xml:space="preserve"> </v>
      </c>
      <c r="NI133" s="47" t="str">
        <f t="shared" si="441"/>
        <v xml:space="preserve"> </v>
      </c>
      <c r="NJ133" s="47" t="str">
        <f t="shared" si="441"/>
        <v xml:space="preserve"> </v>
      </c>
      <c r="NK133" s="47" t="str">
        <f t="shared" si="441"/>
        <v xml:space="preserve"> </v>
      </c>
      <c r="NL133" s="57" t="str">
        <f t="shared" si="441"/>
        <v xml:space="preserve"> </v>
      </c>
      <c r="NM133" s="47" t="str">
        <f t="shared" si="441"/>
        <v xml:space="preserve"> </v>
      </c>
    </row>
    <row r="134" spans="3:377" ht="15.75" customHeight="1">
      <c r="C134" s="7" t="str">
        <f t="shared" si="296"/>
        <v>attention to details</v>
      </c>
      <c r="D134" s="21" t="str">
        <f t="shared" si="169"/>
        <v xml:space="preserve"> </v>
      </c>
      <c r="E134" s="21" t="str">
        <f t="shared" si="297"/>
        <v xml:space="preserve"> </v>
      </c>
      <c r="F134" s="21" t="str">
        <f t="shared" si="170"/>
        <v xml:space="preserve"> </v>
      </c>
      <c r="G134" s="21" t="str">
        <f t="shared" si="298"/>
        <v xml:space="preserve">fun-ness(1), community manager(1), PR(1), fame(1), network(2), ease of access(1), reputation(2), social media(1),  </v>
      </c>
      <c r="H134" s="21" t="str">
        <f t="shared" si="299"/>
        <v xml:space="preserve"> </v>
      </c>
      <c r="I134" s="21" t="str">
        <f t="shared" ref="I134" si="442">IF(I32="",I135,$C134&amp;"("&amp;I32&amp;"),"&amp;I135)</f>
        <v xml:space="preserve"> </v>
      </c>
      <c r="J134" s="21" t="str">
        <f t="shared" si="376"/>
        <v xml:space="preserve">interaction 1
 </v>
      </c>
      <c r="K134" s="21" t="str">
        <f t="shared" si="173"/>
        <v xml:space="preserve">reputation(1,75),  </v>
      </c>
      <c r="L134" s="21" t="str">
        <f t="shared" si="377"/>
        <v xml:space="preserve">reputation 75
 </v>
      </c>
      <c r="M134" s="21" t="str">
        <f t="shared" si="175"/>
        <v xml:space="preserve">PR(1), portfolio(1), social innovation(1), non-profit biz(1),  </v>
      </c>
      <c r="N134" s="21" t="str">
        <f t="shared" si="176"/>
        <v xml:space="preserve">seriousness(1,25), non-profits(1,12.5), reputation(1,75), marketing(1,12.5),  </v>
      </c>
      <c r="O134" s="21" t="str">
        <f t="shared" si="378"/>
        <v xml:space="preserve">seriousness(25),non-profits(12.5),reputation(75),marketing(12.5), </v>
      </c>
      <c r="P134" s="21" t="str">
        <f t="shared" si="376"/>
        <v xml:space="preserve">biz project 1
 </v>
      </c>
      <c r="Q134" s="21" t="str">
        <f t="shared" si="178"/>
        <v xml:space="preserve"> </v>
      </c>
      <c r="R134" s="21" t="str">
        <f t="shared" si="377"/>
        <v xml:space="preserve"> </v>
      </c>
      <c r="S134" s="21" t="str">
        <f t="shared" si="179"/>
        <v xml:space="preserve">portfolio(1), biz enhancement(1), business(1), start-up(1),  </v>
      </c>
      <c r="T134" s="21" t="str">
        <f t="shared" si="180"/>
        <v xml:space="preserve">seriousness(1,25), local biz(1,6.25), investors(1,6.25), reputation(1,6.25),  </v>
      </c>
      <c r="U134" s="21" t="str">
        <f t="shared" si="378"/>
        <v xml:space="preserve">seriousness(25),local biz(6.25),investors(6.25),reputation(6.25), </v>
      </c>
      <c r="V134" s="21" t="str">
        <f t="shared" si="376"/>
        <v xml:space="preserve"> </v>
      </c>
      <c r="W134" s="21" t="str">
        <f t="shared" si="181"/>
        <v xml:space="preserve">local biz(1,),  </v>
      </c>
      <c r="X134" s="21" t="str">
        <f t="shared" si="377"/>
        <v xml:space="preserve"> </v>
      </c>
      <c r="Y134" s="21" t="str">
        <f t="shared" si="182"/>
        <v xml:space="preserve">attention to details(1), PR(1), network(1), ease of access(1), reputation(1), portfolio(1), biz project(1), biz enhancement(1), job creation(1), business(1),  </v>
      </c>
      <c r="Z134" s="21" t="str">
        <f t="shared" si="183"/>
        <v xml:space="preserve">local biz(1,6.25),  </v>
      </c>
      <c r="AA134" s="21" t="str">
        <f t="shared" si="378"/>
        <v xml:space="preserve">local biz(6.25), </v>
      </c>
      <c r="AB134" s="21" t="str">
        <f t="shared" si="376"/>
        <v xml:space="preserve"> </v>
      </c>
      <c r="AC134" s="21" t="str">
        <f t="shared" si="184"/>
        <v xml:space="preserve">non-profits(1,100),  </v>
      </c>
      <c r="AD134" s="21" t="str">
        <f t="shared" si="377"/>
        <v xml:space="preserve">non-profits 100
 </v>
      </c>
      <c r="AE134" s="21" t="str">
        <f t="shared" si="185"/>
        <v xml:space="preserve">attention to details(1), PR(1), network(1), ease of access(1), reputation(1), portfolio(1), social project(1), social innovation(1), non-profit biz(1),  </v>
      </c>
      <c r="AF134" s="21" t="str">
        <f t="shared" si="186"/>
        <v xml:space="preserve">seriousness(1,6.25), non-profits(1,6.25),  </v>
      </c>
      <c r="AG134" s="21" t="str">
        <f t="shared" si="378"/>
        <v xml:space="preserve">seriousness(6.25),non-profits(6.25), </v>
      </c>
      <c r="AH134" s="21" t="str">
        <f t="shared" si="376"/>
        <v xml:space="preserve"> </v>
      </c>
      <c r="AI134" s="21" t="str">
        <f t="shared" si="187"/>
        <v xml:space="preserve">govt(1,),  </v>
      </c>
      <c r="AJ134" s="21" t="str">
        <f t="shared" si="377"/>
        <v xml:space="preserve"> </v>
      </c>
      <c r="AK134" s="21" t="str">
        <f t="shared" si="188"/>
        <v xml:space="preserve">attention to details(1), seriousness(1), fame(1), network(1), govt(1), ease of access(1), reputation(2), portfolio(1), social project(1), social innovation(1), non-profit biz(1),  </v>
      </c>
      <c r="AL134" s="21" t="str">
        <f t="shared" si="189"/>
        <v xml:space="preserve">govt(1,6.25),  </v>
      </c>
      <c r="AM134" s="21" t="str">
        <f t="shared" si="378"/>
        <v xml:space="preserve">govt(6.25), </v>
      </c>
      <c r="AN134" s="21" t="str">
        <f t="shared" si="376"/>
        <v xml:space="preserve"> </v>
      </c>
      <c r="AO134" s="21" t="str">
        <f t="shared" si="190"/>
        <v xml:space="preserve">fame(1,), network(1,), investors(1,6.25),  </v>
      </c>
      <c r="AP134" s="21" t="str">
        <f t="shared" si="377"/>
        <v xml:space="preserve">investors 6.25
 </v>
      </c>
      <c r="AQ134" s="21" t="str">
        <f t="shared" si="191"/>
        <v xml:space="preserve">investors(1), ease of access(1), reputation(1), portfolio(1), start-up(1), start-up with mvp(1), start-up with customers(1),  </v>
      </c>
      <c r="AR134" s="21" t="str">
        <f t="shared" si="192"/>
        <v xml:space="preserve"> </v>
      </c>
      <c r="AS134" s="21" t="str">
        <f t="shared" si="378"/>
        <v xml:space="preserve"> </v>
      </c>
      <c r="AT134" s="21" t="str">
        <f t="shared" si="376"/>
        <v xml:space="preserve">seriousness 1
administrator 1
non-profits 2
reputation 1
portfolio 1
social project 1
 </v>
      </c>
      <c r="AU134" s="21" t="str">
        <f t="shared" si="193"/>
        <v xml:space="preserve">attention to details(1,),  </v>
      </c>
      <c r="AV134" s="21" t="str">
        <f t="shared" si="377"/>
        <v xml:space="preserve"> </v>
      </c>
      <c r="AW134" s="21" t="str">
        <f t="shared" si="194"/>
        <v xml:space="preserve">PR(2), administrator(1), project management(2),  </v>
      </c>
      <c r="AX134" s="21" t="str">
        <f t="shared" si="195"/>
        <v xml:space="preserve">organizational rules and manuals(1,12.5), project management(1,12.5),  </v>
      </c>
      <c r="AY134" s="21" t="str">
        <f t="shared" si="378"/>
        <v xml:space="preserve">organizational rules and manuals(12.5),project management(12.5), </v>
      </c>
      <c r="AZ134" s="21" t="str">
        <f t="shared" si="376"/>
        <v xml:space="preserve">non-profits 1
 </v>
      </c>
      <c r="BA134" s="21" t="str">
        <f t="shared" si="196"/>
        <v xml:space="preserve"> </v>
      </c>
      <c r="BB134" s="21" t="str">
        <f t="shared" si="377"/>
        <v xml:space="preserve"> </v>
      </c>
      <c r="BC134" s="21" t="str">
        <f t="shared" si="197"/>
        <v xml:space="preserve"> </v>
      </c>
      <c r="BD134" s="21" t="str">
        <f t="shared" si="198"/>
        <v xml:space="preserve"> </v>
      </c>
      <c r="BE134" s="21" t="str">
        <f t="shared" si="378"/>
        <v xml:space="preserve"> </v>
      </c>
      <c r="BF134" s="21" t="str">
        <f t="shared" si="376"/>
        <v xml:space="preserve">seriousness 1
administrator 1
local biz 2
entrepreneurs 1
reputation 1
portfolio 1
biz project 1
 </v>
      </c>
      <c r="BG134" s="21" t="str">
        <f t="shared" si="199"/>
        <v xml:space="preserve">attention to details(1,),  </v>
      </c>
      <c r="BH134" s="21" t="str">
        <f t="shared" si="377"/>
        <v xml:space="preserve"> </v>
      </c>
      <c r="BI134" s="21" t="str">
        <f t="shared" si="200"/>
        <v xml:space="preserve">PR(2), administrator(1), project management(2),  </v>
      </c>
      <c r="BJ134" s="21" t="str">
        <f t="shared" si="201"/>
        <v xml:space="preserve">organizational rules and manuals(1,12.5), project management(1,12.5),  </v>
      </c>
      <c r="BK134" s="21" t="str">
        <f t="shared" si="378"/>
        <v xml:space="preserve">organizational rules and manuals(12.5),project management(12.5), </v>
      </c>
      <c r="BL134" s="21" t="str">
        <f t="shared" si="376"/>
        <v xml:space="preserve">local biz 1
reputation 1
portfolio 1
biz enhancement 1
 </v>
      </c>
      <c r="BM134" s="21" t="str">
        <f t="shared" si="202"/>
        <v xml:space="preserve"> </v>
      </c>
      <c r="BN134" s="21" t="str">
        <f t="shared" si="377"/>
        <v xml:space="preserve"> </v>
      </c>
      <c r="BO134" s="21" t="str">
        <f t="shared" si="203"/>
        <v xml:space="preserve"> </v>
      </c>
      <c r="BP134" s="21" t="str">
        <f t="shared" si="204"/>
        <v xml:space="preserve"> </v>
      </c>
      <c r="BQ134" s="21" t="str">
        <f t="shared" si="378"/>
        <v xml:space="preserve"> </v>
      </c>
      <c r="BR134" s="21" t="str">
        <f t="shared" si="376"/>
        <v xml:space="preserve"> </v>
      </c>
      <c r="BS134" s="21" t="str">
        <f t="shared" si="205"/>
        <v xml:space="preserve"> </v>
      </c>
      <c r="BT134" s="21" t="str">
        <f t="shared" si="377"/>
        <v xml:space="preserve"> </v>
      </c>
      <c r="BU134" s="21" t="str">
        <f t="shared" si="206"/>
        <v xml:space="preserve"> </v>
      </c>
      <c r="BV134" s="21" t="str">
        <f t="shared" si="207"/>
        <v xml:space="preserve"> </v>
      </c>
      <c r="BW134" s="21" t="str">
        <f t="shared" si="378"/>
        <v xml:space="preserve"> </v>
      </c>
      <c r="BX134" s="21" t="str">
        <f t="shared" si="379"/>
        <v xml:space="preserve">network 1
 </v>
      </c>
      <c r="BY134" s="21" t="str">
        <f t="shared" si="209"/>
        <v xml:space="preserve">efficiency(1,),  </v>
      </c>
      <c r="BZ134" s="21" t="str">
        <f t="shared" si="380"/>
        <v xml:space="preserve"> </v>
      </c>
      <c r="CA134" s="21" t="str">
        <f t="shared" si="211"/>
        <v xml:space="preserve">attention to details(1), administrator(1), negotiation(1),  </v>
      </c>
      <c r="CB134" s="21" t="str">
        <f t="shared" si="212"/>
        <v xml:space="preserve">user rules and manuals(1,50), organizational rules and manuals(1,50),  </v>
      </c>
      <c r="CC134" s="21" t="str">
        <f t="shared" si="381"/>
        <v xml:space="preserve">user rules and manuals(50),organizational rules and manuals(50), </v>
      </c>
      <c r="CD134" s="21" t="str">
        <f t="shared" si="379"/>
        <v xml:space="preserve">network 1
 </v>
      </c>
      <c r="CE134" s="21" t="str">
        <f t="shared" si="214"/>
        <v xml:space="preserve">non-profits(1,),  </v>
      </c>
      <c r="CF134" s="21" t="str">
        <f t="shared" si="380"/>
        <v xml:space="preserve"> </v>
      </c>
      <c r="CG134" s="21" t="str">
        <f t="shared" si="215"/>
        <v xml:space="preserve">fun-ness(1), seriousness(1), ease of access(1), portfolio(1), user rules and manuals(1), negotiation(1), social project(1), biz project(1), for basic literacy(1), for the elites(1), for entrepreneurs(1),  </v>
      </c>
      <c r="CH134" s="21" t="str">
        <f t="shared" si="216"/>
        <v xml:space="preserve">technologists(1,6.25), non-profits(1,6.25),  </v>
      </c>
      <c r="CI134" s="21" t="str">
        <f t="shared" si="381"/>
        <v xml:space="preserve">technologists(6.25),non-profits(6.25), </v>
      </c>
      <c r="CJ134" s="21" t="str">
        <f t="shared" si="379"/>
        <v xml:space="preserve"> </v>
      </c>
      <c r="CK134" s="21" t="str">
        <f t="shared" si="217"/>
        <v xml:space="preserve">suppliers(1,),  </v>
      </c>
      <c r="CL134" s="21" t="str">
        <f t="shared" si="380"/>
        <v xml:space="preserve"> </v>
      </c>
      <c r="CM134" s="21" t="str">
        <f t="shared" si="218"/>
        <v xml:space="preserve">reputation(1), negotiation(1),  </v>
      </c>
      <c r="CN134" s="21" t="str">
        <f t="shared" si="219"/>
        <v xml:space="preserve">efficiency(1,6.25),  </v>
      </c>
      <c r="CO134" s="21" t="str">
        <f t="shared" si="381"/>
        <v xml:space="preserve">efficiency(6.25), </v>
      </c>
      <c r="CP134" s="21" t="str">
        <f t="shared" si="379"/>
        <v xml:space="preserve"> </v>
      </c>
      <c r="CQ134" s="21" t="str">
        <f t="shared" si="220"/>
        <v xml:space="preserve">technologists(1,),  </v>
      </c>
      <c r="CR134" s="21" t="str">
        <f t="shared" si="380"/>
        <v xml:space="preserve"> </v>
      </c>
      <c r="CS134" s="21" t="str">
        <f t="shared" si="221"/>
        <v xml:space="preserve">network(1), portfolio(1), negotiation(1), web(1), infrastructrue(1), database(1), mobile apps(1), sensors(1), security(1), AI&amp; data analysis(1), mobile comm(1), VR&amp;AR(1), wood processing(1), metal processing(1), plastic processing(1), electronics(1), fabric(1),  </v>
      </c>
      <c r="CT134" s="21" t="str">
        <f t="shared" si="222"/>
        <v xml:space="preserve">efficiency(1,6.25),  </v>
      </c>
      <c r="CU134" s="21" t="str">
        <f t="shared" si="381"/>
        <v xml:space="preserve">efficiency(6.25), </v>
      </c>
      <c r="CV134" s="21" t="str">
        <f t="shared" si="379"/>
        <v xml:space="preserve"> </v>
      </c>
      <c r="CW134" s="21" t="str">
        <f t="shared" si="223"/>
        <v xml:space="preserve">local biz(1,),  </v>
      </c>
      <c r="CX134" s="21" t="str">
        <f t="shared" si="380"/>
        <v xml:space="preserve"> </v>
      </c>
      <c r="CY134" s="21" t="str">
        <f t="shared" si="224"/>
        <v xml:space="preserve">ease of access(1), reputation(1), portfolio(1), negotiation(1),  </v>
      </c>
      <c r="CZ134" s="21" t="str">
        <f t="shared" si="225"/>
        <v xml:space="preserve">non-profits(1,6.25),  </v>
      </c>
      <c r="DA134" s="21" t="str">
        <f t="shared" si="381"/>
        <v xml:space="preserve">non-profits(6.25), </v>
      </c>
      <c r="DB134" s="21" t="str">
        <f t="shared" si="379"/>
        <v xml:space="preserve"> </v>
      </c>
      <c r="DC134" s="21" t="str">
        <f t="shared" si="226"/>
        <v xml:space="preserve"> </v>
      </c>
      <c r="DD134" s="21" t="str">
        <f t="shared" si="380"/>
        <v xml:space="preserve"> </v>
      </c>
      <c r="DE134"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4" s="21" t="str">
        <f t="shared" si="228"/>
        <v xml:space="preserve">network(1,), local biz(1,6.25), biz group(1,6.25), investors(1,6.25), entrepreneurs(1,6.25),  </v>
      </c>
      <c r="DG134" s="21" t="str">
        <f t="shared" si="381"/>
        <v xml:space="preserve">local biz(6.25),biz group(6.25),investors(6.25),entrepreneurs(6.25), </v>
      </c>
      <c r="DH134" s="21" t="str">
        <f t="shared" si="379"/>
        <v xml:space="preserve">network 1
non-profits 1
reputation 1
social project 1
 </v>
      </c>
      <c r="DI134" s="21" t="str">
        <f t="shared" si="229"/>
        <v xml:space="preserve"> </v>
      </c>
      <c r="DJ134" s="21" t="str">
        <f t="shared" si="380"/>
        <v xml:space="preserve"> </v>
      </c>
      <c r="DK134" s="21" t="str">
        <f t="shared" si="230"/>
        <v xml:space="preserve">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4" s="21" t="str">
        <f t="shared" si="231"/>
        <v xml:space="preserve">reputation(1,6.25),  </v>
      </c>
      <c r="DM134" s="21" t="str">
        <f t="shared" si="381"/>
        <v xml:space="preserve">reputation(6.25), </v>
      </c>
      <c r="DN134" s="21" t="str">
        <f t="shared" si="379"/>
        <v xml:space="preserve">network 1
local biz 1
reputation 1
biz project 1
 </v>
      </c>
      <c r="DO134" s="21" t="str">
        <f t="shared" si="232"/>
        <v xml:space="preserve"> </v>
      </c>
      <c r="DP134" s="21" t="str">
        <f t="shared" si="380"/>
        <v xml:space="preserve"> </v>
      </c>
      <c r="DQ134"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4" s="21" t="str">
        <f t="shared" si="234"/>
        <v xml:space="preserve">reputation(1,6.25),  </v>
      </c>
      <c r="DS134" s="21" t="str">
        <f t="shared" si="381"/>
        <v xml:space="preserve">reputation(6.25), </v>
      </c>
      <c r="DT134" s="21" t="str">
        <f t="shared" si="379"/>
        <v xml:space="preserve">network 1
reputation 1
 </v>
      </c>
      <c r="DU134" s="21" t="str">
        <f t="shared" si="235"/>
        <v xml:space="preserve"> </v>
      </c>
      <c r="DV134" s="21" t="str">
        <f t="shared" si="380"/>
        <v xml:space="preserve"> </v>
      </c>
      <c r="DW134" s="21" t="str">
        <f t="shared" si="236"/>
        <v xml:space="preserve">attention to details(1), 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4" s="21" t="str">
        <f t="shared" si="237"/>
        <v xml:space="preserve">reputation(1,6.25), for basic literacy(1,6.25),  </v>
      </c>
      <c r="DY134" s="21" t="str">
        <f t="shared" si="381"/>
        <v xml:space="preserve">reputation(6.25),for basic literacy(6.25), </v>
      </c>
      <c r="DZ134" s="21" t="str">
        <f t="shared" si="379"/>
        <v xml:space="preserve">network 1
reputation 1
 </v>
      </c>
      <c r="EA134" s="21" t="str">
        <f t="shared" si="238"/>
        <v xml:space="preserve"> </v>
      </c>
      <c r="EB134" s="21" t="str">
        <f t="shared" si="380"/>
        <v xml:space="preserve"> </v>
      </c>
      <c r="EC134" s="21" t="str">
        <f t="shared" si="239"/>
        <v xml:space="preserve">attention to details(1), 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4" s="21" t="str">
        <f t="shared" si="240"/>
        <v xml:space="preserve">reputation(1,6.25), for basic literacy(1,6.25),  </v>
      </c>
      <c r="EE134" s="21" t="str">
        <f t="shared" si="381"/>
        <v xml:space="preserve">reputation(6.25),for basic literacy(6.25), </v>
      </c>
      <c r="EF134" s="21" t="str">
        <f t="shared" si="379"/>
        <v xml:space="preserve">technologists 1
reputation 1
 </v>
      </c>
      <c r="EG134" s="21" t="str">
        <f t="shared" si="241"/>
        <v xml:space="preserve">web(1,50), mobile apps(1,50), interaction(1,50),  </v>
      </c>
      <c r="EH134" s="21" t="str">
        <f t="shared" si="380"/>
        <v xml:space="preserve">web 50
mobile apps 50
interaction 50
 </v>
      </c>
      <c r="EI134" s="21" t="str">
        <f t="shared" si="242"/>
        <v xml:space="preserve">seriousness(2), initiative(1), community manager(1), administrator(1), enthusiasm(1), fame(1), network(2), level of understanding(1), technologists(2), ease of access(1), reputation(2), infrastructrue(1), database(1), mobile comm(1), for entrepreneurs(1),  </v>
      </c>
      <c r="EJ134" s="21" t="str">
        <f t="shared" si="243"/>
        <v xml:space="preserve">technologists(1,12.5), infrastructrue(1,12.5), database(1,12.5), mobile comm(1,12.5), for entrepreneurs(1,6.25),  </v>
      </c>
      <c r="EK134" s="21" t="str">
        <f t="shared" si="381"/>
        <v xml:space="preserve">technologists(12.5),infrastructrue(12.5),database(12.5),mobile comm(12.5),for entrepreneurs(6.25), </v>
      </c>
      <c r="EL134" s="21" t="str">
        <f t="shared" si="382"/>
        <v xml:space="preserve">technologists 1
reputation 1
 </v>
      </c>
      <c r="EM134" s="21" t="str">
        <f t="shared" si="245"/>
        <v xml:space="preserve">sensors(1,50),  </v>
      </c>
      <c r="EN134" s="21" t="str">
        <f t="shared" si="383"/>
        <v xml:space="preserve">sensors 50
 </v>
      </c>
      <c r="EO134" s="21" t="str">
        <f t="shared" si="247"/>
        <v xml:space="preserve">seriousness(2), initiative(1), community manager(1), administrator(1), enthusiasm(1), fame(1), network(2), level of understanding(1), technologists(2), ease of access(1), reputation(2), project management(2), infrastructrue(1), database(1), mobile comm(1), for entrepreneurs(1),  </v>
      </c>
      <c r="EP134" s="21" t="str">
        <f t="shared" si="248"/>
        <v xml:space="preserve">technologists(1,12.5), infrastructrue(1,12.5), database(1,12.5), mobile comm(1,12.5), electronics(1,6.25), for entrepreneurs(1,6.25),  </v>
      </c>
      <c r="EQ134" s="21" t="str">
        <f t="shared" si="384"/>
        <v xml:space="preserve">technologists(12.5),infrastructrue(12.5),database(12.5),mobile comm(12.5),electronics(6.25),for entrepreneurs(6.25), </v>
      </c>
      <c r="ER134" s="21" t="str">
        <f t="shared" si="382"/>
        <v xml:space="preserve">technologists 1
 </v>
      </c>
      <c r="ES134" s="21" t="str">
        <f t="shared" si="250"/>
        <v xml:space="preserve">AI&amp; data analysis(1,50),  </v>
      </c>
      <c r="ET134" s="21" t="str">
        <f t="shared" si="383"/>
        <v xml:space="preserve">AI&amp; data analysis 50
 </v>
      </c>
      <c r="EU134" s="21" t="str">
        <f t="shared" si="251"/>
        <v xml:space="preserve">seriousness(2), initiative(1), community manager(1), administrator(1), enthusiasm(1), fame(1), network(2), level of understanding(1), technologists(2), ease of access(1), reputation(2), database(1), sensors(1), mobile comm(1), for entrepreneurs(1),  </v>
      </c>
      <c r="EV134" s="21" t="str">
        <f t="shared" si="252"/>
        <v xml:space="preserve">technologists(1,12.5), database(1,12.5), sensors(1,12.5), mobile comm(1,12.5), for entrepreneurs(1,6.25),  </v>
      </c>
      <c r="EW134" s="21" t="str">
        <f t="shared" si="384"/>
        <v xml:space="preserve">technologists(12.5),database(12.5),sensors(12.5),mobile comm(12.5),for entrepreneurs(6.25), </v>
      </c>
      <c r="EX134" s="21" t="str">
        <f t="shared" si="382"/>
        <v xml:space="preserve">technologists 1
 </v>
      </c>
      <c r="EY134" s="21" t="str">
        <f t="shared" si="253"/>
        <v xml:space="preserve">law(1,50), security(1,50), interaction(1,25),  </v>
      </c>
      <c r="EZ134" s="21" t="str">
        <f t="shared" si="383"/>
        <v xml:space="preserve">law 50
security 50
interaction 25
 </v>
      </c>
      <c r="FA134" s="21" t="str">
        <f t="shared" si="254"/>
        <v xml:space="preserve">seriousness(2), initiative(1), community manager(1), administrator(1), enthusiasm(1), fame(1), network(2), level of understanding(1), technologists(2), ease of access(1), reputation(2), law(2), for entrepreneurs(1),  </v>
      </c>
      <c r="FB134" s="21" t="str">
        <f t="shared" si="255"/>
        <v xml:space="preserve">technologists(1,12.5), law(1,6.25), database(1,12.5), mobile apps(1,12.5), security(1,12.5), mobile comm(1,12.5), for entrepreneurs(1,6.25),  </v>
      </c>
      <c r="FC134" s="21" t="str">
        <f t="shared" si="384"/>
        <v xml:space="preserve">technologists(12.5),law(6.25),database(12.5),mobile apps(12.5),security(12.5),mobile comm(12.5),for entrepreneurs(6.25), </v>
      </c>
      <c r="FD134" s="21" t="str">
        <f t="shared" si="382"/>
        <v xml:space="preserve">technologists 1
 </v>
      </c>
      <c r="FE134" s="21" t="str">
        <f t="shared" si="256"/>
        <v xml:space="preserve">law(1,50), sensors(1,50), security(1,50),  </v>
      </c>
      <c r="FF134" s="21" t="str">
        <f t="shared" si="383"/>
        <v xml:space="preserve">law 50
sensors 50
security 50
 </v>
      </c>
      <c r="FG134" s="21" t="str">
        <f t="shared" si="257"/>
        <v xml:space="preserve">seriousness(2), initiative(1), community manager(1), administrator(1), enthusiasm(1), fame(1), network(2), level of understanding(1), technologists(2), ease of access(1), reputation(2), law(2), project management(2), for entrepreneurs(1),  </v>
      </c>
      <c r="FH134" s="21" t="str">
        <f t="shared" si="258"/>
        <v xml:space="preserve">technologists(1,12.5), law(1,6.25), database(1,6.25), mobile apps(1,6.25), AI&amp; data analysis(1,6.25), mobile comm(1,6.25), for entrepreneurs(1,6.25),  </v>
      </c>
      <c r="FI134" s="21" t="str">
        <f t="shared" si="384"/>
        <v xml:space="preserve">technologists(12.5),law(6.25),database(6.25),mobile apps(6.25),AI&amp; data analysis(6.25),mobile comm(6.25),for entrepreneurs(6.25), </v>
      </c>
      <c r="FJ134" s="21" t="str">
        <f t="shared" si="382"/>
        <v xml:space="preserve">technologists 1
 </v>
      </c>
      <c r="FK134" s="21" t="str">
        <f t="shared" si="259"/>
        <v xml:space="preserve">wood processing(1,25), metal processing(1,25), plastic processing(1,25), fabric(1,25), safety(1,25), interaction(1,25),  </v>
      </c>
      <c r="FL134" s="21" t="str">
        <f t="shared" si="383"/>
        <v xml:space="preserve">project management 2
wood processing 25
metal processing 25
plastic processing 25
fabric 25
safety 25
interaction 25
 </v>
      </c>
      <c r="FM134" s="21" t="str">
        <f t="shared" si="260"/>
        <v xml:space="preserve">seriousness(2), initiative(1), community manager(1), administrator(1), enthusiasm(1), fame(1), network(2), level of understanding(1), technologists(2), spaciousness(1), ease of access(1), reputation(2), for entrepreneurs(1),  </v>
      </c>
      <c r="FN134" s="21" t="str">
        <f t="shared" si="261"/>
        <v xml:space="preserve">technologists(1,12.5), for entrepreneurs(1,6.25),  </v>
      </c>
      <c r="FO134" s="21" t="str">
        <f t="shared" si="384"/>
        <v xml:space="preserve">technologists(12.5),for entrepreneurs(6.25), </v>
      </c>
      <c r="FP134" s="21" t="str">
        <f t="shared" si="382"/>
        <v xml:space="preserve">technologists 1
 </v>
      </c>
      <c r="FQ134" s="21" t="str">
        <f t="shared" si="262"/>
        <v xml:space="preserve">web(1,25), mobile apps(1,50), functions(1,25), interaction(1,25),  </v>
      </c>
      <c r="FR134" s="21" t="str">
        <f t="shared" si="383"/>
        <v xml:space="preserve">web 25
mobile apps 50
functions 25
interaction 25
 </v>
      </c>
      <c r="FS134" s="21" t="str">
        <f t="shared" si="263"/>
        <v xml:space="preserve">seriousness(2), initiative(1), community manager(1), administrator(1), enthusiasm(1), fame(1), network(2), level of understanding(1), technologists(2), spaciousness(1), ease of access(1), reputation(2), for entrepreneurs(1),  </v>
      </c>
      <c r="FT134" s="21" t="str">
        <f t="shared" si="264"/>
        <v xml:space="preserve">technologists(1,12.5), for entrepreneurs(1,6.25),  </v>
      </c>
      <c r="FU134" s="21" t="str">
        <f t="shared" si="384"/>
        <v xml:space="preserve">technologists(12.5),for entrepreneurs(6.25), </v>
      </c>
      <c r="FV134" s="21" t="str">
        <f t="shared" si="382"/>
        <v xml:space="preserve">technologists 1
 </v>
      </c>
      <c r="FW134" s="21" t="str">
        <f t="shared" si="265"/>
        <v xml:space="preserve">mobile apps(1,50), sensors(1,50), wood processing(1,25), plastic processing(1,25), electronics(1,25), functions(1,25), interaction(1,25),  </v>
      </c>
      <c r="FX134" s="21" t="str">
        <f t="shared" si="383"/>
        <v xml:space="preserve">mobile apps 50
sensors 50
wood processing 25
plastic processing 25
electronics 25
functions 25
interaction 25
 </v>
      </c>
      <c r="FY134" s="21" t="str">
        <f t="shared" si="266"/>
        <v xml:space="preserve">seriousness(2), initiative(1), community manager(1), administrator(1), enthusiasm(1), fame(1), network(2), level of understanding(1), technologists(2), spaciousness(1), ease of access(1), reputation(2), project management(2), for entrepreneurs(1),  </v>
      </c>
      <c r="FZ134" s="21" t="str">
        <f t="shared" si="267"/>
        <v xml:space="preserve">technologists(1,12.5), web(1,6.25), database(1,6.25), AI&amp; data analysis(1,6.25), mobile comm(1,6.25), for entrepreneurs(1,6.25),  </v>
      </c>
      <c r="GA134" s="21" t="str">
        <f t="shared" si="384"/>
        <v xml:space="preserve">technologists(12.5),web(6.25),database(6.25),AI&amp; data analysis(6.25),mobile comm(6.25),for entrepreneurs(6.25), </v>
      </c>
      <c r="GB134" s="21" t="str">
        <f t="shared" si="382"/>
        <v xml:space="preserve">technologists 1
 </v>
      </c>
      <c r="GC134" s="21" t="str">
        <f t="shared" si="268"/>
        <v xml:space="preserve">sensors(1,25), mobile comm(1,25), electronics(1,50), functions(1,25), safety(1,25),  </v>
      </c>
      <c r="GD134" s="21" t="str">
        <f t="shared" si="383"/>
        <v xml:space="preserve">sensors 25
mobile comm 25
electronics 50
functions 25
safety 25
 </v>
      </c>
      <c r="GE134" s="21" t="str">
        <f t="shared" si="269"/>
        <v xml:space="preserve">seriousness(2), initiative(1), community manager(1), administrator(1), enthusiasm(1), fame(1), network(2), level of understanding(1), technologists(2), spaciousness(1), ease of access(1), reputation(2), project management(2), for entrepreneurs(1),  </v>
      </c>
      <c r="GF134" s="21" t="str">
        <f t="shared" si="270"/>
        <v xml:space="preserve">technologists(1,12.5), database(1,6.25), mobile apps(1,6.25), AI&amp; data analysis(1,6.25), plastic processing(1,6.25), interaction(1,6.25), for entrepreneurs(1,6.25),  </v>
      </c>
      <c r="GG134" s="21" t="str">
        <f t="shared" si="384"/>
        <v xml:space="preserve">technologists(12.5),database(6.25),mobile apps(6.25),AI&amp; data analysis(6.25),plastic processing(6.25),interaction(6.25),for entrepreneurs(6.25), </v>
      </c>
      <c r="GH134" s="21" t="str">
        <f t="shared" si="382"/>
        <v xml:space="preserve">technologists 1
 </v>
      </c>
      <c r="GI134" s="21" t="str">
        <f t="shared" si="271"/>
        <v xml:space="preserve">web(1,25), mobile apps(1,50), functions(1,25), interaction(1,25),  </v>
      </c>
      <c r="GJ134" s="21" t="str">
        <f t="shared" si="383"/>
        <v xml:space="preserve">web 25
mobile apps 50
functions 25
interaction 25
 </v>
      </c>
      <c r="GK134" s="21" t="str">
        <f t="shared" si="272"/>
        <v xml:space="preserve">seriousness(2), initiative(1), community manager(1), administrator(1), enthusiasm(1), fame(1), network(2), level of understanding(1), technologists(2), spaciousness(1), ease of access(1), reputation(2), project management(2), for entrepreneurs(1),  </v>
      </c>
      <c r="GL134" s="21" t="str">
        <f t="shared" si="273"/>
        <v xml:space="preserve">technologists(1,12.5), for entrepreneurs(1,6.25),  </v>
      </c>
      <c r="GM134" s="21" t="str">
        <f t="shared" si="384"/>
        <v xml:space="preserve">technologists(12.5),for entrepreneurs(6.25), </v>
      </c>
      <c r="GN134" s="21" t="str">
        <f t="shared" si="382"/>
        <v xml:space="preserve">technologists 1
 </v>
      </c>
      <c r="GO134" s="21" t="str">
        <f t="shared" si="274"/>
        <v xml:space="preserve">web(1,25), mobile apps(1,25), VR&amp;AR(1,25), aesthetics(1,25), functions(1,25), interaction(1,50),  </v>
      </c>
      <c r="GP134" s="21" t="str">
        <f t="shared" si="383"/>
        <v xml:space="preserve">web 25
mobile apps 25
VR&amp;AR 25
aesthetics 25
functions 25
interaction 50
 </v>
      </c>
      <c r="GQ134" s="21" t="str">
        <f t="shared" si="275"/>
        <v xml:space="preserve">seriousness(2), initiative(1), community manager(1), administrator(1), enthusiasm(1), fame(1), network(2), level of understanding(1), technologists(2), spaciousness(1), ease of access(1), reputation(2), project management(2), for entrepreneurs(1),  </v>
      </c>
      <c r="GR134" s="21" t="str">
        <f t="shared" si="276"/>
        <v xml:space="preserve">technologists(1,12.5), for entrepreneurs(1,6.25),  </v>
      </c>
      <c r="GS134" s="21" t="str">
        <f t="shared" si="384"/>
        <v xml:space="preserve">technologists(12.5),for entrepreneurs(6.25), </v>
      </c>
      <c r="GT134" s="21" t="str">
        <f t="shared" si="382"/>
        <v xml:space="preserve">ease of access 1
reputation 2
web 1
mobile apps 1
mobile comm 1
 </v>
      </c>
      <c r="GU134" s="21" t="str">
        <f t="shared" si="277"/>
        <v xml:space="preserve"> </v>
      </c>
      <c r="GV134" s="21" t="str">
        <f t="shared" si="383"/>
        <v xml:space="preserve"> </v>
      </c>
      <c r="GW134" s="21" t="str">
        <f t="shared" si="278"/>
        <v xml:space="preserve">attention to details(1), 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4" s="21" t="str">
        <f t="shared" si="279"/>
        <v xml:space="preserve">media(1,6.25), entrepreneurs(1,6.25), technologists(1,6.25), project management(1,6.25), social media(1,6.25), web(1,6.25), mobile apps(1,6.25),  </v>
      </c>
      <c r="GY134" s="21" t="str">
        <f t="shared" si="384"/>
        <v xml:space="preserve">media(6.25),entrepreneurs(6.25),technologists(6.25),project management(6.25),social media(6.25),web(6.25),mobile apps(6.25), </v>
      </c>
      <c r="GZ134" s="21" t="str">
        <f t="shared" si="385"/>
        <v xml:space="preserve">network 1
govt 1
non-profits 1
reputation 2
portfolio 1
 </v>
      </c>
      <c r="HA134" s="21" t="str">
        <f t="shared" si="281"/>
        <v xml:space="preserve"> </v>
      </c>
      <c r="HB134" s="21" t="str">
        <f t="shared" si="386"/>
        <v xml:space="preserve"> </v>
      </c>
      <c r="HC134" s="21" t="str">
        <f t="shared" si="283"/>
        <v xml:space="preserve">attention to details(2), fun-ness(2), initiative(2), leader(1), community manager(1), PR(1), finance(1), administrator(1), network(2), govt(3), non-profits(3), reputation(4), portfolio(3), social media(2), web(2), mobile apps(2), sensors(2), AI&amp; data analysis(2), VR&amp;AR(2), plastic processing(2), electronics(2), aesthetics(2), interaction(2),  </v>
      </c>
      <c r="HD134" s="21" t="str">
        <f t="shared" si="284"/>
        <v xml:space="preserve">media(1,6.25), technologists(1,6.25), non-profits(1,6.25), reputation(1,6.25), start-up with customers(1,6.25), for basic literacy(1,6.25),  </v>
      </c>
      <c r="HE134" s="21" t="str">
        <f t="shared" si="387"/>
        <v xml:space="preserve">media(6.25),technologists(6.25),non-profits(6.25),reputation(6.25),start-up with customers(6.25),for basic literacy(6.25), </v>
      </c>
      <c r="HF134" s="21" t="str">
        <f t="shared" si="385"/>
        <v xml:space="preserve"> </v>
      </c>
      <c r="HG134" s="21" t="str">
        <f t="shared" si="286"/>
        <v xml:space="preserve"> </v>
      </c>
      <c r="HH134" s="21" t="str">
        <f t="shared" si="386"/>
        <v xml:space="preserve"> </v>
      </c>
      <c r="HI134" s="21" t="str">
        <f t="shared" si="287"/>
        <v xml:space="preserve">attention to details(2), fun-ness(2), seriousness(2), initiative(2), leader(1), community manager(1), PR(1), finance(1), administrator(1), network(2), portfolio(3), marketing(2), team building(3), project management(2), mobile apps(3), sensors(2), plastic processing(2), electronics(2), aesthetics(2), functions(2), interaction(2),  </v>
      </c>
      <c r="HJ134" s="21" t="str">
        <f t="shared" si="288"/>
        <v xml:space="preserve">fun-ness(1,6.25), seriousness(1,6.25), govt(1,6.25), media(1,6.25), non-profits(1,6.25), start-up with customers(1,6.25),  </v>
      </c>
      <c r="HK134" s="21" t="str">
        <f t="shared" si="387"/>
        <v xml:space="preserve">fun-ness(6.25),seriousness(6.25),govt(6.25),media(6.25),non-profits(6.25),start-up with customers(6.25), </v>
      </c>
      <c r="HL134" s="21" t="str">
        <f t="shared" si="385"/>
        <v xml:space="preserve">community manager 1
PR 1
administrator 1
local biz 1
entrepreneurs 1
non-profits 1
reputation 2
portfolio 2
 </v>
      </c>
      <c r="HM134" s="21" t="str">
        <f t="shared" si="289"/>
        <v xml:space="preserve">fun-ness(1,25), seriousness(1,25),  </v>
      </c>
      <c r="HN134" s="21" t="str">
        <f t="shared" si="386"/>
        <v xml:space="preserve">fun-ness 25
seriousness 25
 </v>
      </c>
      <c r="HO134"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4" s="21" t="str">
        <f t="shared" si="291"/>
        <v xml:space="preserve">fun-ness(1,6.25), enthusiasm(1,6.25), level of understanding(1,6.25), local biz(1,6.25), biz group(1,6.25), govt(1,6.25), investors(1,6.25), media(1,6.25), entrepreneurs(1,6.25), technologists(1,6.25), suppliers(1,6.25), non-profits(1,6.25), reputation(1,6.25),  </v>
      </c>
      <c r="HQ134" s="47" t="str">
        <f t="shared" si="387"/>
        <v xml:space="preserve">fun-ness(6.25),enthusiasm(6.25),level of understanding(6.25),local biz(6.25),biz group(6.25),govt(6.25),investors(6.25),media(6.25),entrepreneurs(6.25),technologists(6.25),suppliers(6.25),non-profits(6.25),reputation(6.25), </v>
      </c>
      <c r="HR134" s="47" t="str">
        <f t="shared" ref="HR134:HW134" si="443">IF(HR32="",HR135,$C134&amp;"("&amp;HR32&amp;"),"&amp;HR135)</f>
        <v xml:space="preserve">reputation(2),portfolio(2),mobile apps(1),sensors(1),wood processing(1),aesthetics(1), </v>
      </c>
      <c r="HS134" s="47" t="str">
        <f t="shared" si="443"/>
        <v xml:space="preserve"> </v>
      </c>
      <c r="HT134" s="47" t="str">
        <f t="shared" si="443"/>
        <v xml:space="preserve"> </v>
      </c>
      <c r="HU134" s="47" t="str">
        <f t="shared" si="443"/>
        <v xml:space="preserve">attention to details(2),seriousness(2),leader(1),community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4" s="47" t="str">
        <f t="shared" si="443"/>
        <v xml:space="preserve">local biz(1),biz group(1),govt(1),investors(1),media(1),entrepreneurs(1),technologists(1),suppliers(1),non-profits(1),reputation(1), </v>
      </c>
      <c r="HW134" s="47" t="str">
        <f t="shared" si="443"/>
        <v xml:space="preserve">local biz(6.25),biz group(6.25),govt(6.25),investors(6.25),media(6.25),entrepreneurs(6.25),technologists(12.5),suppliers(6.25),non-profits(6.25),reputation(6.25), </v>
      </c>
      <c r="HX134" s="47" t="str">
        <f t="shared" ref="HX134:IU134" si="444">IF(HX32="",HX135,$C134&amp;"("&amp;HX32&amp;"),"&amp;HX135)</f>
        <v xml:space="preserve">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4" s="47" t="str">
        <f t="shared" si="444"/>
        <v xml:space="preserve">biz enhancement(1), </v>
      </c>
      <c r="HZ134" s="47" t="str">
        <f t="shared" si="444"/>
        <v xml:space="preserve">biz enhancement(100), </v>
      </c>
      <c r="IA134" s="47" t="str">
        <f t="shared" si="444"/>
        <v xml:space="preserve">community manager(1),PR(1),finance(1),administrator(1),enthusiasm(2),network(2),ambition(2),knowledge(2),spaciousness(2),ease of access(3),efficiency(2),portfolio(4),finance(2),business model(2),marketing(3),team building(2),project management(2),social media(3),negotiation(3), </v>
      </c>
      <c r="IB134" s="47" t="str">
        <f t="shared" si="444"/>
        <v xml:space="preserve">seriousness(1),initiative(1),level of understanding(1),ambition(1),local biz(1),biz group(1),govt(1),media(1),entrepreneurs(1),technologists(1),non-profits(1),reputation(1),team building(1),database(1),AI&amp; data analysis(1),electronics(1),functions(1), </v>
      </c>
      <c r="IC134" s="47" t="str">
        <f t="shared" si="444"/>
        <v xml:space="preserve">seriousness(6.25),initiative(6.25),level of understanding(6.25),ambition(6.25),local biz(6.25),biz group(6.25),govt(6.25),media(6.25),entrepreneurs(6.25),technologists(6.25),non-profits(6.25),reputation(6.25),team building(6.25),database(6.25),AI&amp; data analysis(6.25),electronics(6.25),functions(6.25), </v>
      </c>
      <c r="ID134" s="47" t="str">
        <f t="shared" si="444"/>
        <v xml:space="preserve">technologists(2), </v>
      </c>
      <c r="IE134" s="47" t="str">
        <f t="shared" si="444"/>
        <v xml:space="preserve">web(1),mobile apps(1),security(1),AI&amp; data analysis(1), </v>
      </c>
      <c r="IF134" s="47" t="str">
        <f t="shared" si="444"/>
        <v xml:space="preserve">web(25),mobile apps(25),security(25),AI&amp; data analysis(25), </v>
      </c>
      <c r="IG134" s="47" t="str">
        <f t="shared" si="444"/>
        <v xml:space="preserve">attention to details(2),seriousness(2),community manager(1),administrator(1),network(2),entrepreneurs(3),technologists(4),spaciousness(2),ease of access(2),reputation(3),efficiency(2),portfolio(3),web(2),database(2),mobile apps(2),security(2),AI&amp; data analysis(2), </v>
      </c>
      <c r="IH134" s="47" t="str">
        <f t="shared" si="444"/>
        <v xml:space="preserve">technologists(1),web(1),database(1),mobile apps(1),security(1),AI&amp; data analysis(1), </v>
      </c>
      <c r="II134" s="47" t="str">
        <f t="shared" si="444"/>
        <v xml:space="preserve">technologists(6.25),web(6.25),database(6.25),mobile apps(6.25),security(6.25),AI&amp; data analysis(6.25), </v>
      </c>
      <c r="IJ134" s="47" t="str">
        <f t="shared" si="444"/>
        <v xml:space="preserve">technologists(2), </v>
      </c>
      <c r="IK134" s="47" t="str">
        <f t="shared" si="444"/>
        <v xml:space="preserve">wood processing(1),metal processing(1),functions(1),safety(1), </v>
      </c>
      <c r="IL134" s="47" t="str">
        <f t="shared" si="444"/>
        <v xml:space="preserve">wood processing(25),metal processing(25),functions(25),safety(25), </v>
      </c>
      <c r="IM134" s="47" t="str">
        <f t="shared" si="444"/>
        <v xml:space="preserve">attention to details(2),seriousness(2),community manager(1),administrator(1),network(2),entrepreneurs(3),technologists(4),spaciousness(2),ease of access(2),reputation(3),efficiency(2),portfolio(3),wood processing(2),metal processing(2),functions(2),safety(2), </v>
      </c>
      <c r="IN134" s="47" t="str">
        <f t="shared" si="444"/>
        <v xml:space="preserve">technologists(1),wood processing(1),metal processing(1),functions(1),safety(1),interaction(1), </v>
      </c>
      <c r="IO134" s="47" t="str">
        <f t="shared" si="444"/>
        <v xml:space="preserve">technologists(6.25),wood processing(6.25),metal processing(6.25),functions(6.25),safety(6.25),interaction(6.25), </v>
      </c>
      <c r="IP134" s="57" t="str">
        <f t="shared" si="444"/>
        <v xml:space="preserve">local biz(2),reputation(1), </v>
      </c>
      <c r="IQ134" s="47" t="str">
        <f t="shared" si="444"/>
        <v xml:space="preserve">local biz(1),marketing(1), </v>
      </c>
      <c r="IR134" s="47" t="str">
        <f t="shared" si="444"/>
        <v xml:space="preserve">local biz(25),marketing(25), </v>
      </c>
      <c r="IS134" s="47" t="str">
        <f t="shared" si="444"/>
        <v xml:space="preserve">attention to details(2),fun-ness(2),seriousness(2),leader(1),community manager(1),finance(1),administrator(1),enthusiasm(3),network(2),level of understanding(3),local biz(3),biz group(2),govt(2),non-profits(2),reputation(3),efficiency(2),marketing(2), </v>
      </c>
      <c r="IT134" s="47" t="str">
        <f t="shared" si="444"/>
        <v xml:space="preserve">fun-ness(1),seriousness(1),local biz(1),biz group(1),govt(1),non-profits(1),marketing(1), </v>
      </c>
      <c r="IU134" s="47" t="str">
        <f t="shared" si="444"/>
        <v xml:space="preserve">fun-ness(6.25),seriousness(6.25),local biz(6.25),biz group(6.25),govt(6.25),non-profits(6.25),marketing(6.25), </v>
      </c>
      <c r="IV134" s="57" t="str">
        <f t="shared" ref="IV134:LG134" si="445">IF(IV32="",IV135,$C134&amp;"("&amp;IV32&amp;"),"&amp;IV135)</f>
        <v xml:space="preserve">local biz(2),reputation(1), </v>
      </c>
      <c r="IW134" s="47" t="str">
        <f t="shared" si="445"/>
        <v xml:space="preserve">local biz(1),marketing(1), </v>
      </c>
      <c r="IX134" s="47" t="str">
        <f t="shared" si="445"/>
        <v xml:space="preserve">local biz(25),marketing(25), </v>
      </c>
      <c r="IY134" s="47" t="str">
        <f t="shared" si="445"/>
        <v xml:space="preserve">attention to details(2),fun-ness(2),seriousness(2),leader(1),community manager(1),finance(1),administrator(1),enthusiasm(3),network(2),level of understanding(3),local biz(3),biz group(2),govt(2),reputation(3),efficiency(2),marketing(2), </v>
      </c>
      <c r="IZ134" s="47" t="str">
        <f t="shared" si="445"/>
        <v xml:space="preserve">fun-ness(1),seriousness(1),local biz(1),biz group(1),govt(1),marketing(1), </v>
      </c>
      <c r="JA134" s="47" t="str">
        <f t="shared" si="445"/>
        <v xml:space="preserve">fun-ness(6.25),seriousness(6.25),local biz(6.25),biz group(6.25),govt(6.25),marketing(6.25), </v>
      </c>
      <c r="JB134" s="47" t="str">
        <f t="shared" si="445"/>
        <v xml:space="preserve"> </v>
      </c>
      <c r="JC134" s="47" t="str">
        <f t="shared" si="445"/>
        <v xml:space="preserve"> </v>
      </c>
      <c r="JD134" s="47" t="str">
        <f t="shared" si="445"/>
        <v xml:space="preserve"> </v>
      </c>
      <c r="JE134" s="47" t="str">
        <f t="shared" si="445"/>
        <v xml:space="preserve">attention to details(2),fun-ness(2),community manager(1),PR(1),administrator(1),network(2),level of understanding(2),technologists(2),spaciousness(1),ease of access(1),reputation(3),efficiency(2), </v>
      </c>
      <c r="JF134" s="47" t="str">
        <f t="shared" si="445"/>
        <v xml:space="preserve">web(1),infrastructrue(1),database(1),mobile apps(1),sensors(1),security(1),AI&amp; data analysis(1),mobile comm(1),VR&amp;AR(1),wood processing(1),metal processing(1),plastic processing(1),electronics(1),fabric(1),aesthetics(1),functions(1),safety(1),interaction(1), </v>
      </c>
      <c r="JG134" s="47" t="str">
        <f t="shared" si="445"/>
        <v xml:space="preserve">web(6.25),infrastructrue(6.25),database(6.25),mobile apps(6.25),sensors(6.25),security(6.25),AI&amp; data analysis(6.25),mobile comm(6.25),VR&amp;AR(6.25),wood processing(6.25),metal processing(6.25),plastic processing(6.25),electronics(6.25),fabric(6.25),aesthetics(6.25),functions(6.25),safety(6.25),interaction(6.25), </v>
      </c>
      <c r="JH134" s="47" t="str">
        <f t="shared" si="445"/>
        <v xml:space="preserve">enthusiasm(1),local biz(1),non-profits(1),reputation(2), </v>
      </c>
      <c r="JI134" s="47" t="str">
        <f t="shared" si="445"/>
        <v xml:space="preserve"> </v>
      </c>
      <c r="JJ134" s="47" t="str">
        <f t="shared" si="445"/>
        <v xml:space="preserve"> </v>
      </c>
      <c r="JK134" s="47" t="str">
        <f t="shared" si="445"/>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4" s="47" t="str">
        <f t="shared" si="445"/>
        <v xml:space="preserve">non-profits(1), </v>
      </c>
      <c r="JM134" s="47" t="str">
        <f t="shared" si="445"/>
        <v xml:space="preserve">non-profits(6.25), </v>
      </c>
      <c r="JN134" s="47" t="str">
        <f t="shared" si="445"/>
        <v xml:space="preserve">enthusiasm(1),network(1),local biz(1),investors(1),entrepreneurs(1),technologists(1),non-profits(1),reputation(2),portfolio(2), </v>
      </c>
      <c r="JO134" s="47" t="str">
        <f t="shared" si="445"/>
        <v xml:space="preserve"> </v>
      </c>
      <c r="JP134" s="47" t="str">
        <f t="shared" si="445"/>
        <v xml:space="preserve"> </v>
      </c>
      <c r="JQ134" s="47" t="str">
        <f t="shared" si="445"/>
        <v xml:space="preserve">attention to details(2),seriousness(2),community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4" s="47" t="str">
        <f t="shared" si="445"/>
        <v xml:space="preserve"> </v>
      </c>
      <c r="JS134" s="47" t="str">
        <f t="shared" si="445"/>
        <v xml:space="preserve"> </v>
      </c>
      <c r="JT134" s="47" t="str">
        <f t="shared" si="445"/>
        <v xml:space="preserve">PR(1),administrator(1),enthusiasm(2),network(2),local biz(2),biz group(1),govt(2),investors(2),entrepreneurs(2),technologists(2),non-profits(2),reputation(2),portfolio(3), </v>
      </c>
      <c r="JU134" s="47" t="str">
        <f t="shared" si="445"/>
        <v xml:space="preserve"> </v>
      </c>
      <c r="JV134" s="47" t="str">
        <f t="shared" si="445"/>
        <v xml:space="preserve"> </v>
      </c>
      <c r="JW134" s="47" t="str">
        <f t="shared" si="445"/>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4" s="47" t="str">
        <f t="shared" si="445"/>
        <v xml:space="preserve"> </v>
      </c>
      <c r="JY134" s="47" t="str">
        <f t="shared" si="445"/>
        <v xml:space="preserve"> </v>
      </c>
      <c r="JZ134" s="47" t="str">
        <f t="shared" si="445"/>
        <v xml:space="preserve">network(1),non-profits(1),reputation(2),social project(2), </v>
      </c>
      <c r="KA134" s="47" t="str">
        <f t="shared" si="445"/>
        <v xml:space="preserve">non-profits(1), </v>
      </c>
      <c r="KB134" s="47" t="str">
        <f t="shared" si="445"/>
        <v xml:space="preserve">non-profits(25), </v>
      </c>
      <c r="KC134" s="47" t="str">
        <f t="shared" si="445"/>
        <v xml:space="preserve">attention to details(2),seriousness(2),PR(1),administrator(1),enthusiasm(2),fame(2),network(2),ambition(3),local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4" s="47" t="str">
        <f t="shared" si="445"/>
        <v xml:space="preserve">non-profits(1), </v>
      </c>
      <c r="KE134" s="47" t="str">
        <f t="shared" si="445"/>
        <v xml:space="preserve">non-profits(6.25), </v>
      </c>
      <c r="KF134" s="47" t="str">
        <f t="shared" si="445"/>
        <v xml:space="preserve"> </v>
      </c>
      <c r="KG134" s="47" t="str">
        <f t="shared" si="445"/>
        <v xml:space="preserve"> </v>
      </c>
      <c r="KH134" s="47" t="str">
        <f t="shared" si="445"/>
        <v xml:space="preserve"> </v>
      </c>
      <c r="KI134" s="47" t="str">
        <f t="shared" si="445"/>
        <v xml:space="preserve"> </v>
      </c>
      <c r="KJ134" s="47" t="str">
        <f t="shared" si="445"/>
        <v xml:space="preserve"> </v>
      </c>
      <c r="KK134" s="47" t="str">
        <f t="shared" si="445"/>
        <v xml:space="preserve"> </v>
      </c>
      <c r="KL134" s="57" t="str">
        <f t="shared" si="445"/>
        <v xml:space="preserve"> </v>
      </c>
      <c r="KM134" s="47" t="str">
        <f t="shared" si="445"/>
        <v xml:space="preserve"> </v>
      </c>
      <c r="KN134" s="47" t="str">
        <f t="shared" si="445"/>
        <v xml:space="preserve"> </v>
      </c>
      <c r="KO134" s="47" t="str">
        <f t="shared" si="445"/>
        <v xml:space="preserve"> </v>
      </c>
      <c r="KP134" s="47" t="str">
        <f t="shared" si="445"/>
        <v xml:space="preserve"> </v>
      </c>
      <c r="KQ134" s="47" t="str">
        <f t="shared" si="445"/>
        <v xml:space="preserve"> </v>
      </c>
      <c r="KR134" s="57" t="str">
        <f t="shared" si="445"/>
        <v xml:space="preserve"> </v>
      </c>
      <c r="KS134" s="47" t="str">
        <f t="shared" si="445"/>
        <v xml:space="preserve"> </v>
      </c>
      <c r="KT134" s="47" t="str">
        <f t="shared" si="445"/>
        <v xml:space="preserve"> </v>
      </c>
      <c r="KU134" s="47" t="str">
        <f t="shared" si="445"/>
        <v xml:space="preserve"> </v>
      </c>
      <c r="KV134" s="47" t="str">
        <f t="shared" si="445"/>
        <v xml:space="preserve"> </v>
      </c>
      <c r="KW134" s="47" t="str">
        <f t="shared" si="445"/>
        <v xml:space="preserve"> </v>
      </c>
      <c r="KX134" s="57" t="str">
        <f t="shared" si="445"/>
        <v xml:space="preserve"> </v>
      </c>
      <c r="KY134" s="47" t="str">
        <f t="shared" si="445"/>
        <v xml:space="preserve"> </v>
      </c>
      <c r="KZ134" s="47" t="str">
        <f t="shared" si="445"/>
        <v xml:space="preserve"> </v>
      </c>
      <c r="LA134" s="47" t="str">
        <f t="shared" si="445"/>
        <v xml:space="preserve"> </v>
      </c>
      <c r="LB134" s="47" t="str">
        <f t="shared" si="445"/>
        <v xml:space="preserve"> </v>
      </c>
      <c r="LC134" s="47" t="str">
        <f t="shared" si="445"/>
        <v xml:space="preserve"> </v>
      </c>
      <c r="LD134" s="57" t="str">
        <f t="shared" si="445"/>
        <v xml:space="preserve"> </v>
      </c>
      <c r="LE134" s="47" t="str">
        <f t="shared" si="445"/>
        <v xml:space="preserve"> </v>
      </c>
      <c r="LF134" s="47" t="str">
        <f t="shared" si="445"/>
        <v xml:space="preserve"> </v>
      </c>
      <c r="LG134" s="47" t="str">
        <f t="shared" si="445"/>
        <v xml:space="preserve"> </v>
      </c>
      <c r="LH134" s="47" t="str">
        <f t="shared" ref="LH134:NM134" si="446">IF(LH32="",LH135,$C134&amp;"("&amp;LH32&amp;"),"&amp;LH135)</f>
        <v xml:space="preserve"> </v>
      </c>
      <c r="LI134" s="47" t="str">
        <f t="shared" si="446"/>
        <v xml:space="preserve"> </v>
      </c>
      <c r="LJ134" s="57" t="str">
        <f t="shared" si="446"/>
        <v xml:space="preserve"> </v>
      </c>
      <c r="LK134" s="47" t="str">
        <f t="shared" si="446"/>
        <v xml:space="preserve"> </v>
      </c>
      <c r="LL134" s="47" t="str">
        <f t="shared" si="446"/>
        <v xml:space="preserve"> </v>
      </c>
      <c r="LM134" s="47" t="str">
        <f t="shared" si="446"/>
        <v xml:space="preserve"> </v>
      </c>
      <c r="LN134" s="47" t="str">
        <f t="shared" si="446"/>
        <v xml:space="preserve"> </v>
      </c>
      <c r="LO134" s="47" t="str">
        <f t="shared" si="446"/>
        <v xml:space="preserve"> </v>
      </c>
      <c r="LP134" s="57" t="str">
        <f t="shared" si="446"/>
        <v xml:space="preserve"> </v>
      </c>
      <c r="LQ134" s="47" t="str">
        <f t="shared" si="446"/>
        <v xml:space="preserve"> </v>
      </c>
      <c r="LR134" s="47" t="str">
        <f t="shared" si="446"/>
        <v xml:space="preserve"> </v>
      </c>
      <c r="LS134" s="47" t="str">
        <f t="shared" si="446"/>
        <v xml:space="preserve"> </v>
      </c>
      <c r="LT134" s="47" t="str">
        <f t="shared" si="446"/>
        <v xml:space="preserve"> </v>
      </c>
      <c r="LU134" s="47" t="str">
        <f t="shared" si="446"/>
        <v xml:space="preserve"> </v>
      </c>
      <c r="LV134" s="57" t="str">
        <f t="shared" si="446"/>
        <v xml:space="preserve"> </v>
      </c>
      <c r="LW134" s="47" t="str">
        <f t="shared" si="446"/>
        <v xml:space="preserve"> </v>
      </c>
      <c r="LX134" s="47" t="str">
        <f t="shared" si="446"/>
        <v xml:space="preserve"> </v>
      </c>
      <c r="LY134" s="47" t="str">
        <f t="shared" si="446"/>
        <v xml:space="preserve"> </v>
      </c>
      <c r="LZ134" s="47" t="str">
        <f t="shared" si="446"/>
        <v xml:space="preserve"> </v>
      </c>
      <c r="MA134" s="47" t="str">
        <f t="shared" si="446"/>
        <v xml:space="preserve"> </v>
      </c>
      <c r="MB134" s="57" t="str">
        <f t="shared" si="446"/>
        <v xml:space="preserve"> </v>
      </c>
      <c r="MC134" s="47" t="str">
        <f t="shared" si="446"/>
        <v xml:space="preserve"> </v>
      </c>
      <c r="MD134" s="47" t="str">
        <f t="shared" si="446"/>
        <v xml:space="preserve"> </v>
      </c>
      <c r="ME134" s="47" t="str">
        <f t="shared" si="446"/>
        <v xml:space="preserve"> </v>
      </c>
      <c r="MF134" s="47" t="str">
        <f t="shared" si="446"/>
        <v xml:space="preserve"> </v>
      </c>
      <c r="MG134" s="47" t="str">
        <f t="shared" si="446"/>
        <v xml:space="preserve"> </v>
      </c>
      <c r="MH134" s="57" t="str">
        <f t="shared" si="446"/>
        <v xml:space="preserve"> </v>
      </c>
      <c r="MI134" s="47" t="str">
        <f t="shared" si="446"/>
        <v xml:space="preserve"> </v>
      </c>
      <c r="MJ134" s="47" t="str">
        <f t="shared" si="446"/>
        <v xml:space="preserve"> </v>
      </c>
      <c r="MK134" s="47" t="str">
        <f t="shared" si="446"/>
        <v xml:space="preserve"> </v>
      </c>
      <c r="ML134" s="47" t="str">
        <f t="shared" si="446"/>
        <v xml:space="preserve"> </v>
      </c>
      <c r="MM134" s="47" t="str">
        <f t="shared" si="446"/>
        <v xml:space="preserve"> </v>
      </c>
      <c r="MN134" s="57" t="str">
        <f t="shared" si="446"/>
        <v xml:space="preserve"> </v>
      </c>
      <c r="MO134" s="47" t="str">
        <f t="shared" si="446"/>
        <v xml:space="preserve"> </v>
      </c>
      <c r="MP134" s="47" t="str">
        <f t="shared" si="446"/>
        <v xml:space="preserve"> </v>
      </c>
      <c r="MQ134" s="47" t="str">
        <f t="shared" si="446"/>
        <v xml:space="preserve"> </v>
      </c>
      <c r="MR134" s="47" t="str">
        <f t="shared" si="446"/>
        <v xml:space="preserve"> </v>
      </c>
      <c r="MS134" s="47" t="str">
        <f t="shared" si="446"/>
        <v xml:space="preserve"> </v>
      </c>
      <c r="MT134" s="57" t="str">
        <f t="shared" si="446"/>
        <v xml:space="preserve"> </v>
      </c>
      <c r="MU134" s="47" t="str">
        <f t="shared" si="446"/>
        <v xml:space="preserve"> </v>
      </c>
      <c r="MV134" s="47" t="str">
        <f t="shared" si="446"/>
        <v xml:space="preserve"> </v>
      </c>
      <c r="MW134" s="47" t="str">
        <f t="shared" si="446"/>
        <v xml:space="preserve"> </v>
      </c>
      <c r="MX134" s="47" t="str">
        <f t="shared" si="446"/>
        <v xml:space="preserve"> </v>
      </c>
      <c r="MY134" s="47" t="str">
        <f t="shared" si="446"/>
        <v xml:space="preserve"> </v>
      </c>
      <c r="MZ134" s="57" t="str">
        <f t="shared" si="446"/>
        <v xml:space="preserve"> </v>
      </c>
      <c r="NA134" s="47" t="str">
        <f t="shared" si="446"/>
        <v xml:space="preserve"> </v>
      </c>
      <c r="NB134" s="47" t="str">
        <f t="shared" si="446"/>
        <v xml:space="preserve"> </v>
      </c>
      <c r="NC134" s="47" t="str">
        <f t="shared" si="446"/>
        <v xml:space="preserve"> </v>
      </c>
      <c r="ND134" s="47" t="str">
        <f t="shared" si="446"/>
        <v xml:space="preserve"> </v>
      </c>
      <c r="NE134" s="47" t="str">
        <f t="shared" si="446"/>
        <v xml:space="preserve"> </v>
      </c>
      <c r="NF134" s="57" t="str">
        <f t="shared" si="446"/>
        <v xml:space="preserve"> </v>
      </c>
      <c r="NG134" s="47" t="str">
        <f t="shared" si="446"/>
        <v xml:space="preserve"> </v>
      </c>
      <c r="NH134" s="47" t="str">
        <f t="shared" si="446"/>
        <v xml:space="preserve"> </v>
      </c>
      <c r="NI134" s="47" t="str">
        <f t="shared" si="446"/>
        <v xml:space="preserve"> </v>
      </c>
      <c r="NJ134" s="47" t="str">
        <f t="shared" si="446"/>
        <v xml:space="preserve"> </v>
      </c>
      <c r="NK134" s="47" t="str">
        <f t="shared" si="446"/>
        <v xml:space="preserve"> </v>
      </c>
      <c r="NL134" s="57" t="str">
        <f t="shared" si="446"/>
        <v xml:space="preserve"> </v>
      </c>
      <c r="NM134" s="47" t="str">
        <f t="shared" si="446"/>
        <v xml:space="preserve"> </v>
      </c>
    </row>
    <row r="135" spans="3:377" ht="15.75" customHeight="1">
      <c r="C135" s="7" t="str">
        <f t="shared" si="296"/>
        <v>fun-ness</v>
      </c>
      <c r="D135" s="21" t="str">
        <f t="shared" si="169"/>
        <v xml:space="preserve"> </v>
      </c>
      <c r="E135" s="21" t="str">
        <f t="shared" si="297"/>
        <v xml:space="preserve"> </v>
      </c>
      <c r="F135" s="21" t="str">
        <f t="shared" si="170"/>
        <v xml:space="preserve"> </v>
      </c>
      <c r="G135" s="21" t="str">
        <f t="shared" si="298"/>
        <v xml:space="preserve">fun-ness(1), community manager(1), PR(1), fame(1), network(2), ease of access(1), reputation(2), social media(1),  </v>
      </c>
      <c r="H135" s="21" t="str">
        <f t="shared" si="299"/>
        <v xml:space="preserve"> </v>
      </c>
      <c r="I135" s="21" t="str">
        <f t="shared" ref="I135" si="447">IF(I33="",I136,$C135&amp;"("&amp;I33&amp;"),"&amp;I136)</f>
        <v xml:space="preserve"> </v>
      </c>
      <c r="J135" s="21" t="str">
        <f t="shared" si="376"/>
        <v xml:space="preserve">interaction 1
 </v>
      </c>
      <c r="K135" s="21" t="str">
        <f t="shared" si="173"/>
        <v xml:space="preserve">reputation(1,75),  </v>
      </c>
      <c r="L135" s="21" t="str">
        <f t="shared" si="377"/>
        <v xml:space="preserve">reputation 75
 </v>
      </c>
      <c r="M135" s="21" t="str">
        <f t="shared" si="175"/>
        <v xml:space="preserve">PR(1), portfolio(1), social innovation(1), non-profit biz(1),  </v>
      </c>
      <c r="N135" s="21" t="str">
        <f t="shared" si="176"/>
        <v xml:space="preserve">seriousness(1,25), non-profits(1,12.5), reputation(1,75), marketing(1,12.5),  </v>
      </c>
      <c r="O135" s="21" t="str">
        <f t="shared" si="378"/>
        <v xml:space="preserve">seriousness(25),non-profits(12.5),reputation(75),marketing(12.5), </v>
      </c>
      <c r="P135" s="21" t="str">
        <f t="shared" si="376"/>
        <v xml:space="preserve">biz project 1
 </v>
      </c>
      <c r="Q135" s="21" t="str">
        <f t="shared" si="178"/>
        <v xml:space="preserve"> </v>
      </c>
      <c r="R135" s="21" t="str">
        <f t="shared" si="377"/>
        <v xml:space="preserve"> </v>
      </c>
      <c r="S135" s="21" t="str">
        <f t="shared" si="179"/>
        <v xml:space="preserve">portfolio(1), biz enhancement(1), business(1), start-up(1),  </v>
      </c>
      <c r="T135" s="21" t="str">
        <f t="shared" si="180"/>
        <v xml:space="preserve">seriousness(1,25), local biz(1,6.25), investors(1,6.25), reputation(1,6.25),  </v>
      </c>
      <c r="U135" s="21" t="str">
        <f t="shared" si="378"/>
        <v xml:space="preserve">seriousness(25),local biz(6.25),investors(6.25),reputation(6.25), </v>
      </c>
      <c r="V135" s="21" t="str">
        <f t="shared" si="376"/>
        <v xml:space="preserve"> </v>
      </c>
      <c r="W135" s="21" t="str">
        <f t="shared" si="181"/>
        <v xml:space="preserve">local biz(1,),  </v>
      </c>
      <c r="X135" s="21" t="str">
        <f t="shared" si="377"/>
        <v xml:space="preserve"> </v>
      </c>
      <c r="Y135" s="21" t="str">
        <f t="shared" si="182"/>
        <v xml:space="preserve">PR(1), network(1), ease of access(1), reputation(1), portfolio(1), biz project(1), biz enhancement(1), job creation(1), business(1),  </v>
      </c>
      <c r="Z135" s="21" t="str">
        <f t="shared" si="183"/>
        <v xml:space="preserve">local biz(1,6.25),  </v>
      </c>
      <c r="AA135" s="21" t="str">
        <f t="shared" si="378"/>
        <v xml:space="preserve">local biz(6.25), </v>
      </c>
      <c r="AB135" s="21" t="str">
        <f t="shared" si="376"/>
        <v xml:space="preserve"> </v>
      </c>
      <c r="AC135" s="21" t="str">
        <f t="shared" si="184"/>
        <v xml:space="preserve">non-profits(1,100),  </v>
      </c>
      <c r="AD135" s="21" t="str">
        <f t="shared" si="377"/>
        <v xml:space="preserve">non-profits 100
 </v>
      </c>
      <c r="AE135" s="21" t="str">
        <f t="shared" si="185"/>
        <v xml:space="preserve">PR(1), network(1), ease of access(1), reputation(1), portfolio(1), social project(1), social innovation(1), non-profit biz(1),  </v>
      </c>
      <c r="AF135" s="21" t="str">
        <f t="shared" si="186"/>
        <v xml:space="preserve">seriousness(1,6.25), non-profits(1,6.25),  </v>
      </c>
      <c r="AG135" s="21" t="str">
        <f t="shared" si="378"/>
        <v xml:space="preserve">seriousness(6.25),non-profits(6.25), </v>
      </c>
      <c r="AH135" s="21" t="str">
        <f t="shared" si="376"/>
        <v xml:space="preserve"> </v>
      </c>
      <c r="AI135" s="21" t="str">
        <f t="shared" si="187"/>
        <v xml:space="preserve">govt(1,),  </v>
      </c>
      <c r="AJ135" s="21" t="str">
        <f t="shared" si="377"/>
        <v xml:space="preserve"> </v>
      </c>
      <c r="AK135" s="21" t="str">
        <f t="shared" si="188"/>
        <v xml:space="preserve">seriousness(1), fame(1), network(1), govt(1), ease of access(1), reputation(2), portfolio(1), social project(1), social innovation(1), non-profit biz(1),  </v>
      </c>
      <c r="AL135" s="21" t="str">
        <f t="shared" si="189"/>
        <v xml:space="preserve">govt(1,6.25),  </v>
      </c>
      <c r="AM135" s="21" t="str">
        <f t="shared" si="378"/>
        <v xml:space="preserve">govt(6.25), </v>
      </c>
      <c r="AN135" s="21" t="str">
        <f t="shared" si="376"/>
        <v xml:space="preserve"> </v>
      </c>
      <c r="AO135" s="21" t="str">
        <f t="shared" si="190"/>
        <v xml:space="preserve">fame(1,), network(1,), investors(1,6.25),  </v>
      </c>
      <c r="AP135" s="21" t="str">
        <f t="shared" si="377"/>
        <v xml:space="preserve">investors 6.25
 </v>
      </c>
      <c r="AQ135" s="21" t="str">
        <f t="shared" si="191"/>
        <v xml:space="preserve">investors(1), ease of access(1), reputation(1), portfolio(1), start-up(1), start-up with mvp(1), start-up with customers(1),  </v>
      </c>
      <c r="AR135" s="21" t="str">
        <f t="shared" si="192"/>
        <v xml:space="preserve"> </v>
      </c>
      <c r="AS135" s="21" t="str">
        <f t="shared" si="378"/>
        <v xml:space="preserve"> </v>
      </c>
      <c r="AT135" s="21" t="str">
        <f t="shared" si="376"/>
        <v xml:space="preserve">seriousness 1
administrator 1
non-profits 2
reputation 1
portfolio 1
social project 1
 </v>
      </c>
      <c r="AU135" s="21" t="str">
        <f t="shared" si="193"/>
        <v xml:space="preserve"> </v>
      </c>
      <c r="AV135" s="21" t="str">
        <f t="shared" si="377"/>
        <v xml:space="preserve"> </v>
      </c>
      <c r="AW135" s="21" t="str">
        <f t="shared" si="194"/>
        <v xml:space="preserve">PR(2), administrator(1), project management(2),  </v>
      </c>
      <c r="AX135" s="21" t="str">
        <f t="shared" si="195"/>
        <v xml:space="preserve">organizational rules and manuals(1,12.5), project management(1,12.5),  </v>
      </c>
      <c r="AY135" s="21" t="str">
        <f t="shared" si="378"/>
        <v xml:space="preserve">organizational rules and manuals(12.5),project management(12.5), </v>
      </c>
      <c r="AZ135" s="21" t="str">
        <f t="shared" si="376"/>
        <v xml:space="preserve">non-profits 1
 </v>
      </c>
      <c r="BA135" s="21" t="str">
        <f t="shared" si="196"/>
        <v xml:space="preserve"> </v>
      </c>
      <c r="BB135" s="21" t="str">
        <f t="shared" si="377"/>
        <v xml:space="preserve"> </v>
      </c>
      <c r="BC135" s="21" t="str">
        <f t="shared" si="197"/>
        <v xml:space="preserve"> </v>
      </c>
      <c r="BD135" s="21" t="str">
        <f t="shared" si="198"/>
        <v xml:space="preserve"> </v>
      </c>
      <c r="BE135" s="21" t="str">
        <f t="shared" si="378"/>
        <v xml:space="preserve"> </v>
      </c>
      <c r="BF135" s="21" t="str">
        <f t="shared" si="376"/>
        <v xml:space="preserve">seriousness 1
administrator 1
local biz 2
entrepreneurs 1
reputation 1
portfolio 1
biz project 1
 </v>
      </c>
      <c r="BG135" s="21" t="str">
        <f t="shared" si="199"/>
        <v xml:space="preserve"> </v>
      </c>
      <c r="BH135" s="21" t="str">
        <f t="shared" si="377"/>
        <v xml:space="preserve"> </v>
      </c>
      <c r="BI135" s="21" t="str">
        <f t="shared" si="200"/>
        <v xml:space="preserve">PR(2), administrator(1), project management(2),  </v>
      </c>
      <c r="BJ135" s="21" t="str">
        <f t="shared" si="201"/>
        <v xml:space="preserve">organizational rules and manuals(1,12.5), project management(1,12.5),  </v>
      </c>
      <c r="BK135" s="21" t="str">
        <f t="shared" si="378"/>
        <v xml:space="preserve">organizational rules and manuals(12.5),project management(12.5), </v>
      </c>
      <c r="BL135" s="21" t="str">
        <f t="shared" si="376"/>
        <v xml:space="preserve">local biz 1
reputation 1
portfolio 1
biz enhancement 1
 </v>
      </c>
      <c r="BM135" s="21" t="str">
        <f t="shared" si="202"/>
        <v xml:space="preserve"> </v>
      </c>
      <c r="BN135" s="21" t="str">
        <f t="shared" si="377"/>
        <v xml:space="preserve"> </v>
      </c>
      <c r="BO135" s="21" t="str">
        <f t="shared" si="203"/>
        <v xml:space="preserve"> </v>
      </c>
      <c r="BP135" s="21" t="str">
        <f t="shared" si="204"/>
        <v xml:space="preserve"> </v>
      </c>
      <c r="BQ135" s="21" t="str">
        <f t="shared" si="378"/>
        <v xml:space="preserve"> </v>
      </c>
      <c r="BR135" s="21" t="str">
        <f t="shared" si="376"/>
        <v xml:space="preserve"> </v>
      </c>
      <c r="BS135" s="21" t="str">
        <f t="shared" si="205"/>
        <v xml:space="preserve"> </v>
      </c>
      <c r="BT135" s="21" t="str">
        <f t="shared" si="377"/>
        <v xml:space="preserve"> </v>
      </c>
      <c r="BU135" s="21" t="str">
        <f t="shared" si="206"/>
        <v xml:space="preserve"> </v>
      </c>
      <c r="BV135" s="21" t="str">
        <f t="shared" si="207"/>
        <v xml:space="preserve"> </v>
      </c>
      <c r="BW135" s="21" t="str">
        <f t="shared" si="378"/>
        <v xml:space="preserve"> </v>
      </c>
      <c r="BX135" s="21" t="str">
        <f t="shared" si="379"/>
        <v xml:space="preserve">network 1
 </v>
      </c>
      <c r="BY135" s="21" t="str">
        <f t="shared" si="209"/>
        <v xml:space="preserve">efficiency(1,),  </v>
      </c>
      <c r="BZ135" s="21" t="str">
        <f t="shared" si="380"/>
        <v xml:space="preserve"> </v>
      </c>
      <c r="CA135" s="21" t="str">
        <f t="shared" si="211"/>
        <v xml:space="preserve">administrator(1), negotiation(1),  </v>
      </c>
      <c r="CB135" s="21" t="str">
        <f t="shared" si="212"/>
        <v xml:space="preserve">user rules and manuals(1,50), organizational rules and manuals(1,50),  </v>
      </c>
      <c r="CC135" s="21" t="str">
        <f t="shared" si="381"/>
        <v xml:space="preserve">user rules and manuals(50),organizational rules and manuals(50), </v>
      </c>
      <c r="CD135" s="21" t="str">
        <f t="shared" si="379"/>
        <v xml:space="preserve">network 1
 </v>
      </c>
      <c r="CE135" s="21" t="str">
        <f t="shared" si="214"/>
        <v xml:space="preserve">non-profits(1,),  </v>
      </c>
      <c r="CF135" s="21" t="str">
        <f t="shared" si="380"/>
        <v xml:space="preserve"> </v>
      </c>
      <c r="CG135" s="21" t="str">
        <f t="shared" si="215"/>
        <v xml:space="preserve">fun-ness(1), seriousness(1), ease of access(1), portfolio(1), user rules and manuals(1), negotiation(1), social project(1), biz project(1), for basic literacy(1), for the elites(1), for entrepreneurs(1),  </v>
      </c>
      <c r="CH135" s="21" t="str">
        <f t="shared" si="216"/>
        <v xml:space="preserve">technologists(1,6.25), non-profits(1,6.25),  </v>
      </c>
      <c r="CI135" s="21" t="str">
        <f t="shared" si="381"/>
        <v xml:space="preserve">technologists(6.25),non-profits(6.25), </v>
      </c>
      <c r="CJ135" s="21" t="str">
        <f t="shared" si="379"/>
        <v xml:space="preserve"> </v>
      </c>
      <c r="CK135" s="21" t="str">
        <f t="shared" si="217"/>
        <v xml:space="preserve">suppliers(1,),  </v>
      </c>
      <c r="CL135" s="21" t="str">
        <f t="shared" si="380"/>
        <v xml:space="preserve"> </v>
      </c>
      <c r="CM135" s="21" t="str">
        <f t="shared" si="218"/>
        <v xml:space="preserve">reputation(1), negotiation(1),  </v>
      </c>
      <c r="CN135" s="21" t="str">
        <f t="shared" si="219"/>
        <v xml:space="preserve">efficiency(1,6.25),  </v>
      </c>
      <c r="CO135" s="21" t="str">
        <f t="shared" si="381"/>
        <v xml:space="preserve">efficiency(6.25), </v>
      </c>
      <c r="CP135" s="21" t="str">
        <f t="shared" si="379"/>
        <v xml:space="preserve"> </v>
      </c>
      <c r="CQ135" s="21" t="str">
        <f t="shared" si="220"/>
        <v xml:space="preserve">technologists(1,),  </v>
      </c>
      <c r="CR135" s="21" t="str">
        <f t="shared" si="380"/>
        <v xml:space="preserve"> </v>
      </c>
      <c r="CS135" s="21" t="str">
        <f t="shared" si="221"/>
        <v xml:space="preserve">network(1), portfolio(1), negotiation(1), web(1), infrastructrue(1), database(1), mobile apps(1), sensors(1), security(1), AI&amp; data analysis(1), mobile comm(1), VR&amp;AR(1), wood processing(1), metal processing(1), plastic processing(1), electronics(1), fabric(1),  </v>
      </c>
      <c r="CT135" s="21" t="str">
        <f t="shared" si="222"/>
        <v xml:space="preserve">efficiency(1,6.25),  </v>
      </c>
      <c r="CU135" s="21" t="str">
        <f t="shared" si="381"/>
        <v xml:space="preserve">efficiency(6.25), </v>
      </c>
      <c r="CV135" s="21" t="str">
        <f t="shared" si="379"/>
        <v xml:space="preserve"> </v>
      </c>
      <c r="CW135" s="21" t="str">
        <f t="shared" si="223"/>
        <v xml:space="preserve">local biz(1,),  </v>
      </c>
      <c r="CX135" s="21" t="str">
        <f t="shared" si="380"/>
        <v xml:space="preserve"> </v>
      </c>
      <c r="CY135" s="21" t="str">
        <f t="shared" si="224"/>
        <v xml:space="preserve">ease of access(1), reputation(1), portfolio(1), negotiation(1),  </v>
      </c>
      <c r="CZ135" s="21" t="str">
        <f t="shared" si="225"/>
        <v xml:space="preserve">non-profits(1,6.25),  </v>
      </c>
      <c r="DA135" s="21" t="str">
        <f t="shared" si="381"/>
        <v xml:space="preserve">non-profits(6.25), </v>
      </c>
      <c r="DB135" s="21" t="str">
        <f t="shared" si="379"/>
        <v xml:space="preserve"> </v>
      </c>
      <c r="DC135" s="21" t="str">
        <f t="shared" si="226"/>
        <v xml:space="preserve"> </v>
      </c>
      <c r="DD135" s="21" t="str">
        <f t="shared" si="380"/>
        <v xml:space="preserve"> </v>
      </c>
      <c r="DE135"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5" s="21" t="str">
        <f t="shared" si="228"/>
        <v xml:space="preserve">network(1,), local biz(1,6.25), biz group(1,6.25), investors(1,6.25), entrepreneurs(1,6.25),  </v>
      </c>
      <c r="DG135" s="21" t="str">
        <f t="shared" si="381"/>
        <v xml:space="preserve">local biz(6.25),biz group(6.25),investors(6.25),entrepreneurs(6.25), </v>
      </c>
      <c r="DH135" s="21" t="str">
        <f t="shared" si="379"/>
        <v xml:space="preserve">network 1
non-profits 1
reputation 1
social project 1
 </v>
      </c>
      <c r="DI135" s="21" t="str">
        <f t="shared" si="229"/>
        <v xml:space="preserve"> </v>
      </c>
      <c r="DJ135" s="21" t="str">
        <f t="shared" si="380"/>
        <v xml:space="preserve"> </v>
      </c>
      <c r="DK135" s="21" t="str">
        <f t="shared" si="230"/>
        <v xml:space="preserve">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5" s="21" t="str">
        <f t="shared" si="231"/>
        <v xml:space="preserve">reputation(1,6.25),  </v>
      </c>
      <c r="DM135" s="21" t="str">
        <f t="shared" si="381"/>
        <v xml:space="preserve">reputation(6.25), </v>
      </c>
      <c r="DN135" s="21" t="str">
        <f t="shared" si="379"/>
        <v xml:space="preserve">network 1
local biz 1
reputation 1
biz project 1
 </v>
      </c>
      <c r="DO135" s="21" t="str">
        <f t="shared" si="232"/>
        <v xml:space="preserve"> </v>
      </c>
      <c r="DP135" s="21" t="str">
        <f t="shared" si="380"/>
        <v xml:space="preserve"> </v>
      </c>
      <c r="DQ135"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5" s="21" t="str">
        <f t="shared" si="234"/>
        <v xml:space="preserve">reputation(1,6.25),  </v>
      </c>
      <c r="DS135" s="21" t="str">
        <f t="shared" si="381"/>
        <v xml:space="preserve">reputation(6.25), </v>
      </c>
      <c r="DT135" s="21" t="str">
        <f t="shared" si="379"/>
        <v xml:space="preserve">network 1
reputation 1
 </v>
      </c>
      <c r="DU135" s="21" t="str">
        <f t="shared" si="235"/>
        <v xml:space="preserve"> </v>
      </c>
      <c r="DV135" s="21" t="str">
        <f t="shared" si="380"/>
        <v xml:space="preserve"> </v>
      </c>
      <c r="DW135" s="21" t="str">
        <f t="shared" si="236"/>
        <v xml:space="preserve">fun-ness(1), 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5" s="21" t="str">
        <f t="shared" si="237"/>
        <v xml:space="preserve">reputation(1,6.25), for basic literacy(1,6.25),  </v>
      </c>
      <c r="DY135" s="21" t="str">
        <f t="shared" si="381"/>
        <v xml:space="preserve">reputation(6.25),for basic literacy(6.25), </v>
      </c>
      <c r="DZ135" s="21" t="str">
        <f t="shared" si="379"/>
        <v xml:space="preserve">network 1
reputation 1
 </v>
      </c>
      <c r="EA135" s="21" t="str">
        <f t="shared" si="238"/>
        <v xml:space="preserve"> </v>
      </c>
      <c r="EB135" s="21" t="str">
        <f t="shared" si="380"/>
        <v xml:space="preserve"> </v>
      </c>
      <c r="EC135" s="21" t="str">
        <f t="shared" si="239"/>
        <v xml:space="preserve">fun-ness(1), 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5" s="21" t="str">
        <f t="shared" si="240"/>
        <v xml:space="preserve">reputation(1,6.25), for basic literacy(1,6.25),  </v>
      </c>
      <c r="EE135" s="21" t="str">
        <f t="shared" si="381"/>
        <v xml:space="preserve">reputation(6.25),for basic literacy(6.25), </v>
      </c>
      <c r="EF135" s="21" t="str">
        <f t="shared" si="379"/>
        <v xml:space="preserve">technologists 1
reputation 1
 </v>
      </c>
      <c r="EG135" s="21" t="str">
        <f t="shared" si="241"/>
        <v xml:space="preserve">web(1,50), mobile apps(1,50), interaction(1,50),  </v>
      </c>
      <c r="EH135" s="21" t="str">
        <f t="shared" si="380"/>
        <v xml:space="preserve">web 50
mobile apps 50
interaction 50
 </v>
      </c>
      <c r="EI135" s="21" t="str">
        <f t="shared" si="242"/>
        <v xml:space="preserve">seriousness(2), initiative(1), community manager(1), administrator(1), enthusiasm(1), fame(1), network(2), level of understanding(1), technologists(2), ease of access(1), reputation(2), infrastructrue(1), database(1), mobile comm(1), for entrepreneurs(1),  </v>
      </c>
      <c r="EJ135" s="21" t="str">
        <f t="shared" si="243"/>
        <v xml:space="preserve">technologists(1,12.5), infrastructrue(1,12.5), database(1,12.5), mobile comm(1,12.5), for entrepreneurs(1,6.25),  </v>
      </c>
      <c r="EK135" s="21" t="str">
        <f t="shared" si="381"/>
        <v xml:space="preserve">technologists(12.5),infrastructrue(12.5),database(12.5),mobile comm(12.5),for entrepreneurs(6.25), </v>
      </c>
      <c r="EL135" s="21" t="str">
        <f t="shared" si="382"/>
        <v xml:space="preserve">technologists 1
reputation 1
 </v>
      </c>
      <c r="EM135" s="21" t="str">
        <f t="shared" si="245"/>
        <v xml:space="preserve">sensors(1,50),  </v>
      </c>
      <c r="EN135" s="21" t="str">
        <f t="shared" si="383"/>
        <v xml:space="preserve">sensors 50
 </v>
      </c>
      <c r="EO135" s="21" t="str">
        <f t="shared" si="247"/>
        <v xml:space="preserve">seriousness(2), initiative(1), community manager(1), administrator(1), enthusiasm(1), fame(1), network(2), level of understanding(1), technologists(2), ease of access(1), reputation(2), project management(2), infrastructrue(1), database(1), mobile comm(1), for entrepreneurs(1),  </v>
      </c>
      <c r="EP135" s="21" t="str">
        <f t="shared" si="248"/>
        <v xml:space="preserve">technologists(1,12.5), infrastructrue(1,12.5), database(1,12.5), mobile comm(1,12.5), electronics(1,6.25), for entrepreneurs(1,6.25),  </v>
      </c>
      <c r="EQ135" s="21" t="str">
        <f t="shared" si="384"/>
        <v xml:space="preserve">technologists(12.5),infrastructrue(12.5),database(12.5),mobile comm(12.5),electronics(6.25),for entrepreneurs(6.25), </v>
      </c>
      <c r="ER135" s="21" t="str">
        <f t="shared" si="382"/>
        <v xml:space="preserve">technologists 1
 </v>
      </c>
      <c r="ES135" s="21" t="str">
        <f t="shared" si="250"/>
        <v xml:space="preserve">AI&amp; data analysis(1,50),  </v>
      </c>
      <c r="ET135" s="21" t="str">
        <f t="shared" si="383"/>
        <v xml:space="preserve">AI&amp; data analysis 50
 </v>
      </c>
      <c r="EU135" s="21" t="str">
        <f t="shared" si="251"/>
        <v xml:space="preserve">seriousness(2), initiative(1), community manager(1), administrator(1), enthusiasm(1), fame(1), network(2), level of understanding(1), technologists(2), ease of access(1), reputation(2), database(1), sensors(1), mobile comm(1), for entrepreneurs(1),  </v>
      </c>
      <c r="EV135" s="21" t="str">
        <f t="shared" si="252"/>
        <v xml:space="preserve">technologists(1,12.5), database(1,12.5), sensors(1,12.5), mobile comm(1,12.5), for entrepreneurs(1,6.25),  </v>
      </c>
      <c r="EW135" s="21" t="str">
        <f t="shared" si="384"/>
        <v xml:space="preserve">technologists(12.5),database(12.5),sensors(12.5),mobile comm(12.5),for entrepreneurs(6.25), </v>
      </c>
      <c r="EX135" s="21" t="str">
        <f t="shared" si="382"/>
        <v xml:space="preserve">technologists 1
 </v>
      </c>
      <c r="EY135" s="21" t="str">
        <f t="shared" si="253"/>
        <v xml:space="preserve">law(1,50), security(1,50), interaction(1,25),  </v>
      </c>
      <c r="EZ135" s="21" t="str">
        <f t="shared" si="383"/>
        <v xml:space="preserve">law 50
security 50
interaction 25
 </v>
      </c>
      <c r="FA135" s="21" t="str">
        <f t="shared" si="254"/>
        <v xml:space="preserve">seriousness(2), initiative(1), community manager(1), administrator(1), enthusiasm(1), fame(1), network(2), level of understanding(1), technologists(2), ease of access(1), reputation(2), law(2), for entrepreneurs(1),  </v>
      </c>
      <c r="FB135" s="21" t="str">
        <f t="shared" si="255"/>
        <v xml:space="preserve">technologists(1,12.5), law(1,6.25), database(1,12.5), mobile apps(1,12.5), security(1,12.5), mobile comm(1,12.5), for entrepreneurs(1,6.25),  </v>
      </c>
      <c r="FC135" s="21" t="str">
        <f t="shared" si="384"/>
        <v xml:space="preserve">technologists(12.5),law(6.25),database(12.5),mobile apps(12.5),security(12.5),mobile comm(12.5),for entrepreneurs(6.25), </v>
      </c>
      <c r="FD135" s="21" t="str">
        <f t="shared" si="382"/>
        <v xml:space="preserve">technologists 1
 </v>
      </c>
      <c r="FE135" s="21" t="str">
        <f t="shared" si="256"/>
        <v xml:space="preserve">law(1,50), sensors(1,50), security(1,50),  </v>
      </c>
      <c r="FF135" s="21" t="str">
        <f t="shared" si="383"/>
        <v xml:space="preserve">law 50
sensors 50
security 50
 </v>
      </c>
      <c r="FG135" s="21" t="str">
        <f t="shared" si="257"/>
        <v xml:space="preserve">seriousness(2), initiative(1), community manager(1), administrator(1), enthusiasm(1), fame(1), network(2), level of understanding(1), technologists(2), ease of access(1), reputation(2), law(2), project management(2), for entrepreneurs(1),  </v>
      </c>
      <c r="FH135" s="21" t="str">
        <f t="shared" si="258"/>
        <v xml:space="preserve">technologists(1,12.5), law(1,6.25), database(1,6.25), mobile apps(1,6.25), AI&amp; data analysis(1,6.25), mobile comm(1,6.25), for entrepreneurs(1,6.25),  </v>
      </c>
      <c r="FI135" s="21" t="str">
        <f t="shared" si="384"/>
        <v xml:space="preserve">technologists(12.5),law(6.25),database(6.25),mobile apps(6.25),AI&amp; data analysis(6.25),mobile comm(6.25),for entrepreneurs(6.25), </v>
      </c>
      <c r="FJ135" s="21" t="str">
        <f t="shared" si="382"/>
        <v xml:space="preserve">technologists 1
 </v>
      </c>
      <c r="FK135" s="21" t="str">
        <f t="shared" si="259"/>
        <v xml:space="preserve">wood processing(1,25), metal processing(1,25), plastic processing(1,25), fabric(1,25), safety(1,25), interaction(1,25),  </v>
      </c>
      <c r="FL135" s="21" t="str">
        <f t="shared" si="383"/>
        <v xml:space="preserve">project management 2
wood processing 25
metal processing 25
plastic processing 25
fabric 25
safety 25
interaction 25
 </v>
      </c>
      <c r="FM135" s="21" t="str">
        <f t="shared" si="260"/>
        <v xml:space="preserve">seriousness(2), initiative(1), community manager(1), administrator(1), enthusiasm(1), fame(1), network(2), level of understanding(1), technologists(2), spaciousness(1), ease of access(1), reputation(2), for entrepreneurs(1),  </v>
      </c>
      <c r="FN135" s="21" t="str">
        <f t="shared" si="261"/>
        <v xml:space="preserve">technologists(1,12.5), for entrepreneurs(1,6.25),  </v>
      </c>
      <c r="FO135" s="21" t="str">
        <f t="shared" si="384"/>
        <v xml:space="preserve">technologists(12.5),for entrepreneurs(6.25), </v>
      </c>
      <c r="FP135" s="21" t="str">
        <f t="shared" si="382"/>
        <v xml:space="preserve">technologists 1
 </v>
      </c>
      <c r="FQ135" s="21" t="str">
        <f t="shared" si="262"/>
        <v xml:space="preserve">web(1,25), mobile apps(1,50), functions(1,25), interaction(1,25),  </v>
      </c>
      <c r="FR135" s="21" t="str">
        <f t="shared" si="383"/>
        <v xml:space="preserve">web 25
mobile apps 50
functions 25
interaction 25
 </v>
      </c>
      <c r="FS135" s="21" t="str">
        <f t="shared" si="263"/>
        <v xml:space="preserve">seriousness(2), initiative(1), community manager(1), administrator(1), enthusiasm(1), fame(1), network(2), level of understanding(1), technologists(2), spaciousness(1), ease of access(1), reputation(2), for entrepreneurs(1),  </v>
      </c>
      <c r="FT135" s="21" t="str">
        <f t="shared" si="264"/>
        <v xml:space="preserve">technologists(1,12.5), for entrepreneurs(1,6.25),  </v>
      </c>
      <c r="FU135" s="21" t="str">
        <f t="shared" si="384"/>
        <v xml:space="preserve">technologists(12.5),for entrepreneurs(6.25), </v>
      </c>
      <c r="FV135" s="21" t="str">
        <f t="shared" si="382"/>
        <v xml:space="preserve">technologists 1
 </v>
      </c>
      <c r="FW135" s="21" t="str">
        <f t="shared" si="265"/>
        <v xml:space="preserve">mobile apps(1,50), sensors(1,50), wood processing(1,25), plastic processing(1,25), electronics(1,25), functions(1,25), interaction(1,25),  </v>
      </c>
      <c r="FX135" s="21" t="str">
        <f t="shared" si="383"/>
        <v xml:space="preserve">mobile apps 50
sensors 50
wood processing 25
plastic processing 25
electronics 25
functions 25
interaction 25
 </v>
      </c>
      <c r="FY135" s="21" t="str">
        <f t="shared" si="266"/>
        <v xml:space="preserve">seriousness(2), initiative(1), community manager(1), administrator(1), enthusiasm(1), fame(1), network(2), level of understanding(1), technologists(2), spaciousness(1), ease of access(1), reputation(2), project management(2), for entrepreneurs(1),  </v>
      </c>
      <c r="FZ135" s="21" t="str">
        <f t="shared" si="267"/>
        <v xml:space="preserve">technologists(1,12.5), web(1,6.25), database(1,6.25), AI&amp; data analysis(1,6.25), mobile comm(1,6.25), for entrepreneurs(1,6.25),  </v>
      </c>
      <c r="GA135" s="21" t="str">
        <f t="shared" si="384"/>
        <v xml:space="preserve">technologists(12.5),web(6.25),database(6.25),AI&amp; data analysis(6.25),mobile comm(6.25),for entrepreneurs(6.25), </v>
      </c>
      <c r="GB135" s="21" t="str">
        <f t="shared" si="382"/>
        <v xml:space="preserve">technologists 1
 </v>
      </c>
      <c r="GC135" s="21" t="str">
        <f t="shared" si="268"/>
        <v xml:space="preserve">sensors(1,25), mobile comm(1,25), electronics(1,50), functions(1,25), safety(1,25),  </v>
      </c>
      <c r="GD135" s="21" t="str">
        <f t="shared" si="383"/>
        <v xml:space="preserve">sensors 25
mobile comm 25
electronics 50
functions 25
safety 25
 </v>
      </c>
      <c r="GE135" s="21" t="str">
        <f t="shared" si="269"/>
        <v xml:space="preserve">seriousness(2), initiative(1), community manager(1), administrator(1), enthusiasm(1), fame(1), network(2), level of understanding(1), technologists(2), spaciousness(1), ease of access(1), reputation(2), project management(2), for entrepreneurs(1),  </v>
      </c>
      <c r="GF135" s="21" t="str">
        <f t="shared" si="270"/>
        <v xml:space="preserve">technologists(1,12.5), database(1,6.25), mobile apps(1,6.25), AI&amp; data analysis(1,6.25), plastic processing(1,6.25), interaction(1,6.25), for entrepreneurs(1,6.25),  </v>
      </c>
      <c r="GG135" s="21" t="str">
        <f t="shared" si="384"/>
        <v xml:space="preserve">technologists(12.5),database(6.25),mobile apps(6.25),AI&amp; data analysis(6.25),plastic processing(6.25),interaction(6.25),for entrepreneurs(6.25), </v>
      </c>
      <c r="GH135" s="21" t="str">
        <f t="shared" si="382"/>
        <v xml:space="preserve">technologists 1
 </v>
      </c>
      <c r="GI135" s="21" t="str">
        <f t="shared" si="271"/>
        <v xml:space="preserve">web(1,25), mobile apps(1,50), functions(1,25), interaction(1,25),  </v>
      </c>
      <c r="GJ135" s="21" t="str">
        <f t="shared" si="383"/>
        <v xml:space="preserve">web 25
mobile apps 50
functions 25
interaction 25
 </v>
      </c>
      <c r="GK135" s="21" t="str">
        <f t="shared" si="272"/>
        <v xml:space="preserve">seriousness(2), initiative(1), community manager(1), administrator(1), enthusiasm(1), fame(1), network(2), level of understanding(1), technologists(2), spaciousness(1), ease of access(1), reputation(2), project management(2), for entrepreneurs(1),  </v>
      </c>
      <c r="GL135" s="21" t="str">
        <f t="shared" si="273"/>
        <v xml:space="preserve">technologists(1,12.5), for entrepreneurs(1,6.25),  </v>
      </c>
      <c r="GM135" s="21" t="str">
        <f t="shared" si="384"/>
        <v xml:space="preserve">technologists(12.5),for entrepreneurs(6.25), </v>
      </c>
      <c r="GN135" s="21" t="str">
        <f t="shared" si="382"/>
        <v xml:space="preserve">technologists 1
 </v>
      </c>
      <c r="GO135" s="21" t="str">
        <f t="shared" si="274"/>
        <v xml:space="preserve">web(1,25), mobile apps(1,25), VR&amp;AR(1,25), aesthetics(1,25), functions(1,25), interaction(1,50),  </v>
      </c>
      <c r="GP135" s="21" t="str">
        <f t="shared" si="383"/>
        <v xml:space="preserve">web 25
mobile apps 25
VR&amp;AR 25
aesthetics 25
functions 25
interaction 50
 </v>
      </c>
      <c r="GQ135" s="21" t="str">
        <f t="shared" si="275"/>
        <v xml:space="preserve">seriousness(2), initiative(1), community manager(1), administrator(1), enthusiasm(1), fame(1), network(2), level of understanding(1), technologists(2), spaciousness(1), ease of access(1), reputation(2), project management(2), for entrepreneurs(1),  </v>
      </c>
      <c r="GR135" s="21" t="str">
        <f t="shared" si="276"/>
        <v xml:space="preserve">technologists(1,12.5), for entrepreneurs(1,6.25),  </v>
      </c>
      <c r="GS135" s="21" t="str">
        <f t="shared" si="384"/>
        <v xml:space="preserve">technologists(12.5),for entrepreneurs(6.25), </v>
      </c>
      <c r="GT135" s="21" t="str">
        <f t="shared" si="382"/>
        <v xml:space="preserve">ease of access 1
reputation 2
web 1
mobile apps 1
mobile comm 1
 </v>
      </c>
      <c r="GU135" s="21" t="str">
        <f t="shared" si="277"/>
        <v xml:space="preserve"> </v>
      </c>
      <c r="GV135" s="21" t="str">
        <f t="shared" si="383"/>
        <v xml:space="preserve"> </v>
      </c>
      <c r="GW135" s="21" t="str">
        <f t="shared" si="278"/>
        <v xml:space="preserve">fun-ness(1), 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5" s="21" t="str">
        <f t="shared" si="279"/>
        <v xml:space="preserve">media(1,6.25), entrepreneurs(1,6.25), technologists(1,6.25), project management(1,6.25), social media(1,6.25), web(1,6.25), mobile apps(1,6.25),  </v>
      </c>
      <c r="GY135" s="21" t="str">
        <f t="shared" si="384"/>
        <v xml:space="preserve">media(6.25),entrepreneurs(6.25),technologists(6.25),project management(6.25),social media(6.25),web(6.25),mobile apps(6.25), </v>
      </c>
      <c r="GZ135" s="21" t="str">
        <f t="shared" si="385"/>
        <v xml:space="preserve">network 1
govt 1
non-profits 1
reputation 2
portfolio 1
 </v>
      </c>
      <c r="HA135" s="21" t="str">
        <f t="shared" si="281"/>
        <v xml:space="preserve"> </v>
      </c>
      <c r="HB135" s="21" t="str">
        <f t="shared" si="386"/>
        <v xml:space="preserve"> </v>
      </c>
      <c r="HC135" s="21" t="str">
        <f t="shared" si="283"/>
        <v xml:space="preserve">fun-ness(2), initiative(2), leader(1), community manager(1), PR(1), finance(1), administrator(1), network(2), govt(3), non-profits(3), reputation(4), portfolio(3), social media(2), web(2), mobile apps(2), sensors(2), AI&amp; data analysis(2), VR&amp;AR(2), plastic processing(2), electronics(2), aesthetics(2), interaction(2),  </v>
      </c>
      <c r="HD135" s="21" t="str">
        <f t="shared" si="284"/>
        <v xml:space="preserve">media(1,6.25), technologists(1,6.25), non-profits(1,6.25), reputation(1,6.25), start-up with customers(1,6.25), for basic literacy(1,6.25),  </v>
      </c>
      <c r="HE135" s="21" t="str">
        <f t="shared" si="387"/>
        <v xml:space="preserve">media(6.25),technologists(6.25),non-profits(6.25),reputation(6.25),start-up with customers(6.25),for basic literacy(6.25), </v>
      </c>
      <c r="HF135" s="21" t="str">
        <f t="shared" si="385"/>
        <v xml:space="preserve"> </v>
      </c>
      <c r="HG135" s="21" t="str">
        <f t="shared" si="286"/>
        <v xml:space="preserve"> </v>
      </c>
      <c r="HH135" s="21" t="str">
        <f t="shared" si="386"/>
        <v xml:space="preserve"> </v>
      </c>
      <c r="HI135" s="21" t="str">
        <f t="shared" si="287"/>
        <v xml:space="preserve">fun-ness(2), seriousness(2), initiative(2), leader(1), community manager(1), PR(1), finance(1), administrator(1), network(2), portfolio(3), marketing(2), team building(3), project management(2), mobile apps(3), sensors(2), plastic processing(2), electronics(2), aesthetics(2), functions(2), interaction(2),  </v>
      </c>
      <c r="HJ135" s="21" t="str">
        <f t="shared" si="288"/>
        <v xml:space="preserve">fun-ness(1,6.25), seriousness(1,6.25), govt(1,6.25), media(1,6.25), non-profits(1,6.25), start-up with customers(1,6.25),  </v>
      </c>
      <c r="HK135" s="21" t="str">
        <f t="shared" si="387"/>
        <v xml:space="preserve">fun-ness(6.25),seriousness(6.25),govt(6.25),media(6.25),non-profits(6.25),start-up with customers(6.25), </v>
      </c>
      <c r="HL135" s="21" t="str">
        <f t="shared" si="385"/>
        <v xml:space="preserve">community manager 1
PR 1
administrator 1
local biz 1
entrepreneurs 1
non-profits 1
reputation 2
portfolio 2
 </v>
      </c>
      <c r="HM135" s="21" t="str">
        <f t="shared" si="289"/>
        <v xml:space="preserve">fun-ness(1,25), seriousness(1,25),  </v>
      </c>
      <c r="HN135" s="21" t="str">
        <f t="shared" si="386"/>
        <v xml:space="preserve">fun-ness 25
seriousness 25
 </v>
      </c>
      <c r="HO135"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5" s="21" t="str">
        <f t="shared" si="291"/>
        <v xml:space="preserve">fun-ness(1,6.25), enthusiasm(1,6.25), level of understanding(1,6.25), local biz(1,6.25), biz group(1,6.25), govt(1,6.25), investors(1,6.25), media(1,6.25), entrepreneurs(1,6.25), technologists(1,6.25), suppliers(1,6.25), non-profits(1,6.25), reputation(1,6.25),  </v>
      </c>
      <c r="HQ135" s="47" t="str">
        <f t="shared" si="387"/>
        <v xml:space="preserve">fun-ness(6.25),enthusiasm(6.25),level of understanding(6.25),local biz(6.25),biz group(6.25),govt(6.25),investors(6.25),media(6.25),entrepreneurs(6.25),technologists(6.25),suppliers(6.25),non-profits(6.25),reputation(6.25), </v>
      </c>
      <c r="HR135" s="47" t="str">
        <f t="shared" ref="HR135:HW135" si="448">IF(HR33="",HR136,$C135&amp;"("&amp;HR33&amp;"),"&amp;HR136)</f>
        <v xml:space="preserve">reputation(2),portfolio(2),mobile apps(1),sensors(1),wood processing(1),aesthetics(1), </v>
      </c>
      <c r="HS135" s="47" t="str">
        <f t="shared" si="448"/>
        <v xml:space="preserve"> </v>
      </c>
      <c r="HT135" s="47" t="str">
        <f t="shared" si="448"/>
        <v xml:space="preserve"> </v>
      </c>
      <c r="HU135" s="47" t="str">
        <f t="shared" si="448"/>
        <v xml:space="preserve">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5" s="47" t="str">
        <f t="shared" si="448"/>
        <v xml:space="preserve">local biz(1),biz group(1),govt(1),investors(1),media(1),entrepreneurs(1),technologists(1),suppliers(1),non-profits(1),reputation(1), </v>
      </c>
      <c r="HW135" s="47" t="str">
        <f t="shared" si="448"/>
        <v xml:space="preserve">local biz(6.25),biz group(6.25),govt(6.25),investors(6.25),media(6.25),entrepreneurs(6.25),technologists(12.5),suppliers(6.25),non-profits(6.25),reputation(6.25), </v>
      </c>
      <c r="HX135" s="47" t="str">
        <f t="shared" ref="HX135:IU135" si="449">IF(HX33="",HX136,$C135&amp;"("&amp;HX33&amp;"),"&amp;HX136)</f>
        <v xml:space="preserve">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5" s="47" t="str">
        <f t="shared" si="449"/>
        <v xml:space="preserve">biz enhancement(1), </v>
      </c>
      <c r="HZ135" s="47" t="str">
        <f t="shared" si="449"/>
        <v xml:space="preserve">biz enhancement(100), </v>
      </c>
      <c r="IA135" s="47" t="str">
        <f t="shared" si="449"/>
        <v xml:space="preserve">community manager(1),PR(1),finance(1),administrator(1),enthusiasm(2),network(2),ambition(2),knowledge(2),spaciousness(2),ease of access(3),efficiency(2),portfolio(4),finance(2),business model(2),marketing(3),team building(2),project management(2),social media(3),negotiation(3), </v>
      </c>
      <c r="IB135" s="47" t="str">
        <f t="shared" si="449"/>
        <v xml:space="preserve">seriousness(1),initiative(1),level of understanding(1),ambition(1),local biz(1),biz group(1),govt(1),media(1),entrepreneurs(1),technologists(1),non-profits(1),reputation(1),team building(1),database(1),AI&amp; data analysis(1),electronics(1),functions(1), </v>
      </c>
      <c r="IC135" s="47" t="str">
        <f t="shared" si="449"/>
        <v xml:space="preserve">seriousness(6.25),initiative(6.25),level of understanding(6.25),ambition(6.25),local biz(6.25),biz group(6.25),govt(6.25),media(6.25),entrepreneurs(6.25),technologists(6.25),non-profits(6.25),reputation(6.25),team building(6.25),database(6.25),AI&amp; data analysis(6.25),electronics(6.25),functions(6.25), </v>
      </c>
      <c r="ID135" s="47" t="str">
        <f t="shared" si="449"/>
        <v xml:space="preserve">technologists(2), </v>
      </c>
      <c r="IE135" s="47" t="str">
        <f t="shared" si="449"/>
        <v xml:space="preserve">web(1),mobile apps(1),security(1),AI&amp; data analysis(1), </v>
      </c>
      <c r="IF135" s="47" t="str">
        <f t="shared" si="449"/>
        <v xml:space="preserve">web(25),mobile apps(25),security(25),AI&amp; data analysis(25), </v>
      </c>
      <c r="IG135" s="47" t="str">
        <f t="shared" si="449"/>
        <v xml:space="preserve">seriousness(2),community manager(1),administrator(1),network(2),entrepreneurs(3),technologists(4),spaciousness(2),ease of access(2),reputation(3),efficiency(2),portfolio(3),web(2),database(2),mobile apps(2),security(2),AI&amp; data analysis(2), </v>
      </c>
      <c r="IH135" s="47" t="str">
        <f t="shared" si="449"/>
        <v xml:space="preserve">technologists(1),web(1),database(1),mobile apps(1),security(1),AI&amp; data analysis(1), </v>
      </c>
      <c r="II135" s="47" t="str">
        <f t="shared" si="449"/>
        <v xml:space="preserve">technologists(6.25),web(6.25),database(6.25),mobile apps(6.25),security(6.25),AI&amp; data analysis(6.25), </v>
      </c>
      <c r="IJ135" s="47" t="str">
        <f t="shared" si="449"/>
        <v xml:space="preserve">technologists(2), </v>
      </c>
      <c r="IK135" s="47" t="str">
        <f t="shared" si="449"/>
        <v xml:space="preserve">wood processing(1),metal processing(1),functions(1),safety(1), </v>
      </c>
      <c r="IL135" s="47" t="str">
        <f t="shared" si="449"/>
        <v xml:space="preserve">wood processing(25),metal processing(25),functions(25),safety(25), </v>
      </c>
      <c r="IM135" s="47" t="str">
        <f t="shared" si="449"/>
        <v xml:space="preserve">seriousness(2),community manager(1),administrator(1),network(2),entrepreneurs(3),technologists(4),spaciousness(2),ease of access(2),reputation(3),efficiency(2),portfolio(3),wood processing(2),metal processing(2),functions(2),safety(2), </v>
      </c>
      <c r="IN135" s="47" t="str">
        <f t="shared" si="449"/>
        <v xml:space="preserve">technologists(1),wood processing(1),metal processing(1),functions(1),safety(1),interaction(1), </v>
      </c>
      <c r="IO135" s="47" t="str">
        <f t="shared" si="449"/>
        <v xml:space="preserve">technologists(6.25),wood processing(6.25),metal processing(6.25),functions(6.25),safety(6.25),interaction(6.25), </v>
      </c>
      <c r="IP135" s="57" t="str">
        <f t="shared" si="449"/>
        <v xml:space="preserve">local biz(2),reputation(1), </v>
      </c>
      <c r="IQ135" s="47" t="str">
        <f t="shared" si="449"/>
        <v xml:space="preserve">local biz(1),marketing(1), </v>
      </c>
      <c r="IR135" s="47" t="str">
        <f t="shared" si="449"/>
        <v xml:space="preserve">local biz(25),marketing(25), </v>
      </c>
      <c r="IS135" s="47" t="str">
        <f t="shared" si="449"/>
        <v xml:space="preserve">fun-ness(2),seriousness(2),leader(1),community manager(1),finance(1),administrator(1),enthusiasm(3),network(2),level of understanding(3),local biz(3),biz group(2),govt(2),non-profits(2),reputation(3),efficiency(2),marketing(2), </v>
      </c>
      <c r="IT135" s="47" t="str">
        <f t="shared" si="449"/>
        <v xml:space="preserve">fun-ness(1),seriousness(1),local biz(1),biz group(1),govt(1),non-profits(1),marketing(1), </v>
      </c>
      <c r="IU135" s="47" t="str">
        <f t="shared" si="449"/>
        <v xml:space="preserve">fun-ness(6.25),seriousness(6.25),local biz(6.25),biz group(6.25),govt(6.25),non-profits(6.25),marketing(6.25), </v>
      </c>
      <c r="IV135" s="57" t="str">
        <f t="shared" ref="IV135:LG135" si="450">IF(IV33="",IV136,$C135&amp;"("&amp;IV33&amp;"),"&amp;IV136)</f>
        <v xml:space="preserve">local biz(2),reputation(1), </v>
      </c>
      <c r="IW135" s="47" t="str">
        <f t="shared" si="450"/>
        <v xml:space="preserve">local biz(1),marketing(1), </v>
      </c>
      <c r="IX135" s="47" t="str">
        <f t="shared" si="450"/>
        <v xml:space="preserve">local biz(25),marketing(25), </v>
      </c>
      <c r="IY135" s="47" t="str">
        <f t="shared" si="450"/>
        <v xml:space="preserve">fun-ness(2),seriousness(2),leader(1),community manager(1),finance(1),administrator(1),enthusiasm(3),network(2),level of understanding(3),local biz(3),biz group(2),govt(2),reputation(3),efficiency(2),marketing(2), </v>
      </c>
      <c r="IZ135" s="47" t="str">
        <f t="shared" si="450"/>
        <v xml:space="preserve">fun-ness(1),seriousness(1),local biz(1),biz group(1),govt(1),marketing(1), </v>
      </c>
      <c r="JA135" s="47" t="str">
        <f t="shared" si="450"/>
        <v xml:space="preserve">fun-ness(6.25),seriousness(6.25),local biz(6.25),biz group(6.25),govt(6.25),marketing(6.25), </v>
      </c>
      <c r="JB135" s="47" t="str">
        <f t="shared" si="450"/>
        <v xml:space="preserve"> </v>
      </c>
      <c r="JC135" s="47" t="str">
        <f t="shared" si="450"/>
        <v xml:space="preserve"> </v>
      </c>
      <c r="JD135" s="47" t="str">
        <f t="shared" si="450"/>
        <v xml:space="preserve"> </v>
      </c>
      <c r="JE135" s="47" t="str">
        <f t="shared" si="450"/>
        <v xml:space="preserve">fun-ness(2),community manager(1),PR(1),administrator(1),network(2),level of understanding(2),technologists(2),spaciousness(1),ease of access(1),reputation(3),efficiency(2), </v>
      </c>
      <c r="JF135" s="47" t="str">
        <f t="shared" si="450"/>
        <v xml:space="preserve">web(1),infrastructrue(1),database(1),mobile apps(1),sensors(1),security(1),AI&amp; data analysis(1),mobile comm(1),VR&amp;AR(1),wood processing(1),metal processing(1),plastic processing(1),electronics(1),fabric(1),aesthetics(1),functions(1),safety(1),interaction(1), </v>
      </c>
      <c r="JG135" s="47" t="str">
        <f t="shared" si="450"/>
        <v xml:space="preserve">web(6.25),infrastructrue(6.25),database(6.25),mobile apps(6.25),sensors(6.25),security(6.25),AI&amp; data analysis(6.25),mobile comm(6.25),VR&amp;AR(6.25),wood processing(6.25),metal processing(6.25),plastic processing(6.25),electronics(6.25),fabric(6.25),aesthetics(6.25),functions(6.25),safety(6.25),interaction(6.25), </v>
      </c>
      <c r="JH135" s="47" t="str">
        <f t="shared" si="450"/>
        <v xml:space="preserve">enthusiasm(1),local biz(1),non-profits(1),reputation(2), </v>
      </c>
      <c r="JI135" s="47" t="str">
        <f t="shared" si="450"/>
        <v xml:space="preserve"> </v>
      </c>
      <c r="JJ135" s="47" t="str">
        <f t="shared" si="450"/>
        <v xml:space="preserve"> </v>
      </c>
      <c r="JK135" s="47" t="str">
        <f t="shared" si="450"/>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5" s="47" t="str">
        <f t="shared" si="450"/>
        <v xml:space="preserve">non-profits(1), </v>
      </c>
      <c r="JM135" s="47" t="str">
        <f t="shared" si="450"/>
        <v xml:space="preserve">non-profits(6.25), </v>
      </c>
      <c r="JN135" s="47" t="str">
        <f t="shared" si="450"/>
        <v xml:space="preserve">enthusiasm(1),network(1),local biz(1),investors(1),entrepreneurs(1),technologists(1),non-profits(1),reputation(2),portfolio(2), </v>
      </c>
      <c r="JO135" s="47" t="str">
        <f t="shared" si="450"/>
        <v xml:space="preserve"> </v>
      </c>
      <c r="JP135" s="47" t="str">
        <f t="shared" si="450"/>
        <v xml:space="preserve"> </v>
      </c>
      <c r="JQ135" s="47" t="str">
        <f t="shared" si="450"/>
        <v xml:space="preserve">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5" s="47" t="str">
        <f t="shared" si="450"/>
        <v xml:space="preserve"> </v>
      </c>
      <c r="JS135" s="47" t="str">
        <f t="shared" si="450"/>
        <v xml:space="preserve"> </v>
      </c>
      <c r="JT135" s="47" t="str">
        <f t="shared" si="450"/>
        <v xml:space="preserve">PR(1),administrator(1),enthusiasm(2),network(2),local biz(2),biz group(1),govt(2),investors(2),entrepreneurs(2),technologists(2),non-profits(2),reputation(2),portfolio(3), </v>
      </c>
      <c r="JU135" s="47" t="str">
        <f t="shared" si="450"/>
        <v xml:space="preserve"> </v>
      </c>
      <c r="JV135" s="47" t="str">
        <f t="shared" si="450"/>
        <v xml:space="preserve"> </v>
      </c>
      <c r="JW135" s="47" t="str">
        <f t="shared" si="450"/>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5" s="47" t="str">
        <f t="shared" si="450"/>
        <v xml:space="preserve"> </v>
      </c>
      <c r="JY135" s="47" t="str">
        <f t="shared" si="450"/>
        <v xml:space="preserve"> </v>
      </c>
      <c r="JZ135" s="47" t="str">
        <f t="shared" si="450"/>
        <v xml:space="preserve">network(1),non-profits(1),reputation(2),social project(2), </v>
      </c>
      <c r="KA135" s="47" t="str">
        <f t="shared" si="450"/>
        <v xml:space="preserve">non-profits(1), </v>
      </c>
      <c r="KB135" s="47" t="str">
        <f t="shared" si="450"/>
        <v xml:space="preserve">non-profits(25), </v>
      </c>
      <c r="KC135" s="47" t="str">
        <f t="shared" si="450"/>
        <v xml:space="preserve">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5" s="47" t="str">
        <f t="shared" si="450"/>
        <v xml:space="preserve">non-profits(1), </v>
      </c>
      <c r="KE135" s="47" t="str">
        <f t="shared" si="450"/>
        <v xml:space="preserve">non-profits(6.25), </v>
      </c>
      <c r="KF135" s="47" t="str">
        <f t="shared" si="450"/>
        <v xml:space="preserve"> </v>
      </c>
      <c r="KG135" s="47" t="str">
        <f t="shared" si="450"/>
        <v xml:space="preserve"> </v>
      </c>
      <c r="KH135" s="47" t="str">
        <f t="shared" si="450"/>
        <v xml:space="preserve"> </v>
      </c>
      <c r="KI135" s="47" t="str">
        <f t="shared" si="450"/>
        <v xml:space="preserve"> </v>
      </c>
      <c r="KJ135" s="47" t="str">
        <f t="shared" si="450"/>
        <v xml:space="preserve"> </v>
      </c>
      <c r="KK135" s="47" t="str">
        <f t="shared" si="450"/>
        <v xml:space="preserve"> </v>
      </c>
      <c r="KL135" s="57" t="str">
        <f t="shared" si="450"/>
        <v xml:space="preserve"> </v>
      </c>
      <c r="KM135" s="47" t="str">
        <f t="shared" si="450"/>
        <v xml:space="preserve"> </v>
      </c>
      <c r="KN135" s="47" t="str">
        <f t="shared" si="450"/>
        <v xml:space="preserve"> </v>
      </c>
      <c r="KO135" s="47" t="str">
        <f t="shared" si="450"/>
        <v xml:space="preserve"> </v>
      </c>
      <c r="KP135" s="47" t="str">
        <f t="shared" si="450"/>
        <v xml:space="preserve"> </v>
      </c>
      <c r="KQ135" s="47" t="str">
        <f t="shared" si="450"/>
        <v xml:space="preserve"> </v>
      </c>
      <c r="KR135" s="57" t="str">
        <f t="shared" si="450"/>
        <v xml:space="preserve"> </v>
      </c>
      <c r="KS135" s="47" t="str">
        <f t="shared" si="450"/>
        <v xml:space="preserve"> </v>
      </c>
      <c r="KT135" s="47" t="str">
        <f t="shared" si="450"/>
        <v xml:space="preserve"> </v>
      </c>
      <c r="KU135" s="47" t="str">
        <f t="shared" si="450"/>
        <v xml:space="preserve"> </v>
      </c>
      <c r="KV135" s="47" t="str">
        <f t="shared" si="450"/>
        <v xml:space="preserve"> </v>
      </c>
      <c r="KW135" s="47" t="str">
        <f t="shared" si="450"/>
        <v xml:space="preserve"> </v>
      </c>
      <c r="KX135" s="57" t="str">
        <f t="shared" si="450"/>
        <v xml:space="preserve"> </v>
      </c>
      <c r="KY135" s="47" t="str">
        <f t="shared" si="450"/>
        <v xml:space="preserve"> </v>
      </c>
      <c r="KZ135" s="47" t="str">
        <f t="shared" si="450"/>
        <v xml:space="preserve"> </v>
      </c>
      <c r="LA135" s="47" t="str">
        <f t="shared" si="450"/>
        <v xml:space="preserve"> </v>
      </c>
      <c r="LB135" s="47" t="str">
        <f t="shared" si="450"/>
        <v xml:space="preserve"> </v>
      </c>
      <c r="LC135" s="47" t="str">
        <f t="shared" si="450"/>
        <v xml:space="preserve"> </v>
      </c>
      <c r="LD135" s="57" t="str">
        <f t="shared" si="450"/>
        <v xml:space="preserve"> </v>
      </c>
      <c r="LE135" s="47" t="str">
        <f t="shared" si="450"/>
        <v xml:space="preserve"> </v>
      </c>
      <c r="LF135" s="47" t="str">
        <f t="shared" si="450"/>
        <v xml:space="preserve"> </v>
      </c>
      <c r="LG135" s="47" t="str">
        <f t="shared" si="450"/>
        <v xml:space="preserve"> </v>
      </c>
      <c r="LH135" s="47" t="str">
        <f t="shared" ref="LH135:NM135" si="451">IF(LH33="",LH136,$C135&amp;"("&amp;LH33&amp;"),"&amp;LH136)</f>
        <v xml:space="preserve"> </v>
      </c>
      <c r="LI135" s="47" t="str">
        <f t="shared" si="451"/>
        <v xml:space="preserve"> </v>
      </c>
      <c r="LJ135" s="57" t="str">
        <f t="shared" si="451"/>
        <v xml:space="preserve"> </v>
      </c>
      <c r="LK135" s="47" t="str">
        <f t="shared" si="451"/>
        <v xml:space="preserve"> </v>
      </c>
      <c r="LL135" s="47" t="str">
        <f t="shared" si="451"/>
        <v xml:space="preserve"> </v>
      </c>
      <c r="LM135" s="47" t="str">
        <f t="shared" si="451"/>
        <v xml:space="preserve"> </v>
      </c>
      <c r="LN135" s="47" t="str">
        <f t="shared" si="451"/>
        <v xml:space="preserve"> </v>
      </c>
      <c r="LO135" s="47" t="str">
        <f t="shared" si="451"/>
        <v xml:space="preserve"> </v>
      </c>
      <c r="LP135" s="57" t="str">
        <f t="shared" si="451"/>
        <v xml:space="preserve"> </v>
      </c>
      <c r="LQ135" s="47" t="str">
        <f t="shared" si="451"/>
        <v xml:space="preserve"> </v>
      </c>
      <c r="LR135" s="47" t="str">
        <f t="shared" si="451"/>
        <v xml:space="preserve"> </v>
      </c>
      <c r="LS135" s="47" t="str">
        <f t="shared" si="451"/>
        <v xml:space="preserve"> </v>
      </c>
      <c r="LT135" s="47" t="str">
        <f t="shared" si="451"/>
        <v xml:space="preserve"> </v>
      </c>
      <c r="LU135" s="47" t="str">
        <f t="shared" si="451"/>
        <v xml:space="preserve"> </v>
      </c>
      <c r="LV135" s="57" t="str">
        <f t="shared" si="451"/>
        <v xml:space="preserve"> </v>
      </c>
      <c r="LW135" s="47" t="str">
        <f t="shared" si="451"/>
        <v xml:space="preserve"> </v>
      </c>
      <c r="LX135" s="47" t="str">
        <f t="shared" si="451"/>
        <v xml:space="preserve"> </v>
      </c>
      <c r="LY135" s="47" t="str">
        <f t="shared" si="451"/>
        <v xml:space="preserve"> </v>
      </c>
      <c r="LZ135" s="47" t="str">
        <f t="shared" si="451"/>
        <v xml:space="preserve"> </v>
      </c>
      <c r="MA135" s="47" t="str">
        <f t="shared" si="451"/>
        <v xml:space="preserve"> </v>
      </c>
      <c r="MB135" s="57" t="str">
        <f t="shared" si="451"/>
        <v xml:space="preserve"> </v>
      </c>
      <c r="MC135" s="47" t="str">
        <f t="shared" si="451"/>
        <v xml:space="preserve"> </v>
      </c>
      <c r="MD135" s="47" t="str">
        <f t="shared" si="451"/>
        <v xml:space="preserve"> </v>
      </c>
      <c r="ME135" s="47" t="str">
        <f t="shared" si="451"/>
        <v xml:space="preserve"> </v>
      </c>
      <c r="MF135" s="47" t="str">
        <f t="shared" si="451"/>
        <v xml:space="preserve"> </v>
      </c>
      <c r="MG135" s="47" t="str">
        <f t="shared" si="451"/>
        <v xml:space="preserve"> </v>
      </c>
      <c r="MH135" s="57" t="str">
        <f t="shared" si="451"/>
        <v xml:space="preserve"> </v>
      </c>
      <c r="MI135" s="47" t="str">
        <f t="shared" si="451"/>
        <v xml:space="preserve"> </v>
      </c>
      <c r="MJ135" s="47" t="str">
        <f t="shared" si="451"/>
        <v xml:space="preserve"> </v>
      </c>
      <c r="MK135" s="47" t="str">
        <f t="shared" si="451"/>
        <v xml:space="preserve"> </v>
      </c>
      <c r="ML135" s="47" t="str">
        <f t="shared" si="451"/>
        <v xml:space="preserve"> </v>
      </c>
      <c r="MM135" s="47" t="str">
        <f t="shared" si="451"/>
        <v xml:space="preserve"> </v>
      </c>
      <c r="MN135" s="57" t="str">
        <f t="shared" si="451"/>
        <v xml:space="preserve"> </v>
      </c>
      <c r="MO135" s="47" t="str">
        <f t="shared" si="451"/>
        <v xml:space="preserve"> </v>
      </c>
      <c r="MP135" s="47" t="str">
        <f t="shared" si="451"/>
        <v xml:space="preserve"> </v>
      </c>
      <c r="MQ135" s="47" t="str">
        <f t="shared" si="451"/>
        <v xml:space="preserve"> </v>
      </c>
      <c r="MR135" s="47" t="str">
        <f t="shared" si="451"/>
        <v xml:space="preserve"> </v>
      </c>
      <c r="MS135" s="47" t="str">
        <f t="shared" si="451"/>
        <v xml:space="preserve"> </v>
      </c>
      <c r="MT135" s="57" t="str">
        <f t="shared" si="451"/>
        <v xml:space="preserve"> </v>
      </c>
      <c r="MU135" s="47" t="str">
        <f t="shared" si="451"/>
        <v xml:space="preserve"> </v>
      </c>
      <c r="MV135" s="47" t="str">
        <f t="shared" si="451"/>
        <v xml:space="preserve"> </v>
      </c>
      <c r="MW135" s="47" t="str">
        <f t="shared" si="451"/>
        <v xml:space="preserve"> </v>
      </c>
      <c r="MX135" s="47" t="str">
        <f t="shared" si="451"/>
        <v xml:space="preserve"> </v>
      </c>
      <c r="MY135" s="47" t="str">
        <f t="shared" si="451"/>
        <v xml:space="preserve"> </v>
      </c>
      <c r="MZ135" s="57" t="str">
        <f t="shared" si="451"/>
        <v xml:space="preserve"> </v>
      </c>
      <c r="NA135" s="47" t="str">
        <f t="shared" si="451"/>
        <v xml:space="preserve"> </v>
      </c>
      <c r="NB135" s="47" t="str">
        <f t="shared" si="451"/>
        <v xml:space="preserve"> </v>
      </c>
      <c r="NC135" s="47" t="str">
        <f t="shared" si="451"/>
        <v xml:space="preserve"> </v>
      </c>
      <c r="ND135" s="47" t="str">
        <f t="shared" si="451"/>
        <v xml:space="preserve"> </v>
      </c>
      <c r="NE135" s="47" t="str">
        <f t="shared" si="451"/>
        <v xml:space="preserve"> </v>
      </c>
      <c r="NF135" s="57" t="str">
        <f t="shared" si="451"/>
        <v xml:space="preserve"> </v>
      </c>
      <c r="NG135" s="47" t="str">
        <f t="shared" si="451"/>
        <v xml:space="preserve"> </v>
      </c>
      <c r="NH135" s="47" t="str">
        <f t="shared" si="451"/>
        <v xml:space="preserve"> </v>
      </c>
      <c r="NI135" s="47" t="str">
        <f t="shared" si="451"/>
        <v xml:space="preserve"> </v>
      </c>
      <c r="NJ135" s="47" t="str">
        <f t="shared" si="451"/>
        <v xml:space="preserve"> </v>
      </c>
      <c r="NK135" s="47" t="str">
        <f t="shared" si="451"/>
        <v xml:space="preserve"> </v>
      </c>
      <c r="NL135" s="57" t="str">
        <f t="shared" si="451"/>
        <v xml:space="preserve"> </v>
      </c>
      <c r="NM135" s="47" t="str">
        <f t="shared" si="451"/>
        <v xml:space="preserve"> </v>
      </c>
    </row>
    <row r="136" spans="3:377" ht="15.75" customHeight="1">
      <c r="C136" s="7" t="str">
        <f t="shared" si="296"/>
        <v>seriousness</v>
      </c>
      <c r="D136" s="21" t="str">
        <f t="shared" si="169"/>
        <v xml:space="preserve"> </v>
      </c>
      <c r="E136" s="21" t="str">
        <f t="shared" si="297"/>
        <v xml:space="preserve"> </v>
      </c>
      <c r="F136" s="21" t="str">
        <f t="shared" si="170"/>
        <v xml:space="preserve"> </v>
      </c>
      <c r="G136" s="21" t="str">
        <f t="shared" si="298"/>
        <v xml:space="preserve">community manager(1), PR(1), fame(1), network(2), ease of access(1), reputation(2), social media(1),  </v>
      </c>
      <c r="H136" s="21" t="str">
        <f t="shared" si="299"/>
        <v xml:space="preserve"> </v>
      </c>
      <c r="I136" s="21" t="str">
        <f t="shared" ref="I136" si="452">IF(I34="",I137,$C136&amp;"("&amp;I34&amp;"),"&amp;I137)</f>
        <v xml:space="preserve"> </v>
      </c>
      <c r="J136" s="21" t="str">
        <f t="shared" si="376"/>
        <v xml:space="preserve">interaction 1
 </v>
      </c>
      <c r="K136" s="21" t="str">
        <f t="shared" si="173"/>
        <v xml:space="preserve">reputation(1,75),  </v>
      </c>
      <c r="L136" s="21" t="str">
        <f t="shared" si="377"/>
        <v xml:space="preserve">reputation 75
 </v>
      </c>
      <c r="M136" s="21" t="str">
        <f t="shared" si="175"/>
        <v xml:space="preserve">PR(1), portfolio(1), social innovation(1), non-profit biz(1),  </v>
      </c>
      <c r="N136" s="21" t="str">
        <f t="shared" si="176"/>
        <v xml:space="preserve">seriousness(1,25), non-profits(1,12.5), reputation(1,75), marketing(1,12.5),  </v>
      </c>
      <c r="O136" s="21" t="str">
        <f t="shared" si="378"/>
        <v xml:space="preserve">seriousness(25),non-profits(12.5),reputation(75),marketing(12.5), </v>
      </c>
      <c r="P136" s="21" t="str">
        <f t="shared" si="376"/>
        <v xml:space="preserve">biz project 1
 </v>
      </c>
      <c r="Q136" s="21" t="str">
        <f t="shared" si="178"/>
        <v xml:space="preserve"> </v>
      </c>
      <c r="R136" s="21" t="str">
        <f t="shared" si="377"/>
        <v xml:space="preserve"> </v>
      </c>
      <c r="S136" s="21" t="str">
        <f t="shared" si="179"/>
        <v xml:space="preserve">portfolio(1), biz enhancement(1), business(1), start-up(1),  </v>
      </c>
      <c r="T136" s="21" t="str">
        <f t="shared" si="180"/>
        <v xml:space="preserve">seriousness(1,25), local biz(1,6.25), investors(1,6.25), reputation(1,6.25),  </v>
      </c>
      <c r="U136" s="21" t="str">
        <f t="shared" si="378"/>
        <v xml:space="preserve">seriousness(25),local biz(6.25),investors(6.25),reputation(6.25), </v>
      </c>
      <c r="V136" s="21" t="str">
        <f t="shared" si="376"/>
        <v xml:space="preserve"> </v>
      </c>
      <c r="W136" s="21" t="str">
        <f t="shared" si="181"/>
        <v xml:space="preserve">local biz(1,),  </v>
      </c>
      <c r="X136" s="21" t="str">
        <f t="shared" si="377"/>
        <v xml:space="preserve"> </v>
      </c>
      <c r="Y136" s="21" t="str">
        <f t="shared" si="182"/>
        <v xml:space="preserve">PR(1), network(1), ease of access(1), reputation(1), portfolio(1), biz project(1), biz enhancement(1), job creation(1), business(1),  </v>
      </c>
      <c r="Z136" s="21" t="str">
        <f t="shared" si="183"/>
        <v xml:space="preserve">local biz(1,6.25),  </v>
      </c>
      <c r="AA136" s="21" t="str">
        <f t="shared" si="378"/>
        <v xml:space="preserve">local biz(6.25), </v>
      </c>
      <c r="AB136" s="21" t="str">
        <f t="shared" si="376"/>
        <v xml:space="preserve"> </v>
      </c>
      <c r="AC136" s="21" t="str">
        <f t="shared" si="184"/>
        <v xml:space="preserve">non-profits(1,100),  </v>
      </c>
      <c r="AD136" s="21" t="str">
        <f t="shared" si="377"/>
        <v xml:space="preserve">non-profits 100
 </v>
      </c>
      <c r="AE136" s="21" t="str">
        <f t="shared" si="185"/>
        <v xml:space="preserve">PR(1), network(1), ease of access(1), reputation(1), portfolio(1), social project(1), social innovation(1), non-profit biz(1),  </v>
      </c>
      <c r="AF136" s="21" t="str">
        <f t="shared" si="186"/>
        <v xml:space="preserve">seriousness(1,6.25), non-profits(1,6.25),  </v>
      </c>
      <c r="AG136" s="21" t="str">
        <f t="shared" si="378"/>
        <v xml:space="preserve">seriousness(6.25),non-profits(6.25), </v>
      </c>
      <c r="AH136" s="21" t="str">
        <f t="shared" si="376"/>
        <v xml:space="preserve"> </v>
      </c>
      <c r="AI136" s="21" t="str">
        <f t="shared" si="187"/>
        <v xml:space="preserve">govt(1,),  </v>
      </c>
      <c r="AJ136" s="21" t="str">
        <f t="shared" si="377"/>
        <v xml:space="preserve"> </v>
      </c>
      <c r="AK136" s="21" t="str">
        <f t="shared" si="188"/>
        <v xml:space="preserve">seriousness(1), fame(1), network(1), govt(1), ease of access(1), reputation(2), portfolio(1), social project(1), social innovation(1), non-profit biz(1),  </v>
      </c>
      <c r="AL136" s="21" t="str">
        <f t="shared" si="189"/>
        <v xml:space="preserve">govt(1,6.25),  </v>
      </c>
      <c r="AM136" s="21" t="str">
        <f t="shared" si="378"/>
        <v xml:space="preserve">govt(6.25), </v>
      </c>
      <c r="AN136" s="21" t="str">
        <f t="shared" si="376"/>
        <v xml:space="preserve"> </v>
      </c>
      <c r="AO136" s="21" t="str">
        <f t="shared" si="190"/>
        <v xml:space="preserve">fame(1,), network(1,), investors(1,6.25),  </v>
      </c>
      <c r="AP136" s="21" t="str">
        <f t="shared" si="377"/>
        <v xml:space="preserve">investors 6.25
 </v>
      </c>
      <c r="AQ136" s="21" t="str">
        <f t="shared" si="191"/>
        <v xml:space="preserve">investors(1), ease of access(1), reputation(1), portfolio(1), start-up(1), start-up with mvp(1), start-up with customers(1),  </v>
      </c>
      <c r="AR136" s="21" t="str">
        <f t="shared" si="192"/>
        <v xml:space="preserve"> </v>
      </c>
      <c r="AS136" s="21" t="str">
        <f t="shared" si="378"/>
        <v xml:space="preserve"> </v>
      </c>
      <c r="AT136" s="21" t="str">
        <f t="shared" si="376"/>
        <v xml:space="preserve">seriousness 1
administrator 1
non-profits 2
reputation 1
portfolio 1
social project 1
 </v>
      </c>
      <c r="AU136" s="21" t="str">
        <f t="shared" si="193"/>
        <v xml:space="preserve"> </v>
      </c>
      <c r="AV136" s="21" t="str">
        <f t="shared" si="377"/>
        <v xml:space="preserve"> </v>
      </c>
      <c r="AW136" s="21" t="str">
        <f t="shared" si="194"/>
        <v xml:space="preserve">PR(2), administrator(1), project management(2),  </v>
      </c>
      <c r="AX136" s="21" t="str">
        <f t="shared" si="195"/>
        <v xml:space="preserve">organizational rules and manuals(1,12.5), project management(1,12.5),  </v>
      </c>
      <c r="AY136" s="21" t="str">
        <f t="shared" si="378"/>
        <v xml:space="preserve">organizational rules and manuals(12.5),project management(12.5), </v>
      </c>
      <c r="AZ136" s="21" t="str">
        <f t="shared" si="376"/>
        <v xml:space="preserve">non-profits 1
 </v>
      </c>
      <c r="BA136" s="21" t="str">
        <f t="shared" si="196"/>
        <v xml:space="preserve"> </v>
      </c>
      <c r="BB136" s="21" t="str">
        <f t="shared" si="377"/>
        <v xml:space="preserve"> </v>
      </c>
      <c r="BC136" s="21" t="str">
        <f t="shared" si="197"/>
        <v xml:space="preserve"> </v>
      </c>
      <c r="BD136" s="21" t="str">
        <f t="shared" si="198"/>
        <v xml:space="preserve"> </v>
      </c>
      <c r="BE136" s="21" t="str">
        <f t="shared" si="378"/>
        <v xml:space="preserve"> </v>
      </c>
      <c r="BF136" s="21" t="str">
        <f t="shared" si="376"/>
        <v xml:space="preserve">seriousness 1
administrator 1
local biz 2
entrepreneurs 1
reputation 1
portfolio 1
biz project 1
 </v>
      </c>
      <c r="BG136" s="21" t="str">
        <f t="shared" si="199"/>
        <v xml:space="preserve"> </v>
      </c>
      <c r="BH136" s="21" t="str">
        <f t="shared" si="377"/>
        <v xml:space="preserve"> </v>
      </c>
      <c r="BI136" s="21" t="str">
        <f t="shared" si="200"/>
        <v xml:space="preserve">PR(2), administrator(1), project management(2),  </v>
      </c>
      <c r="BJ136" s="21" t="str">
        <f t="shared" si="201"/>
        <v xml:space="preserve">organizational rules and manuals(1,12.5), project management(1,12.5),  </v>
      </c>
      <c r="BK136" s="21" t="str">
        <f t="shared" si="378"/>
        <v xml:space="preserve">organizational rules and manuals(12.5),project management(12.5), </v>
      </c>
      <c r="BL136" s="21" t="str">
        <f t="shared" si="376"/>
        <v xml:space="preserve">local biz 1
reputation 1
portfolio 1
biz enhancement 1
 </v>
      </c>
      <c r="BM136" s="21" t="str">
        <f t="shared" si="202"/>
        <v xml:space="preserve"> </v>
      </c>
      <c r="BN136" s="21" t="str">
        <f t="shared" si="377"/>
        <v xml:space="preserve"> </v>
      </c>
      <c r="BO136" s="21" t="str">
        <f t="shared" si="203"/>
        <v xml:space="preserve"> </v>
      </c>
      <c r="BP136" s="21" t="str">
        <f t="shared" si="204"/>
        <v xml:space="preserve"> </v>
      </c>
      <c r="BQ136" s="21" t="str">
        <f t="shared" si="378"/>
        <v xml:space="preserve"> </v>
      </c>
      <c r="BR136" s="21" t="str">
        <f t="shared" si="376"/>
        <v xml:space="preserve"> </v>
      </c>
      <c r="BS136" s="21" t="str">
        <f t="shared" si="205"/>
        <v xml:space="preserve"> </v>
      </c>
      <c r="BT136" s="21" t="str">
        <f t="shared" si="377"/>
        <v xml:space="preserve"> </v>
      </c>
      <c r="BU136" s="21" t="str">
        <f t="shared" si="206"/>
        <v xml:space="preserve"> </v>
      </c>
      <c r="BV136" s="21" t="str">
        <f t="shared" si="207"/>
        <v xml:space="preserve"> </v>
      </c>
      <c r="BW136" s="21" t="str">
        <f t="shared" si="378"/>
        <v xml:space="preserve"> </v>
      </c>
      <c r="BX136" s="21" t="str">
        <f t="shared" si="379"/>
        <v xml:space="preserve">network 1
 </v>
      </c>
      <c r="BY136" s="21" t="str">
        <f t="shared" si="209"/>
        <v xml:space="preserve">efficiency(1,),  </v>
      </c>
      <c r="BZ136" s="21" t="str">
        <f t="shared" si="380"/>
        <v xml:space="preserve"> </v>
      </c>
      <c r="CA136" s="21" t="str">
        <f t="shared" si="211"/>
        <v xml:space="preserve">administrator(1), negotiation(1),  </v>
      </c>
      <c r="CB136" s="21" t="str">
        <f t="shared" si="212"/>
        <v xml:space="preserve">user rules and manuals(1,50), organizational rules and manuals(1,50),  </v>
      </c>
      <c r="CC136" s="21" t="str">
        <f t="shared" si="381"/>
        <v xml:space="preserve">user rules and manuals(50),organizational rules and manuals(50), </v>
      </c>
      <c r="CD136" s="21" t="str">
        <f t="shared" si="379"/>
        <v xml:space="preserve">network 1
 </v>
      </c>
      <c r="CE136" s="21" t="str">
        <f t="shared" si="214"/>
        <v xml:space="preserve">non-profits(1,),  </v>
      </c>
      <c r="CF136" s="21" t="str">
        <f t="shared" si="380"/>
        <v xml:space="preserve"> </v>
      </c>
      <c r="CG136" s="21" t="str">
        <f t="shared" si="215"/>
        <v xml:space="preserve">seriousness(1), ease of access(1), portfolio(1), user rules and manuals(1), negotiation(1), social project(1), biz project(1), for basic literacy(1), for the elites(1), for entrepreneurs(1),  </v>
      </c>
      <c r="CH136" s="21" t="str">
        <f t="shared" si="216"/>
        <v xml:space="preserve">technologists(1,6.25), non-profits(1,6.25),  </v>
      </c>
      <c r="CI136" s="21" t="str">
        <f t="shared" si="381"/>
        <v xml:space="preserve">technologists(6.25),non-profits(6.25), </v>
      </c>
      <c r="CJ136" s="21" t="str">
        <f t="shared" si="379"/>
        <v xml:space="preserve"> </v>
      </c>
      <c r="CK136" s="21" t="str">
        <f t="shared" si="217"/>
        <v xml:space="preserve">suppliers(1,),  </v>
      </c>
      <c r="CL136" s="21" t="str">
        <f t="shared" si="380"/>
        <v xml:space="preserve"> </v>
      </c>
      <c r="CM136" s="21" t="str">
        <f t="shared" si="218"/>
        <v xml:space="preserve">reputation(1), negotiation(1),  </v>
      </c>
      <c r="CN136" s="21" t="str">
        <f t="shared" si="219"/>
        <v xml:space="preserve">efficiency(1,6.25),  </v>
      </c>
      <c r="CO136" s="21" t="str">
        <f t="shared" si="381"/>
        <v xml:space="preserve">efficiency(6.25), </v>
      </c>
      <c r="CP136" s="21" t="str">
        <f t="shared" si="379"/>
        <v xml:space="preserve"> </v>
      </c>
      <c r="CQ136" s="21" t="str">
        <f t="shared" si="220"/>
        <v xml:space="preserve">technologists(1,),  </v>
      </c>
      <c r="CR136" s="21" t="str">
        <f t="shared" si="380"/>
        <v xml:space="preserve"> </v>
      </c>
      <c r="CS136" s="21" t="str">
        <f t="shared" si="221"/>
        <v xml:space="preserve">network(1), portfolio(1), negotiation(1), web(1), infrastructrue(1), database(1), mobile apps(1), sensors(1), security(1), AI&amp; data analysis(1), mobile comm(1), VR&amp;AR(1), wood processing(1), metal processing(1), plastic processing(1), electronics(1), fabric(1),  </v>
      </c>
      <c r="CT136" s="21" t="str">
        <f t="shared" si="222"/>
        <v xml:space="preserve">efficiency(1,6.25),  </v>
      </c>
      <c r="CU136" s="21" t="str">
        <f t="shared" si="381"/>
        <v xml:space="preserve">efficiency(6.25), </v>
      </c>
      <c r="CV136" s="21" t="str">
        <f t="shared" si="379"/>
        <v xml:space="preserve"> </v>
      </c>
      <c r="CW136" s="21" t="str">
        <f t="shared" si="223"/>
        <v xml:space="preserve">local biz(1,),  </v>
      </c>
      <c r="CX136" s="21" t="str">
        <f t="shared" si="380"/>
        <v xml:space="preserve"> </v>
      </c>
      <c r="CY136" s="21" t="str">
        <f t="shared" si="224"/>
        <v xml:space="preserve">ease of access(1), reputation(1), portfolio(1), negotiation(1),  </v>
      </c>
      <c r="CZ136" s="21" t="str">
        <f t="shared" si="225"/>
        <v xml:space="preserve">non-profits(1,6.25),  </v>
      </c>
      <c r="DA136" s="21" t="str">
        <f t="shared" si="381"/>
        <v xml:space="preserve">non-profits(6.25), </v>
      </c>
      <c r="DB136" s="21" t="str">
        <f t="shared" si="379"/>
        <v xml:space="preserve"> </v>
      </c>
      <c r="DC136" s="21" t="str">
        <f t="shared" si="226"/>
        <v xml:space="preserve"> </v>
      </c>
      <c r="DD136" s="21" t="str">
        <f t="shared" si="380"/>
        <v xml:space="preserve"> </v>
      </c>
      <c r="DE136"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6" s="21" t="str">
        <f t="shared" si="228"/>
        <v xml:space="preserve">network(1,), local biz(1,6.25), biz group(1,6.25), investors(1,6.25), entrepreneurs(1,6.25),  </v>
      </c>
      <c r="DG136" s="21" t="str">
        <f t="shared" si="381"/>
        <v xml:space="preserve">local biz(6.25),biz group(6.25),investors(6.25),entrepreneurs(6.25), </v>
      </c>
      <c r="DH136" s="21" t="str">
        <f t="shared" si="379"/>
        <v xml:space="preserve">network 1
non-profits 1
reputation 1
social project 1
 </v>
      </c>
      <c r="DI136" s="21" t="str">
        <f t="shared" si="229"/>
        <v xml:space="preserve"> </v>
      </c>
      <c r="DJ136" s="21" t="str">
        <f t="shared" si="380"/>
        <v xml:space="preserve"> </v>
      </c>
      <c r="DK136" s="21" t="str">
        <f t="shared" si="230"/>
        <v xml:space="preserve">seriousness(1), 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6" s="21" t="str">
        <f t="shared" si="231"/>
        <v xml:space="preserve">reputation(1,6.25),  </v>
      </c>
      <c r="DM136" s="21" t="str">
        <f t="shared" si="381"/>
        <v xml:space="preserve">reputation(6.25), </v>
      </c>
      <c r="DN136" s="21" t="str">
        <f t="shared" si="379"/>
        <v xml:space="preserve">network 1
local biz 1
reputation 1
biz project 1
 </v>
      </c>
      <c r="DO136" s="21" t="str">
        <f t="shared" si="232"/>
        <v xml:space="preserve"> </v>
      </c>
      <c r="DP136" s="21" t="str">
        <f t="shared" si="380"/>
        <v xml:space="preserve"> </v>
      </c>
      <c r="DQ136"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6" s="21" t="str">
        <f t="shared" si="234"/>
        <v xml:space="preserve">reputation(1,6.25),  </v>
      </c>
      <c r="DS136" s="21" t="str">
        <f t="shared" si="381"/>
        <v xml:space="preserve">reputation(6.25), </v>
      </c>
      <c r="DT136" s="21" t="str">
        <f t="shared" si="379"/>
        <v xml:space="preserve">network 1
reputation 1
 </v>
      </c>
      <c r="DU136" s="21" t="str">
        <f t="shared" si="235"/>
        <v xml:space="preserve"> </v>
      </c>
      <c r="DV136" s="21" t="str">
        <f t="shared" si="380"/>
        <v xml:space="preserve"> </v>
      </c>
      <c r="DW136" s="21" t="str">
        <f t="shared" si="236"/>
        <v xml:space="preserve">seriousness(1), 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6" s="21" t="str">
        <f t="shared" si="237"/>
        <v xml:space="preserve">reputation(1,6.25), for basic literacy(1,6.25),  </v>
      </c>
      <c r="DY136" s="21" t="str">
        <f t="shared" si="381"/>
        <v xml:space="preserve">reputation(6.25),for basic literacy(6.25), </v>
      </c>
      <c r="DZ136" s="21" t="str">
        <f t="shared" si="379"/>
        <v xml:space="preserve">network 1
reputation 1
 </v>
      </c>
      <c r="EA136" s="21" t="str">
        <f t="shared" si="238"/>
        <v xml:space="preserve"> </v>
      </c>
      <c r="EB136" s="21" t="str">
        <f t="shared" si="380"/>
        <v xml:space="preserve"> </v>
      </c>
      <c r="EC136" s="21" t="str">
        <f t="shared" si="239"/>
        <v xml:space="preserve">seriousness(1), 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6" s="21" t="str">
        <f t="shared" si="240"/>
        <v xml:space="preserve">reputation(1,6.25), for basic literacy(1,6.25),  </v>
      </c>
      <c r="EE136" s="21" t="str">
        <f t="shared" si="381"/>
        <v xml:space="preserve">reputation(6.25),for basic literacy(6.25), </v>
      </c>
      <c r="EF136" s="21" t="str">
        <f t="shared" si="379"/>
        <v xml:space="preserve">technologists 1
reputation 1
 </v>
      </c>
      <c r="EG136" s="21" t="str">
        <f t="shared" si="241"/>
        <v xml:space="preserve">web(1,50), mobile apps(1,50), interaction(1,50),  </v>
      </c>
      <c r="EH136" s="21" t="str">
        <f t="shared" si="380"/>
        <v xml:space="preserve">web 50
mobile apps 50
interaction 50
 </v>
      </c>
      <c r="EI136" s="21" t="str">
        <f t="shared" si="242"/>
        <v xml:space="preserve">seriousness(2), initiative(1), community manager(1), administrator(1), enthusiasm(1), fame(1), network(2), level of understanding(1), technologists(2), ease of access(1), reputation(2), infrastructrue(1), database(1), mobile comm(1), for entrepreneurs(1),  </v>
      </c>
      <c r="EJ136" s="21" t="str">
        <f t="shared" si="243"/>
        <v xml:space="preserve">technologists(1,12.5), infrastructrue(1,12.5), database(1,12.5), mobile comm(1,12.5), for entrepreneurs(1,6.25),  </v>
      </c>
      <c r="EK136" s="21" t="str">
        <f t="shared" si="381"/>
        <v xml:space="preserve">technologists(12.5),infrastructrue(12.5),database(12.5),mobile comm(12.5),for entrepreneurs(6.25), </v>
      </c>
      <c r="EL136" s="21" t="str">
        <f t="shared" si="382"/>
        <v xml:space="preserve">technologists 1
reputation 1
 </v>
      </c>
      <c r="EM136" s="21" t="str">
        <f t="shared" si="245"/>
        <v xml:space="preserve">sensors(1,50),  </v>
      </c>
      <c r="EN136" s="21" t="str">
        <f t="shared" si="383"/>
        <v xml:space="preserve">sensors 50
 </v>
      </c>
      <c r="EO136" s="21" t="str">
        <f t="shared" si="247"/>
        <v xml:space="preserve">seriousness(2), initiative(1), community manager(1), administrator(1), enthusiasm(1), fame(1), network(2), level of understanding(1), technologists(2), ease of access(1), reputation(2), project management(2), infrastructrue(1), database(1), mobile comm(1), for entrepreneurs(1),  </v>
      </c>
      <c r="EP136" s="21" t="str">
        <f t="shared" si="248"/>
        <v xml:space="preserve">technologists(1,12.5), infrastructrue(1,12.5), database(1,12.5), mobile comm(1,12.5), electronics(1,6.25), for entrepreneurs(1,6.25),  </v>
      </c>
      <c r="EQ136" s="21" t="str">
        <f t="shared" si="384"/>
        <v xml:space="preserve">technologists(12.5),infrastructrue(12.5),database(12.5),mobile comm(12.5),electronics(6.25),for entrepreneurs(6.25), </v>
      </c>
      <c r="ER136" s="21" t="str">
        <f t="shared" si="382"/>
        <v xml:space="preserve">technologists 1
 </v>
      </c>
      <c r="ES136" s="21" t="str">
        <f t="shared" si="250"/>
        <v xml:space="preserve">AI&amp; data analysis(1,50),  </v>
      </c>
      <c r="ET136" s="21" t="str">
        <f t="shared" si="383"/>
        <v xml:space="preserve">AI&amp; data analysis 50
 </v>
      </c>
      <c r="EU136" s="21" t="str">
        <f t="shared" si="251"/>
        <v xml:space="preserve">seriousness(2), initiative(1), community manager(1), administrator(1), enthusiasm(1), fame(1), network(2), level of understanding(1), technologists(2), ease of access(1), reputation(2), database(1), sensors(1), mobile comm(1), for entrepreneurs(1),  </v>
      </c>
      <c r="EV136" s="21" t="str">
        <f t="shared" si="252"/>
        <v xml:space="preserve">technologists(1,12.5), database(1,12.5), sensors(1,12.5), mobile comm(1,12.5), for entrepreneurs(1,6.25),  </v>
      </c>
      <c r="EW136" s="21" t="str">
        <f t="shared" si="384"/>
        <v xml:space="preserve">technologists(12.5),database(12.5),sensors(12.5),mobile comm(12.5),for entrepreneurs(6.25), </v>
      </c>
      <c r="EX136" s="21" t="str">
        <f t="shared" si="382"/>
        <v xml:space="preserve">technologists 1
 </v>
      </c>
      <c r="EY136" s="21" t="str">
        <f t="shared" si="253"/>
        <v xml:space="preserve">law(1,50), security(1,50), interaction(1,25),  </v>
      </c>
      <c r="EZ136" s="21" t="str">
        <f t="shared" si="383"/>
        <v xml:space="preserve">law 50
security 50
interaction 25
 </v>
      </c>
      <c r="FA136" s="21" t="str">
        <f t="shared" si="254"/>
        <v xml:space="preserve">seriousness(2), initiative(1), community manager(1), administrator(1), enthusiasm(1), fame(1), network(2), level of understanding(1), technologists(2), ease of access(1), reputation(2), law(2), for entrepreneurs(1),  </v>
      </c>
      <c r="FB136" s="21" t="str">
        <f t="shared" si="255"/>
        <v xml:space="preserve">technologists(1,12.5), law(1,6.25), database(1,12.5), mobile apps(1,12.5), security(1,12.5), mobile comm(1,12.5), for entrepreneurs(1,6.25),  </v>
      </c>
      <c r="FC136" s="21" t="str">
        <f t="shared" si="384"/>
        <v xml:space="preserve">technologists(12.5),law(6.25),database(12.5),mobile apps(12.5),security(12.5),mobile comm(12.5),for entrepreneurs(6.25), </v>
      </c>
      <c r="FD136" s="21" t="str">
        <f t="shared" si="382"/>
        <v xml:space="preserve">technologists 1
 </v>
      </c>
      <c r="FE136" s="21" t="str">
        <f t="shared" si="256"/>
        <v xml:space="preserve">law(1,50), sensors(1,50), security(1,50),  </v>
      </c>
      <c r="FF136" s="21" t="str">
        <f t="shared" si="383"/>
        <v xml:space="preserve">law 50
sensors 50
security 50
 </v>
      </c>
      <c r="FG136" s="21" t="str">
        <f t="shared" si="257"/>
        <v xml:space="preserve">seriousness(2), initiative(1), community manager(1), administrator(1), enthusiasm(1), fame(1), network(2), level of understanding(1), technologists(2), ease of access(1), reputation(2), law(2), project management(2), for entrepreneurs(1),  </v>
      </c>
      <c r="FH136" s="21" t="str">
        <f t="shared" si="258"/>
        <v xml:space="preserve">technologists(1,12.5), law(1,6.25), database(1,6.25), mobile apps(1,6.25), AI&amp; data analysis(1,6.25), mobile comm(1,6.25), for entrepreneurs(1,6.25),  </v>
      </c>
      <c r="FI136" s="21" t="str">
        <f t="shared" si="384"/>
        <v xml:space="preserve">technologists(12.5),law(6.25),database(6.25),mobile apps(6.25),AI&amp; data analysis(6.25),mobile comm(6.25),for entrepreneurs(6.25), </v>
      </c>
      <c r="FJ136" s="21" t="str">
        <f t="shared" si="382"/>
        <v xml:space="preserve">technologists 1
 </v>
      </c>
      <c r="FK136" s="21" t="str">
        <f t="shared" si="259"/>
        <v xml:space="preserve">wood processing(1,25), metal processing(1,25), plastic processing(1,25), fabric(1,25), safety(1,25), interaction(1,25),  </v>
      </c>
      <c r="FL136" s="21" t="str">
        <f t="shared" si="383"/>
        <v xml:space="preserve">project management 2
wood processing 25
metal processing 25
plastic processing 25
fabric 25
safety 25
interaction 25
 </v>
      </c>
      <c r="FM136" s="21" t="str">
        <f t="shared" si="260"/>
        <v xml:space="preserve">seriousness(2), initiative(1), community manager(1), administrator(1), enthusiasm(1), fame(1), network(2), level of understanding(1), technologists(2), spaciousness(1), ease of access(1), reputation(2), for entrepreneurs(1),  </v>
      </c>
      <c r="FN136" s="21" t="str">
        <f t="shared" si="261"/>
        <v xml:space="preserve">technologists(1,12.5), for entrepreneurs(1,6.25),  </v>
      </c>
      <c r="FO136" s="21" t="str">
        <f t="shared" si="384"/>
        <v xml:space="preserve">technologists(12.5),for entrepreneurs(6.25), </v>
      </c>
      <c r="FP136" s="21" t="str">
        <f t="shared" si="382"/>
        <v xml:space="preserve">technologists 1
 </v>
      </c>
      <c r="FQ136" s="21" t="str">
        <f t="shared" si="262"/>
        <v xml:space="preserve">web(1,25), mobile apps(1,50), functions(1,25), interaction(1,25),  </v>
      </c>
      <c r="FR136" s="21" t="str">
        <f t="shared" si="383"/>
        <v xml:space="preserve">web 25
mobile apps 50
functions 25
interaction 25
 </v>
      </c>
      <c r="FS136" s="21" t="str">
        <f t="shared" si="263"/>
        <v xml:space="preserve">seriousness(2), initiative(1), community manager(1), administrator(1), enthusiasm(1), fame(1), network(2), level of understanding(1), technologists(2), spaciousness(1), ease of access(1), reputation(2), for entrepreneurs(1),  </v>
      </c>
      <c r="FT136" s="21" t="str">
        <f t="shared" si="264"/>
        <v xml:space="preserve">technologists(1,12.5), for entrepreneurs(1,6.25),  </v>
      </c>
      <c r="FU136" s="21" t="str">
        <f t="shared" si="384"/>
        <v xml:space="preserve">technologists(12.5),for entrepreneurs(6.25), </v>
      </c>
      <c r="FV136" s="21" t="str">
        <f t="shared" si="382"/>
        <v xml:space="preserve">technologists 1
 </v>
      </c>
      <c r="FW136" s="21" t="str">
        <f t="shared" si="265"/>
        <v xml:space="preserve">mobile apps(1,50), sensors(1,50), wood processing(1,25), plastic processing(1,25), electronics(1,25), functions(1,25), interaction(1,25),  </v>
      </c>
      <c r="FX136" s="21" t="str">
        <f t="shared" si="383"/>
        <v xml:space="preserve">mobile apps 50
sensors 50
wood processing 25
plastic processing 25
electronics 25
functions 25
interaction 25
 </v>
      </c>
      <c r="FY136" s="21" t="str">
        <f t="shared" si="266"/>
        <v xml:space="preserve">seriousness(2), initiative(1), community manager(1), administrator(1), enthusiasm(1), fame(1), network(2), level of understanding(1), technologists(2), spaciousness(1), ease of access(1), reputation(2), project management(2), for entrepreneurs(1),  </v>
      </c>
      <c r="FZ136" s="21" t="str">
        <f t="shared" si="267"/>
        <v xml:space="preserve">technologists(1,12.5), web(1,6.25), database(1,6.25), AI&amp; data analysis(1,6.25), mobile comm(1,6.25), for entrepreneurs(1,6.25),  </v>
      </c>
      <c r="GA136" s="21" t="str">
        <f t="shared" si="384"/>
        <v xml:space="preserve">technologists(12.5),web(6.25),database(6.25),AI&amp; data analysis(6.25),mobile comm(6.25),for entrepreneurs(6.25), </v>
      </c>
      <c r="GB136" s="21" t="str">
        <f t="shared" si="382"/>
        <v xml:space="preserve">technologists 1
 </v>
      </c>
      <c r="GC136" s="21" t="str">
        <f t="shared" si="268"/>
        <v xml:space="preserve">sensors(1,25), mobile comm(1,25), electronics(1,50), functions(1,25), safety(1,25),  </v>
      </c>
      <c r="GD136" s="21" t="str">
        <f t="shared" si="383"/>
        <v xml:space="preserve">sensors 25
mobile comm 25
electronics 50
functions 25
safety 25
 </v>
      </c>
      <c r="GE136" s="21" t="str">
        <f t="shared" si="269"/>
        <v xml:space="preserve">seriousness(2), initiative(1), community manager(1), administrator(1), enthusiasm(1), fame(1), network(2), level of understanding(1), technologists(2), spaciousness(1), ease of access(1), reputation(2), project management(2), for entrepreneurs(1),  </v>
      </c>
      <c r="GF136" s="21" t="str">
        <f t="shared" si="270"/>
        <v xml:space="preserve">technologists(1,12.5), database(1,6.25), mobile apps(1,6.25), AI&amp; data analysis(1,6.25), plastic processing(1,6.25), interaction(1,6.25), for entrepreneurs(1,6.25),  </v>
      </c>
      <c r="GG136" s="21" t="str">
        <f t="shared" si="384"/>
        <v xml:space="preserve">technologists(12.5),database(6.25),mobile apps(6.25),AI&amp; data analysis(6.25),plastic processing(6.25),interaction(6.25),for entrepreneurs(6.25), </v>
      </c>
      <c r="GH136" s="21" t="str">
        <f t="shared" si="382"/>
        <v xml:space="preserve">technologists 1
 </v>
      </c>
      <c r="GI136" s="21" t="str">
        <f t="shared" si="271"/>
        <v xml:space="preserve">web(1,25), mobile apps(1,50), functions(1,25), interaction(1,25),  </v>
      </c>
      <c r="GJ136" s="21" t="str">
        <f t="shared" si="383"/>
        <v xml:space="preserve">web 25
mobile apps 50
functions 25
interaction 25
 </v>
      </c>
      <c r="GK136" s="21" t="str">
        <f t="shared" si="272"/>
        <v xml:space="preserve">seriousness(2), initiative(1), community manager(1), administrator(1), enthusiasm(1), fame(1), network(2), level of understanding(1), technologists(2), spaciousness(1), ease of access(1), reputation(2), project management(2), for entrepreneurs(1),  </v>
      </c>
      <c r="GL136" s="21" t="str">
        <f t="shared" si="273"/>
        <v xml:space="preserve">technologists(1,12.5), for entrepreneurs(1,6.25),  </v>
      </c>
      <c r="GM136" s="21" t="str">
        <f t="shared" si="384"/>
        <v xml:space="preserve">technologists(12.5),for entrepreneurs(6.25), </v>
      </c>
      <c r="GN136" s="21" t="str">
        <f t="shared" si="382"/>
        <v xml:space="preserve">technologists 1
 </v>
      </c>
      <c r="GO136" s="21" t="str">
        <f t="shared" si="274"/>
        <v xml:space="preserve">web(1,25), mobile apps(1,25), VR&amp;AR(1,25), aesthetics(1,25), functions(1,25), interaction(1,50),  </v>
      </c>
      <c r="GP136" s="21" t="str">
        <f t="shared" si="383"/>
        <v xml:space="preserve">web 25
mobile apps 25
VR&amp;AR 25
aesthetics 25
functions 25
interaction 50
 </v>
      </c>
      <c r="GQ136" s="21" t="str">
        <f t="shared" si="275"/>
        <v xml:space="preserve">seriousness(2), initiative(1), community manager(1), administrator(1), enthusiasm(1), fame(1), network(2), level of understanding(1), technologists(2), spaciousness(1), ease of access(1), reputation(2), project management(2), for entrepreneurs(1),  </v>
      </c>
      <c r="GR136" s="21" t="str">
        <f t="shared" si="276"/>
        <v xml:space="preserve">technologists(1,12.5), for entrepreneurs(1,6.25),  </v>
      </c>
      <c r="GS136" s="21" t="str">
        <f t="shared" si="384"/>
        <v xml:space="preserve">technologists(12.5),for entrepreneurs(6.25), </v>
      </c>
      <c r="GT136" s="21" t="str">
        <f t="shared" si="382"/>
        <v xml:space="preserve">ease of access 1
reputation 2
web 1
mobile apps 1
mobile comm 1
 </v>
      </c>
      <c r="GU136" s="21" t="str">
        <f t="shared" si="277"/>
        <v xml:space="preserve"> </v>
      </c>
      <c r="GV136" s="21" t="str">
        <f t="shared" si="383"/>
        <v xml:space="preserve"> </v>
      </c>
      <c r="GW136" s="21" t="str">
        <f t="shared" si="278"/>
        <v xml:space="preserve">seriousness(1), 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6" s="21" t="str">
        <f t="shared" si="279"/>
        <v xml:space="preserve">media(1,6.25), entrepreneurs(1,6.25), technologists(1,6.25), project management(1,6.25), social media(1,6.25), web(1,6.25), mobile apps(1,6.25),  </v>
      </c>
      <c r="GY136" s="21" t="str">
        <f t="shared" si="384"/>
        <v xml:space="preserve">media(6.25),entrepreneurs(6.25),technologists(6.25),project management(6.25),social media(6.25),web(6.25),mobile apps(6.25), </v>
      </c>
      <c r="GZ136" s="21" t="str">
        <f t="shared" si="385"/>
        <v xml:space="preserve">network 1
govt 1
non-profits 1
reputation 2
portfolio 1
 </v>
      </c>
      <c r="HA136" s="21" t="str">
        <f t="shared" si="281"/>
        <v xml:space="preserve"> </v>
      </c>
      <c r="HB136" s="21" t="str">
        <f t="shared" si="386"/>
        <v xml:space="preserve"> </v>
      </c>
      <c r="HC136" s="21" t="str">
        <f t="shared" si="283"/>
        <v xml:space="preserve">initiative(2), leader(1), community manager(1), PR(1), finance(1), administrator(1), network(2), govt(3), non-profits(3), reputation(4), portfolio(3), social media(2), web(2), mobile apps(2), sensors(2), AI&amp; data analysis(2), VR&amp;AR(2), plastic processing(2), electronics(2), aesthetics(2), interaction(2),  </v>
      </c>
      <c r="HD136" s="21" t="str">
        <f t="shared" si="284"/>
        <v xml:space="preserve">media(1,6.25), technologists(1,6.25), non-profits(1,6.25), reputation(1,6.25), start-up with customers(1,6.25), for basic literacy(1,6.25),  </v>
      </c>
      <c r="HE136" s="21" t="str">
        <f t="shared" si="387"/>
        <v xml:space="preserve">media(6.25),technologists(6.25),non-profits(6.25),reputation(6.25),start-up with customers(6.25),for basic literacy(6.25), </v>
      </c>
      <c r="HF136" s="21" t="str">
        <f t="shared" si="385"/>
        <v xml:space="preserve"> </v>
      </c>
      <c r="HG136" s="21" t="str">
        <f t="shared" si="286"/>
        <v xml:space="preserve"> </v>
      </c>
      <c r="HH136" s="21" t="str">
        <f t="shared" si="386"/>
        <v xml:space="preserve"> </v>
      </c>
      <c r="HI136" s="21" t="str">
        <f t="shared" si="287"/>
        <v xml:space="preserve">seriousness(2), initiative(2), leader(1), community manager(1), PR(1), finance(1), administrator(1), network(2), portfolio(3), marketing(2), team building(3), project management(2), mobile apps(3), sensors(2), plastic processing(2), electronics(2), aesthetics(2), functions(2), interaction(2),  </v>
      </c>
      <c r="HJ136" s="21" t="str">
        <f t="shared" si="288"/>
        <v xml:space="preserve">seriousness(1,6.25), govt(1,6.25), media(1,6.25), non-profits(1,6.25), start-up with customers(1,6.25),  </v>
      </c>
      <c r="HK136" s="21" t="str">
        <f t="shared" si="387"/>
        <v xml:space="preserve">seriousness(6.25),govt(6.25),media(6.25),non-profits(6.25),start-up with customers(6.25), </v>
      </c>
      <c r="HL136" s="21" t="str">
        <f t="shared" si="385"/>
        <v xml:space="preserve">community manager 1
PR 1
administrator 1
local biz 1
entrepreneurs 1
non-profits 1
reputation 2
portfolio 2
 </v>
      </c>
      <c r="HM136" s="21" t="str">
        <f t="shared" si="289"/>
        <v xml:space="preserve">seriousness(1,25),  </v>
      </c>
      <c r="HN136" s="21" t="str">
        <f t="shared" si="386"/>
        <v xml:space="preserve">seriousness 25
 </v>
      </c>
      <c r="HO136"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6" s="21" t="str">
        <f t="shared" si="291"/>
        <v xml:space="preserve">enthusiasm(1,6.25), level of understanding(1,6.25), local biz(1,6.25), biz group(1,6.25), govt(1,6.25), investors(1,6.25), media(1,6.25), entrepreneurs(1,6.25), technologists(1,6.25), suppliers(1,6.25), non-profits(1,6.25), reputation(1,6.25),  </v>
      </c>
      <c r="HQ136" s="47" t="str">
        <f t="shared" si="387"/>
        <v xml:space="preserve">enthusiasm(6.25),level of understanding(6.25),local biz(6.25),biz group(6.25),govt(6.25),investors(6.25),media(6.25),entrepreneurs(6.25),technologists(6.25),suppliers(6.25),non-profits(6.25),reputation(6.25), </v>
      </c>
      <c r="HR136" s="47" t="str">
        <f t="shared" ref="HR136:HW136" si="453">IF(HR34="",HR137,$C136&amp;"("&amp;HR34&amp;"),"&amp;HR137)</f>
        <v xml:space="preserve">reputation(2),portfolio(2),mobile apps(1),sensors(1),wood processing(1),aesthetics(1), </v>
      </c>
      <c r="HS136" s="47" t="str">
        <f t="shared" si="453"/>
        <v xml:space="preserve"> </v>
      </c>
      <c r="HT136" s="47" t="str">
        <f t="shared" si="453"/>
        <v xml:space="preserve"> </v>
      </c>
      <c r="HU136" s="47" t="str">
        <f t="shared" si="453"/>
        <v xml:space="preserve">seriousness(2),leader(1),community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6" s="47" t="str">
        <f t="shared" si="453"/>
        <v xml:space="preserve">local biz(1),biz group(1),govt(1),investors(1),media(1),entrepreneurs(1),technologists(1),suppliers(1),non-profits(1),reputation(1), </v>
      </c>
      <c r="HW136" s="47" t="str">
        <f t="shared" si="453"/>
        <v xml:space="preserve">local biz(6.25),biz group(6.25),govt(6.25),investors(6.25),media(6.25),entrepreneurs(6.25),technologists(12.5),suppliers(6.25),non-profits(6.25),reputation(6.25), </v>
      </c>
      <c r="HX136" s="47" t="str">
        <f t="shared" ref="HX136:IU136" si="454">IF(HX34="",HX137,$C136&amp;"("&amp;HX34&amp;"),"&amp;HX137)</f>
        <v xml:space="preserve">seriousness(2),leader(1),local biz(2),govt(2),media(2),entrepreneurs(2),technologists(3),non-profits(3),reputation(3),portfolio(2),web(1),infrastructrue(1),database(2),mobile apps(1),sensors(1),AI&amp; data analysis(2),VR&amp;AR(1),wood processing(1),metal processing(1),plastic processing(1),electronics(1),aesthetics(1),functions(1),interaction(1), </v>
      </c>
      <c r="HY136" s="47" t="str">
        <f t="shared" si="454"/>
        <v xml:space="preserve">biz enhancement(1), </v>
      </c>
      <c r="HZ136" s="47" t="str">
        <f t="shared" si="454"/>
        <v xml:space="preserve">biz enhancement(100), </v>
      </c>
      <c r="IA136" s="47" t="str">
        <f t="shared" si="454"/>
        <v xml:space="preserve">community manager(1),PR(1),finance(1),administrator(1),enthusiasm(2),network(2),ambition(2),knowledge(2),spaciousness(2),ease of access(3),efficiency(2),portfolio(4),finance(2),business model(2),marketing(3),team building(2),project management(2),social media(3),negotiation(3), </v>
      </c>
      <c r="IB136" s="47" t="str">
        <f t="shared" si="454"/>
        <v xml:space="preserve">seriousness(1),initiative(1),level of understanding(1),ambition(1),local biz(1),biz group(1),govt(1),media(1),entrepreneurs(1),technologists(1),non-profits(1),reputation(1),team building(1),database(1),AI&amp; data analysis(1),electronics(1),functions(1), </v>
      </c>
      <c r="IC136" s="47" t="str">
        <f t="shared" si="454"/>
        <v xml:space="preserve">seriousness(6.25),initiative(6.25),level of understanding(6.25),ambition(6.25),local biz(6.25),biz group(6.25),govt(6.25),media(6.25),entrepreneurs(6.25),technologists(6.25),non-profits(6.25),reputation(6.25),team building(6.25),database(6.25),AI&amp; data analysis(6.25),electronics(6.25),functions(6.25), </v>
      </c>
      <c r="ID136" s="47" t="str">
        <f t="shared" si="454"/>
        <v xml:space="preserve">technologists(2), </v>
      </c>
      <c r="IE136" s="47" t="str">
        <f t="shared" si="454"/>
        <v xml:space="preserve">web(1),mobile apps(1),security(1),AI&amp; data analysis(1), </v>
      </c>
      <c r="IF136" s="47" t="str">
        <f t="shared" si="454"/>
        <v xml:space="preserve">web(25),mobile apps(25),security(25),AI&amp; data analysis(25), </v>
      </c>
      <c r="IG136" s="47" t="str">
        <f t="shared" si="454"/>
        <v xml:space="preserve">seriousness(2),community manager(1),administrator(1),network(2),entrepreneurs(3),technologists(4),spaciousness(2),ease of access(2),reputation(3),efficiency(2),portfolio(3),web(2),database(2),mobile apps(2),security(2),AI&amp; data analysis(2), </v>
      </c>
      <c r="IH136" s="47" t="str">
        <f t="shared" si="454"/>
        <v xml:space="preserve">technologists(1),web(1),database(1),mobile apps(1),security(1),AI&amp; data analysis(1), </v>
      </c>
      <c r="II136" s="47" t="str">
        <f t="shared" si="454"/>
        <v xml:space="preserve">technologists(6.25),web(6.25),database(6.25),mobile apps(6.25),security(6.25),AI&amp; data analysis(6.25), </v>
      </c>
      <c r="IJ136" s="47" t="str">
        <f t="shared" si="454"/>
        <v xml:space="preserve">technologists(2), </v>
      </c>
      <c r="IK136" s="47" t="str">
        <f t="shared" si="454"/>
        <v xml:space="preserve">wood processing(1),metal processing(1),functions(1),safety(1), </v>
      </c>
      <c r="IL136" s="47" t="str">
        <f t="shared" si="454"/>
        <v xml:space="preserve">wood processing(25),metal processing(25),functions(25),safety(25), </v>
      </c>
      <c r="IM136" s="47" t="str">
        <f t="shared" si="454"/>
        <v xml:space="preserve">seriousness(2),community manager(1),administrator(1),network(2),entrepreneurs(3),technologists(4),spaciousness(2),ease of access(2),reputation(3),efficiency(2),portfolio(3),wood processing(2),metal processing(2),functions(2),safety(2), </v>
      </c>
      <c r="IN136" s="47" t="str">
        <f t="shared" si="454"/>
        <v xml:space="preserve">technologists(1),wood processing(1),metal processing(1),functions(1),safety(1),interaction(1), </v>
      </c>
      <c r="IO136" s="47" t="str">
        <f t="shared" si="454"/>
        <v xml:space="preserve">technologists(6.25),wood processing(6.25),metal processing(6.25),functions(6.25),safety(6.25),interaction(6.25), </v>
      </c>
      <c r="IP136" s="57" t="str">
        <f t="shared" si="454"/>
        <v xml:space="preserve">local biz(2),reputation(1), </v>
      </c>
      <c r="IQ136" s="47" t="str">
        <f t="shared" si="454"/>
        <v xml:space="preserve">local biz(1),marketing(1), </v>
      </c>
      <c r="IR136" s="47" t="str">
        <f t="shared" si="454"/>
        <v xml:space="preserve">local biz(25),marketing(25), </v>
      </c>
      <c r="IS136" s="47" t="str">
        <f t="shared" si="454"/>
        <v xml:space="preserve">seriousness(2),leader(1),community manager(1),finance(1),administrator(1),enthusiasm(3),network(2),level of understanding(3),local biz(3),biz group(2),govt(2),non-profits(2),reputation(3),efficiency(2),marketing(2), </v>
      </c>
      <c r="IT136" s="47" t="str">
        <f t="shared" si="454"/>
        <v xml:space="preserve">seriousness(1),local biz(1),biz group(1),govt(1),non-profits(1),marketing(1), </v>
      </c>
      <c r="IU136" s="47" t="str">
        <f t="shared" si="454"/>
        <v xml:space="preserve">seriousness(6.25),local biz(6.25),biz group(6.25),govt(6.25),non-profits(6.25),marketing(6.25), </v>
      </c>
      <c r="IV136" s="57" t="str">
        <f t="shared" ref="IV136:LG136" si="455">IF(IV34="",IV137,$C136&amp;"("&amp;IV34&amp;"),"&amp;IV137)</f>
        <v xml:space="preserve">local biz(2),reputation(1), </v>
      </c>
      <c r="IW136" s="47" t="str">
        <f t="shared" si="455"/>
        <v xml:space="preserve">local biz(1),marketing(1), </v>
      </c>
      <c r="IX136" s="47" t="str">
        <f t="shared" si="455"/>
        <v xml:space="preserve">local biz(25),marketing(25), </v>
      </c>
      <c r="IY136" s="47" t="str">
        <f t="shared" si="455"/>
        <v xml:space="preserve">seriousness(2),leader(1),community manager(1),finance(1),administrator(1),enthusiasm(3),network(2),level of understanding(3),local biz(3),biz group(2),govt(2),reputation(3),efficiency(2),marketing(2), </v>
      </c>
      <c r="IZ136" s="47" t="str">
        <f t="shared" si="455"/>
        <v xml:space="preserve">seriousness(1),local biz(1),biz group(1),govt(1),marketing(1), </v>
      </c>
      <c r="JA136" s="47" t="str">
        <f t="shared" si="455"/>
        <v xml:space="preserve">seriousness(6.25),local biz(6.25),biz group(6.25),govt(6.25),marketing(6.25), </v>
      </c>
      <c r="JB136" s="47" t="str">
        <f t="shared" si="455"/>
        <v xml:space="preserve"> </v>
      </c>
      <c r="JC136" s="47" t="str">
        <f t="shared" si="455"/>
        <v xml:space="preserve"> </v>
      </c>
      <c r="JD136" s="47" t="str">
        <f t="shared" si="455"/>
        <v xml:space="preserve"> </v>
      </c>
      <c r="JE136" s="47" t="str">
        <f t="shared" si="455"/>
        <v xml:space="preserve">community manager(1),PR(1),administrator(1),network(2),level of understanding(2),technologists(2),spaciousness(1),ease of access(1),reputation(3),efficiency(2), </v>
      </c>
      <c r="JF136" s="47" t="str">
        <f t="shared" si="455"/>
        <v xml:space="preserve">web(1),infrastructrue(1),database(1),mobile apps(1),sensors(1),security(1),AI&amp; data analysis(1),mobile comm(1),VR&amp;AR(1),wood processing(1),metal processing(1),plastic processing(1),electronics(1),fabric(1),aesthetics(1),functions(1),safety(1),interaction(1), </v>
      </c>
      <c r="JG136" s="47" t="str">
        <f t="shared" si="455"/>
        <v xml:space="preserve">web(6.25),infrastructrue(6.25),database(6.25),mobile apps(6.25),sensors(6.25),security(6.25),AI&amp; data analysis(6.25),mobile comm(6.25),VR&amp;AR(6.25),wood processing(6.25),metal processing(6.25),plastic processing(6.25),electronics(6.25),fabric(6.25),aesthetics(6.25),functions(6.25),safety(6.25),interaction(6.25), </v>
      </c>
      <c r="JH136" s="47" t="str">
        <f t="shared" si="455"/>
        <v xml:space="preserve">enthusiasm(1),local biz(1),non-profits(1),reputation(2), </v>
      </c>
      <c r="JI136" s="47" t="str">
        <f t="shared" si="455"/>
        <v xml:space="preserve"> </v>
      </c>
      <c r="JJ136" s="47" t="str">
        <f t="shared" si="455"/>
        <v xml:space="preserve"> </v>
      </c>
      <c r="JK136" s="47" t="str">
        <f t="shared" si="455"/>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6" s="47" t="str">
        <f t="shared" si="455"/>
        <v xml:space="preserve">non-profits(1), </v>
      </c>
      <c r="JM136" s="47" t="str">
        <f t="shared" si="455"/>
        <v xml:space="preserve">non-profits(6.25), </v>
      </c>
      <c r="JN136" s="47" t="str">
        <f t="shared" si="455"/>
        <v xml:space="preserve">enthusiasm(1),network(1),local biz(1),investors(1),entrepreneurs(1),technologists(1),non-profits(1),reputation(2),portfolio(2), </v>
      </c>
      <c r="JO136" s="47" t="str">
        <f t="shared" si="455"/>
        <v xml:space="preserve"> </v>
      </c>
      <c r="JP136" s="47" t="str">
        <f t="shared" si="455"/>
        <v xml:space="preserve"> </v>
      </c>
      <c r="JQ136" s="47" t="str">
        <f t="shared" si="455"/>
        <v xml:space="preserve">seriousness(2),community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6" s="47" t="str">
        <f t="shared" si="455"/>
        <v xml:space="preserve"> </v>
      </c>
      <c r="JS136" s="47" t="str">
        <f t="shared" si="455"/>
        <v xml:space="preserve"> </v>
      </c>
      <c r="JT136" s="47" t="str">
        <f t="shared" si="455"/>
        <v xml:space="preserve">PR(1),administrator(1),enthusiasm(2),network(2),local biz(2),biz group(1),govt(2),investors(2),entrepreneurs(2),technologists(2),non-profits(2),reputation(2),portfolio(3), </v>
      </c>
      <c r="JU136" s="47" t="str">
        <f t="shared" si="455"/>
        <v xml:space="preserve"> </v>
      </c>
      <c r="JV136" s="47" t="str">
        <f t="shared" si="455"/>
        <v xml:space="preserve"> </v>
      </c>
      <c r="JW136" s="47" t="str">
        <f t="shared" si="455"/>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6" s="47" t="str">
        <f t="shared" si="455"/>
        <v xml:space="preserve"> </v>
      </c>
      <c r="JY136" s="47" t="str">
        <f t="shared" si="455"/>
        <v xml:space="preserve"> </v>
      </c>
      <c r="JZ136" s="47" t="str">
        <f t="shared" si="455"/>
        <v xml:space="preserve">network(1),non-profits(1),reputation(2),social project(2), </v>
      </c>
      <c r="KA136" s="47" t="str">
        <f t="shared" si="455"/>
        <v xml:space="preserve">non-profits(1), </v>
      </c>
      <c r="KB136" s="47" t="str">
        <f t="shared" si="455"/>
        <v xml:space="preserve">non-profits(25), </v>
      </c>
      <c r="KC136" s="47" t="str">
        <f t="shared" si="455"/>
        <v xml:space="preserve">seriousness(2),PR(1),administrator(1),enthusiasm(2),fame(2),network(2),ambition(3),local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6" s="47" t="str">
        <f t="shared" si="455"/>
        <v xml:space="preserve">non-profits(1), </v>
      </c>
      <c r="KE136" s="47" t="str">
        <f t="shared" si="455"/>
        <v xml:space="preserve">non-profits(6.25), </v>
      </c>
      <c r="KF136" s="47" t="str">
        <f t="shared" si="455"/>
        <v xml:space="preserve"> </v>
      </c>
      <c r="KG136" s="47" t="str">
        <f t="shared" si="455"/>
        <v xml:space="preserve"> </v>
      </c>
      <c r="KH136" s="47" t="str">
        <f t="shared" si="455"/>
        <v xml:space="preserve"> </v>
      </c>
      <c r="KI136" s="47" t="str">
        <f t="shared" si="455"/>
        <v xml:space="preserve"> </v>
      </c>
      <c r="KJ136" s="47" t="str">
        <f t="shared" si="455"/>
        <v xml:space="preserve"> </v>
      </c>
      <c r="KK136" s="47" t="str">
        <f t="shared" si="455"/>
        <v xml:space="preserve"> </v>
      </c>
      <c r="KL136" s="57" t="str">
        <f t="shared" si="455"/>
        <v xml:space="preserve"> </v>
      </c>
      <c r="KM136" s="47" t="str">
        <f t="shared" si="455"/>
        <v xml:space="preserve"> </v>
      </c>
      <c r="KN136" s="47" t="str">
        <f t="shared" si="455"/>
        <v xml:space="preserve"> </v>
      </c>
      <c r="KO136" s="47" t="str">
        <f t="shared" si="455"/>
        <v xml:space="preserve"> </v>
      </c>
      <c r="KP136" s="47" t="str">
        <f t="shared" si="455"/>
        <v xml:space="preserve"> </v>
      </c>
      <c r="KQ136" s="47" t="str">
        <f t="shared" si="455"/>
        <v xml:space="preserve"> </v>
      </c>
      <c r="KR136" s="57" t="str">
        <f t="shared" si="455"/>
        <v xml:space="preserve"> </v>
      </c>
      <c r="KS136" s="47" t="str">
        <f t="shared" si="455"/>
        <v xml:space="preserve"> </v>
      </c>
      <c r="KT136" s="47" t="str">
        <f t="shared" si="455"/>
        <v xml:space="preserve"> </v>
      </c>
      <c r="KU136" s="47" t="str">
        <f t="shared" si="455"/>
        <v xml:space="preserve"> </v>
      </c>
      <c r="KV136" s="47" t="str">
        <f t="shared" si="455"/>
        <v xml:space="preserve"> </v>
      </c>
      <c r="KW136" s="47" t="str">
        <f t="shared" si="455"/>
        <v xml:space="preserve"> </v>
      </c>
      <c r="KX136" s="57" t="str">
        <f t="shared" si="455"/>
        <v xml:space="preserve"> </v>
      </c>
      <c r="KY136" s="47" t="str">
        <f t="shared" si="455"/>
        <v xml:space="preserve"> </v>
      </c>
      <c r="KZ136" s="47" t="str">
        <f t="shared" si="455"/>
        <v xml:space="preserve"> </v>
      </c>
      <c r="LA136" s="47" t="str">
        <f t="shared" si="455"/>
        <v xml:space="preserve"> </v>
      </c>
      <c r="LB136" s="47" t="str">
        <f t="shared" si="455"/>
        <v xml:space="preserve"> </v>
      </c>
      <c r="LC136" s="47" t="str">
        <f t="shared" si="455"/>
        <v xml:space="preserve"> </v>
      </c>
      <c r="LD136" s="57" t="str">
        <f t="shared" si="455"/>
        <v xml:space="preserve"> </v>
      </c>
      <c r="LE136" s="47" t="str">
        <f t="shared" si="455"/>
        <v xml:space="preserve"> </v>
      </c>
      <c r="LF136" s="47" t="str">
        <f t="shared" si="455"/>
        <v xml:space="preserve"> </v>
      </c>
      <c r="LG136" s="47" t="str">
        <f t="shared" si="455"/>
        <v xml:space="preserve"> </v>
      </c>
      <c r="LH136" s="47" t="str">
        <f t="shared" ref="LH136:NM136" si="456">IF(LH34="",LH137,$C136&amp;"("&amp;LH34&amp;"),"&amp;LH137)</f>
        <v xml:space="preserve"> </v>
      </c>
      <c r="LI136" s="47" t="str">
        <f t="shared" si="456"/>
        <v xml:space="preserve"> </v>
      </c>
      <c r="LJ136" s="57" t="str">
        <f t="shared" si="456"/>
        <v xml:space="preserve"> </v>
      </c>
      <c r="LK136" s="47" t="str">
        <f t="shared" si="456"/>
        <v xml:space="preserve"> </v>
      </c>
      <c r="LL136" s="47" t="str">
        <f t="shared" si="456"/>
        <v xml:space="preserve"> </v>
      </c>
      <c r="LM136" s="47" t="str">
        <f t="shared" si="456"/>
        <v xml:space="preserve"> </v>
      </c>
      <c r="LN136" s="47" t="str">
        <f t="shared" si="456"/>
        <v xml:space="preserve"> </v>
      </c>
      <c r="LO136" s="47" t="str">
        <f t="shared" si="456"/>
        <v xml:space="preserve"> </v>
      </c>
      <c r="LP136" s="57" t="str">
        <f t="shared" si="456"/>
        <v xml:space="preserve"> </v>
      </c>
      <c r="LQ136" s="47" t="str">
        <f t="shared" si="456"/>
        <v xml:space="preserve"> </v>
      </c>
      <c r="LR136" s="47" t="str">
        <f t="shared" si="456"/>
        <v xml:space="preserve"> </v>
      </c>
      <c r="LS136" s="47" t="str">
        <f t="shared" si="456"/>
        <v xml:space="preserve"> </v>
      </c>
      <c r="LT136" s="47" t="str">
        <f t="shared" si="456"/>
        <v xml:space="preserve"> </v>
      </c>
      <c r="LU136" s="47" t="str">
        <f t="shared" si="456"/>
        <v xml:space="preserve"> </v>
      </c>
      <c r="LV136" s="57" t="str">
        <f t="shared" si="456"/>
        <v xml:space="preserve"> </v>
      </c>
      <c r="LW136" s="47" t="str">
        <f t="shared" si="456"/>
        <v xml:space="preserve"> </v>
      </c>
      <c r="LX136" s="47" t="str">
        <f t="shared" si="456"/>
        <v xml:space="preserve"> </v>
      </c>
      <c r="LY136" s="47" t="str">
        <f t="shared" si="456"/>
        <v xml:space="preserve"> </v>
      </c>
      <c r="LZ136" s="47" t="str">
        <f t="shared" si="456"/>
        <v xml:space="preserve"> </v>
      </c>
      <c r="MA136" s="47" t="str">
        <f t="shared" si="456"/>
        <v xml:space="preserve"> </v>
      </c>
      <c r="MB136" s="57" t="str">
        <f t="shared" si="456"/>
        <v xml:space="preserve"> </v>
      </c>
      <c r="MC136" s="47" t="str">
        <f t="shared" si="456"/>
        <v xml:space="preserve"> </v>
      </c>
      <c r="MD136" s="47" t="str">
        <f t="shared" si="456"/>
        <v xml:space="preserve"> </v>
      </c>
      <c r="ME136" s="47" t="str">
        <f t="shared" si="456"/>
        <v xml:space="preserve"> </v>
      </c>
      <c r="MF136" s="47" t="str">
        <f t="shared" si="456"/>
        <v xml:space="preserve"> </v>
      </c>
      <c r="MG136" s="47" t="str">
        <f t="shared" si="456"/>
        <v xml:space="preserve"> </v>
      </c>
      <c r="MH136" s="57" t="str">
        <f t="shared" si="456"/>
        <v xml:space="preserve"> </v>
      </c>
      <c r="MI136" s="47" t="str">
        <f t="shared" si="456"/>
        <v xml:space="preserve"> </v>
      </c>
      <c r="MJ136" s="47" t="str">
        <f t="shared" si="456"/>
        <v xml:space="preserve"> </v>
      </c>
      <c r="MK136" s="47" t="str">
        <f t="shared" si="456"/>
        <v xml:space="preserve"> </v>
      </c>
      <c r="ML136" s="47" t="str">
        <f t="shared" si="456"/>
        <v xml:space="preserve"> </v>
      </c>
      <c r="MM136" s="47" t="str">
        <f t="shared" si="456"/>
        <v xml:space="preserve"> </v>
      </c>
      <c r="MN136" s="57" t="str">
        <f t="shared" si="456"/>
        <v xml:space="preserve"> </v>
      </c>
      <c r="MO136" s="47" t="str">
        <f t="shared" si="456"/>
        <v xml:space="preserve"> </v>
      </c>
      <c r="MP136" s="47" t="str">
        <f t="shared" si="456"/>
        <v xml:space="preserve"> </v>
      </c>
      <c r="MQ136" s="47" t="str">
        <f t="shared" si="456"/>
        <v xml:space="preserve"> </v>
      </c>
      <c r="MR136" s="47" t="str">
        <f t="shared" si="456"/>
        <v xml:space="preserve"> </v>
      </c>
      <c r="MS136" s="47" t="str">
        <f t="shared" si="456"/>
        <v xml:space="preserve"> </v>
      </c>
      <c r="MT136" s="57" t="str">
        <f t="shared" si="456"/>
        <v xml:space="preserve"> </v>
      </c>
      <c r="MU136" s="47" t="str">
        <f t="shared" si="456"/>
        <v xml:space="preserve"> </v>
      </c>
      <c r="MV136" s="47" t="str">
        <f t="shared" si="456"/>
        <v xml:space="preserve"> </v>
      </c>
      <c r="MW136" s="47" t="str">
        <f t="shared" si="456"/>
        <v xml:space="preserve"> </v>
      </c>
      <c r="MX136" s="47" t="str">
        <f t="shared" si="456"/>
        <v xml:space="preserve"> </v>
      </c>
      <c r="MY136" s="47" t="str">
        <f t="shared" si="456"/>
        <v xml:space="preserve"> </v>
      </c>
      <c r="MZ136" s="57" t="str">
        <f t="shared" si="456"/>
        <v xml:space="preserve"> </v>
      </c>
      <c r="NA136" s="47" t="str">
        <f t="shared" si="456"/>
        <v xml:space="preserve"> </v>
      </c>
      <c r="NB136" s="47" t="str">
        <f t="shared" si="456"/>
        <v xml:space="preserve"> </v>
      </c>
      <c r="NC136" s="47" t="str">
        <f t="shared" si="456"/>
        <v xml:space="preserve"> </v>
      </c>
      <c r="ND136" s="47" t="str">
        <f t="shared" si="456"/>
        <v xml:space="preserve"> </v>
      </c>
      <c r="NE136" s="47" t="str">
        <f t="shared" si="456"/>
        <v xml:space="preserve"> </v>
      </c>
      <c r="NF136" s="57" t="str">
        <f t="shared" si="456"/>
        <v xml:space="preserve"> </v>
      </c>
      <c r="NG136" s="47" t="str">
        <f t="shared" si="456"/>
        <v xml:space="preserve"> </v>
      </c>
      <c r="NH136" s="47" t="str">
        <f t="shared" si="456"/>
        <v xml:space="preserve"> </v>
      </c>
      <c r="NI136" s="47" t="str">
        <f t="shared" si="456"/>
        <v xml:space="preserve"> </v>
      </c>
      <c r="NJ136" s="47" t="str">
        <f t="shared" si="456"/>
        <v xml:space="preserve"> </v>
      </c>
      <c r="NK136" s="47" t="str">
        <f t="shared" si="456"/>
        <v xml:space="preserve"> </v>
      </c>
      <c r="NL136" s="57" t="str">
        <f t="shared" si="456"/>
        <v xml:space="preserve"> </v>
      </c>
      <c r="NM136" s="47" t="str">
        <f t="shared" si="456"/>
        <v xml:space="preserve"> </v>
      </c>
    </row>
    <row r="137" spans="3:377" ht="15.75" customHeight="1">
      <c r="C137" s="7" t="str">
        <f t="shared" si="296"/>
        <v>initiative</v>
      </c>
      <c r="D137" s="21" t="str">
        <f t="shared" si="169"/>
        <v xml:space="preserve"> </v>
      </c>
      <c r="E137" s="21" t="str">
        <f t="shared" si="297"/>
        <v xml:space="preserve"> </v>
      </c>
      <c r="F137" s="21" t="str">
        <f t="shared" si="170"/>
        <v xml:space="preserve"> </v>
      </c>
      <c r="G137" s="21" t="str">
        <f t="shared" si="298"/>
        <v xml:space="preserve">community manager(1), PR(1), fame(1), network(2), ease of access(1), reputation(2), social media(1),  </v>
      </c>
      <c r="H137" s="21" t="str">
        <f t="shared" si="299"/>
        <v xml:space="preserve"> </v>
      </c>
      <c r="I137" s="21" t="str">
        <f t="shared" ref="I137" si="457">IF(I35="",I138,$C137&amp;"("&amp;I35&amp;"),"&amp;I138)</f>
        <v xml:space="preserve"> </v>
      </c>
      <c r="J137" s="21" t="str">
        <f t="shared" si="376"/>
        <v xml:space="preserve">interaction 1
 </v>
      </c>
      <c r="K137" s="21" t="str">
        <f t="shared" si="173"/>
        <v xml:space="preserve">reputation(1,75),  </v>
      </c>
      <c r="L137" s="21" t="str">
        <f t="shared" si="377"/>
        <v xml:space="preserve">reputation 75
 </v>
      </c>
      <c r="M137" s="21" t="str">
        <f t="shared" si="175"/>
        <v xml:space="preserve">PR(1), portfolio(1), social innovation(1), non-profit biz(1),  </v>
      </c>
      <c r="N137" s="21" t="str">
        <f t="shared" si="176"/>
        <v xml:space="preserve">non-profits(1,12.5), reputation(1,75), marketing(1,12.5),  </v>
      </c>
      <c r="O137" s="21" t="str">
        <f t="shared" si="378"/>
        <v xml:space="preserve">non-profits(12.5),reputation(75),marketing(12.5), </v>
      </c>
      <c r="P137" s="21" t="str">
        <f t="shared" si="376"/>
        <v xml:space="preserve">biz project 1
 </v>
      </c>
      <c r="Q137" s="21" t="str">
        <f t="shared" si="178"/>
        <v xml:space="preserve"> </v>
      </c>
      <c r="R137" s="21" t="str">
        <f t="shared" si="377"/>
        <v xml:space="preserve"> </v>
      </c>
      <c r="S137" s="21" t="str">
        <f t="shared" si="179"/>
        <v xml:space="preserve">portfolio(1), biz enhancement(1), business(1), start-up(1),  </v>
      </c>
      <c r="T137" s="21" t="str">
        <f t="shared" si="180"/>
        <v xml:space="preserve">local biz(1,6.25), investors(1,6.25), reputation(1,6.25),  </v>
      </c>
      <c r="U137" s="21" t="str">
        <f t="shared" si="378"/>
        <v xml:space="preserve">local biz(6.25),investors(6.25),reputation(6.25), </v>
      </c>
      <c r="V137" s="21" t="str">
        <f t="shared" si="376"/>
        <v xml:space="preserve"> </v>
      </c>
      <c r="W137" s="21" t="str">
        <f t="shared" si="181"/>
        <v xml:space="preserve">local biz(1,),  </v>
      </c>
      <c r="X137" s="21" t="str">
        <f t="shared" si="377"/>
        <v xml:space="preserve"> </v>
      </c>
      <c r="Y137" s="21" t="str">
        <f t="shared" si="182"/>
        <v xml:space="preserve">PR(1), network(1), ease of access(1), reputation(1), portfolio(1), biz project(1), biz enhancement(1), job creation(1), business(1),  </v>
      </c>
      <c r="Z137" s="21" t="str">
        <f t="shared" si="183"/>
        <v xml:space="preserve">local biz(1,6.25),  </v>
      </c>
      <c r="AA137" s="21" t="str">
        <f t="shared" si="378"/>
        <v xml:space="preserve">local biz(6.25), </v>
      </c>
      <c r="AB137" s="21" t="str">
        <f t="shared" si="376"/>
        <v xml:space="preserve"> </v>
      </c>
      <c r="AC137" s="21" t="str">
        <f t="shared" si="184"/>
        <v xml:space="preserve">non-profits(1,100),  </v>
      </c>
      <c r="AD137" s="21" t="str">
        <f t="shared" si="377"/>
        <v xml:space="preserve">non-profits 100
 </v>
      </c>
      <c r="AE137" s="21" t="str">
        <f t="shared" si="185"/>
        <v xml:space="preserve">PR(1), network(1), ease of access(1), reputation(1), portfolio(1), social project(1), social innovation(1), non-profit biz(1),  </v>
      </c>
      <c r="AF137" s="21" t="str">
        <f t="shared" si="186"/>
        <v xml:space="preserve">non-profits(1,6.25),  </v>
      </c>
      <c r="AG137" s="21" t="str">
        <f t="shared" si="378"/>
        <v xml:space="preserve">non-profits(6.25), </v>
      </c>
      <c r="AH137" s="21" t="str">
        <f t="shared" si="376"/>
        <v xml:space="preserve"> </v>
      </c>
      <c r="AI137" s="21" t="str">
        <f t="shared" si="187"/>
        <v xml:space="preserve">govt(1,),  </v>
      </c>
      <c r="AJ137" s="21" t="str">
        <f t="shared" si="377"/>
        <v xml:space="preserve"> </v>
      </c>
      <c r="AK137" s="21" t="str">
        <f t="shared" si="188"/>
        <v xml:space="preserve">fame(1), network(1), govt(1), ease of access(1), reputation(2), portfolio(1), social project(1), social innovation(1), non-profit biz(1),  </v>
      </c>
      <c r="AL137" s="21" t="str">
        <f t="shared" si="189"/>
        <v xml:space="preserve">govt(1,6.25),  </v>
      </c>
      <c r="AM137" s="21" t="str">
        <f t="shared" si="378"/>
        <v xml:space="preserve">govt(6.25), </v>
      </c>
      <c r="AN137" s="21" t="str">
        <f t="shared" si="376"/>
        <v xml:space="preserve"> </v>
      </c>
      <c r="AO137" s="21" t="str">
        <f t="shared" si="190"/>
        <v xml:space="preserve">fame(1,), network(1,), investors(1,6.25),  </v>
      </c>
      <c r="AP137" s="21" t="str">
        <f t="shared" si="377"/>
        <v xml:space="preserve">investors 6.25
 </v>
      </c>
      <c r="AQ137" s="21" t="str">
        <f t="shared" si="191"/>
        <v xml:space="preserve">investors(1), ease of access(1), reputation(1), portfolio(1), start-up(1), start-up with mvp(1), start-up with customers(1),  </v>
      </c>
      <c r="AR137" s="21" t="str">
        <f t="shared" si="192"/>
        <v xml:space="preserve"> </v>
      </c>
      <c r="AS137" s="21" t="str">
        <f t="shared" si="378"/>
        <v xml:space="preserve"> </v>
      </c>
      <c r="AT137" s="21" t="str">
        <f t="shared" si="376"/>
        <v xml:space="preserve">administrator 1
non-profits 2
reputation 1
portfolio 1
social project 1
 </v>
      </c>
      <c r="AU137" s="21" t="str">
        <f t="shared" si="193"/>
        <v xml:space="preserve"> </v>
      </c>
      <c r="AV137" s="21" t="str">
        <f t="shared" si="377"/>
        <v xml:space="preserve"> </v>
      </c>
      <c r="AW137" s="21" t="str">
        <f t="shared" si="194"/>
        <v xml:space="preserve">PR(2), administrator(1), project management(2),  </v>
      </c>
      <c r="AX137" s="21" t="str">
        <f t="shared" si="195"/>
        <v xml:space="preserve">organizational rules and manuals(1,12.5), project management(1,12.5),  </v>
      </c>
      <c r="AY137" s="21" t="str">
        <f t="shared" si="378"/>
        <v xml:space="preserve">organizational rules and manuals(12.5),project management(12.5), </v>
      </c>
      <c r="AZ137" s="21" t="str">
        <f t="shared" si="376"/>
        <v xml:space="preserve">non-profits 1
 </v>
      </c>
      <c r="BA137" s="21" t="str">
        <f t="shared" si="196"/>
        <v xml:space="preserve"> </v>
      </c>
      <c r="BB137" s="21" t="str">
        <f t="shared" si="377"/>
        <v xml:space="preserve"> </v>
      </c>
      <c r="BC137" s="21" t="str">
        <f t="shared" si="197"/>
        <v xml:space="preserve"> </v>
      </c>
      <c r="BD137" s="21" t="str">
        <f t="shared" si="198"/>
        <v xml:space="preserve"> </v>
      </c>
      <c r="BE137" s="21" t="str">
        <f t="shared" si="378"/>
        <v xml:space="preserve"> </v>
      </c>
      <c r="BF137" s="21" t="str">
        <f t="shared" si="376"/>
        <v xml:space="preserve">administrator 1
local biz 2
entrepreneurs 1
reputation 1
portfolio 1
biz project 1
 </v>
      </c>
      <c r="BG137" s="21" t="str">
        <f t="shared" si="199"/>
        <v xml:space="preserve"> </v>
      </c>
      <c r="BH137" s="21" t="str">
        <f t="shared" si="377"/>
        <v xml:space="preserve"> </v>
      </c>
      <c r="BI137" s="21" t="str">
        <f t="shared" si="200"/>
        <v xml:space="preserve">PR(2), administrator(1), project management(2),  </v>
      </c>
      <c r="BJ137" s="21" t="str">
        <f t="shared" si="201"/>
        <v xml:space="preserve">organizational rules and manuals(1,12.5), project management(1,12.5),  </v>
      </c>
      <c r="BK137" s="21" t="str">
        <f t="shared" si="378"/>
        <v xml:space="preserve">organizational rules and manuals(12.5),project management(12.5), </v>
      </c>
      <c r="BL137" s="21" t="str">
        <f t="shared" si="376"/>
        <v xml:space="preserve">local biz 1
reputation 1
portfolio 1
biz enhancement 1
 </v>
      </c>
      <c r="BM137" s="21" t="str">
        <f t="shared" si="202"/>
        <v xml:space="preserve"> </v>
      </c>
      <c r="BN137" s="21" t="str">
        <f t="shared" si="377"/>
        <v xml:space="preserve"> </v>
      </c>
      <c r="BO137" s="21" t="str">
        <f t="shared" si="203"/>
        <v xml:space="preserve"> </v>
      </c>
      <c r="BP137" s="21" t="str">
        <f t="shared" si="204"/>
        <v xml:space="preserve"> </v>
      </c>
      <c r="BQ137" s="21" t="str">
        <f t="shared" si="378"/>
        <v xml:space="preserve"> </v>
      </c>
      <c r="BR137" s="21" t="str">
        <f t="shared" si="376"/>
        <v xml:space="preserve"> </v>
      </c>
      <c r="BS137" s="21" t="str">
        <f t="shared" si="205"/>
        <v xml:space="preserve"> </v>
      </c>
      <c r="BT137" s="21" t="str">
        <f t="shared" si="377"/>
        <v xml:space="preserve"> </v>
      </c>
      <c r="BU137" s="21" t="str">
        <f t="shared" si="206"/>
        <v xml:space="preserve"> </v>
      </c>
      <c r="BV137" s="21" t="str">
        <f t="shared" si="207"/>
        <v xml:space="preserve"> </v>
      </c>
      <c r="BW137" s="21" t="str">
        <f t="shared" si="378"/>
        <v xml:space="preserve"> </v>
      </c>
      <c r="BX137" s="21" t="str">
        <f t="shared" si="379"/>
        <v xml:space="preserve">network 1
 </v>
      </c>
      <c r="BY137" s="21" t="str">
        <f t="shared" si="209"/>
        <v xml:space="preserve">efficiency(1,),  </v>
      </c>
      <c r="BZ137" s="21" t="str">
        <f t="shared" si="380"/>
        <v xml:space="preserve"> </v>
      </c>
      <c r="CA137" s="21" t="str">
        <f t="shared" si="211"/>
        <v xml:space="preserve">administrator(1), negotiation(1),  </v>
      </c>
      <c r="CB137" s="21" t="str">
        <f t="shared" si="212"/>
        <v xml:space="preserve">user rules and manuals(1,50), organizational rules and manuals(1,50),  </v>
      </c>
      <c r="CC137" s="21" t="str">
        <f t="shared" si="381"/>
        <v xml:space="preserve">user rules and manuals(50),organizational rules and manuals(50), </v>
      </c>
      <c r="CD137" s="21" t="str">
        <f t="shared" si="379"/>
        <v xml:space="preserve">network 1
 </v>
      </c>
      <c r="CE137" s="21" t="str">
        <f t="shared" si="214"/>
        <v xml:space="preserve">non-profits(1,),  </v>
      </c>
      <c r="CF137" s="21" t="str">
        <f t="shared" si="380"/>
        <v xml:space="preserve"> </v>
      </c>
      <c r="CG137" s="21" t="str">
        <f t="shared" si="215"/>
        <v xml:space="preserve">ease of access(1), portfolio(1), user rules and manuals(1), negotiation(1), social project(1), biz project(1), for basic literacy(1), for the elites(1), for entrepreneurs(1),  </v>
      </c>
      <c r="CH137" s="21" t="str">
        <f t="shared" si="216"/>
        <v xml:space="preserve">technologists(1,6.25), non-profits(1,6.25),  </v>
      </c>
      <c r="CI137" s="21" t="str">
        <f t="shared" si="381"/>
        <v xml:space="preserve">technologists(6.25),non-profits(6.25), </v>
      </c>
      <c r="CJ137" s="21" t="str">
        <f t="shared" si="379"/>
        <v xml:space="preserve"> </v>
      </c>
      <c r="CK137" s="21" t="str">
        <f t="shared" si="217"/>
        <v xml:space="preserve">suppliers(1,),  </v>
      </c>
      <c r="CL137" s="21" t="str">
        <f t="shared" si="380"/>
        <v xml:space="preserve"> </v>
      </c>
      <c r="CM137" s="21" t="str">
        <f t="shared" si="218"/>
        <v xml:space="preserve">reputation(1), negotiation(1),  </v>
      </c>
      <c r="CN137" s="21" t="str">
        <f t="shared" si="219"/>
        <v xml:space="preserve">efficiency(1,6.25),  </v>
      </c>
      <c r="CO137" s="21" t="str">
        <f t="shared" si="381"/>
        <v xml:space="preserve">efficiency(6.25), </v>
      </c>
      <c r="CP137" s="21" t="str">
        <f t="shared" si="379"/>
        <v xml:space="preserve"> </v>
      </c>
      <c r="CQ137" s="21" t="str">
        <f t="shared" si="220"/>
        <v xml:space="preserve">technologists(1,),  </v>
      </c>
      <c r="CR137" s="21" t="str">
        <f t="shared" si="380"/>
        <v xml:space="preserve"> </v>
      </c>
      <c r="CS137" s="21" t="str">
        <f t="shared" si="221"/>
        <v xml:space="preserve">network(1), portfolio(1), negotiation(1), web(1), infrastructrue(1), database(1), mobile apps(1), sensors(1), security(1), AI&amp; data analysis(1), mobile comm(1), VR&amp;AR(1), wood processing(1), metal processing(1), plastic processing(1), electronics(1), fabric(1),  </v>
      </c>
      <c r="CT137" s="21" t="str">
        <f t="shared" si="222"/>
        <v xml:space="preserve">efficiency(1,6.25),  </v>
      </c>
      <c r="CU137" s="21" t="str">
        <f t="shared" si="381"/>
        <v xml:space="preserve">efficiency(6.25), </v>
      </c>
      <c r="CV137" s="21" t="str">
        <f t="shared" si="379"/>
        <v xml:space="preserve"> </v>
      </c>
      <c r="CW137" s="21" t="str">
        <f t="shared" si="223"/>
        <v xml:space="preserve">local biz(1,),  </v>
      </c>
      <c r="CX137" s="21" t="str">
        <f t="shared" si="380"/>
        <v xml:space="preserve"> </v>
      </c>
      <c r="CY137" s="21" t="str">
        <f t="shared" si="224"/>
        <v xml:space="preserve">ease of access(1), reputation(1), portfolio(1), negotiation(1),  </v>
      </c>
      <c r="CZ137" s="21" t="str">
        <f t="shared" si="225"/>
        <v xml:space="preserve">non-profits(1,6.25),  </v>
      </c>
      <c r="DA137" s="21" t="str">
        <f t="shared" si="381"/>
        <v xml:space="preserve">non-profits(6.25), </v>
      </c>
      <c r="DB137" s="21" t="str">
        <f t="shared" si="379"/>
        <v xml:space="preserve"> </v>
      </c>
      <c r="DC137" s="21" t="str">
        <f t="shared" si="226"/>
        <v xml:space="preserve"> </v>
      </c>
      <c r="DD137" s="21" t="str">
        <f t="shared" si="380"/>
        <v xml:space="preserve"> </v>
      </c>
      <c r="DE137"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7" s="21" t="str">
        <f t="shared" si="228"/>
        <v xml:space="preserve">network(1,), local biz(1,6.25), biz group(1,6.25), investors(1,6.25), entrepreneurs(1,6.25),  </v>
      </c>
      <c r="DG137" s="21" t="str">
        <f t="shared" si="381"/>
        <v xml:space="preserve">local biz(6.25),biz group(6.25),investors(6.25),entrepreneurs(6.25), </v>
      </c>
      <c r="DH137" s="21" t="str">
        <f t="shared" si="379"/>
        <v xml:space="preserve">network 1
non-profits 1
reputation 1
social project 1
 </v>
      </c>
      <c r="DI137" s="21" t="str">
        <f t="shared" si="229"/>
        <v xml:space="preserve"> </v>
      </c>
      <c r="DJ137" s="21" t="str">
        <f t="shared" si="380"/>
        <v xml:space="preserve"> </v>
      </c>
      <c r="DK137" s="21" t="str">
        <f t="shared" si="230"/>
        <v xml:space="preserve">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7" s="21" t="str">
        <f t="shared" si="231"/>
        <v xml:space="preserve">reputation(1,6.25),  </v>
      </c>
      <c r="DM137" s="21" t="str">
        <f t="shared" si="381"/>
        <v xml:space="preserve">reputation(6.25), </v>
      </c>
      <c r="DN137" s="21" t="str">
        <f t="shared" si="379"/>
        <v xml:space="preserve">network 1
local biz 1
reputation 1
biz project 1
 </v>
      </c>
      <c r="DO137" s="21" t="str">
        <f t="shared" si="232"/>
        <v xml:space="preserve"> </v>
      </c>
      <c r="DP137" s="21" t="str">
        <f t="shared" si="380"/>
        <v xml:space="preserve"> </v>
      </c>
      <c r="DQ137"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7" s="21" t="str">
        <f t="shared" si="234"/>
        <v xml:space="preserve">reputation(1,6.25),  </v>
      </c>
      <c r="DS137" s="21" t="str">
        <f t="shared" si="381"/>
        <v xml:space="preserve">reputation(6.25), </v>
      </c>
      <c r="DT137" s="21" t="str">
        <f t="shared" si="379"/>
        <v xml:space="preserve">network 1
reputation 1
 </v>
      </c>
      <c r="DU137" s="21" t="str">
        <f t="shared" si="235"/>
        <v xml:space="preserve"> </v>
      </c>
      <c r="DV137" s="21" t="str">
        <f t="shared" si="380"/>
        <v xml:space="preserve"> </v>
      </c>
      <c r="DW137" s="21" t="str">
        <f t="shared" si="236"/>
        <v xml:space="preserve">initiative(1), 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7" s="21" t="str">
        <f t="shared" si="237"/>
        <v xml:space="preserve">reputation(1,6.25), for basic literacy(1,6.25),  </v>
      </c>
      <c r="DY137" s="21" t="str">
        <f t="shared" si="381"/>
        <v xml:space="preserve">reputation(6.25),for basic literacy(6.25), </v>
      </c>
      <c r="DZ137" s="21" t="str">
        <f t="shared" si="379"/>
        <v xml:space="preserve">network 1
reputation 1
 </v>
      </c>
      <c r="EA137" s="21" t="str">
        <f t="shared" si="238"/>
        <v xml:space="preserve"> </v>
      </c>
      <c r="EB137" s="21" t="str">
        <f t="shared" si="380"/>
        <v xml:space="preserve"> </v>
      </c>
      <c r="EC137" s="21" t="str">
        <f t="shared" si="239"/>
        <v xml:space="preserve">initiative(1), 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7" s="21" t="str">
        <f t="shared" si="240"/>
        <v xml:space="preserve">reputation(1,6.25), for basic literacy(1,6.25),  </v>
      </c>
      <c r="EE137" s="21" t="str">
        <f t="shared" si="381"/>
        <v xml:space="preserve">reputation(6.25),for basic literacy(6.25), </v>
      </c>
      <c r="EF137" s="21" t="str">
        <f t="shared" si="379"/>
        <v xml:space="preserve">technologists 1
reputation 1
 </v>
      </c>
      <c r="EG137" s="21" t="str">
        <f t="shared" si="241"/>
        <v xml:space="preserve">web(1,50), mobile apps(1,50), interaction(1,50),  </v>
      </c>
      <c r="EH137" s="21" t="str">
        <f t="shared" si="380"/>
        <v xml:space="preserve">web 50
mobile apps 50
interaction 50
 </v>
      </c>
      <c r="EI137" s="21" t="str">
        <f t="shared" si="242"/>
        <v xml:space="preserve">initiative(1), community manager(1), administrator(1), enthusiasm(1), fame(1), network(2), level of understanding(1), technologists(2), ease of access(1), reputation(2), infrastructrue(1), database(1), mobile comm(1), for entrepreneurs(1),  </v>
      </c>
      <c r="EJ137" s="21" t="str">
        <f t="shared" si="243"/>
        <v xml:space="preserve">technologists(1,12.5), infrastructrue(1,12.5), database(1,12.5), mobile comm(1,12.5), for entrepreneurs(1,6.25),  </v>
      </c>
      <c r="EK137" s="21" t="str">
        <f t="shared" si="381"/>
        <v xml:space="preserve">technologists(12.5),infrastructrue(12.5),database(12.5),mobile comm(12.5),for entrepreneurs(6.25), </v>
      </c>
      <c r="EL137" s="21" t="str">
        <f t="shared" si="382"/>
        <v xml:space="preserve">technologists 1
reputation 1
 </v>
      </c>
      <c r="EM137" s="21" t="str">
        <f t="shared" si="245"/>
        <v xml:space="preserve">sensors(1,50),  </v>
      </c>
      <c r="EN137" s="21" t="str">
        <f t="shared" si="383"/>
        <v xml:space="preserve">sensors 50
 </v>
      </c>
      <c r="EO137" s="21" t="str">
        <f t="shared" si="247"/>
        <v xml:space="preserve">initiative(1), community manager(1), administrator(1), enthusiasm(1), fame(1), network(2), level of understanding(1), technologists(2), ease of access(1), reputation(2), project management(2), infrastructrue(1), database(1), mobile comm(1), for entrepreneurs(1),  </v>
      </c>
      <c r="EP137" s="21" t="str">
        <f t="shared" si="248"/>
        <v xml:space="preserve">technologists(1,12.5), infrastructrue(1,12.5), database(1,12.5), mobile comm(1,12.5), electronics(1,6.25), for entrepreneurs(1,6.25),  </v>
      </c>
      <c r="EQ137" s="21" t="str">
        <f t="shared" si="384"/>
        <v xml:space="preserve">technologists(12.5),infrastructrue(12.5),database(12.5),mobile comm(12.5),electronics(6.25),for entrepreneurs(6.25), </v>
      </c>
      <c r="ER137" s="21" t="str">
        <f t="shared" si="382"/>
        <v xml:space="preserve">technologists 1
 </v>
      </c>
      <c r="ES137" s="21" t="str">
        <f t="shared" si="250"/>
        <v xml:space="preserve">AI&amp; data analysis(1,50),  </v>
      </c>
      <c r="ET137" s="21" t="str">
        <f t="shared" si="383"/>
        <v xml:space="preserve">AI&amp; data analysis 50
 </v>
      </c>
      <c r="EU137" s="21" t="str">
        <f t="shared" si="251"/>
        <v xml:space="preserve">initiative(1), community manager(1), administrator(1), enthusiasm(1), fame(1), network(2), level of understanding(1), technologists(2), ease of access(1), reputation(2), database(1), sensors(1), mobile comm(1), for entrepreneurs(1),  </v>
      </c>
      <c r="EV137" s="21" t="str">
        <f t="shared" si="252"/>
        <v xml:space="preserve">technologists(1,12.5), database(1,12.5), sensors(1,12.5), mobile comm(1,12.5), for entrepreneurs(1,6.25),  </v>
      </c>
      <c r="EW137" s="21" t="str">
        <f t="shared" si="384"/>
        <v xml:space="preserve">technologists(12.5),database(12.5),sensors(12.5),mobile comm(12.5),for entrepreneurs(6.25), </v>
      </c>
      <c r="EX137" s="21" t="str">
        <f t="shared" si="382"/>
        <v xml:space="preserve">technologists 1
 </v>
      </c>
      <c r="EY137" s="21" t="str">
        <f t="shared" si="253"/>
        <v xml:space="preserve">law(1,50), security(1,50), interaction(1,25),  </v>
      </c>
      <c r="EZ137" s="21" t="str">
        <f t="shared" si="383"/>
        <v xml:space="preserve">law 50
security 50
interaction 25
 </v>
      </c>
      <c r="FA137" s="21" t="str">
        <f t="shared" si="254"/>
        <v xml:space="preserve">initiative(1), community manager(1), administrator(1), enthusiasm(1), fame(1), network(2), level of understanding(1), technologists(2), ease of access(1), reputation(2), law(2), for entrepreneurs(1),  </v>
      </c>
      <c r="FB137" s="21" t="str">
        <f t="shared" si="255"/>
        <v xml:space="preserve">technologists(1,12.5), law(1,6.25), database(1,12.5), mobile apps(1,12.5), security(1,12.5), mobile comm(1,12.5), for entrepreneurs(1,6.25),  </v>
      </c>
      <c r="FC137" s="21" t="str">
        <f t="shared" si="384"/>
        <v xml:space="preserve">technologists(12.5),law(6.25),database(12.5),mobile apps(12.5),security(12.5),mobile comm(12.5),for entrepreneurs(6.25), </v>
      </c>
      <c r="FD137" s="21" t="str">
        <f t="shared" si="382"/>
        <v xml:space="preserve">technologists 1
 </v>
      </c>
      <c r="FE137" s="21" t="str">
        <f t="shared" si="256"/>
        <v xml:space="preserve">law(1,50), sensors(1,50), security(1,50),  </v>
      </c>
      <c r="FF137" s="21" t="str">
        <f t="shared" si="383"/>
        <v xml:space="preserve">law 50
sensors 50
security 50
 </v>
      </c>
      <c r="FG137" s="21" t="str">
        <f t="shared" si="257"/>
        <v xml:space="preserve">initiative(1), community manager(1), administrator(1), enthusiasm(1), fame(1), network(2), level of understanding(1), technologists(2), ease of access(1), reputation(2), law(2), project management(2), for entrepreneurs(1),  </v>
      </c>
      <c r="FH137" s="21" t="str">
        <f t="shared" si="258"/>
        <v xml:space="preserve">technologists(1,12.5), law(1,6.25), database(1,6.25), mobile apps(1,6.25), AI&amp; data analysis(1,6.25), mobile comm(1,6.25), for entrepreneurs(1,6.25),  </v>
      </c>
      <c r="FI137" s="21" t="str">
        <f t="shared" si="384"/>
        <v xml:space="preserve">technologists(12.5),law(6.25),database(6.25),mobile apps(6.25),AI&amp; data analysis(6.25),mobile comm(6.25),for entrepreneurs(6.25), </v>
      </c>
      <c r="FJ137" s="21" t="str">
        <f t="shared" si="382"/>
        <v xml:space="preserve">technologists 1
 </v>
      </c>
      <c r="FK137" s="21" t="str">
        <f t="shared" si="259"/>
        <v xml:space="preserve">wood processing(1,25), metal processing(1,25), plastic processing(1,25), fabric(1,25), safety(1,25), interaction(1,25),  </v>
      </c>
      <c r="FL137" s="21" t="str">
        <f t="shared" si="383"/>
        <v xml:space="preserve">project management 2
wood processing 25
metal processing 25
plastic processing 25
fabric 25
safety 25
interaction 25
 </v>
      </c>
      <c r="FM137" s="21" t="str">
        <f t="shared" si="260"/>
        <v xml:space="preserve">initiative(1), community manager(1), administrator(1), enthusiasm(1), fame(1), network(2), level of understanding(1), technologists(2), spaciousness(1), ease of access(1), reputation(2), for entrepreneurs(1),  </v>
      </c>
      <c r="FN137" s="21" t="str">
        <f t="shared" si="261"/>
        <v xml:space="preserve">technologists(1,12.5), for entrepreneurs(1,6.25),  </v>
      </c>
      <c r="FO137" s="21" t="str">
        <f t="shared" si="384"/>
        <v xml:space="preserve">technologists(12.5),for entrepreneurs(6.25), </v>
      </c>
      <c r="FP137" s="21" t="str">
        <f t="shared" si="382"/>
        <v xml:space="preserve">technologists 1
 </v>
      </c>
      <c r="FQ137" s="21" t="str">
        <f t="shared" si="262"/>
        <v xml:space="preserve">web(1,25), mobile apps(1,50), functions(1,25), interaction(1,25),  </v>
      </c>
      <c r="FR137" s="21" t="str">
        <f t="shared" si="383"/>
        <v xml:space="preserve">web 25
mobile apps 50
functions 25
interaction 25
 </v>
      </c>
      <c r="FS137" s="21" t="str">
        <f t="shared" si="263"/>
        <v xml:space="preserve">initiative(1), community manager(1), administrator(1), enthusiasm(1), fame(1), network(2), level of understanding(1), technologists(2), spaciousness(1), ease of access(1), reputation(2), for entrepreneurs(1),  </v>
      </c>
      <c r="FT137" s="21" t="str">
        <f t="shared" si="264"/>
        <v xml:space="preserve">technologists(1,12.5), for entrepreneurs(1,6.25),  </v>
      </c>
      <c r="FU137" s="21" t="str">
        <f t="shared" si="384"/>
        <v xml:space="preserve">technologists(12.5),for entrepreneurs(6.25), </v>
      </c>
      <c r="FV137" s="21" t="str">
        <f t="shared" si="382"/>
        <v xml:space="preserve">technologists 1
 </v>
      </c>
      <c r="FW137" s="21" t="str">
        <f t="shared" si="265"/>
        <v xml:space="preserve">mobile apps(1,50), sensors(1,50), wood processing(1,25), plastic processing(1,25), electronics(1,25), functions(1,25), interaction(1,25),  </v>
      </c>
      <c r="FX137" s="21" t="str">
        <f t="shared" si="383"/>
        <v xml:space="preserve">mobile apps 50
sensors 50
wood processing 25
plastic processing 25
electronics 25
functions 25
interaction 25
 </v>
      </c>
      <c r="FY137" s="21" t="str">
        <f t="shared" si="266"/>
        <v xml:space="preserve">initiative(1), community manager(1), administrator(1), enthusiasm(1), fame(1), network(2), level of understanding(1), technologists(2), spaciousness(1), ease of access(1), reputation(2), project management(2), for entrepreneurs(1),  </v>
      </c>
      <c r="FZ137" s="21" t="str">
        <f t="shared" si="267"/>
        <v xml:space="preserve">technologists(1,12.5), web(1,6.25), database(1,6.25), AI&amp; data analysis(1,6.25), mobile comm(1,6.25), for entrepreneurs(1,6.25),  </v>
      </c>
      <c r="GA137" s="21" t="str">
        <f t="shared" si="384"/>
        <v xml:space="preserve">technologists(12.5),web(6.25),database(6.25),AI&amp; data analysis(6.25),mobile comm(6.25),for entrepreneurs(6.25), </v>
      </c>
      <c r="GB137" s="21" t="str">
        <f t="shared" si="382"/>
        <v xml:space="preserve">technologists 1
 </v>
      </c>
      <c r="GC137" s="21" t="str">
        <f t="shared" si="268"/>
        <v xml:space="preserve">sensors(1,25), mobile comm(1,25), electronics(1,50), functions(1,25), safety(1,25),  </v>
      </c>
      <c r="GD137" s="21" t="str">
        <f t="shared" si="383"/>
        <v xml:space="preserve">sensors 25
mobile comm 25
electronics 50
functions 25
safety 25
 </v>
      </c>
      <c r="GE137" s="21" t="str">
        <f t="shared" si="269"/>
        <v xml:space="preserve">initiative(1), community manager(1), administrator(1), enthusiasm(1), fame(1), network(2), level of understanding(1), technologists(2), spaciousness(1), ease of access(1), reputation(2), project management(2), for entrepreneurs(1),  </v>
      </c>
      <c r="GF137" s="21" t="str">
        <f t="shared" si="270"/>
        <v xml:space="preserve">technologists(1,12.5), database(1,6.25), mobile apps(1,6.25), AI&amp; data analysis(1,6.25), plastic processing(1,6.25), interaction(1,6.25), for entrepreneurs(1,6.25),  </v>
      </c>
      <c r="GG137" s="21" t="str">
        <f t="shared" si="384"/>
        <v xml:space="preserve">technologists(12.5),database(6.25),mobile apps(6.25),AI&amp; data analysis(6.25),plastic processing(6.25),interaction(6.25),for entrepreneurs(6.25), </v>
      </c>
      <c r="GH137" s="21" t="str">
        <f t="shared" si="382"/>
        <v xml:space="preserve">technologists 1
 </v>
      </c>
      <c r="GI137" s="21" t="str">
        <f t="shared" si="271"/>
        <v xml:space="preserve">web(1,25), mobile apps(1,50), functions(1,25), interaction(1,25),  </v>
      </c>
      <c r="GJ137" s="21" t="str">
        <f t="shared" si="383"/>
        <v xml:space="preserve">web 25
mobile apps 50
functions 25
interaction 25
 </v>
      </c>
      <c r="GK137" s="21" t="str">
        <f t="shared" si="272"/>
        <v xml:space="preserve">initiative(1), community manager(1), administrator(1), enthusiasm(1), fame(1), network(2), level of understanding(1), technologists(2), spaciousness(1), ease of access(1), reputation(2), project management(2), for entrepreneurs(1),  </v>
      </c>
      <c r="GL137" s="21" t="str">
        <f t="shared" si="273"/>
        <v xml:space="preserve">technologists(1,12.5), for entrepreneurs(1,6.25),  </v>
      </c>
      <c r="GM137" s="21" t="str">
        <f t="shared" si="384"/>
        <v xml:space="preserve">technologists(12.5),for entrepreneurs(6.25), </v>
      </c>
      <c r="GN137" s="21" t="str">
        <f t="shared" si="382"/>
        <v xml:space="preserve">technologists 1
 </v>
      </c>
      <c r="GO137" s="21" t="str">
        <f t="shared" si="274"/>
        <v xml:space="preserve">web(1,25), mobile apps(1,25), VR&amp;AR(1,25), aesthetics(1,25), functions(1,25), interaction(1,50),  </v>
      </c>
      <c r="GP137" s="21" t="str">
        <f t="shared" si="383"/>
        <v xml:space="preserve">web 25
mobile apps 25
VR&amp;AR 25
aesthetics 25
functions 25
interaction 50
 </v>
      </c>
      <c r="GQ137" s="21" t="str">
        <f t="shared" si="275"/>
        <v xml:space="preserve">initiative(1), community manager(1), administrator(1), enthusiasm(1), fame(1), network(2), level of understanding(1), technologists(2), spaciousness(1), ease of access(1), reputation(2), project management(2), for entrepreneurs(1),  </v>
      </c>
      <c r="GR137" s="21" t="str">
        <f t="shared" si="276"/>
        <v xml:space="preserve">technologists(1,12.5), for entrepreneurs(1,6.25),  </v>
      </c>
      <c r="GS137" s="21" t="str">
        <f t="shared" si="384"/>
        <v xml:space="preserve">technologists(12.5),for entrepreneurs(6.25), </v>
      </c>
      <c r="GT137" s="21" t="str">
        <f t="shared" si="382"/>
        <v xml:space="preserve">ease of access 1
reputation 2
web 1
mobile apps 1
mobile comm 1
 </v>
      </c>
      <c r="GU137" s="21" t="str">
        <f t="shared" si="277"/>
        <v xml:space="preserve"> </v>
      </c>
      <c r="GV137" s="21" t="str">
        <f t="shared" si="383"/>
        <v xml:space="preserve"> </v>
      </c>
      <c r="GW137" s="21" t="str">
        <f t="shared" si="278"/>
        <v xml:space="preserve">initiative(1), 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7" s="21" t="str">
        <f t="shared" si="279"/>
        <v xml:space="preserve">media(1,6.25), entrepreneurs(1,6.25), technologists(1,6.25), project management(1,6.25), social media(1,6.25), web(1,6.25), mobile apps(1,6.25),  </v>
      </c>
      <c r="GY137" s="21" t="str">
        <f t="shared" si="384"/>
        <v xml:space="preserve">media(6.25),entrepreneurs(6.25),technologists(6.25),project management(6.25),social media(6.25),web(6.25),mobile apps(6.25), </v>
      </c>
      <c r="GZ137" s="21" t="str">
        <f t="shared" si="385"/>
        <v xml:space="preserve">network 1
govt 1
non-profits 1
reputation 2
portfolio 1
 </v>
      </c>
      <c r="HA137" s="21" t="str">
        <f t="shared" si="281"/>
        <v xml:space="preserve"> </v>
      </c>
      <c r="HB137" s="21" t="str">
        <f t="shared" si="386"/>
        <v xml:space="preserve"> </v>
      </c>
      <c r="HC137" s="21" t="str">
        <f t="shared" si="283"/>
        <v xml:space="preserve">initiative(2), leader(1), community manager(1), PR(1), finance(1), administrator(1), network(2), govt(3), non-profits(3), reputation(4), portfolio(3), social media(2), web(2), mobile apps(2), sensors(2), AI&amp; data analysis(2), VR&amp;AR(2), plastic processing(2), electronics(2), aesthetics(2), interaction(2),  </v>
      </c>
      <c r="HD137" s="21" t="str">
        <f t="shared" si="284"/>
        <v xml:space="preserve">media(1,6.25), technologists(1,6.25), non-profits(1,6.25), reputation(1,6.25), start-up with customers(1,6.25), for basic literacy(1,6.25),  </v>
      </c>
      <c r="HE137" s="21" t="str">
        <f t="shared" si="387"/>
        <v xml:space="preserve">media(6.25),technologists(6.25),non-profits(6.25),reputation(6.25),start-up with customers(6.25),for basic literacy(6.25), </v>
      </c>
      <c r="HF137" s="21" t="str">
        <f t="shared" si="385"/>
        <v xml:space="preserve"> </v>
      </c>
      <c r="HG137" s="21" t="str">
        <f t="shared" si="286"/>
        <v xml:space="preserve"> </v>
      </c>
      <c r="HH137" s="21" t="str">
        <f t="shared" si="386"/>
        <v xml:space="preserve"> </v>
      </c>
      <c r="HI137" s="21" t="str">
        <f t="shared" si="287"/>
        <v xml:space="preserve">initiative(2), leader(1), community manager(1), PR(1), finance(1), administrator(1), network(2), portfolio(3), marketing(2), team building(3), project management(2), mobile apps(3), sensors(2), plastic processing(2), electronics(2), aesthetics(2), functions(2), interaction(2),  </v>
      </c>
      <c r="HJ137" s="21" t="str">
        <f t="shared" si="288"/>
        <v xml:space="preserve">govt(1,6.25), media(1,6.25), non-profits(1,6.25), start-up with customers(1,6.25),  </v>
      </c>
      <c r="HK137" s="21" t="str">
        <f t="shared" si="387"/>
        <v xml:space="preserve">govt(6.25),media(6.25),non-profits(6.25),start-up with customers(6.25), </v>
      </c>
      <c r="HL137" s="21" t="str">
        <f t="shared" si="385"/>
        <v xml:space="preserve">community manager 1
PR 1
administrator 1
local biz 1
entrepreneurs 1
non-profits 1
reputation 2
portfolio 2
 </v>
      </c>
      <c r="HM137" s="21" t="str">
        <f t="shared" si="289"/>
        <v xml:space="preserve"> </v>
      </c>
      <c r="HN137" s="21" t="str">
        <f t="shared" si="386"/>
        <v xml:space="preserve"> </v>
      </c>
      <c r="HO137"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7" s="21" t="str">
        <f t="shared" si="291"/>
        <v xml:space="preserve">enthusiasm(1,6.25), level of understanding(1,6.25), local biz(1,6.25), biz group(1,6.25), govt(1,6.25), investors(1,6.25), media(1,6.25), entrepreneurs(1,6.25), technologists(1,6.25), suppliers(1,6.25), non-profits(1,6.25), reputation(1,6.25),  </v>
      </c>
      <c r="HQ137" s="47" t="str">
        <f t="shared" si="387"/>
        <v xml:space="preserve">enthusiasm(6.25),level of understanding(6.25),local biz(6.25),biz group(6.25),govt(6.25),investors(6.25),media(6.25),entrepreneurs(6.25),technologists(6.25),suppliers(6.25),non-profits(6.25),reputation(6.25), </v>
      </c>
      <c r="HR137" s="47" t="str">
        <f t="shared" ref="HR137:HW137" si="458">IF(HR35="",HR138,$C137&amp;"("&amp;HR35&amp;"),"&amp;HR138)</f>
        <v xml:space="preserve">reputation(2),portfolio(2),mobile apps(1),sensors(1),wood processing(1),aesthetics(1), </v>
      </c>
      <c r="HS137" s="47" t="str">
        <f t="shared" si="458"/>
        <v xml:space="preserve"> </v>
      </c>
      <c r="HT137" s="47" t="str">
        <f t="shared" si="458"/>
        <v xml:space="preserve"> </v>
      </c>
      <c r="HU137" s="47" t="str">
        <f t="shared" si="458"/>
        <v xml:space="preserve">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7" s="47" t="str">
        <f t="shared" si="458"/>
        <v xml:space="preserve">local biz(1),biz group(1),govt(1),investors(1),media(1),entrepreneurs(1),technologists(1),suppliers(1),non-profits(1),reputation(1), </v>
      </c>
      <c r="HW137" s="47" t="str">
        <f t="shared" si="458"/>
        <v xml:space="preserve">local biz(6.25),biz group(6.25),govt(6.25),investors(6.25),media(6.25),entrepreneurs(6.25),technologists(12.5),suppliers(6.25),non-profits(6.25),reputation(6.25), </v>
      </c>
      <c r="HX137" s="47" t="str">
        <f t="shared" ref="HX137:IU137" si="459">IF(HX35="",HX138,$C137&amp;"("&amp;HX35&amp;"),"&amp;HX138)</f>
        <v xml:space="preserve">leader(1),local biz(2),govt(2),media(2),entrepreneurs(2),technologists(3),non-profits(3),reputation(3),portfolio(2),web(1),infrastructrue(1),database(2),mobile apps(1),sensors(1),AI&amp; data analysis(2),VR&amp;AR(1),wood processing(1),metal processing(1),plastic processing(1),electronics(1),aesthetics(1),functions(1),interaction(1), </v>
      </c>
      <c r="HY137" s="47" t="str">
        <f t="shared" si="459"/>
        <v xml:space="preserve">biz enhancement(1), </v>
      </c>
      <c r="HZ137" s="47" t="str">
        <f t="shared" si="459"/>
        <v xml:space="preserve">biz enhancement(100), </v>
      </c>
      <c r="IA137" s="47" t="str">
        <f t="shared" si="459"/>
        <v xml:space="preserve">community manager(1),PR(1),finance(1),administrator(1),enthusiasm(2),network(2),ambition(2),knowledge(2),spaciousness(2),ease of access(3),efficiency(2),portfolio(4),finance(2),business model(2),marketing(3),team building(2),project management(2),social media(3),negotiation(3), </v>
      </c>
      <c r="IB137" s="47" t="str">
        <f t="shared" si="459"/>
        <v xml:space="preserve">initiative(1),level of understanding(1),ambition(1),local biz(1),biz group(1),govt(1),media(1),entrepreneurs(1),technologists(1),non-profits(1),reputation(1),team building(1),database(1),AI&amp; data analysis(1),electronics(1),functions(1), </v>
      </c>
      <c r="IC137" s="47" t="str">
        <f t="shared" si="459"/>
        <v xml:space="preserve">initiative(6.25),level of understanding(6.25),ambition(6.25),local biz(6.25),biz group(6.25),govt(6.25),media(6.25),entrepreneurs(6.25),technologists(6.25),non-profits(6.25),reputation(6.25),team building(6.25),database(6.25),AI&amp; data analysis(6.25),electronics(6.25),functions(6.25), </v>
      </c>
      <c r="ID137" s="47" t="str">
        <f t="shared" si="459"/>
        <v xml:space="preserve">technologists(2), </v>
      </c>
      <c r="IE137" s="47" t="str">
        <f t="shared" si="459"/>
        <v xml:space="preserve">web(1),mobile apps(1),security(1),AI&amp; data analysis(1), </v>
      </c>
      <c r="IF137" s="47" t="str">
        <f t="shared" si="459"/>
        <v xml:space="preserve">web(25),mobile apps(25),security(25),AI&amp; data analysis(25), </v>
      </c>
      <c r="IG137" s="47" t="str">
        <f t="shared" si="459"/>
        <v xml:space="preserve">community manager(1),administrator(1),network(2),entrepreneurs(3),technologists(4),spaciousness(2),ease of access(2),reputation(3),efficiency(2),portfolio(3),web(2),database(2),mobile apps(2),security(2),AI&amp; data analysis(2), </v>
      </c>
      <c r="IH137" s="47" t="str">
        <f t="shared" si="459"/>
        <v xml:space="preserve">technologists(1),web(1),database(1),mobile apps(1),security(1),AI&amp; data analysis(1), </v>
      </c>
      <c r="II137" s="47" t="str">
        <f t="shared" si="459"/>
        <v xml:space="preserve">technologists(6.25),web(6.25),database(6.25),mobile apps(6.25),security(6.25),AI&amp; data analysis(6.25), </v>
      </c>
      <c r="IJ137" s="47" t="str">
        <f t="shared" si="459"/>
        <v xml:space="preserve">technologists(2), </v>
      </c>
      <c r="IK137" s="47" t="str">
        <f t="shared" si="459"/>
        <v xml:space="preserve">wood processing(1),metal processing(1),functions(1),safety(1), </v>
      </c>
      <c r="IL137" s="47" t="str">
        <f t="shared" si="459"/>
        <v xml:space="preserve">wood processing(25),metal processing(25),functions(25),safety(25), </v>
      </c>
      <c r="IM137" s="47" t="str">
        <f t="shared" si="459"/>
        <v xml:space="preserve">community manager(1),administrator(1),network(2),entrepreneurs(3),technologists(4),spaciousness(2),ease of access(2),reputation(3),efficiency(2),portfolio(3),wood processing(2),metal processing(2),functions(2),safety(2), </v>
      </c>
      <c r="IN137" s="47" t="str">
        <f t="shared" si="459"/>
        <v xml:space="preserve">technologists(1),wood processing(1),metal processing(1),functions(1),safety(1),interaction(1), </v>
      </c>
      <c r="IO137" s="47" t="str">
        <f t="shared" si="459"/>
        <v xml:space="preserve">technologists(6.25),wood processing(6.25),metal processing(6.25),functions(6.25),safety(6.25),interaction(6.25), </v>
      </c>
      <c r="IP137" s="57" t="str">
        <f t="shared" si="459"/>
        <v xml:space="preserve">local biz(2),reputation(1), </v>
      </c>
      <c r="IQ137" s="47" t="str">
        <f t="shared" si="459"/>
        <v xml:space="preserve">local biz(1),marketing(1), </v>
      </c>
      <c r="IR137" s="47" t="str">
        <f t="shared" si="459"/>
        <v xml:space="preserve">local biz(25),marketing(25), </v>
      </c>
      <c r="IS137" s="47" t="str">
        <f t="shared" si="459"/>
        <v xml:space="preserve">leader(1),community manager(1),finance(1),administrator(1),enthusiasm(3),network(2),level of understanding(3),local biz(3),biz group(2),govt(2),non-profits(2),reputation(3),efficiency(2),marketing(2), </v>
      </c>
      <c r="IT137" s="47" t="str">
        <f t="shared" si="459"/>
        <v xml:space="preserve">local biz(1),biz group(1),govt(1),non-profits(1),marketing(1), </v>
      </c>
      <c r="IU137" s="47" t="str">
        <f t="shared" si="459"/>
        <v xml:space="preserve">local biz(6.25),biz group(6.25),govt(6.25),non-profits(6.25),marketing(6.25), </v>
      </c>
      <c r="IV137" s="57" t="str">
        <f t="shared" ref="IV137:LG137" si="460">IF(IV35="",IV138,$C137&amp;"("&amp;IV35&amp;"),"&amp;IV138)</f>
        <v xml:space="preserve">local biz(2),reputation(1), </v>
      </c>
      <c r="IW137" s="47" t="str">
        <f t="shared" si="460"/>
        <v xml:space="preserve">local biz(1),marketing(1), </v>
      </c>
      <c r="IX137" s="47" t="str">
        <f t="shared" si="460"/>
        <v xml:space="preserve">local biz(25),marketing(25), </v>
      </c>
      <c r="IY137" s="47" t="str">
        <f t="shared" si="460"/>
        <v xml:space="preserve">leader(1),community manager(1),finance(1),administrator(1),enthusiasm(3),network(2),level of understanding(3),local biz(3),biz group(2),govt(2),reputation(3),efficiency(2),marketing(2), </v>
      </c>
      <c r="IZ137" s="47" t="str">
        <f t="shared" si="460"/>
        <v xml:space="preserve">local biz(1),biz group(1),govt(1),marketing(1), </v>
      </c>
      <c r="JA137" s="47" t="str">
        <f t="shared" si="460"/>
        <v xml:space="preserve">local biz(6.25),biz group(6.25),govt(6.25),marketing(6.25), </v>
      </c>
      <c r="JB137" s="47" t="str">
        <f t="shared" si="460"/>
        <v xml:space="preserve"> </v>
      </c>
      <c r="JC137" s="47" t="str">
        <f t="shared" si="460"/>
        <v xml:space="preserve"> </v>
      </c>
      <c r="JD137" s="47" t="str">
        <f t="shared" si="460"/>
        <v xml:space="preserve"> </v>
      </c>
      <c r="JE137" s="47" t="str">
        <f t="shared" si="460"/>
        <v xml:space="preserve">community manager(1),PR(1),administrator(1),network(2),level of understanding(2),technologists(2),spaciousness(1),ease of access(1),reputation(3),efficiency(2), </v>
      </c>
      <c r="JF137" s="47" t="str">
        <f t="shared" si="460"/>
        <v xml:space="preserve">web(1),infrastructrue(1),database(1),mobile apps(1),sensors(1),security(1),AI&amp; data analysis(1),mobile comm(1),VR&amp;AR(1),wood processing(1),metal processing(1),plastic processing(1),electronics(1),fabric(1),aesthetics(1),functions(1),safety(1),interaction(1), </v>
      </c>
      <c r="JG137" s="47" t="str">
        <f t="shared" si="460"/>
        <v xml:space="preserve">web(6.25),infrastructrue(6.25),database(6.25),mobile apps(6.25),sensors(6.25),security(6.25),AI&amp; data analysis(6.25),mobile comm(6.25),VR&amp;AR(6.25),wood processing(6.25),metal processing(6.25),plastic processing(6.25),electronics(6.25),fabric(6.25),aesthetics(6.25),functions(6.25),safety(6.25),interaction(6.25), </v>
      </c>
      <c r="JH137" s="47" t="str">
        <f t="shared" si="460"/>
        <v xml:space="preserve">enthusiasm(1),local biz(1),non-profits(1),reputation(2), </v>
      </c>
      <c r="JI137" s="47" t="str">
        <f t="shared" si="460"/>
        <v xml:space="preserve"> </v>
      </c>
      <c r="JJ137" s="47" t="str">
        <f t="shared" si="460"/>
        <v xml:space="preserve"> </v>
      </c>
      <c r="JK137" s="47" t="str">
        <f t="shared" si="460"/>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7" s="47" t="str">
        <f t="shared" si="460"/>
        <v xml:space="preserve">non-profits(1), </v>
      </c>
      <c r="JM137" s="47" t="str">
        <f t="shared" si="460"/>
        <v xml:space="preserve">non-profits(6.25), </v>
      </c>
      <c r="JN137" s="47" t="str">
        <f t="shared" si="460"/>
        <v xml:space="preserve">enthusiasm(1),network(1),local biz(1),investors(1),entrepreneurs(1),technologists(1),non-profits(1),reputation(2),portfolio(2), </v>
      </c>
      <c r="JO137" s="47" t="str">
        <f t="shared" si="460"/>
        <v xml:space="preserve"> </v>
      </c>
      <c r="JP137" s="47" t="str">
        <f t="shared" si="460"/>
        <v xml:space="preserve"> </v>
      </c>
      <c r="JQ137" s="47" t="str">
        <f t="shared" si="460"/>
        <v xml:space="preserve">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7" s="47" t="str">
        <f t="shared" si="460"/>
        <v xml:space="preserve"> </v>
      </c>
      <c r="JS137" s="47" t="str">
        <f t="shared" si="460"/>
        <v xml:space="preserve"> </v>
      </c>
      <c r="JT137" s="47" t="str">
        <f t="shared" si="460"/>
        <v xml:space="preserve">PR(1),administrator(1),enthusiasm(2),network(2),local biz(2),biz group(1),govt(2),investors(2),entrepreneurs(2),technologists(2),non-profits(2),reputation(2),portfolio(3), </v>
      </c>
      <c r="JU137" s="47" t="str">
        <f t="shared" si="460"/>
        <v xml:space="preserve"> </v>
      </c>
      <c r="JV137" s="47" t="str">
        <f t="shared" si="460"/>
        <v xml:space="preserve"> </v>
      </c>
      <c r="JW137" s="47" t="str">
        <f t="shared" si="460"/>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7" s="47" t="str">
        <f t="shared" si="460"/>
        <v xml:space="preserve"> </v>
      </c>
      <c r="JY137" s="47" t="str">
        <f t="shared" si="460"/>
        <v xml:space="preserve"> </v>
      </c>
      <c r="JZ137" s="47" t="str">
        <f t="shared" si="460"/>
        <v xml:space="preserve">network(1),non-profits(1),reputation(2),social project(2), </v>
      </c>
      <c r="KA137" s="47" t="str">
        <f t="shared" si="460"/>
        <v xml:space="preserve">non-profits(1), </v>
      </c>
      <c r="KB137" s="47" t="str">
        <f t="shared" si="460"/>
        <v xml:space="preserve">non-profits(25), </v>
      </c>
      <c r="KC137" s="47" t="str">
        <f t="shared" si="460"/>
        <v xml:space="preserve">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7" s="47" t="str">
        <f t="shared" si="460"/>
        <v xml:space="preserve">non-profits(1), </v>
      </c>
      <c r="KE137" s="47" t="str">
        <f t="shared" si="460"/>
        <v xml:space="preserve">non-profits(6.25), </v>
      </c>
      <c r="KF137" s="47" t="str">
        <f t="shared" si="460"/>
        <v xml:space="preserve"> </v>
      </c>
      <c r="KG137" s="47" t="str">
        <f t="shared" si="460"/>
        <v xml:space="preserve"> </v>
      </c>
      <c r="KH137" s="47" t="str">
        <f t="shared" si="460"/>
        <v xml:space="preserve"> </v>
      </c>
      <c r="KI137" s="47" t="str">
        <f t="shared" si="460"/>
        <v xml:space="preserve"> </v>
      </c>
      <c r="KJ137" s="47" t="str">
        <f t="shared" si="460"/>
        <v xml:space="preserve"> </v>
      </c>
      <c r="KK137" s="47" t="str">
        <f t="shared" si="460"/>
        <v xml:space="preserve"> </v>
      </c>
      <c r="KL137" s="57" t="str">
        <f t="shared" si="460"/>
        <v xml:space="preserve"> </v>
      </c>
      <c r="KM137" s="47" t="str">
        <f t="shared" si="460"/>
        <v xml:space="preserve"> </v>
      </c>
      <c r="KN137" s="47" t="str">
        <f t="shared" si="460"/>
        <v xml:space="preserve"> </v>
      </c>
      <c r="KO137" s="47" t="str">
        <f t="shared" si="460"/>
        <v xml:space="preserve"> </v>
      </c>
      <c r="KP137" s="47" t="str">
        <f t="shared" si="460"/>
        <v xml:space="preserve"> </v>
      </c>
      <c r="KQ137" s="47" t="str">
        <f t="shared" si="460"/>
        <v xml:space="preserve"> </v>
      </c>
      <c r="KR137" s="57" t="str">
        <f t="shared" si="460"/>
        <v xml:space="preserve"> </v>
      </c>
      <c r="KS137" s="47" t="str">
        <f t="shared" si="460"/>
        <v xml:space="preserve"> </v>
      </c>
      <c r="KT137" s="47" t="str">
        <f t="shared" si="460"/>
        <v xml:space="preserve"> </v>
      </c>
      <c r="KU137" s="47" t="str">
        <f t="shared" si="460"/>
        <v xml:space="preserve"> </v>
      </c>
      <c r="KV137" s="47" t="str">
        <f t="shared" si="460"/>
        <v xml:space="preserve"> </v>
      </c>
      <c r="KW137" s="47" t="str">
        <f t="shared" si="460"/>
        <v xml:space="preserve"> </v>
      </c>
      <c r="KX137" s="57" t="str">
        <f t="shared" si="460"/>
        <v xml:space="preserve"> </v>
      </c>
      <c r="KY137" s="47" t="str">
        <f t="shared" si="460"/>
        <v xml:space="preserve"> </v>
      </c>
      <c r="KZ137" s="47" t="str">
        <f t="shared" si="460"/>
        <v xml:space="preserve"> </v>
      </c>
      <c r="LA137" s="47" t="str">
        <f t="shared" si="460"/>
        <v xml:space="preserve"> </v>
      </c>
      <c r="LB137" s="47" t="str">
        <f t="shared" si="460"/>
        <v xml:space="preserve"> </v>
      </c>
      <c r="LC137" s="47" t="str">
        <f t="shared" si="460"/>
        <v xml:space="preserve"> </v>
      </c>
      <c r="LD137" s="57" t="str">
        <f t="shared" si="460"/>
        <v xml:space="preserve"> </v>
      </c>
      <c r="LE137" s="47" t="str">
        <f t="shared" si="460"/>
        <v xml:space="preserve"> </v>
      </c>
      <c r="LF137" s="47" t="str">
        <f t="shared" si="460"/>
        <v xml:space="preserve"> </v>
      </c>
      <c r="LG137" s="47" t="str">
        <f t="shared" si="460"/>
        <v xml:space="preserve"> </v>
      </c>
      <c r="LH137" s="47" t="str">
        <f t="shared" ref="LH137:NM137" si="461">IF(LH35="",LH138,$C137&amp;"("&amp;LH35&amp;"),"&amp;LH138)</f>
        <v xml:space="preserve"> </v>
      </c>
      <c r="LI137" s="47" t="str">
        <f t="shared" si="461"/>
        <v xml:space="preserve"> </v>
      </c>
      <c r="LJ137" s="57" t="str">
        <f t="shared" si="461"/>
        <v xml:space="preserve"> </v>
      </c>
      <c r="LK137" s="47" t="str">
        <f t="shared" si="461"/>
        <v xml:space="preserve"> </v>
      </c>
      <c r="LL137" s="47" t="str">
        <f t="shared" si="461"/>
        <v xml:space="preserve"> </v>
      </c>
      <c r="LM137" s="47" t="str">
        <f t="shared" si="461"/>
        <v xml:space="preserve"> </v>
      </c>
      <c r="LN137" s="47" t="str">
        <f t="shared" si="461"/>
        <v xml:space="preserve"> </v>
      </c>
      <c r="LO137" s="47" t="str">
        <f t="shared" si="461"/>
        <v xml:space="preserve"> </v>
      </c>
      <c r="LP137" s="57" t="str">
        <f t="shared" si="461"/>
        <v xml:space="preserve"> </v>
      </c>
      <c r="LQ137" s="47" t="str">
        <f t="shared" si="461"/>
        <v xml:space="preserve"> </v>
      </c>
      <c r="LR137" s="47" t="str">
        <f t="shared" si="461"/>
        <v xml:space="preserve"> </v>
      </c>
      <c r="LS137" s="47" t="str">
        <f t="shared" si="461"/>
        <v xml:space="preserve"> </v>
      </c>
      <c r="LT137" s="47" t="str">
        <f t="shared" si="461"/>
        <v xml:space="preserve"> </v>
      </c>
      <c r="LU137" s="47" t="str">
        <f t="shared" si="461"/>
        <v xml:space="preserve"> </v>
      </c>
      <c r="LV137" s="57" t="str">
        <f t="shared" si="461"/>
        <v xml:space="preserve"> </v>
      </c>
      <c r="LW137" s="47" t="str">
        <f t="shared" si="461"/>
        <v xml:space="preserve"> </v>
      </c>
      <c r="LX137" s="47" t="str">
        <f t="shared" si="461"/>
        <v xml:space="preserve"> </v>
      </c>
      <c r="LY137" s="47" t="str">
        <f t="shared" si="461"/>
        <v xml:space="preserve"> </v>
      </c>
      <c r="LZ137" s="47" t="str">
        <f t="shared" si="461"/>
        <v xml:space="preserve"> </v>
      </c>
      <c r="MA137" s="47" t="str">
        <f t="shared" si="461"/>
        <v xml:space="preserve"> </v>
      </c>
      <c r="MB137" s="57" t="str">
        <f t="shared" si="461"/>
        <v xml:space="preserve"> </v>
      </c>
      <c r="MC137" s="47" t="str">
        <f t="shared" si="461"/>
        <v xml:space="preserve"> </v>
      </c>
      <c r="MD137" s="47" t="str">
        <f t="shared" si="461"/>
        <v xml:space="preserve"> </v>
      </c>
      <c r="ME137" s="47" t="str">
        <f t="shared" si="461"/>
        <v xml:space="preserve"> </v>
      </c>
      <c r="MF137" s="47" t="str">
        <f t="shared" si="461"/>
        <v xml:space="preserve"> </v>
      </c>
      <c r="MG137" s="47" t="str">
        <f t="shared" si="461"/>
        <v xml:space="preserve"> </v>
      </c>
      <c r="MH137" s="57" t="str">
        <f t="shared" si="461"/>
        <v xml:space="preserve"> </v>
      </c>
      <c r="MI137" s="47" t="str">
        <f t="shared" si="461"/>
        <v xml:space="preserve"> </v>
      </c>
      <c r="MJ137" s="47" t="str">
        <f t="shared" si="461"/>
        <v xml:space="preserve"> </v>
      </c>
      <c r="MK137" s="47" t="str">
        <f t="shared" si="461"/>
        <v xml:space="preserve"> </v>
      </c>
      <c r="ML137" s="47" t="str">
        <f t="shared" si="461"/>
        <v xml:space="preserve"> </v>
      </c>
      <c r="MM137" s="47" t="str">
        <f t="shared" si="461"/>
        <v xml:space="preserve"> </v>
      </c>
      <c r="MN137" s="57" t="str">
        <f t="shared" si="461"/>
        <v xml:space="preserve"> </v>
      </c>
      <c r="MO137" s="47" t="str">
        <f t="shared" si="461"/>
        <v xml:space="preserve"> </v>
      </c>
      <c r="MP137" s="47" t="str">
        <f t="shared" si="461"/>
        <v xml:space="preserve"> </v>
      </c>
      <c r="MQ137" s="47" t="str">
        <f t="shared" si="461"/>
        <v xml:space="preserve"> </v>
      </c>
      <c r="MR137" s="47" t="str">
        <f t="shared" si="461"/>
        <v xml:space="preserve"> </v>
      </c>
      <c r="MS137" s="47" t="str">
        <f t="shared" si="461"/>
        <v xml:space="preserve"> </v>
      </c>
      <c r="MT137" s="57" t="str">
        <f t="shared" si="461"/>
        <v xml:space="preserve"> </v>
      </c>
      <c r="MU137" s="47" t="str">
        <f t="shared" si="461"/>
        <v xml:space="preserve"> </v>
      </c>
      <c r="MV137" s="47" t="str">
        <f t="shared" si="461"/>
        <v xml:space="preserve"> </v>
      </c>
      <c r="MW137" s="47" t="str">
        <f t="shared" si="461"/>
        <v xml:space="preserve"> </v>
      </c>
      <c r="MX137" s="47" t="str">
        <f t="shared" si="461"/>
        <v xml:space="preserve"> </v>
      </c>
      <c r="MY137" s="47" t="str">
        <f t="shared" si="461"/>
        <v xml:space="preserve"> </v>
      </c>
      <c r="MZ137" s="57" t="str">
        <f t="shared" si="461"/>
        <v xml:space="preserve"> </v>
      </c>
      <c r="NA137" s="47" t="str">
        <f t="shared" si="461"/>
        <v xml:space="preserve"> </v>
      </c>
      <c r="NB137" s="47" t="str">
        <f t="shared" si="461"/>
        <v xml:space="preserve"> </v>
      </c>
      <c r="NC137" s="47" t="str">
        <f t="shared" si="461"/>
        <v xml:space="preserve"> </v>
      </c>
      <c r="ND137" s="47" t="str">
        <f t="shared" si="461"/>
        <v xml:space="preserve"> </v>
      </c>
      <c r="NE137" s="47" t="str">
        <f t="shared" si="461"/>
        <v xml:space="preserve"> </v>
      </c>
      <c r="NF137" s="57" t="str">
        <f t="shared" si="461"/>
        <v xml:space="preserve"> </v>
      </c>
      <c r="NG137" s="47" t="str">
        <f t="shared" si="461"/>
        <v xml:space="preserve"> </v>
      </c>
      <c r="NH137" s="47" t="str">
        <f t="shared" si="461"/>
        <v xml:space="preserve"> </v>
      </c>
      <c r="NI137" s="47" t="str">
        <f t="shared" si="461"/>
        <v xml:space="preserve"> </v>
      </c>
      <c r="NJ137" s="47" t="str">
        <f t="shared" si="461"/>
        <v xml:space="preserve"> </v>
      </c>
      <c r="NK137" s="47" t="str">
        <f t="shared" si="461"/>
        <v xml:space="preserve"> </v>
      </c>
      <c r="NL137" s="57" t="str">
        <f t="shared" si="461"/>
        <v xml:space="preserve"> </v>
      </c>
      <c r="NM137" s="47" t="str">
        <f t="shared" si="461"/>
        <v xml:space="preserve"> </v>
      </c>
    </row>
    <row r="138" spans="3:377" ht="15.75" customHeight="1">
      <c r="C138" s="7" t="str">
        <f t="shared" si="296"/>
        <v>leader</v>
      </c>
      <c r="D138" s="21" t="str">
        <f t="shared" si="169"/>
        <v xml:space="preserve"> </v>
      </c>
      <c r="E138" s="21" t="str">
        <f t="shared" si="297"/>
        <v xml:space="preserve"> </v>
      </c>
      <c r="F138" s="21" t="str">
        <f t="shared" si="170"/>
        <v xml:space="preserve"> </v>
      </c>
      <c r="G138" s="21" t="str">
        <f t="shared" si="298"/>
        <v xml:space="preserve">community manager(1), PR(1), fame(1), network(2), ease of access(1), reputation(2), social media(1),  </v>
      </c>
      <c r="H138" s="21" t="str">
        <f t="shared" si="299"/>
        <v xml:space="preserve"> </v>
      </c>
      <c r="I138" s="21" t="str">
        <f t="shared" ref="I138" si="462">IF(I36="",I139,$C138&amp;"("&amp;I36&amp;"),"&amp;I139)</f>
        <v xml:space="preserve"> </v>
      </c>
      <c r="J138" s="21" t="str">
        <f t="shared" si="376"/>
        <v xml:space="preserve">interaction 1
 </v>
      </c>
      <c r="K138" s="21" t="str">
        <f t="shared" si="173"/>
        <v xml:space="preserve">reputation(1,75),  </v>
      </c>
      <c r="L138" s="21" t="str">
        <f t="shared" si="377"/>
        <v xml:space="preserve">reputation 75
 </v>
      </c>
      <c r="M138" s="21" t="str">
        <f t="shared" si="175"/>
        <v xml:space="preserve">PR(1), portfolio(1), social innovation(1), non-profit biz(1),  </v>
      </c>
      <c r="N138" s="21" t="str">
        <f t="shared" si="176"/>
        <v xml:space="preserve">non-profits(1,12.5), reputation(1,75), marketing(1,12.5),  </v>
      </c>
      <c r="O138" s="21" t="str">
        <f t="shared" si="378"/>
        <v xml:space="preserve">non-profits(12.5),reputation(75),marketing(12.5), </v>
      </c>
      <c r="P138" s="21" t="str">
        <f t="shared" si="376"/>
        <v xml:space="preserve">biz project 1
 </v>
      </c>
      <c r="Q138" s="21" t="str">
        <f t="shared" si="178"/>
        <v xml:space="preserve"> </v>
      </c>
      <c r="R138" s="21" t="str">
        <f t="shared" si="377"/>
        <v xml:space="preserve"> </v>
      </c>
      <c r="S138" s="21" t="str">
        <f t="shared" si="179"/>
        <v xml:space="preserve">portfolio(1), biz enhancement(1), business(1), start-up(1),  </v>
      </c>
      <c r="T138" s="21" t="str">
        <f t="shared" si="180"/>
        <v xml:space="preserve">local biz(1,6.25), investors(1,6.25), reputation(1,6.25),  </v>
      </c>
      <c r="U138" s="21" t="str">
        <f t="shared" si="378"/>
        <v xml:space="preserve">local biz(6.25),investors(6.25),reputation(6.25), </v>
      </c>
      <c r="V138" s="21" t="str">
        <f t="shared" si="376"/>
        <v xml:space="preserve"> </v>
      </c>
      <c r="W138" s="21" t="str">
        <f t="shared" si="181"/>
        <v xml:space="preserve">local biz(1,),  </v>
      </c>
      <c r="X138" s="21" t="str">
        <f t="shared" si="377"/>
        <v xml:space="preserve"> </v>
      </c>
      <c r="Y138" s="21" t="str">
        <f t="shared" si="182"/>
        <v xml:space="preserve">PR(1), network(1), ease of access(1), reputation(1), portfolio(1), biz project(1), biz enhancement(1), job creation(1), business(1),  </v>
      </c>
      <c r="Z138" s="21" t="str">
        <f t="shared" si="183"/>
        <v xml:space="preserve">local biz(1,6.25),  </v>
      </c>
      <c r="AA138" s="21" t="str">
        <f t="shared" si="378"/>
        <v xml:space="preserve">local biz(6.25), </v>
      </c>
      <c r="AB138" s="21" t="str">
        <f t="shared" si="376"/>
        <v xml:space="preserve"> </v>
      </c>
      <c r="AC138" s="21" t="str">
        <f t="shared" si="184"/>
        <v xml:space="preserve">non-profits(1,100),  </v>
      </c>
      <c r="AD138" s="21" t="str">
        <f t="shared" si="377"/>
        <v xml:space="preserve">non-profits 100
 </v>
      </c>
      <c r="AE138" s="21" t="str">
        <f t="shared" si="185"/>
        <v xml:space="preserve">PR(1), network(1), ease of access(1), reputation(1), portfolio(1), social project(1), social innovation(1), non-profit biz(1),  </v>
      </c>
      <c r="AF138" s="21" t="str">
        <f t="shared" si="186"/>
        <v xml:space="preserve">non-profits(1,6.25),  </v>
      </c>
      <c r="AG138" s="21" t="str">
        <f t="shared" si="378"/>
        <v xml:space="preserve">non-profits(6.25), </v>
      </c>
      <c r="AH138" s="21" t="str">
        <f t="shared" si="376"/>
        <v xml:space="preserve"> </v>
      </c>
      <c r="AI138" s="21" t="str">
        <f t="shared" si="187"/>
        <v xml:space="preserve">govt(1,),  </v>
      </c>
      <c r="AJ138" s="21" t="str">
        <f t="shared" si="377"/>
        <v xml:space="preserve"> </v>
      </c>
      <c r="AK138" s="21" t="str">
        <f t="shared" si="188"/>
        <v xml:space="preserve">fame(1), network(1), govt(1), ease of access(1), reputation(2), portfolio(1), social project(1), social innovation(1), non-profit biz(1),  </v>
      </c>
      <c r="AL138" s="21" t="str">
        <f t="shared" si="189"/>
        <v xml:space="preserve">govt(1,6.25),  </v>
      </c>
      <c r="AM138" s="21" t="str">
        <f t="shared" si="378"/>
        <v xml:space="preserve">govt(6.25), </v>
      </c>
      <c r="AN138" s="21" t="str">
        <f t="shared" si="376"/>
        <v xml:space="preserve"> </v>
      </c>
      <c r="AO138" s="21" t="str">
        <f t="shared" si="190"/>
        <v xml:space="preserve">fame(1,), network(1,), investors(1,6.25),  </v>
      </c>
      <c r="AP138" s="21" t="str">
        <f t="shared" si="377"/>
        <v xml:space="preserve">investors 6.25
 </v>
      </c>
      <c r="AQ138" s="21" t="str">
        <f t="shared" si="191"/>
        <v xml:space="preserve">investors(1), ease of access(1), reputation(1), portfolio(1), start-up(1), start-up with mvp(1), start-up with customers(1),  </v>
      </c>
      <c r="AR138" s="21" t="str">
        <f t="shared" si="192"/>
        <v xml:space="preserve"> </v>
      </c>
      <c r="AS138" s="21" t="str">
        <f t="shared" si="378"/>
        <v xml:space="preserve"> </v>
      </c>
      <c r="AT138" s="21" t="str">
        <f t="shared" si="376"/>
        <v xml:space="preserve">administrator 1
non-profits 2
reputation 1
portfolio 1
social project 1
 </v>
      </c>
      <c r="AU138" s="21" t="str">
        <f t="shared" si="193"/>
        <v xml:space="preserve"> </v>
      </c>
      <c r="AV138" s="21" t="str">
        <f t="shared" si="377"/>
        <v xml:space="preserve"> </v>
      </c>
      <c r="AW138" s="21" t="str">
        <f t="shared" si="194"/>
        <v xml:space="preserve">PR(2), administrator(1), project management(2),  </v>
      </c>
      <c r="AX138" s="21" t="str">
        <f t="shared" si="195"/>
        <v xml:space="preserve">organizational rules and manuals(1,12.5), project management(1,12.5),  </v>
      </c>
      <c r="AY138" s="21" t="str">
        <f t="shared" si="378"/>
        <v xml:space="preserve">organizational rules and manuals(12.5),project management(12.5), </v>
      </c>
      <c r="AZ138" s="21" t="str">
        <f t="shared" si="376"/>
        <v xml:space="preserve">non-profits 1
 </v>
      </c>
      <c r="BA138" s="21" t="str">
        <f t="shared" si="196"/>
        <v xml:space="preserve"> </v>
      </c>
      <c r="BB138" s="21" t="str">
        <f t="shared" si="377"/>
        <v xml:space="preserve"> </v>
      </c>
      <c r="BC138" s="21" t="str">
        <f t="shared" si="197"/>
        <v xml:space="preserve"> </v>
      </c>
      <c r="BD138" s="21" t="str">
        <f t="shared" si="198"/>
        <v xml:space="preserve"> </v>
      </c>
      <c r="BE138" s="21" t="str">
        <f t="shared" si="378"/>
        <v xml:space="preserve"> </v>
      </c>
      <c r="BF138" s="21" t="str">
        <f t="shared" si="376"/>
        <v xml:space="preserve">administrator 1
local biz 2
entrepreneurs 1
reputation 1
portfolio 1
biz project 1
 </v>
      </c>
      <c r="BG138" s="21" t="str">
        <f t="shared" si="199"/>
        <v xml:space="preserve"> </v>
      </c>
      <c r="BH138" s="21" t="str">
        <f t="shared" si="377"/>
        <v xml:space="preserve"> </v>
      </c>
      <c r="BI138" s="21" t="str">
        <f t="shared" si="200"/>
        <v xml:space="preserve">PR(2), administrator(1), project management(2),  </v>
      </c>
      <c r="BJ138" s="21" t="str">
        <f t="shared" si="201"/>
        <v xml:space="preserve">organizational rules and manuals(1,12.5), project management(1,12.5),  </v>
      </c>
      <c r="BK138" s="21" t="str">
        <f t="shared" si="378"/>
        <v xml:space="preserve">organizational rules and manuals(12.5),project management(12.5), </v>
      </c>
      <c r="BL138" s="21" t="str">
        <f t="shared" si="376"/>
        <v xml:space="preserve">local biz 1
reputation 1
portfolio 1
biz enhancement 1
 </v>
      </c>
      <c r="BM138" s="21" t="str">
        <f t="shared" si="202"/>
        <v xml:space="preserve"> </v>
      </c>
      <c r="BN138" s="21" t="str">
        <f t="shared" si="377"/>
        <v xml:space="preserve"> </v>
      </c>
      <c r="BO138" s="21" t="str">
        <f t="shared" si="203"/>
        <v xml:space="preserve"> </v>
      </c>
      <c r="BP138" s="21" t="str">
        <f t="shared" si="204"/>
        <v xml:space="preserve"> </v>
      </c>
      <c r="BQ138" s="21" t="str">
        <f t="shared" si="378"/>
        <v xml:space="preserve"> </v>
      </c>
      <c r="BR138" s="21" t="str">
        <f t="shared" si="376"/>
        <v xml:space="preserve"> </v>
      </c>
      <c r="BS138" s="21" t="str">
        <f t="shared" si="205"/>
        <v xml:space="preserve"> </v>
      </c>
      <c r="BT138" s="21" t="str">
        <f t="shared" si="377"/>
        <v xml:space="preserve"> </v>
      </c>
      <c r="BU138" s="21" t="str">
        <f t="shared" si="206"/>
        <v xml:space="preserve"> </v>
      </c>
      <c r="BV138" s="21" t="str">
        <f t="shared" si="207"/>
        <v xml:space="preserve"> </v>
      </c>
      <c r="BW138" s="21" t="str">
        <f t="shared" si="378"/>
        <v xml:space="preserve"> </v>
      </c>
      <c r="BX138" s="21" t="str">
        <f t="shared" si="379"/>
        <v xml:space="preserve">network 1
 </v>
      </c>
      <c r="BY138" s="21" t="str">
        <f t="shared" si="209"/>
        <v xml:space="preserve">efficiency(1,),  </v>
      </c>
      <c r="BZ138" s="21" t="str">
        <f t="shared" si="380"/>
        <v xml:space="preserve"> </v>
      </c>
      <c r="CA138" s="21" t="str">
        <f t="shared" si="211"/>
        <v xml:space="preserve">administrator(1), negotiation(1),  </v>
      </c>
      <c r="CB138" s="21" t="str">
        <f t="shared" si="212"/>
        <v xml:space="preserve">user rules and manuals(1,50), organizational rules and manuals(1,50),  </v>
      </c>
      <c r="CC138" s="21" t="str">
        <f t="shared" si="381"/>
        <v xml:space="preserve">user rules and manuals(50),organizational rules and manuals(50), </v>
      </c>
      <c r="CD138" s="21" t="str">
        <f t="shared" si="379"/>
        <v xml:space="preserve">network 1
 </v>
      </c>
      <c r="CE138" s="21" t="str">
        <f t="shared" si="214"/>
        <v xml:space="preserve">non-profits(1,),  </v>
      </c>
      <c r="CF138" s="21" t="str">
        <f t="shared" si="380"/>
        <v xml:space="preserve"> </v>
      </c>
      <c r="CG138" s="21" t="str">
        <f t="shared" si="215"/>
        <v xml:space="preserve">ease of access(1), portfolio(1), user rules and manuals(1), negotiation(1), social project(1), biz project(1), for basic literacy(1), for the elites(1), for entrepreneurs(1),  </v>
      </c>
      <c r="CH138" s="21" t="str">
        <f t="shared" si="216"/>
        <v xml:space="preserve">technologists(1,6.25), non-profits(1,6.25),  </v>
      </c>
      <c r="CI138" s="21" t="str">
        <f t="shared" si="381"/>
        <v xml:space="preserve">technologists(6.25),non-profits(6.25), </v>
      </c>
      <c r="CJ138" s="21" t="str">
        <f t="shared" si="379"/>
        <v xml:space="preserve"> </v>
      </c>
      <c r="CK138" s="21" t="str">
        <f t="shared" si="217"/>
        <v xml:space="preserve">suppliers(1,),  </v>
      </c>
      <c r="CL138" s="21" t="str">
        <f t="shared" si="380"/>
        <v xml:space="preserve"> </v>
      </c>
      <c r="CM138" s="21" t="str">
        <f t="shared" si="218"/>
        <v xml:space="preserve">reputation(1), negotiation(1),  </v>
      </c>
      <c r="CN138" s="21" t="str">
        <f t="shared" si="219"/>
        <v xml:space="preserve">efficiency(1,6.25),  </v>
      </c>
      <c r="CO138" s="21" t="str">
        <f t="shared" si="381"/>
        <v xml:space="preserve">efficiency(6.25), </v>
      </c>
      <c r="CP138" s="21" t="str">
        <f t="shared" si="379"/>
        <v xml:space="preserve"> </v>
      </c>
      <c r="CQ138" s="21" t="str">
        <f t="shared" si="220"/>
        <v xml:space="preserve">technologists(1,),  </v>
      </c>
      <c r="CR138" s="21" t="str">
        <f t="shared" si="380"/>
        <v xml:space="preserve"> </v>
      </c>
      <c r="CS138" s="21" t="str">
        <f t="shared" si="221"/>
        <v xml:space="preserve">network(1), portfolio(1), negotiation(1), web(1), infrastructrue(1), database(1), mobile apps(1), sensors(1), security(1), AI&amp; data analysis(1), mobile comm(1), VR&amp;AR(1), wood processing(1), metal processing(1), plastic processing(1), electronics(1), fabric(1),  </v>
      </c>
      <c r="CT138" s="21" t="str">
        <f t="shared" si="222"/>
        <v xml:space="preserve">efficiency(1,6.25),  </v>
      </c>
      <c r="CU138" s="21" t="str">
        <f t="shared" si="381"/>
        <v xml:space="preserve">efficiency(6.25), </v>
      </c>
      <c r="CV138" s="21" t="str">
        <f t="shared" si="379"/>
        <v xml:space="preserve"> </v>
      </c>
      <c r="CW138" s="21" t="str">
        <f t="shared" si="223"/>
        <v xml:space="preserve">local biz(1,),  </v>
      </c>
      <c r="CX138" s="21" t="str">
        <f t="shared" si="380"/>
        <v xml:space="preserve"> </v>
      </c>
      <c r="CY138" s="21" t="str">
        <f t="shared" si="224"/>
        <v xml:space="preserve">ease of access(1), reputation(1), portfolio(1), negotiation(1),  </v>
      </c>
      <c r="CZ138" s="21" t="str">
        <f t="shared" si="225"/>
        <v xml:space="preserve">non-profits(1,6.25),  </v>
      </c>
      <c r="DA138" s="21" t="str">
        <f t="shared" si="381"/>
        <v xml:space="preserve">non-profits(6.25), </v>
      </c>
      <c r="DB138" s="21" t="str">
        <f t="shared" si="379"/>
        <v xml:space="preserve"> </v>
      </c>
      <c r="DC138" s="21" t="str">
        <f t="shared" si="226"/>
        <v xml:space="preserve"> </v>
      </c>
      <c r="DD138" s="21" t="str">
        <f t="shared" si="380"/>
        <v xml:space="preserve"> </v>
      </c>
      <c r="DE138"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8" s="21" t="str">
        <f t="shared" si="228"/>
        <v xml:space="preserve">network(1,), local biz(1,6.25), biz group(1,6.25), investors(1,6.25), entrepreneurs(1,6.25),  </v>
      </c>
      <c r="DG138" s="21" t="str">
        <f t="shared" si="381"/>
        <v xml:space="preserve">local biz(6.25),biz group(6.25),investors(6.25),entrepreneurs(6.25), </v>
      </c>
      <c r="DH138" s="21" t="str">
        <f t="shared" si="379"/>
        <v xml:space="preserve">network 1
non-profits 1
reputation 1
social project 1
 </v>
      </c>
      <c r="DI138" s="21" t="str">
        <f t="shared" si="229"/>
        <v xml:space="preserve"> </v>
      </c>
      <c r="DJ138" s="21" t="str">
        <f t="shared" si="380"/>
        <v xml:space="preserve"> </v>
      </c>
      <c r="DK138" s="21" t="str">
        <f t="shared" si="230"/>
        <v xml:space="preserve">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8" s="21" t="str">
        <f t="shared" si="231"/>
        <v xml:space="preserve">reputation(1,6.25),  </v>
      </c>
      <c r="DM138" s="21" t="str">
        <f t="shared" si="381"/>
        <v xml:space="preserve">reputation(6.25), </v>
      </c>
      <c r="DN138" s="21" t="str">
        <f t="shared" si="379"/>
        <v xml:space="preserve">network 1
local biz 1
reputation 1
biz project 1
 </v>
      </c>
      <c r="DO138" s="21" t="str">
        <f t="shared" si="232"/>
        <v xml:space="preserve"> </v>
      </c>
      <c r="DP138" s="21" t="str">
        <f t="shared" si="380"/>
        <v xml:space="preserve"> </v>
      </c>
      <c r="DQ138"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8" s="21" t="str">
        <f t="shared" si="234"/>
        <v xml:space="preserve">reputation(1,6.25),  </v>
      </c>
      <c r="DS138" s="21" t="str">
        <f t="shared" si="381"/>
        <v xml:space="preserve">reputation(6.25), </v>
      </c>
      <c r="DT138" s="21" t="str">
        <f t="shared" si="379"/>
        <v xml:space="preserve">network 1
reputation 1
 </v>
      </c>
      <c r="DU138" s="21" t="str">
        <f t="shared" si="235"/>
        <v xml:space="preserve"> </v>
      </c>
      <c r="DV138" s="21" t="str">
        <f t="shared" si="380"/>
        <v xml:space="preserve"> </v>
      </c>
      <c r="DW138" s="21" t="str">
        <f t="shared" si="236"/>
        <v xml:space="preserve">leader(1), 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8" s="21" t="str">
        <f t="shared" si="237"/>
        <v xml:space="preserve">reputation(1,6.25), for basic literacy(1,6.25),  </v>
      </c>
      <c r="DY138" s="21" t="str">
        <f t="shared" si="381"/>
        <v xml:space="preserve">reputation(6.25),for basic literacy(6.25), </v>
      </c>
      <c r="DZ138" s="21" t="str">
        <f t="shared" si="379"/>
        <v xml:space="preserve">network 1
reputation 1
 </v>
      </c>
      <c r="EA138" s="21" t="str">
        <f t="shared" si="238"/>
        <v xml:space="preserve"> </v>
      </c>
      <c r="EB138" s="21" t="str">
        <f t="shared" si="380"/>
        <v xml:space="preserve"> </v>
      </c>
      <c r="EC138" s="21" t="str">
        <f t="shared" si="239"/>
        <v xml:space="preserve">leader(1), 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8" s="21" t="str">
        <f t="shared" si="240"/>
        <v xml:space="preserve">reputation(1,6.25), for basic literacy(1,6.25),  </v>
      </c>
      <c r="EE138" s="21" t="str">
        <f t="shared" si="381"/>
        <v xml:space="preserve">reputation(6.25),for basic literacy(6.25), </v>
      </c>
      <c r="EF138" s="21" t="str">
        <f t="shared" si="379"/>
        <v xml:space="preserve">technologists 1
reputation 1
 </v>
      </c>
      <c r="EG138" s="21" t="str">
        <f t="shared" si="241"/>
        <v xml:space="preserve">web(1,50), mobile apps(1,50), interaction(1,50),  </v>
      </c>
      <c r="EH138" s="21" t="str">
        <f t="shared" si="380"/>
        <v xml:space="preserve">web 50
mobile apps 50
interaction 50
 </v>
      </c>
      <c r="EI138" s="21" t="str">
        <f t="shared" si="242"/>
        <v xml:space="preserve">community manager(1), administrator(1), enthusiasm(1), fame(1), network(2), level of understanding(1), technologists(2), ease of access(1), reputation(2), infrastructrue(1), database(1), mobile comm(1), for entrepreneurs(1),  </v>
      </c>
      <c r="EJ138" s="21" t="str">
        <f t="shared" si="243"/>
        <v xml:space="preserve">technologists(1,12.5), infrastructrue(1,12.5), database(1,12.5), mobile comm(1,12.5), for entrepreneurs(1,6.25),  </v>
      </c>
      <c r="EK138" s="21" t="str">
        <f t="shared" si="381"/>
        <v xml:space="preserve">technologists(12.5),infrastructrue(12.5),database(12.5),mobile comm(12.5),for entrepreneurs(6.25), </v>
      </c>
      <c r="EL138" s="21" t="str">
        <f t="shared" si="382"/>
        <v xml:space="preserve">technologists 1
reputation 1
 </v>
      </c>
      <c r="EM138" s="21" t="str">
        <f t="shared" si="245"/>
        <v xml:space="preserve">sensors(1,50),  </v>
      </c>
      <c r="EN138" s="21" t="str">
        <f t="shared" si="383"/>
        <v xml:space="preserve">sensors 50
 </v>
      </c>
      <c r="EO138" s="21" t="str">
        <f t="shared" si="247"/>
        <v xml:space="preserve">community manager(1), administrator(1), enthusiasm(1), fame(1), network(2), level of understanding(1), technologists(2), ease of access(1), reputation(2), project management(2), infrastructrue(1), database(1), mobile comm(1), for entrepreneurs(1),  </v>
      </c>
      <c r="EP138" s="21" t="str">
        <f t="shared" si="248"/>
        <v xml:space="preserve">technologists(1,12.5), infrastructrue(1,12.5), database(1,12.5), mobile comm(1,12.5), electronics(1,6.25), for entrepreneurs(1,6.25),  </v>
      </c>
      <c r="EQ138" s="21" t="str">
        <f t="shared" si="384"/>
        <v xml:space="preserve">technologists(12.5),infrastructrue(12.5),database(12.5),mobile comm(12.5),electronics(6.25),for entrepreneurs(6.25), </v>
      </c>
      <c r="ER138" s="21" t="str">
        <f t="shared" si="382"/>
        <v xml:space="preserve">technologists 1
 </v>
      </c>
      <c r="ES138" s="21" t="str">
        <f t="shared" si="250"/>
        <v xml:space="preserve">AI&amp; data analysis(1,50),  </v>
      </c>
      <c r="ET138" s="21" t="str">
        <f t="shared" si="383"/>
        <v xml:space="preserve">AI&amp; data analysis 50
 </v>
      </c>
      <c r="EU138" s="21" t="str">
        <f t="shared" si="251"/>
        <v xml:space="preserve">community manager(1), administrator(1), enthusiasm(1), fame(1), network(2), level of understanding(1), technologists(2), ease of access(1), reputation(2), database(1), sensors(1), mobile comm(1), for entrepreneurs(1),  </v>
      </c>
      <c r="EV138" s="21" t="str">
        <f t="shared" si="252"/>
        <v xml:space="preserve">technologists(1,12.5), database(1,12.5), sensors(1,12.5), mobile comm(1,12.5), for entrepreneurs(1,6.25),  </v>
      </c>
      <c r="EW138" s="21" t="str">
        <f t="shared" si="384"/>
        <v xml:space="preserve">technologists(12.5),database(12.5),sensors(12.5),mobile comm(12.5),for entrepreneurs(6.25), </v>
      </c>
      <c r="EX138" s="21" t="str">
        <f t="shared" si="382"/>
        <v xml:space="preserve">technologists 1
 </v>
      </c>
      <c r="EY138" s="21" t="str">
        <f t="shared" si="253"/>
        <v xml:space="preserve">law(1,50), security(1,50), interaction(1,25),  </v>
      </c>
      <c r="EZ138" s="21" t="str">
        <f t="shared" si="383"/>
        <v xml:space="preserve">law 50
security 50
interaction 25
 </v>
      </c>
      <c r="FA138" s="21" t="str">
        <f t="shared" si="254"/>
        <v xml:space="preserve">community manager(1), administrator(1), enthusiasm(1), fame(1), network(2), level of understanding(1), technologists(2), ease of access(1), reputation(2), law(2), for entrepreneurs(1),  </v>
      </c>
      <c r="FB138" s="21" t="str">
        <f t="shared" si="255"/>
        <v xml:space="preserve">technologists(1,12.5), law(1,6.25), database(1,12.5), mobile apps(1,12.5), security(1,12.5), mobile comm(1,12.5), for entrepreneurs(1,6.25),  </v>
      </c>
      <c r="FC138" s="21" t="str">
        <f t="shared" si="384"/>
        <v xml:space="preserve">technologists(12.5),law(6.25),database(12.5),mobile apps(12.5),security(12.5),mobile comm(12.5),for entrepreneurs(6.25), </v>
      </c>
      <c r="FD138" s="21" t="str">
        <f t="shared" si="382"/>
        <v xml:space="preserve">technologists 1
 </v>
      </c>
      <c r="FE138" s="21" t="str">
        <f t="shared" si="256"/>
        <v xml:space="preserve">law(1,50), sensors(1,50), security(1,50),  </v>
      </c>
      <c r="FF138" s="21" t="str">
        <f t="shared" si="383"/>
        <v xml:space="preserve">law 50
sensors 50
security 50
 </v>
      </c>
      <c r="FG138" s="21" t="str">
        <f t="shared" si="257"/>
        <v xml:space="preserve">community manager(1), administrator(1), enthusiasm(1), fame(1), network(2), level of understanding(1), technologists(2), ease of access(1), reputation(2), law(2), project management(2), for entrepreneurs(1),  </v>
      </c>
      <c r="FH138" s="21" t="str">
        <f t="shared" si="258"/>
        <v xml:space="preserve">technologists(1,12.5), law(1,6.25), database(1,6.25), mobile apps(1,6.25), AI&amp; data analysis(1,6.25), mobile comm(1,6.25), for entrepreneurs(1,6.25),  </v>
      </c>
      <c r="FI138" s="21" t="str">
        <f t="shared" si="384"/>
        <v xml:space="preserve">technologists(12.5),law(6.25),database(6.25),mobile apps(6.25),AI&amp; data analysis(6.25),mobile comm(6.25),for entrepreneurs(6.25), </v>
      </c>
      <c r="FJ138" s="21" t="str">
        <f t="shared" si="382"/>
        <v xml:space="preserve">technologists 1
 </v>
      </c>
      <c r="FK138" s="21" t="str">
        <f t="shared" si="259"/>
        <v xml:space="preserve">wood processing(1,25), metal processing(1,25), plastic processing(1,25), fabric(1,25), safety(1,25), interaction(1,25),  </v>
      </c>
      <c r="FL138" s="21" t="str">
        <f t="shared" si="383"/>
        <v xml:space="preserve">project management 2
wood processing 25
metal processing 25
plastic processing 25
fabric 25
safety 25
interaction 25
 </v>
      </c>
      <c r="FM138" s="21" t="str">
        <f t="shared" si="260"/>
        <v xml:space="preserve">community manager(1), administrator(1), enthusiasm(1), fame(1), network(2), level of understanding(1), technologists(2), spaciousness(1), ease of access(1), reputation(2), for entrepreneurs(1),  </v>
      </c>
      <c r="FN138" s="21" t="str">
        <f t="shared" si="261"/>
        <v xml:space="preserve">technologists(1,12.5), for entrepreneurs(1,6.25),  </v>
      </c>
      <c r="FO138" s="21" t="str">
        <f t="shared" si="384"/>
        <v xml:space="preserve">technologists(12.5),for entrepreneurs(6.25), </v>
      </c>
      <c r="FP138" s="21" t="str">
        <f t="shared" si="382"/>
        <v xml:space="preserve">technologists 1
 </v>
      </c>
      <c r="FQ138" s="21" t="str">
        <f t="shared" si="262"/>
        <v xml:space="preserve">web(1,25), mobile apps(1,50), functions(1,25), interaction(1,25),  </v>
      </c>
      <c r="FR138" s="21" t="str">
        <f t="shared" si="383"/>
        <v xml:space="preserve">web 25
mobile apps 50
functions 25
interaction 25
 </v>
      </c>
      <c r="FS138" s="21" t="str">
        <f t="shared" si="263"/>
        <v xml:space="preserve">community manager(1), administrator(1), enthusiasm(1), fame(1), network(2), level of understanding(1), technologists(2), spaciousness(1), ease of access(1), reputation(2), for entrepreneurs(1),  </v>
      </c>
      <c r="FT138" s="21" t="str">
        <f t="shared" si="264"/>
        <v xml:space="preserve">technologists(1,12.5), for entrepreneurs(1,6.25),  </v>
      </c>
      <c r="FU138" s="21" t="str">
        <f t="shared" si="384"/>
        <v xml:space="preserve">technologists(12.5),for entrepreneurs(6.25), </v>
      </c>
      <c r="FV138" s="21" t="str">
        <f t="shared" si="382"/>
        <v xml:space="preserve">technologists 1
 </v>
      </c>
      <c r="FW138" s="21" t="str">
        <f t="shared" si="265"/>
        <v xml:space="preserve">mobile apps(1,50), sensors(1,50), wood processing(1,25), plastic processing(1,25), electronics(1,25), functions(1,25), interaction(1,25),  </v>
      </c>
      <c r="FX138" s="21" t="str">
        <f t="shared" si="383"/>
        <v xml:space="preserve">mobile apps 50
sensors 50
wood processing 25
plastic processing 25
electronics 25
functions 25
interaction 25
 </v>
      </c>
      <c r="FY138" s="21" t="str">
        <f t="shared" si="266"/>
        <v xml:space="preserve">community manager(1), administrator(1), enthusiasm(1), fame(1), network(2), level of understanding(1), technologists(2), spaciousness(1), ease of access(1), reputation(2), project management(2), for entrepreneurs(1),  </v>
      </c>
      <c r="FZ138" s="21" t="str">
        <f t="shared" si="267"/>
        <v xml:space="preserve">technologists(1,12.5), web(1,6.25), database(1,6.25), AI&amp; data analysis(1,6.25), mobile comm(1,6.25), for entrepreneurs(1,6.25),  </v>
      </c>
      <c r="GA138" s="21" t="str">
        <f t="shared" si="384"/>
        <v xml:space="preserve">technologists(12.5),web(6.25),database(6.25),AI&amp; data analysis(6.25),mobile comm(6.25),for entrepreneurs(6.25), </v>
      </c>
      <c r="GB138" s="21" t="str">
        <f t="shared" si="382"/>
        <v xml:space="preserve">technologists 1
 </v>
      </c>
      <c r="GC138" s="21" t="str">
        <f t="shared" si="268"/>
        <v xml:space="preserve">sensors(1,25), mobile comm(1,25), electronics(1,50), functions(1,25), safety(1,25),  </v>
      </c>
      <c r="GD138" s="21" t="str">
        <f t="shared" si="383"/>
        <v xml:space="preserve">sensors 25
mobile comm 25
electronics 50
functions 25
safety 25
 </v>
      </c>
      <c r="GE138" s="21" t="str">
        <f t="shared" si="269"/>
        <v xml:space="preserve">community manager(1), administrator(1), enthusiasm(1), fame(1), network(2), level of understanding(1), technologists(2), spaciousness(1), ease of access(1), reputation(2), project management(2), for entrepreneurs(1),  </v>
      </c>
      <c r="GF138" s="21" t="str">
        <f t="shared" si="270"/>
        <v xml:space="preserve">technologists(1,12.5), database(1,6.25), mobile apps(1,6.25), AI&amp; data analysis(1,6.25), plastic processing(1,6.25), interaction(1,6.25), for entrepreneurs(1,6.25),  </v>
      </c>
      <c r="GG138" s="21" t="str">
        <f t="shared" si="384"/>
        <v xml:space="preserve">technologists(12.5),database(6.25),mobile apps(6.25),AI&amp; data analysis(6.25),plastic processing(6.25),interaction(6.25),for entrepreneurs(6.25), </v>
      </c>
      <c r="GH138" s="21" t="str">
        <f t="shared" si="382"/>
        <v xml:space="preserve">technologists 1
 </v>
      </c>
      <c r="GI138" s="21" t="str">
        <f t="shared" si="271"/>
        <v xml:space="preserve">web(1,25), mobile apps(1,50), functions(1,25), interaction(1,25),  </v>
      </c>
      <c r="GJ138" s="21" t="str">
        <f t="shared" si="383"/>
        <v xml:space="preserve">web 25
mobile apps 50
functions 25
interaction 25
 </v>
      </c>
      <c r="GK138" s="21" t="str">
        <f t="shared" si="272"/>
        <v xml:space="preserve">community manager(1), administrator(1), enthusiasm(1), fame(1), network(2), level of understanding(1), technologists(2), spaciousness(1), ease of access(1), reputation(2), project management(2), for entrepreneurs(1),  </v>
      </c>
      <c r="GL138" s="21" t="str">
        <f t="shared" si="273"/>
        <v xml:space="preserve">technologists(1,12.5), for entrepreneurs(1,6.25),  </v>
      </c>
      <c r="GM138" s="21" t="str">
        <f t="shared" si="384"/>
        <v xml:space="preserve">technologists(12.5),for entrepreneurs(6.25), </v>
      </c>
      <c r="GN138" s="21" t="str">
        <f t="shared" si="382"/>
        <v xml:space="preserve">technologists 1
 </v>
      </c>
      <c r="GO138" s="21" t="str">
        <f t="shared" si="274"/>
        <v xml:space="preserve">web(1,25), mobile apps(1,25), VR&amp;AR(1,25), aesthetics(1,25), functions(1,25), interaction(1,50),  </v>
      </c>
      <c r="GP138" s="21" t="str">
        <f t="shared" si="383"/>
        <v xml:space="preserve">web 25
mobile apps 25
VR&amp;AR 25
aesthetics 25
functions 25
interaction 50
 </v>
      </c>
      <c r="GQ138" s="21" t="str">
        <f t="shared" si="275"/>
        <v xml:space="preserve">community manager(1), administrator(1), enthusiasm(1), fame(1), network(2), level of understanding(1), technologists(2), spaciousness(1), ease of access(1), reputation(2), project management(2), for entrepreneurs(1),  </v>
      </c>
      <c r="GR138" s="21" t="str">
        <f t="shared" si="276"/>
        <v xml:space="preserve">technologists(1,12.5), for entrepreneurs(1,6.25),  </v>
      </c>
      <c r="GS138" s="21" t="str">
        <f t="shared" si="384"/>
        <v xml:space="preserve">technologists(12.5),for entrepreneurs(6.25), </v>
      </c>
      <c r="GT138" s="21" t="str">
        <f t="shared" si="382"/>
        <v xml:space="preserve">ease of access 1
reputation 2
web 1
mobile apps 1
mobile comm 1
 </v>
      </c>
      <c r="GU138" s="21" t="str">
        <f t="shared" si="277"/>
        <v xml:space="preserve"> </v>
      </c>
      <c r="GV138" s="21" t="str">
        <f t="shared" si="383"/>
        <v xml:space="preserve"> </v>
      </c>
      <c r="GW138" s="21" t="str">
        <f t="shared" si="278"/>
        <v xml:space="preserve">leader(1), 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8" s="21" t="str">
        <f t="shared" si="279"/>
        <v xml:space="preserve">media(1,6.25), entrepreneurs(1,6.25), technologists(1,6.25), project management(1,6.25), social media(1,6.25), web(1,6.25), mobile apps(1,6.25),  </v>
      </c>
      <c r="GY138" s="21" t="str">
        <f t="shared" si="384"/>
        <v xml:space="preserve">media(6.25),entrepreneurs(6.25),technologists(6.25),project management(6.25),social media(6.25),web(6.25),mobile apps(6.25), </v>
      </c>
      <c r="GZ138" s="21" t="str">
        <f t="shared" si="385"/>
        <v xml:space="preserve">network 1
govt 1
non-profits 1
reputation 2
portfolio 1
 </v>
      </c>
      <c r="HA138" s="21" t="str">
        <f t="shared" si="281"/>
        <v xml:space="preserve"> </v>
      </c>
      <c r="HB138" s="21" t="str">
        <f t="shared" si="386"/>
        <v xml:space="preserve"> </v>
      </c>
      <c r="HC138" s="21" t="str">
        <f t="shared" si="283"/>
        <v xml:space="preserve">leader(1), community manager(1), PR(1), finance(1), administrator(1), network(2), govt(3), non-profits(3), reputation(4), portfolio(3), social media(2), web(2), mobile apps(2), sensors(2), AI&amp; data analysis(2), VR&amp;AR(2), plastic processing(2), electronics(2), aesthetics(2), interaction(2),  </v>
      </c>
      <c r="HD138" s="21" t="str">
        <f t="shared" si="284"/>
        <v xml:space="preserve">media(1,6.25), technologists(1,6.25), non-profits(1,6.25), reputation(1,6.25), start-up with customers(1,6.25), for basic literacy(1,6.25),  </v>
      </c>
      <c r="HE138" s="21" t="str">
        <f t="shared" si="387"/>
        <v xml:space="preserve">media(6.25),technologists(6.25),non-profits(6.25),reputation(6.25),start-up with customers(6.25),for basic literacy(6.25), </v>
      </c>
      <c r="HF138" s="21" t="str">
        <f t="shared" si="385"/>
        <v xml:space="preserve"> </v>
      </c>
      <c r="HG138" s="21" t="str">
        <f t="shared" si="286"/>
        <v xml:space="preserve"> </v>
      </c>
      <c r="HH138" s="21" t="str">
        <f t="shared" si="386"/>
        <v xml:space="preserve"> </v>
      </c>
      <c r="HI138" s="21" t="str">
        <f t="shared" si="287"/>
        <v xml:space="preserve">leader(1), community manager(1), PR(1), finance(1), administrator(1), network(2), portfolio(3), marketing(2), team building(3), project management(2), mobile apps(3), sensors(2), plastic processing(2), electronics(2), aesthetics(2), functions(2), interaction(2),  </v>
      </c>
      <c r="HJ138" s="21" t="str">
        <f t="shared" si="288"/>
        <v xml:space="preserve">govt(1,6.25), media(1,6.25), non-profits(1,6.25), start-up with customers(1,6.25),  </v>
      </c>
      <c r="HK138" s="21" t="str">
        <f t="shared" si="387"/>
        <v xml:space="preserve">govt(6.25),media(6.25),non-profits(6.25),start-up with customers(6.25), </v>
      </c>
      <c r="HL138" s="21" t="str">
        <f t="shared" si="385"/>
        <v xml:space="preserve">community manager 1
PR 1
administrator 1
local biz 1
entrepreneurs 1
non-profits 1
reputation 2
portfolio 2
 </v>
      </c>
      <c r="HM138" s="21" t="str">
        <f t="shared" si="289"/>
        <v xml:space="preserve"> </v>
      </c>
      <c r="HN138" s="21" t="str">
        <f t="shared" si="386"/>
        <v xml:space="preserve"> </v>
      </c>
      <c r="HO138"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8" s="21" t="str">
        <f t="shared" si="291"/>
        <v xml:space="preserve">enthusiasm(1,6.25), level of understanding(1,6.25), local biz(1,6.25), biz group(1,6.25), govt(1,6.25), investors(1,6.25), media(1,6.25), entrepreneurs(1,6.25), technologists(1,6.25), suppliers(1,6.25), non-profits(1,6.25), reputation(1,6.25),  </v>
      </c>
      <c r="HQ138" s="47" t="str">
        <f t="shared" si="387"/>
        <v xml:space="preserve">enthusiasm(6.25),level of understanding(6.25),local biz(6.25),biz group(6.25),govt(6.25),investors(6.25),media(6.25),entrepreneurs(6.25),technologists(6.25),suppliers(6.25),non-profits(6.25),reputation(6.25), </v>
      </c>
      <c r="HR138" s="47" t="str">
        <f t="shared" ref="HR138:HW138" si="463">IF(HR36="",HR139,$C138&amp;"("&amp;HR36&amp;"),"&amp;HR139)</f>
        <v xml:space="preserve">reputation(2),portfolio(2),mobile apps(1),sensors(1),wood processing(1),aesthetics(1), </v>
      </c>
      <c r="HS138" s="47" t="str">
        <f t="shared" si="463"/>
        <v xml:space="preserve"> </v>
      </c>
      <c r="HT138" s="47" t="str">
        <f t="shared" si="463"/>
        <v xml:space="preserve"> </v>
      </c>
      <c r="HU138" s="47" t="str">
        <f t="shared" si="463"/>
        <v xml:space="preserve">leader(1),community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8" s="47" t="str">
        <f t="shared" si="463"/>
        <v xml:space="preserve">local biz(1),biz group(1),govt(1),investors(1),media(1),entrepreneurs(1),technologists(1),suppliers(1),non-profits(1),reputation(1), </v>
      </c>
      <c r="HW138" s="47" t="str">
        <f t="shared" si="463"/>
        <v xml:space="preserve">local biz(6.25),biz group(6.25),govt(6.25),investors(6.25),media(6.25),entrepreneurs(6.25),technologists(12.5),suppliers(6.25),non-profits(6.25),reputation(6.25), </v>
      </c>
      <c r="HX138" s="47" t="str">
        <f t="shared" ref="HX138:IU138" si="464">IF(HX36="",HX139,$C138&amp;"("&amp;HX36&amp;"),"&amp;HX139)</f>
        <v xml:space="preserve">leader(1),local biz(2),govt(2),media(2),entrepreneurs(2),technologists(3),non-profits(3),reputation(3),portfolio(2),web(1),infrastructrue(1),database(2),mobile apps(1),sensors(1),AI&amp; data analysis(2),VR&amp;AR(1),wood processing(1),metal processing(1),plastic processing(1),electronics(1),aesthetics(1),functions(1),interaction(1), </v>
      </c>
      <c r="HY138" s="47" t="str">
        <f t="shared" si="464"/>
        <v xml:space="preserve">biz enhancement(1), </v>
      </c>
      <c r="HZ138" s="47" t="str">
        <f t="shared" si="464"/>
        <v xml:space="preserve">biz enhancement(100), </v>
      </c>
      <c r="IA138" s="47" t="str">
        <f t="shared" si="464"/>
        <v xml:space="preserve">community manager(1),PR(1),finance(1),administrator(1),enthusiasm(2),network(2),ambition(2),knowledge(2),spaciousness(2),ease of access(3),efficiency(2),portfolio(4),finance(2),business model(2),marketing(3),team building(2),project management(2),social media(3),negotiation(3), </v>
      </c>
      <c r="IB138" s="47" t="str">
        <f t="shared" si="464"/>
        <v xml:space="preserve">level of understanding(1),ambition(1),local biz(1),biz group(1),govt(1),media(1),entrepreneurs(1),technologists(1),non-profits(1),reputation(1),team building(1),database(1),AI&amp; data analysis(1),electronics(1),functions(1), </v>
      </c>
      <c r="IC138" s="47" t="str">
        <f t="shared" si="464"/>
        <v xml:space="preserve">level of understanding(6.25),ambition(6.25),local biz(6.25),biz group(6.25),govt(6.25),media(6.25),entrepreneurs(6.25),technologists(6.25),non-profits(6.25),reputation(6.25),team building(6.25),database(6.25),AI&amp; data analysis(6.25),electronics(6.25),functions(6.25), </v>
      </c>
      <c r="ID138" s="47" t="str">
        <f t="shared" si="464"/>
        <v xml:space="preserve">technologists(2), </v>
      </c>
      <c r="IE138" s="47" t="str">
        <f t="shared" si="464"/>
        <v xml:space="preserve">web(1),mobile apps(1),security(1),AI&amp; data analysis(1), </v>
      </c>
      <c r="IF138" s="47" t="str">
        <f t="shared" si="464"/>
        <v xml:space="preserve">web(25),mobile apps(25),security(25),AI&amp; data analysis(25), </v>
      </c>
      <c r="IG138" s="47" t="str">
        <f t="shared" si="464"/>
        <v xml:space="preserve">community manager(1),administrator(1),network(2),entrepreneurs(3),technologists(4),spaciousness(2),ease of access(2),reputation(3),efficiency(2),portfolio(3),web(2),database(2),mobile apps(2),security(2),AI&amp; data analysis(2), </v>
      </c>
      <c r="IH138" s="47" t="str">
        <f t="shared" si="464"/>
        <v xml:space="preserve">technologists(1),web(1),database(1),mobile apps(1),security(1),AI&amp; data analysis(1), </v>
      </c>
      <c r="II138" s="47" t="str">
        <f t="shared" si="464"/>
        <v xml:space="preserve">technologists(6.25),web(6.25),database(6.25),mobile apps(6.25),security(6.25),AI&amp; data analysis(6.25), </v>
      </c>
      <c r="IJ138" s="47" t="str">
        <f t="shared" si="464"/>
        <v xml:space="preserve">technologists(2), </v>
      </c>
      <c r="IK138" s="47" t="str">
        <f t="shared" si="464"/>
        <v xml:space="preserve">wood processing(1),metal processing(1),functions(1),safety(1), </v>
      </c>
      <c r="IL138" s="47" t="str">
        <f t="shared" si="464"/>
        <v xml:space="preserve">wood processing(25),metal processing(25),functions(25),safety(25), </v>
      </c>
      <c r="IM138" s="47" t="str">
        <f t="shared" si="464"/>
        <v xml:space="preserve">community manager(1),administrator(1),network(2),entrepreneurs(3),technologists(4),spaciousness(2),ease of access(2),reputation(3),efficiency(2),portfolio(3),wood processing(2),metal processing(2),functions(2),safety(2), </v>
      </c>
      <c r="IN138" s="47" t="str">
        <f t="shared" si="464"/>
        <v xml:space="preserve">technologists(1),wood processing(1),metal processing(1),functions(1),safety(1),interaction(1), </v>
      </c>
      <c r="IO138" s="47" t="str">
        <f t="shared" si="464"/>
        <v xml:space="preserve">technologists(6.25),wood processing(6.25),metal processing(6.25),functions(6.25),safety(6.25),interaction(6.25), </v>
      </c>
      <c r="IP138" s="57" t="str">
        <f t="shared" si="464"/>
        <v xml:space="preserve">local biz(2),reputation(1), </v>
      </c>
      <c r="IQ138" s="47" t="str">
        <f t="shared" si="464"/>
        <v xml:space="preserve">local biz(1),marketing(1), </v>
      </c>
      <c r="IR138" s="47" t="str">
        <f t="shared" si="464"/>
        <v xml:space="preserve">local biz(25),marketing(25), </v>
      </c>
      <c r="IS138" s="47" t="str">
        <f t="shared" si="464"/>
        <v xml:space="preserve">leader(1),community manager(1),finance(1),administrator(1),enthusiasm(3),network(2),level of understanding(3),local biz(3),biz group(2),govt(2),non-profits(2),reputation(3),efficiency(2),marketing(2), </v>
      </c>
      <c r="IT138" s="47" t="str">
        <f t="shared" si="464"/>
        <v xml:space="preserve">local biz(1),biz group(1),govt(1),non-profits(1),marketing(1), </v>
      </c>
      <c r="IU138" s="47" t="str">
        <f t="shared" si="464"/>
        <v xml:space="preserve">local biz(6.25),biz group(6.25),govt(6.25),non-profits(6.25),marketing(6.25), </v>
      </c>
      <c r="IV138" s="57" t="str">
        <f t="shared" ref="IV138:LG138" si="465">IF(IV36="",IV139,$C138&amp;"("&amp;IV36&amp;"),"&amp;IV139)</f>
        <v xml:space="preserve">local biz(2),reputation(1), </v>
      </c>
      <c r="IW138" s="47" t="str">
        <f t="shared" si="465"/>
        <v xml:space="preserve">local biz(1),marketing(1), </v>
      </c>
      <c r="IX138" s="47" t="str">
        <f t="shared" si="465"/>
        <v xml:space="preserve">local biz(25),marketing(25), </v>
      </c>
      <c r="IY138" s="47" t="str">
        <f t="shared" si="465"/>
        <v xml:space="preserve">leader(1),community manager(1),finance(1),administrator(1),enthusiasm(3),network(2),level of understanding(3),local biz(3),biz group(2),govt(2),reputation(3),efficiency(2),marketing(2), </v>
      </c>
      <c r="IZ138" s="47" t="str">
        <f t="shared" si="465"/>
        <v xml:space="preserve">local biz(1),biz group(1),govt(1),marketing(1), </v>
      </c>
      <c r="JA138" s="47" t="str">
        <f t="shared" si="465"/>
        <v xml:space="preserve">local biz(6.25),biz group(6.25),govt(6.25),marketing(6.25), </v>
      </c>
      <c r="JB138" s="47" t="str">
        <f t="shared" si="465"/>
        <v xml:space="preserve"> </v>
      </c>
      <c r="JC138" s="47" t="str">
        <f t="shared" si="465"/>
        <v xml:space="preserve"> </v>
      </c>
      <c r="JD138" s="47" t="str">
        <f t="shared" si="465"/>
        <v xml:space="preserve"> </v>
      </c>
      <c r="JE138" s="47" t="str">
        <f t="shared" si="465"/>
        <v xml:space="preserve">community manager(1),PR(1),administrator(1),network(2),level of understanding(2),technologists(2),spaciousness(1),ease of access(1),reputation(3),efficiency(2), </v>
      </c>
      <c r="JF138" s="47" t="str">
        <f t="shared" si="465"/>
        <v xml:space="preserve">web(1),infrastructrue(1),database(1),mobile apps(1),sensors(1),security(1),AI&amp; data analysis(1),mobile comm(1),VR&amp;AR(1),wood processing(1),metal processing(1),plastic processing(1),electronics(1),fabric(1),aesthetics(1),functions(1),safety(1),interaction(1), </v>
      </c>
      <c r="JG138" s="47" t="str">
        <f t="shared" si="465"/>
        <v xml:space="preserve">web(6.25),infrastructrue(6.25),database(6.25),mobile apps(6.25),sensors(6.25),security(6.25),AI&amp; data analysis(6.25),mobile comm(6.25),VR&amp;AR(6.25),wood processing(6.25),metal processing(6.25),plastic processing(6.25),electronics(6.25),fabric(6.25),aesthetics(6.25),functions(6.25),safety(6.25),interaction(6.25), </v>
      </c>
      <c r="JH138" s="47" t="str">
        <f t="shared" si="465"/>
        <v xml:space="preserve">enthusiasm(1),local biz(1),non-profits(1),reputation(2), </v>
      </c>
      <c r="JI138" s="47" t="str">
        <f t="shared" si="465"/>
        <v xml:space="preserve"> </v>
      </c>
      <c r="JJ138" s="47" t="str">
        <f t="shared" si="465"/>
        <v xml:space="preserve"> </v>
      </c>
      <c r="JK138" s="47" t="str">
        <f t="shared" si="465"/>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8" s="47" t="str">
        <f t="shared" si="465"/>
        <v xml:space="preserve">non-profits(1), </v>
      </c>
      <c r="JM138" s="47" t="str">
        <f t="shared" si="465"/>
        <v xml:space="preserve">non-profits(6.25), </v>
      </c>
      <c r="JN138" s="47" t="str">
        <f t="shared" si="465"/>
        <v xml:space="preserve">enthusiasm(1),network(1),local biz(1),investors(1),entrepreneurs(1),technologists(1),non-profits(1),reputation(2),portfolio(2), </v>
      </c>
      <c r="JO138" s="47" t="str">
        <f t="shared" si="465"/>
        <v xml:space="preserve"> </v>
      </c>
      <c r="JP138" s="47" t="str">
        <f t="shared" si="465"/>
        <v xml:space="preserve"> </v>
      </c>
      <c r="JQ138" s="47" t="str">
        <f t="shared" si="465"/>
        <v xml:space="preserve">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8" s="47" t="str">
        <f t="shared" si="465"/>
        <v xml:space="preserve"> </v>
      </c>
      <c r="JS138" s="47" t="str">
        <f t="shared" si="465"/>
        <v xml:space="preserve"> </v>
      </c>
      <c r="JT138" s="47" t="str">
        <f t="shared" si="465"/>
        <v xml:space="preserve">PR(1),administrator(1),enthusiasm(2),network(2),local biz(2),biz group(1),govt(2),investors(2),entrepreneurs(2),technologists(2),non-profits(2),reputation(2),portfolio(3), </v>
      </c>
      <c r="JU138" s="47" t="str">
        <f t="shared" si="465"/>
        <v xml:space="preserve"> </v>
      </c>
      <c r="JV138" s="47" t="str">
        <f t="shared" si="465"/>
        <v xml:space="preserve"> </v>
      </c>
      <c r="JW138" s="47" t="str">
        <f t="shared" si="465"/>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8" s="47" t="str">
        <f t="shared" si="465"/>
        <v xml:space="preserve"> </v>
      </c>
      <c r="JY138" s="47" t="str">
        <f t="shared" si="465"/>
        <v xml:space="preserve"> </v>
      </c>
      <c r="JZ138" s="47" t="str">
        <f t="shared" si="465"/>
        <v xml:space="preserve">network(1),non-profits(1),reputation(2),social project(2), </v>
      </c>
      <c r="KA138" s="47" t="str">
        <f t="shared" si="465"/>
        <v xml:space="preserve">non-profits(1), </v>
      </c>
      <c r="KB138" s="47" t="str">
        <f t="shared" si="465"/>
        <v xml:space="preserve">non-profits(25), </v>
      </c>
      <c r="KC138" s="47" t="str">
        <f t="shared" si="465"/>
        <v xml:space="preserve">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8" s="47" t="str">
        <f t="shared" si="465"/>
        <v xml:space="preserve">non-profits(1), </v>
      </c>
      <c r="KE138" s="47" t="str">
        <f t="shared" si="465"/>
        <v xml:space="preserve">non-profits(6.25), </v>
      </c>
      <c r="KF138" s="47" t="str">
        <f t="shared" si="465"/>
        <v xml:space="preserve"> </v>
      </c>
      <c r="KG138" s="47" t="str">
        <f t="shared" si="465"/>
        <v xml:space="preserve"> </v>
      </c>
      <c r="KH138" s="47" t="str">
        <f t="shared" si="465"/>
        <v xml:space="preserve"> </v>
      </c>
      <c r="KI138" s="47" t="str">
        <f t="shared" si="465"/>
        <v xml:space="preserve"> </v>
      </c>
      <c r="KJ138" s="47" t="str">
        <f t="shared" si="465"/>
        <v xml:space="preserve"> </v>
      </c>
      <c r="KK138" s="47" t="str">
        <f t="shared" si="465"/>
        <v xml:space="preserve"> </v>
      </c>
      <c r="KL138" s="57" t="str">
        <f t="shared" si="465"/>
        <v xml:space="preserve"> </v>
      </c>
      <c r="KM138" s="47" t="str">
        <f t="shared" si="465"/>
        <v xml:space="preserve"> </v>
      </c>
      <c r="KN138" s="47" t="str">
        <f t="shared" si="465"/>
        <v xml:space="preserve"> </v>
      </c>
      <c r="KO138" s="47" t="str">
        <f t="shared" si="465"/>
        <v xml:space="preserve"> </v>
      </c>
      <c r="KP138" s="47" t="str">
        <f t="shared" si="465"/>
        <v xml:space="preserve"> </v>
      </c>
      <c r="KQ138" s="47" t="str">
        <f t="shared" si="465"/>
        <v xml:space="preserve"> </v>
      </c>
      <c r="KR138" s="57" t="str">
        <f t="shared" si="465"/>
        <v xml:space="preserve"> </v>
      </c>
      <c r="KS138" s="47" t="str">
        <f t="shared" si="465"/>
        <v xml:space="preserve"> </v>
      </c>
      <c r="KT138" s="47" t="str">
        <f t="shared" si="465"/>
        <v xml:space="preserve"> </v>
      </c>
      <c r="KU138" s="47" t="str">
        <f t="shared" si="465"/>
        <v xml:space="preserve"> </v>
      </c>
      <c r="KV138" s="47" t="str">
        <f t="shared" si="465"/>
        <v xml:space="preserve"> </v>
      </c>
      <c r="KW138" s="47" t="str">
        <f t="shared" si="465"/>
        <v xml:space="preserve"> </v>
      </c>
      <c r="KX138" s="57" t="str">
        <f t="shared" si="465"/>
        <v xml:space="preserve"> </v>
      </c>
      <c r="KY138" s="47" t="str">
        <f t="shared" si="465"/>
        <v xml:space="preserve"> </v>
      </c>
      <c r="KZ138" s="47" t="str">
        <f t="shared" si="465"/>
        <v xml:space="preserve"> </v>
      </c>
      <c r="LA138" s="47" t="str">
        <f t="shared" si="465"/>
        <v xml:space="preserve"> </v>
      </c>
      <c r="LB138" s="47" t="str">
        <f t="shared" si="465"/>
        <v xml:space="preserve"> </v>
      </c>
      <c r="LC138" s="47" t="str">
        <f t="shared" si="465"/>
        <v xml:space="preserve"> </v>
      </c>
      <c r="LD138" s="57" t="str">
        <f t="shared" si="465"/>
        <v xml:space="preserve"> </v>
      </c>
      <c r="LE138" s="47" t="str">
        <f t="shared" si="465"/>
        <v xml:space="preserve"> </v>
      </c>
      <c r="LF138" s="47" t="str">
        <f t="shared" si="465"/>
        <v xml:space="preserve"> </v>
      </c>
      <c r="LG138" s="47" t="str">
        <f t="shared" si="465"/>
        <v xml:space="preserve"> </v>
      </c>
      <c r="LH138" s="47" t="str">
        <f t="shared" ref="LH138:NM138" si="466">IF(LH36="",LH139,$C138&amp;"("&amp;LH36&amp;"),"&amp;LH139)</f>
        <v xml:space="preserve"> </v>
      </c>
      <c r="LI138" s="47" t="str">
        <f t="shared" si="466"/>
        <v xml:space="preserve"> </v>
      </c>
      <c r="LJ138" s="57" t="str">
        <f t="shared" si="466"/>
        <v xml:space="preserve"> </v>
      </c>
      <c r="LK138" s="47" t="str">
        <f t="shared" si="466"/>
        <v xml:space="preserve"> </v>
      </c>
      <c r="LL138" s="47" t="str">
        <f t="shared" si="466"/>
        <v xml:space="preserve"> </v>
      </c>
      <c r="LM138" s="47" t="str">
        <f t="shared" si="466"/>
        <v xml:space="preserve"> </v>
      </c>
      <c r="LN138" s="47" t="str">
        <f t="shared" si="466"/>
        <v xml:space="preserve"> </v>
      </c>
      <c r="LO138" s="47" t="str">
        <f t="shared" si="466"/>
        <v xml:space="preserve"> </v>
      </c>
      <c r="LP138" s="57" t="str">
        <f t="shared" si="466"/>
        <v xml:space="preserve"> </v>
      </c>
      <c r="LQ138" s="47" t="str">
        <f t="shared" si="466"/>
        <v xml:space="preserve"> </v>
      </c>
      <c r="LR138" s="47" t="str">
        <f t="shared" si="466"/>
        <v xml:space="preserve"> </v>
      </c>
      <c r="LS138" s="47" t="str">
        <f t="shared" si="466"/>
        <v xml:space="preserve"> </v>
      </c>
      <c r="LT138" s="47" t="str">
        <f t="shared" si="466"/>
        <v xml:space="preserve"> </v>
      </c>
      <c r="LU138" s="47" t="str">
        <f t="shared" si="466"/>
        <v xml:space="preserve"> </v>
      </c>
      <c r="LV138" s="57" t="str">
        <f t="shared" si="466"/>
        <v xml:space="preserve"> </v>
      </c>
      <c r="LW138" s="47" t="str">
        <f t="shared" si="466"/>
        <v xml:space="preserve"> </v>
      </c>
      <c r="LX138" s="47" t="str">
        <f t="shared" si="466"/>
        <v xml:space="preserve"> </v>
      </c>
      <c r="LY138" s="47" t="str">
        <f t="shared" si="466"/>
        <v xml:space="preserve"> </v>
      </c>
      <c r="LZ138" s="47" t="str">
        <f t="shared" si="466"/>
        <v xml:space="preserve"> </v>
      </c>
      <c r="MA138" s="47" t="str">
        <f t="shared" si="466"/>
        <v xml:space="preserve"> </v>
      </c>
      <c r="MB138" s="57" t="str">
        <f t="shared" si="466"/>
        <v xml:space="preserve"> </v>
      </c>
      <c r="MC138" s="47" t="str">
        <f t="shared" si="466"/>
        <v xml:space="preserve"> </v>
      </c>
      <c r="MD138" s="47" t="str">
        <f t="shared" si="466"/>
        <v xml:space="preserve"> </v>
      </c>
      <c r="ME138" s="47" t="str">
        <f t="shared" si="466"/>
        <v xml:space="preserve"> </v>
      </c>
      <c r="MF138" s="47" t="str">
        <f t="shared" si="466"/>
        <v xml:space="preserve"> </v>
      </c>
      <c r="MG138" s="47" t="str">
        <f t="shared" si="466"/>
        <v xml:space="preserve"> </v>
      </c>
      <c r="MH138" s="57" t="str">
        <f t="shared" si="466"/>
        <v xml:space="preserve"> </v>
      </c>
      <c r="MI138" s="47" t="str">
        <f t="shared" si="466"/>
        <v xml:space="preserve"> </v>
      </c>
      <c r="MJ138" s="47" t="str">
        <f t="shared" si="466"/>
        <v xml:space="preserve"> </v>
      </c>
      <c r="MK138" s="47" t="str">
        <f t="shared" si="466"/>
        <v xml:space="preserve"> </v>
      </c>
      <c r="ML138" s="47" t="str">
        <f t="shared" si="466"/>
        <v xml:space="preserve"> </v>
      </c>
      <c r="MM138" s="47" t="str">
        <f t="shared" si="466"/>
        <v xml:space="preserve"> </v>
      </c>
      <c r="MN138" s="57" t="str">
        <f t="shared" si="466"/>
        <v xml:space="preserve"> </v>
      </c>
      <c r="MO138" s="47" t="str">
        <f t="shared" si="466"/>
        <v xml:space="preserve"> </v>
      </c>
      <c r="MP138" s="47" t="str">
        <f t="shared" si="466"/>
        <v xml:space="preserve"> </v>
      </c>
      <c r="MQ138" s="47" t="str">
        <f t="shared" si="466"/>
        <v xml:space="preserve"> </v>
      </c>
      <c r="MR138" s="47" t="str">
        <f t="shared" si="466"/>
        <v xml:space="preserve"> </v>
      </c>
      <c r="MS138" s="47" t="str">
        <f t="shared" si="466"/>
        <v xml:space="preserve"> </v>
      </c>
      <c r="MT138" s="57" t="str">
        <f t="shared" si="466"/>
        <v xml:space="preserve"> </v>
      </c>
      <c r="MU138" s="47" t="str">
        <f t="shared" si="466"/>
        <v xml:space="preserve"> </v>
      </c>
      <c r="MV138" s="47" t="str">
        <f t="shared" si="466"/>
        <v xml:space="preserve"> </v>
      </c>
      <c r="MW138" s="47" t="str">
        <f t="shared" si="466"/>
        <v xml:space="preserve"> </v>
      </c>
      <c r="MX138" s="47" t="str">
        <f t="shared" si="466"/>
        <v xml:space="preserve"> </v>
      </c>
      <c r="MY138" s="47" t="str">
        <f t="shared" si="466"/>
        <v xml:space="preserve"> </v>
      </c>
      <c r="MZ138" s="57" t="str">
        <f t="shared" si="466"/>
        <v xml:space="preserve"> </v>
      </c>
      <c r="NA138" s="47" t="str">
        <f t="shared" si="466"/>
        <v xml:space="preserve"> </v>
      </c>
      <c r="NB138" s="47" t="str">
        <f t="shared" si="466"/>
        <v xml:space="preserve"> </v>
      </c>
      <c r="NC138" s="47" t="str">
        <f t="shared" si="466"/>
        <v xml:space="preserve"> </v>
      </c>
      <c r="ND138" s="47" t="str">
        <f t="shared" si="466"/>
        <v xml:space="preserve"> </v>
      </c>
      <c r="NE138" s="47" t="str">
        <f t="shared" si="466"/>
        <v xml:space="preserve"> </v>
      </c>
      <c r="NF138" s="57" t="str">
        <f t="shared" si="466"/>
        <v xml:space="preserve"> </v>
      </c>
      <c r="NG138" s="47" t="str">
        <f t="shared" si="466"/>
        <v xml:space="preserve"> </v>
      </c>
      <c r="NH138" s="47" t="str">
        <f t="shared" si="466"/>
        <v xml:space="preserve"> </v>
      </c>
      <c r="NI138" s="47" t="str">
        <f t="shared" si="466"/>
        <v xml:space="preserve"> </v>
      </c>
      <c r="NJ138" s="47" t="str">
        <f t="shared" si="466"/>
        <v xml:space="preserve"> </v>
      </c>
      <c r="NK138" s="47" t="str">
        <f t="shared" si="466"/>
        <v xml:space="preserve"> </v>
      </c>
      <c r="NL138" s="57" t="str">
        <f t="shared" si="466"/>
        <v xml:space="preserve"> </v>
      </c>
      <c r="NM138" s="47" t="str">
        <f t="shared" si="466"/>
        <v xml:space="preserve"> </v>
      </c>
    </row>
    <row r="139" spans="3:377" ht="15.75" customHeight="1">
      <c r="C139" s="7" t="str">
        <f t="shared" si="296"/>
        <v>community manager</v>
      </c>
      <c r="D139" s="21" t="str">
        <f t="shared" si="169"/>
        <v xml:space="preserve"> </v>
      </c>
      <c r="E139" s="21" t="str">
        <f t="shared" si="297"/>
        <v xml:space="preserve"> </v>
      </c>
      <c r="F139" s="21" t="str">
        <f t="shared" si="170"/>
        <v xml:space="preserve"> </v>
      </c>
      <c r="G139" s="21" t="str">
        <f t="shared" si="298"/>
        <v xml:space="preserve">community manager(1), PR(1), fame(1), network(2), ease of access(1), reputation(2), social media(1),  </v>
      </c>
      <c r="H139" s="21" t="str">
        <f t="shared" si="299"/>
        <v xml:space="preserve"> </v>
      </c>
      <c r="I139" s="21" t="str">
        <f t="shared" ref="I139" si="467">IF(I37="",I140,$C139&amp;"("&amp;I37&amp;"),"&amp;I140)</f>
        <v xml:space="preserve"> </v>
      </c>
      <c r="J139" s="21" t="str">
        <f t="shared" ref="J139:BR154" si="468">IF(J37="",J140,$C139&amp;" "&amp;J37&amp;CHAR(10)&amp;J140)</f>
        <v xml:space="preserve">interaction 1
 </v>
      </c>
      <c r="K139" s="21" t="str">
        <f t="shared" si="173"/>
        <v xml:space="preserve">reputation(1,75),  </v>
      </c>
      <c r="L139" s="21" t="str">
        <f t="shared" ref="L139:BT154" si="469">IF(L37="",L140,$C139&amp;" "&amp;L37&amp;CHAR(10)&amp;L140)</f>
        <v xml:space="preserve">reputation 75
 </v>
      </c>
      <c r="M139" s="21" t="str">
        <f t="shared" si="175"/>
        <v xml:space="preserve">PR(1), portfolio(1), social innovation(1), non-profit biz(1),  </v>
      </c>
      <c r="N139" s="21" t="str">
        <f t="shared" si="176"/>
        <v xml:space="preserve">non-profits(1,12.5), reputation(1,75), marketing(1,12.5),  </v>
      </c>
      <c r="O139" s="21" t="str">
        <f t="shared" ref="O139:BW154" si="470">IF(O37="",O140,$C139&amp;"("&amp;O37&amp;"),"&amp;O140)</f>
        <v xml:space="preserve">non-profits(12.5),reputation(75),marketing(12.5), </v>
      </c>
      <c r="P139" s="21" t="str">
        <f t="shared" si="468"/>
        <v xml:space="preserve">biz project 1
 </v>
      </c>
      <c r="Q139" s="21" t="str">
        <f t="shared" si="178"/>
        <v xml:space="preserve"> </v>
      </c>
      <c r="R139" s="21" t="str">
        <f t="shared" si="469"/>
        <v xml:space="preserve"> </v>
      </c>
      <c r="S139" s="21" t="str">
        <f t="shared" si="179"/>
        <v xml:space="preserve">portfolio(1), biz enhancement(1), business(1), start-up(1),  </v>
      </c>
      <c r="T139" s="21" t="str">
        <f t="shared" si="180"/>
        <v xml:space="preserve">local biz(1,6.25), investors(1,6.25), reputation(1,6.25),  </v>
      </c>
      <c r="U139" s="21" t="str">
        <f t="shared" si="470"/>
        <v xml:space="preserve">local biz(6.25),investors(6.25),reputation(6.25), </v>
      </c>
      <c r="V139" s="21" t="str">
        <f t="shared" si="468"/>
        <v xml:space="preserve"> </v>
      </c>
      <c r="W139" s="21" t="str">
        <f t="shared" si="181"/>
        <v xml:space="preserve">local biz(1,),  </v>
      </c>
      <c r="X139" s="21" t="str">
        <f t="shared" si="469"/>
        <v xml:space="preserve"> </v>
      </c>
      <c r="Y139" s="21" t="str">
        <f t="shared" si="182"/>
        <v xml:space="preserve">PR(1), network(1), ease of access(1), reputation(1), portfolio(1), biz project(1), biz enhancement(1), job creation(1), business(1),  </v>
      </c>
      <c r="Z139" s="21" t="str">
        <f t="shared" si="183"/>
        <v xml:space="preserve">local biz(1,6.25),  </v>
      </c>
      <c r="AA139" s="21" t="str">
        <f t="shared" si="470"/>
        <v xml:space="preserve">local biz(6.25), </v>
      </c>
      <c r="AB139" s="21" t="str">
        <f t="shared" si="468"/>
        <v xml:space="preserve"> </v>
      </c>
      <c r="AC139" s="21" t="str">
        <f t="shared" si="184"/>
        <v xml:space="preserve">non-profits(1,100),  </v>
      </c>
      <c r="AD139" s="21" t="str">
        <f t="shared" si="469"/>
        <v xml:space="preserve">non-profits 100
 </v>
      </c>
      <c r="AE139" s="21" t="str">
        <f t="shared" si="185"/>
        <v xml:space="preserve">PR(1), network(1), ease of access(1), reputation(1), portfolio(1), social project(1), social innovation(1), non-profit biz(1),  </v>
      </c>
      <c r="AF139" s="21" t="str">
        <f t="shared" si="186"/>
        <v xml:space="preserve">non-profits(1,6.25),  </v>
      </c>
      <c r="AG139" s="21" t="str">
        <f t="shared" si="470"/>
        <v xml:space="preserve">non-profits(6.25), </v>
      </c>
      <c r="AH139" s="21" t="str">
        <f t="shared" si="468"/>
        <v xml:space="preserve"> </v>
      </c>
      <c r="AI139" s="21" t="str">
        <f t="shared" si="187"/>
        <v xml:space="preserve">govt(1,),  </v>
      </c>
      <c r="AJ139" s="21" t="str">
        <f t="shared" si="469"/>
        <v xml:space="preserve"> </v>
      </c>
      <c r="AK139" s="21" t="str">
        <f t="shared" si="188"/>
        <v xml:space="preserve">fame(1), network(1), govt(1), ease of access(1), reputation(2), portfolio(1), social project(1), social innovation(1), non-profit biz(1),  </v>
      </c>
      <c r="AL139" s="21" t="str">
        <f t="shared" si="189"/>
        <v xml:space="preserve">govt(1,6.25),  </v>
      </c>
      <c r="AM139" s="21" t="str">
        <f t="shared" si="470"/>
        <v xml:space="preserve">govt(6.25), </v>
      </c>
      <c r="AN139" s="21" t="str">
        <f t="shared" si="468"/>
        <v xml:space="preserve"> </v>
      </c>
      <c r="AO139" s="21" t="str">
        <f t="shared" si="190"/>
        <v xml:space="preserve">fame(1,), network(1,), investors(1,6.25),  </v>
      </c>
      <c r="AP139" s="21" t="str">
        <f t="shared" si="469"/>
        <v xml:space="preserve">investors 6.25
 </v>
      </c>
      <c r="AQ139" s="21" t="str">
        <f t="shared" si="191"/>
        <v xml:space="preserve">investors(1), ease of access(1), reputation(1), portfolio(1), start-up(1), start-up with mvp(1), start-up with customers(1),  </v>
      </c>
      <c r="AR139" s="21" t="str">
        <f t="shared" si="192"/>
        <v xml:space="preserve"> </v>
      </c>
      <c r="AS139" s="21" t="str">
        <f t="shared" si="470"/>
        <v xml:space="preserve"> </v>
      </c>
      <c r="AT139" s="21" t="str">
        <f t="shared" si="468"/>
        <v xml:space="preserve">administrator 1
non-profits 2
reputation 1
portfolio 1
social project 1
 </v>
      </c>
      <c r="AU139" s="21" t="str">
        <f t="shared" si="193"/>
        <v xml:space="preserve"> </v>
      </c>
      <c r="AV139" s="21" t="str">
        <f t="shared" si="469"/>
        <v xml:space="preserve"> </v>
      </c>
      <c r="AW139" s="21" t="str">
        <f t="shared" si="194"/>
        <v xml:space="preserve">PR(2), administrator(1), project management(2),  </v>
      </c>
      <c r="AX139" s="21" t="str">
        <f t="shared" si="195"/>
        <v xml:space="preserve">organizational rules and manuals(1,12.5), project management(1,12.5),  </v>
      </c>
      <c r="AY139" s="21" t="str">
        <f t="shared" si="470"/>
        <v xml:space="preserve">organizational rules and manuals(12.5),project management(12.5), </v>
      </c>
      <c r="AZ139" s="21" t="str">
        <f t="shared" si="468"/>
        <v xml:space="preserve">non-profits 1
 </v>
      </c>
      <c r="BA139" s="21" t="str">
        <f t="shared" si="196"/>
        <v xml:space="preserve"> </v>
      </c>
      <c r="BB139" s="21" t="str">
        <f t="shared" si="469"/>
        <v xml:space="preserve"> </v>
      </c>
      <c r="BC139" s="21" t="str">
        <f t="shared" si="197"/>
        <v xml:space="preserve"> </v>
      </c>
      <c r="BD139" s="21" t="str">
        <f t="shared" si="198"/>
        <v xml:space="preserve"> </v>
      </c>
      <c r="BE139" s="21" t="str">
        <f t="shared" si="470"/>
        <v xml:space="preserve"> </v>
      </c>
      <c r="BF139" s="21" t="str">
        <f t="shared" si="468"/>
        <v xml:space="preserve">administrator 1
local biz 2
entrepreneurs 1
reputation 1
portfolio 1
biz project 1
 </v>
      </c>
      <c r="BG139" s="21" t="str">
        <f t="shared" si="199"/>
        <v xml:space="preserve"> </v>
      </c>
      <c r="BH139" s="21" t="str">
        <f t="shared" si="469"/>
        <v xml:space="preserve"> </v>
      </c>
      <c r="BI139" s="21" t="str">
        <f t="shared" si="200"/>
        <v xml:space="preserve">PR(2), administrator(1), project management(2),  </v>
      </c>
      <c r="BJ139" s="21" t="str">
        <f t="shared" si="201"/>
        <v xml:space="preserve">organizational rules and manuals(1,12.5), project management(1,12.5),  </v>
      </c>
      <c r="BK139" s="21" t="str">
        <f t="shared" si="470"/>
        <v xml:space="preserve">organizational rules and manuals(12.5),project management(12.5), </v>
      </c>
      <c r="BL139" s="21" t="str">
        <f t="shared" si="468"/>
        <v xml:space="preserve">local biz 1
reputation 1
portfolio 1
biz enhancement 1
 </v>
      </c>
      <c r="BM139" s="21" t="str">
        <f t="shared" si="202"/>
        <v xml:space="preserve"> </v>
      </c>
      <c r="BN139" s="21" t="str">
        <f t="shared" si="469"/>
        <v xml:space="preserve"> </v>
      </c>
      <c r="BO139" s="21" t="str">
        <f t="shared" si="203"/>
        <v xml:space="preserve"> </v>
      </c>
      <c r="BP139" s="21" t="str">
        <f t="shared" si="204"/>
        <v xml:space="preserve"> </v>
      </c>
      <c r="BQ139" s="21" t="str">
        <f t="shared" si="470"/>
        <v xml:space="preserve"> </v>
      </c>
      <c r="BR139" s="21" t="str">
        <f t="shared" si="468"/>
        <v xml:space="preserve"> </v>
      </c>
      <c r="BS139" s="21" t="str">
        <f t="shared" si="205"/>
        <v xml:space="preserve"> </v>
      </c>
      <c r="BT139" s="21" t="str">
        <f t="shared" si="469"/>
        <v xml:space="preserve"> </v>
      </c>
      <c r="BU139" s="21" t="str">
        <f t="shared" si="206"/>
        <v xml:space="preserve"> </v>
      </c>
      <c r="BV139" s="21" t="str">
        <f t="shared" si="207"/>
        <v xml:space="preserve"> </v>
      </c>
      <c r="BW139" s="21" t="str">
        <f t="shared" si="470"/>
        <v xml:space="preserve"> </v>
      </c>
      <c r="BX139" s="21" t="str">
        <f t="shared" ref="BX139:EF154" si="471">IF(BX37="",BX140,$C139&amp;" "&amp;BX37&amp;CHAR(10)&amp;BX140)</f>
        <v xml:space="preserve">network 1
 </v>
      </c>
      <c r="BY139" s="21" t="str">
        <f t="shared" si="209"/>
        <v xml:space="preserve">efficiency(1,),  </v>
      </c>
      <c r="BZ139" s="21" t="str">
        <f t="shared" ref="BZ139:EH154" si="472">IF(BZ37="",BZ140,$C139&amp;" "&amp;BZ37&amp;CHAR(10)&amp;BZ140)</f>
        <v xml:space="preserve"> </v>
      </c>
      <c r="CA139" s="21" t="str">
        <f t="shared" si="211"/>
        <v xml:space="preserve">administrator(1), negotiation(1),  </v>
      </c>
      <c r="CB139" s="21" t="str">
        <f t="shared" si="212"/>
        <v xml:space="preserve">user rules and manuals(1,50), organizational rules and manuals(1,50),  </v>
      </c>
      <c r="CC139" s="21" t="str">
        <f t="shared" ref="CC139:EK154" si="473">IF(CC37="",CC140,$C139&amp;"("&amp;CC37&amp;"),"&amp;CC140)</f>
        <v xml:space="preserve">user rules and manuals(50),organizational rules and manuals(50), </v>
      </c>
      <c r="CD139" s="21" t="str">
        <f t="shared" si="471"/>
        <v xml:space="preserve">network 1
 </v>
      </c>
      <c r="CE139" s="21" t="str">
        <f t="shared" si="214"/>
        <v xml:space="preserve">non-profits(1,),  </v>
      </c>
      <c r="CF139" s="21" t="str">
        <f t="shared" si="472"/>
        <v xml:space="preserve"> </v>
      </c>
      <c r="CG139" s="21" t="str">
        <f t="shared" si="215"/>
        <v xml:space="preserve">ease of access(1), portfolio(1), user rules and manuals(1), negotiation(1), social project(1), biz project(1), for basic literacy(1), for the elites(1), for entrepreneurs(1),  </v>
      </c>
      <c r="CH139" s="21" t="str">
        <f t="shared" si="216"/>
        <v xml:space="preserve">technologists(1,6.25), non-profits(1,6.25),  </v>
      </c>
      <c r="CI139" s="21" t="str">
        <f t="shared" si="473"/>
        <v xml:space="preserve">technologists(6.25),non-profits(6.25), </v>
      </c>
      <c r="CJ139" s="21" t="str">
        <f t="shared" si="471"/>
        <v xml:space="preserve"> </v>
      </c>
      <c r="CK139" s="21" t="str">
        <f t="shared" si="217"/>
        <v xml:space="preserve">suppliers(1,),  </v>
      </c>
      <c r="CL139" s="21" t="str">
        <f t="shared" si="472"/>
        <v xml:space="preserve"> </v>
      </c>
      <c r="CM139" s="21" t="str">
        <f t="shared" si="218"/>
        <v xml:space="preserve">reputation(1), negotiation(1),  </v>
      </c>
      <c r="CN139" s="21" t="str">
        <f t="shared" si="219"/>
        <v xml:space="preserve">efficiency(1,6.25),  </v>
      </c>
      <c r="CO139" s="21" t="str">
        <f t="shared" si="473"/>
        <v xml:space="preserve">efficiency(6.25), </v>
      </c>
      <c r="CP139" s="21" t="str">
        <f t="shared" si="471"/>
        <v xml:space="preserve"> </v>
      </c>
      <c r="CQ139" s="21" t="str">
        <f t="shared" si="220"/>
        <v xml:space="preserve">technologists(1,),  </v>
      </c>
      <c r="CR139" s="21" t="str">
        <f t="shared" si="472"/>
        <v xml:space="preserve"> </v>
      </c>
      <c r="CS139" s="21" t="str">
        <f t="shared" si="221"/>
        <v xml:space="preserve">network(1), portfolio(1), negotiation(1), web(1), infrastructrue(1), database(1), mobile apps(1), sensors(1), security(1), AI&amp; data analysis(1), mobile comm(1), VR&amp;AR(1), wood processing(1), metal processing(1), plastic processing(1), electronics(1), fabric(1),  </v>
      </c>
      <c r="CT139" s="21" t="str">
        <f t="shared" si="222"/>
        <v xml:space="preserve">efficiency(1,6.25),  </v>
      </c>
      <c r="CU139" s="21" t="str">
        <f t="shared" si="473"/>
        <v xml:space="preserve">efficiency(6.25), </v>
      </c>
      <c r="CV139" s="21" t="str">
        <f t="shared" si="471"/>
        <v xml:space="preserve"> </v>
      </c>
      <c r="CW139" s="21" t="str">
        <f t="shared" si="223"/>
        <v xml:space="preserve">local biz(1,),  </v>
      </c>
      <c r="CX139" s="21" t="str">
        <f t="shared" si="472"/>
        <v xml:space="preserve"> </v>
      </c>
      <c r="CY139" s="21" t="str">
        <f t="shared" si="224"/>
        <v xml:space="preserve">ease of access(1), reputation(1), portfolio(1), negotiation(1),  </v>
      </c>
      <c r="CZ139" s="21" t="str">
        <f t="shared" si="225"/>
        <v xml:space="preserve">non-profits(1,6.25),  </v>
      </c>
      <c r="DA139" s="21" t="str">
        <f t="shared" si="473"/>
        <v xml:space="preserve">non-profits(6.25), </v>
      </c>
      <c r="DB139" s="21" t="str">
        <f t="shared" si="471"/>
        <v xml:space="preserve"> </v>
      </c>
      <c r="DC139" s="21" t="str">
        <f t="shared" si="226"/>
        <v xml:space="preserve"> </v>
      </c>
      <c r="DD139" s="21" t="str">
        <f t="shared" si="472"/>
        <v xml:space="preserve"> </v>
      </c>
      <c r="DE139"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39" s="21" t="str">
        <f t="shared" si="228"/>
        <v xml:space="preserve">network(1,), local biz(1,6.25), biz group(1,6.25), investors(1,6.25), entrepreneurs(1,6.25),  </v>
      </c>
      <c r="DG139" s="21" t="str">
        <f t="shared" si="473"/>
        <v xml:space="preserve">local biz(6.25),biz group(6.25),investors(6.25),entrepreneurs(6.25), </v>
      </c>
      <c r="DH139" s="21" t="str">
        <f t="shared" si="471"/>
        <v xml:space="preserve">network 1
non-profits 1
reputation 1
social project 1
 </v>
      </c>
      <c r="DI139" s="21" t="str">
        <f t="shared" si="229"/>
        <v xml:space="preserve"> </v>
      </c>
      <c r="DJ139" s="21" t="str">
        <f t="shared" si="472"/>
        <v xml:space="preserve"> </v>
      </c>
      <c r="DK139" s="21" t="str">
        <f t="shared" si="230"/>
        <v xml:space="preserve">community manager(1), 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39" s="21" t="str">
        <f t="shared" si="231"/>
        <v xml:space="preserve">reputation(1,6.25),  </v>
      </c>
      <c r="DM139" s="21" t="str">
        <f t="shared" si="473"/>
        <v xml:space="preserve">reputation(6.25), </v>
      </c>
      <c r="DN139" s="21" t="str">
        <f t="shared" si="471"/>
        <v xml:space="preserve">network 1
local biz 1
reputation 1
biz project 1
 </v>
      </c>
      <c r="DO139" s="21" t="str">
        <f t="shared" si="232"/>
        <v xml:space="preserve"> </v>
      </c>
      <c r="DP139" s="21" t="str">
        <f t="shared" si="472"/>
        <v xml:space="preserve"> </v>
      </c>
      <c r="DQ139" s="21" t="str">
        <f t="shared" si="233"/>
        <v xml:space="preserve">community manager(1), 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39" s="21" t="str">
        <f t="shared" si="234"/>
        <v xml:space="preserve">reputation(1,6.25),  </v>
      </c>
      <c r="DS139" s="21" t="str">
        <f t="shared" si="473"/>
        <v xml:space="preserve">reputation(6.25), </v>
      </c>
      <c r="DT139" s="21" t="str">
        <f t="shared" si="471"/>
        <v xml:space="preserve">network 1
reputation 1
 </v>
      </c>
      <c r="DU139" s="21" t="str">
        <f t="shared" si="235"/>
        <v xml:space="preserve"> </v>
      </c>
      <c r="DV139" s="21" t="str">
        <f t="shared" si="472"/>
        <v xml:space="preserve"> </v>
      </c>
      <c r="DW139" s="21" t="str">
        <f t="shared" si="236"/>
        <v xml:space="preserve">community manager(1), PR(1), administrator(1), fame(2), network(2), local biz(1), biz group(1), govt(2), investors(1), media(2), entrepreneurs(1), technologists(1), non-profits(1), spaciousness(1), ease of access(1), reputation(2), efficiency(1), organizational rules and manuals(1), marketing(1), social media(1), for basic literacy(1),  </v>
      </c>
      <c r="DX139" s="21" t="str">
        <f t="shared" si="237"/>
        <v xml:space="preserve">reputation(1,6.25), for basic literacy(1,6.25),  </v>
      </c>
      <c r="DY139" s="21" t="str">
        <f t="shared" si="473"/>
        <v xml:space="preserve">reputation(6.25),for basic literacy(6.25), </v>
      </c>
      <c r="DZ139" s="21" t="str">
        <f t="shared" si="471"/>
        <v xml:space="preserve">network 1
reputation 1
 </v>
      </c>
      <c r="EA139" s="21" t="str">
        <f t="shared" si="238"/>
        <v xml:space="preserve"> </v>
      </c>
      <c r="EB139" s="21" t="str">
        <f t="shared" si="472"/>
        <v xml:space="preserve"> </v>
      </c>
      <c r="EC139" s="21" t="str">
        <f t="shared" si="239"/>
        <v xml:space="preserve">community manager(1), 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39" s="21" t="str">
        <f t="shared" si="240"/>
        <v xml:space="preserve">reputation(1,6.25), for basic literacy(1,6.25),  </v>
      </c>
      <c r="EE139" s="21" t="str">
        <f t="shared" si="473"/>
        <v xml:space="preserve">reputation(6.25),for basic literacy(6.25), </v>
      </c>
      <c r="EF139" s="21" t="str">
        <f t="shared" si="471"/>
        <v xml:space="preserve">technologists 1
reputation 1
 </v>
      </c>
      <c r="EG139" s="21" t="str">
        <f t="shared" si="241"/>
        <v xml:space="preserve">web(1,50), mobile apps(1,50), interaction(1,50),  </v>
      </c>
      <c r="EH139" s="21" t="str">
        <f t="shared" si="472"/>
        <v xml:space="preserve">web 50
mobile apps 50
interaction 50
 </v>
      </c>
      <c r="EI139" s="21" t="str">
        <f t="shared" si="242"/>
        <v xml:space="preserve">community manager(1), administrator(1), enthusiasm(1), fame(1), network(2), level of understanding(1), technologists(2), ease of access(1), reputation(2), infrastructrue(1), database(1), mobile comm(1), for entrepreneurs(1),  </v>
      </c>
      <c r="EJ139" s="21" t="str">
        <f t="shared" si="243"/>
        <v xml:space="preserve">technologists(1,12.5), infrastructrue(1,12.5), database(1,12.5), mobile comm(1,12.5), for entrepreneurs(1,6.25),  </v>
      </c>
      <c r="EK139" s="21" t="str">
        <f t="shared" si="473"/>
        <v xml:space="preserve">technologists(12.5),infrastructrue(12.5),database(12.5),mobile comm(12.5),for entrepreneurs(6.25), </v>
      </c>
      <c r="EL139" s="21" t="str">
        <f t="shared" ref="EL139:GT154" si="474">IF(EL37="",EL140,$C139&amp;" "&amp;EL37&amp;CHAR(10)&amp;EL140)</f>
        <v xml:space="preserve">technologists 1
reputation 1
 </v>
      </c>
      <c r="EM139" s="21" t="str">
        <f t="shared" si="245"/>
        <v xml:space="preserve">sensors(1,50),  </v>
      </c>
      <c r="EN139" s="21" t="str">
        <f t="shared" ref="EN139:GV154" si="475">IF(EN37="",EN140,$C139&amp;" "&amp;EN37&amp;CHAR(10)&amp;EN140)</f>
        <v xml:space="preserve">sensors 50
 </v>
      </c>
      <c r="EO139" s="21" t="str">
        <f t="shared" si="247"/>
        <v xml:space="preserve">community manager(1), administrator(1), enthusiasm(1), fame(1), network(2), level of understanding(1), technologists(2), ease of access(1), reputation(2), project management(2), infrastructrue(1), database(1), mobile comm(1), for entrepreneurs(1),  </v>
      </c>
      <c r="EP139" s="21" t="str">
        <f t="shared" si="248"/>
        <v xml:space="preserve">technologists(1,12.5), infrastructrue(1,12.5), database(1,12.5), mobile comm(1,12.5), electronics(1,6.25), for entrepreneurs(1,6.25),  </v>
      </c>
      <c r="EQ139" s="21" t="str">
        <f t="shared" ref="EQ139:GY154" si="476">IF(EQ37="",EQ140,$C139&amp;"("&amp;EQ37&amp;"),"&amp;EQ140)</f>
        <v xml:space="preserve">technologists(12.5),infrastructrue(12.5),database(12.5),mobile comm(12.5),electronics(6.25),for entrepreneurs(6.25), </v>
      </c>
      <c r="ER139" s="21" t="str">
        <f t="shared" si="474"/>
        <v xml:space="preserve">technologists 1
 </v>
      </c>
      <c r="ES139" s="21" t="str">
        <f t="shared" si="250"/>
        <v xml:space="preserve">AI&amp; data analysis(1,50),  </v>
      </c>
      <c r="ET139" s="21" t="str">
        <f t="shared" si="475"/>
        <v xml:space="preserve">AI&amp; data analysis 50
 </v>
      </c>
      <c r="EU139" s="21" t="str">
        <f t="shared" si="251"/>
        <v xml:space="preserve">community manager(1), administrator(1), enthusiasm(1), fame(1), network(2), level of understanding(1), technologists(2), ease of access(1), reputation(2), database(1), sensors(1), mobile comm(1), for entrepreneurs(1),  </v>
      </c>
      <c r="EV139" s="21" t="str">
        <f t="shared" si="252"/>
        <v xml:space="preserve">technologists(1,12.5), database(1,12.5), sensors(1,12.5), mobile comm(1,12.5), for entrepreneurs(1,6.25),  </v>
      </c>
      <c r="EW139" s="21" t="str">
        <f t="shared" si="476"/>
        <v xml:space="preserve">technologists(12.5),database(12.5),sensors(12.5),mobile comm(12.5),for entrepreneurs(6.25), </v>
      </c>
      <c r="EX139" s="21" t="str">
        <f t="shared" si="474"/>
        <v xml:space="preserve">technologists 1
 </v>
      </c>
      <c r="EY139" s="21" t="str">
        <f t="shared" si="253"/>
        <v xml:space="preserve">law(1,50), security(1,50), interaction(1,25),  </v>
      </c>
      <c r="EZ139" s="21" t="str">
        <f t="shared" si="475"/>
        <v xml:space="preserve">law 50
security 50
interaction 25
 </v>
      </c>
      <c r="FA139" s="21" t="str">
        <f t="shared" si="254"/>
        <v xml:space="preserve">community manager(1), administrator(1), enthusiasm(1), fame(1), network(2), level of understanding(1), technologists(2), ease of access(1), reputation(2), law(2), for entrepreneurs(1),  </v>
      </c>
      <c r="FB139" s="21" t="str">
        <f t="shared" si="255"/>
        <v xml:space="preserve">technologists(1,12.5), law(1,6.25), database(1,12.5), mobile apps(1,12.5), security(1,12.5), mobile comm(1,12.5), for entrepreneurs(1,6.25),  </v>
      </c>
      <c r="FC139" s="21" t="str">
        <f t="shared" si="476"/>
        <v xml:space="preserve">technologists(12.5),law(6.25),database(12.5),mobile apps(12.5),security(12.5),mobile comm(12.5),for entrepreneurs(6.25), </v>
      </c>
      <c r="FD139" s="21" t="str">
        <f t="shared" si="474"/>
        <v xml:space="preserve">technologists 1
 </v>
      </c>
      <c r="FE139" s="21" t="str">
        <f t="shared" si="256"/>
        <v xml:space="preserve">law(1,50), sensors(1,50), security(1,50),  </v>
      </c>
      <c r="FF139" s="21" t="str">
        <f t="shared" si="475"/>
        <v xml:space="preserve">law 50
sensors 50
security 50
 </v>
      </c>
      <c r="FG139" s="21" t="str">
        <f t="shared" si="257"/>
        <v xml:space="preserve">community manager(1), administrator(1), enthusiasm(1), fame(1), network(2), level of understanding(1), technologists(2), ease of access(1), reputation(2), law(2), project management(2), for entrepreneurs(1),  </v>
      </c>
      <c r="FH139" s="21" t="str">
        <f t="shared" si="258"/>
        <v xml:space="preserve">technologists(1,12.5), law(1,6.25), database(1,6.25), mobile apps(1,6.25), AI&amp; data analysis(1,6.25), mobile comm(1,6.25), for entrepreneurs(1,6.25),  </v>
      </c>
      <c r="FI139" s="21" t="str">
        <f t="shared" si="476"/>
        <v xml:space="preserve">technologists(12.5),law(6.25),database(6.25),mobile apps(6.25),AI&amp; data analysis(6.25),mobile comm(6.25),for entrepreneurs(6.25), </v>
      </c>
      <c r="FJ139" s="21" t="str">
        <f t="shared" si="474"/>
        <v xml:space="preserve">technologists 1
 </v>
      </c>
      <c r="FK139" s="21" t="str">
        <f t="shared" si="259"/>
        <v xml:space="preserve">wood processing(1,25), metal processing(1,25), plastic processing(1,25), fabric(1,25), safety(1,25), interaction(1,25),  </v>
      </c>
      <c r="FL139" s="21" t="str">
        <f t="shared" si="475"/>
        <v xml:space="preserve">project management 2
wood processing 25
metal processing 25
plastic processing 25
fabric 25
safety 25
interaction 25
 </v>
      </c>
      <c r="FM139" s="21" t="str">
        <f t="shared" si="260"/>
        <v xml:space="preserve">community manager(1), administrator(1), enthusiasm(1), fame(1), network(2), level of understanding(1), technologists(2), spaciousness(1), ease of access(1), reputation(2), for entrepreneurs(1),  </v>
      </c>
      <c r="FN139" s="21" t="str">
        <f t="shared" si="261"/>
        <v xml:space="preserve">technologists(1,12.5), for entrepreneurs(1,6.25),  </v>
      </c>
      <c r="FO139" s="21" t="str">
        <f t="shared" si="476"/>
        <v xml:space="preserve">technologists(12.5),for entrepreneurs(6.25), </v>
      </c>
      <c r="FP139" s="21" t="str">
        <f t="shared" si="474"/>
        <v xml:space="preserve">technologists 1
 </v>
      </c>
      <c r="FQ139" s="21" t="str">
        <f t="shared" si="262"/>
        <v xml:space="preserve">web(1,25), mobile apps(1,50), functions(1,25), interaction(1,25),  </v>
      </c>
      <c r="FR139" s="21" t="str">
        <f t="shared" si="475"/>
        <v xml:space="preserve">web 25
mobile apps 50
functions 25
interaction 25
 </v>
      </c>
      <c r="FS139" s="21" t="str">
        <f t="shared" si="263"/>
        <v xml:space="preserve">community manager(1), administrator(1), enthusiasm(1), fame(1), network(2), level of understanding(1), technologists(2), spaciousness(1), ease of access(1), reputation(2), for entrepreneurs(1),  </v>
      </c>
      <c r="FT139" s="21" t="str">
        <f t="shared" si="264"/>
        <v xml:space="preserve">technologists(1,12.5), for entrepreneurs(1,6.25),  </v>
      </c>
      <c r="FU139" s="21" t="str">
        <f t="shared" si="476"/>
        <v xml:space="preserve">technologists(12.5),for entrepreneurs(6.25), </v>
      </c>
      <c r="FV139" s="21" t="str">
        <f t="shared" si="474"/>
        <v xml:space="preserve">technologists 1
 </v>
      </c>
      <c r="FW139" s="21" t="str">
        <f t="shared" si="265"/>
        <v xml:space="preserve">mobile apps(1,50), sensors(1,50), wood processing(1,25), plastic processing(1,25), electronics(1,25), functions(1,25), interaction(1,25),  </v>
      </c>
      <c r="FX139" s="21" t="str">
        <f t="shared" si="475"/>
        <v xml:space="preserve">mobile apps 50
sensors 50
wood processing 25
plastic processing 25
electronics 25
functions 25
interaction 25
 </v>
      </c>
      <c r="FY139" s="21" t="str">
        <f t="shared" si="266"/>
        <v xml:space="preserve">community manager(1), administrator(1), enthusiasm(1), fame(1), network(2), level of understanding(1), technologists(2), spaciousness(1), ease of access(1), reputation(2), project management(2), for entrepreneurs(1),  </v>
      </c>
      <c r="FZ139" s="21" t="str">
        <f t="shared" si="267"/>
        <v xml:space="preserve">technologists(1,12.5), web(1,6.25), database(1,6.25), AI&amp; data analysis(1,6.25), mobile comm(1,6.25), for entrepreneurs(1,6.25),  </v>
      </c>
      <c r="GA139" s="21" t="str">
        <f t="shared" si="476"/>
        <v xml:space="preserve">technologists(12.5),web(6.25),database(6.25),AI&amp; data analysis(6.25),mobile comm(6.25),for entrepreneurs(6.25), </v>
      </c>
      <c r="GB139" s="21" t="str">
        <f t="shared" si="474"/>
        <v xml:space="preserve">technologists 1
 </v>
      </c>
      <c r="GC139" s="21" t="str">
        <f t="shared" si="268"/>
        <v xml:space="preserve">sensors(1,25), mobile comm(1,25), electronics(1,50), functions(1,25), safety(1,25),  </v>
      </c>
      <c r="GD139" s="21" t="str">
        <f t="shared" si="475"/>
        <v xml:space="preserve">sensors 25
mobile comm 25
electronics 50
functions 25
safety 25
 </v>
      </c>
      <c r="GE139" s="21" t="str">
        <f t="shared" si="269"/>
        <v xml:space="preserve">community manager(1), administrator(1), enthusiasm(1), fame(1), network(2), level of understanding(1), technologists(2), spaciousness(1), ease of access(1), reputation(2), project management(2), for entrepreneurs(1),  </v>
      </c>
      <c r="GF139" s="21" t="str">
        <f t="shared" si="270"/>
        <v xml:space="preserve">technologists(1,12.5), database(1,6.25), mobile apps(1,6.25), AI&amp; data analysis(1,6.25), plastic processing(1,6.25), interaction(1,6.25), for entrepreneurs(1,6.25),  </v>
      </c>
      <c r="GG139" s="21" t="str">
        <f t="shared" si="476"/>
        <v xml:space="preserve">technologists(12.5),database(6.25),mobile apps(6.25),AI&amp; data analysis(6.25),plastic processing(6.25),interaction(6.25),for entrepreneurs(6.25), </v>
      </c>
      <c r="GH139" s="21" t="str">
        <f t="shared" si="474"/>
        <v xml:space="preserve">technologists 1
 </v>
      </c>
      <c r="GI139" s="21" t="str">
        <f t="shared" si="271"/>
        <v xml:space="preserve">web(1,25), mobile apps(1,50), functions(1,25), interaction(1,25),  </v>
      </c>
      <c r="GJ139" s="21" t="str">
        <f t="shared" si="475"/>
        <v xml:space="preserve">web 25
mobile apps 50
functions 25
interaction 25
 </v>
      </c>
      <c r="GK139" s="21" t="str">
        <f t="shared" si="272"/>
        <v xml:space="preserve">community manager(1), administrator(1), enthusiasm(1), fame(1), network(2), level of understanding(1), technologists(2), spaciousness(1), ease of access(1), reputation(2), project management(2), for entrepreneurs(1),  </v>
      </c>
      <c r="GL139" s="21" t="str">
        <f t="shared" si="273"/>
        <v xml:space="preserve">technologists(1,12.5), for entrepreneurs(1,6.25),  </v>
      </c>
      <c r="GM139" s="21" t="str">
        <f t="shared" si="476"/>
        <v xml:space="preserve">technologists(12.5),for entrepreneurs(6.25), </v>
      </c>
      <c r="GN139" s="21" t="str">
        <f t="shared" si="474"/>
        <v xml:space="preserve">technologists 1
 </v>
      </c>
      <c r="GO139" s="21" t="str">
        <f t="shared" si="274"/>
        <v xml:space="preserve">web(1,25), mobile apps(1,25), VR&amp;AR(1,25), aesthetics(1,25), functions(1,25), interaction(1,50),  </v>
      </c>
      <c r="GP139" s="21" t="str">
        <f t="shared" si="475"/>
        <v xml:space="preserve">web 25
mobile apps 25
VR&amp;AR 25
aesthetics 25
functions 25
interaction 50
 </v>
      </c>
      <c r="GQ139" s="21" t="str">
        <f t="shared" si="275"/>
        <v xml:space="preserve">community manager(1), administrator(1), enthusiasm(1), fame(1), network(2), level of understanding(1), technologists(2), spaciousness(1), ease of access(1), reputation(2), project management(2), for entrepreneurs(1),  </v>
      </c>
      <c r="GR139" s="21" t="str">
        <f t="shared" si="276"/>
        <v xml:space="preserve">technologists(1,12.5), for entrepreneurs(1,6.25),  </v>
      </c>
      <c r="GS139" s="21" t="str">
        <f t="shared" si="476"/>
        <v xml:space="preserve">technologists(12.5),for entrepreneurs(6.25), </v>
      </c>
      <c r="GT139" s="21" t="str">
        <f t="shared" si="474"/>
        <v xml:space="preserve">ease of access 1
reputation 2
web 1
mobile apps 1
mobile comm 1
 </v>
      </c>
      <c r="GU139" s="21" t="str">
        <f t="shared" si="277"/>
        <v xml:space="preserve"> </v>
      </c>
      <c r="GV139" s="21" t="str">
        <f t="shared" si="475"/>
        <v xml:space="preserve"> </v>
      </c>
      <c r="GW139" s="21" t="str">
        <f t="shared" si="278"/>
        <v xml:space="preserve">community manager(1), 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39" s="21" t="str">
        <f t="shared" si="279"/>
        <v xml:space="preserve">media(1,6.25), entrepreneurs(1,6.25), technologists(1,6.25), project management(1,6.25), social media(1,6.25), web(1,6.25), mobile apps(1,6.25),  </v>
      </c>
      <c r="GY139" s="21" t="str">
        <f t="shared" si="476"/>
        <v xml:space="preserve">media(6.25),entrepreneurs(6.25),technologists(6.25),project management(6.25),social media(6.25),web(6.25),mobile apps(6.25), </v>
      </c>
      <c r="GZ139" s="21" t="str">
        <f t="shared" ref="GZ139:HL154" si="477">IF(GZ37="",GZ140,$C139&amp;" "&amp;GZ37&amp;CHAR(10)&amp;GZ140)</f>
        <v xml:space="preserve">network 1
govt 1
non-profits 1
reputation 2
portfolio 1
 </v>
      </c>
      <c r="HA139" s="21" t="str">
        <f t="shared" si="281"/>
        <v xml:space="preserve"> </v>
      </c>
      <c r="HB139" s="21" t="str">
        <f t="shared" ref="HB139:HN154" si="478">IF(HB37="",HB140,$C139&amp;" "&amp;HB37&amp;CHAR(10)&amp;HB140)</f>
        <v xml:space="preserve"> </v>
      </c>
      <c r="HC139" s="21" t="str">
        <f t="shared" si="283"/>
        <v xml:space="preserve">community manager(1), PR(1), finance(1), administrator(1), network(2), govt(3), non-profits(3), reputation(4), portfolio(3), social media(2), web(2), mobile apps(2), sensors(2), AI&amp; data analysis(2), VR&amp;AR(2), plastic processing(2), electronics(2), aesthetics(2), interaction(2),  </v>
      </c>
      <c r="HD139" s="21" t="str">
        <f t="shared" si="284"/>
        <v xml:space="preserve">media(1,6.25), technologists(1,6.25), non-profits(1,6.25), reputation(1,6.25), start-up with customers(1,6.25), for basic literacy(1,6.25),  </v>
      </c>
      <c r="HE139" s="21" t="str">
        <f t="shared" ref="HE139:HQ154" si="479">IF(HE37="",HE140,$C139&amp;"("&amp;HE37&amp;"),"&amp;HE140)</f>
        <v xml:space="preserve">media(6.25),technologists(6.25),non-profits(6.25),reputation(6.25),start-up with customers(6.25),for basic literacy(6.25), </v>
      </c>
      <c r="HF139" s="21" t="str">
        <f t="shared" si="477"/>
        <v xml:space="preserve"> </v>
      </c>
      <c r="HG139" s="21" t="str">
        <f t="shared" si="286"/>
        <v xml:space="preserve"> </v>
      </c>
      <c r="HH139" s="21" t="str">
        <f t="shared" si="478"/>
        <v xml:space="preserve"> </v>
      </c>
      <c r="HI139" s="21" t="str">
        <f t="shared" si="287"/>
        <v xml:space="preserve">community manager(1), PR(1), finance(1), administrator(1), network(2), portfolio(3), marketing(2), team building(3), project management(2), mobile apps(3), sensors(2), plastic processing(2), electronics(2), aesthetics(2), functions(2), interaction(2),  </v>
      </c>
      <c r="HJ139" s="21" t="str">
        <f t="shared" si="288"/>
        <v xml:space="preserve">govt(1,6.25), media(1,6.25), non-profits(1,6.25), start-up with customers(1,6.25),  </v>
      </c>
      <c r="HK139" s="21" t="str">
        <f t="shared" si="479"/>
        <v xml:space="preserve">govt(6.25),media(6.25),non-profits(6.25),start-up with customers(6.25), </v>
      </c>
      <c r="HL139" s="21" t="str">
        <f t="shared" si="477"/>
        <v xml:space="preserve">community manager 1
PR 1
administrator 1
local biz 1
entrepreneurs 1
non-profits 1
reputation 2
portfolio 2
 </v>
      </c>
      <c r="HM139" s="21" t="str">
        <f t="shared" si="289"/>
        <v xml:space="preserve"> </v>
      </c>
      <c r="HN139" s="21" t="str">
        <f t="shared" si="478"/>
        <v xml:space="preserve"> </v>
      </c>
      <c r="HO139"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39" s="21" t="str">
        <f t="shared" si="291"/>
        <v xml:space="preserve">enthusiasm(1,6.25), level of understanding(1,6.25), local biz(1,6.25), biz group(1,6.25), govt(1,6.25), investors(1,6.25), media(1,6.25), entrepreneurs(1,6.25), technologists(1,6.25), suppliers(1,6.25), non-profits(1,6.25), reputation(1,6.25),  </v>
      </c>
      <c r="HQ139" s="47" t="str">
        <f t="shared" si="479"/>
        <v xml:space="preserve">enthusiasm(6.25),level of understanding(6.25),local biz(6.25),biz group(6.25),govt(6.25),investors(6.25),media(6.25),entrepreneurs(6.25),technologists(6.25),suppliers(6.25),non-profits(6.25),reputation(6.25), </v>
      </c>
      <c r="HR139" s="47" t="str">
        <f t="shared" ref="HR139:HW139" si="480">IF(HR37="",HR140,$C139&amp;"("&amp;HR37&amp;"),"&amp;HR140)</f>
        <v xml:space="preserve">reputation(2),portfolio(2),mobile apps(1),sensors(1),wood processing(1),aesthetics(1), </v>
      </c>
      <c r="HS139" s="47" t="str">
        <f t="shared" si="480"/>
        <v xml:space="preserve"> </v>
      </c>
      <c r="HT139" s="47" t="str">
        <f t="shared" si="480"/>
        <v xml:space="preserve"> </v>
      </c>
      <c r="HU139" s="47" t="str">
        <f t="shared" si="480"/>
        <v xml:space="preserve">community manager(1),PR(1),finance(1),administrator(1),enthusiasm(2),network(2),level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39" s="47" t="str">
        <f t="shared" si="480"/>
        <v xml:space="preserve">local biz(1),biz group(1),govt(1),investors(1),media(1),entrepreneurs(1),technologists(1),suppliers(1),non-profits(1),reputation(1), </v>
      </c>
      <c r="HW139" s="47" t="str">
        <f t="shared" si="480"/>
        <v xml:space="preserve">local biz(6.25),biz group(6.25),govt(6.25),investors(6.25),media(6.25),entrepreneurs(6.25),technologists(12.5),suppliers(6.25),non-profits(6.25),reputation(6.25), </v>
      </c>
      <c r="HX139" s="47" t="str">
        <f t="shared" ref="HX139:IU139" si="481">IF(HX37="",HX140,$C139&amp;"("&amp;HX37&amp;"),"&amp;HX140)</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39" s="47" t="str">
        <f t="shared" si="481"/>
        <v xml:space="preserve">biz enhancement(1), </v>
      </c>
      <c r="HZ139" s="47" t="str">
        <f t="shared" si="481"/>
        <v xml:space="preserve">biz enhancement(100), </v>
      </c>
      <c r="IA139" s="47" t="str">
        <f t="shared" si="481"/>
        <v xml:space="preserve">community manager(1),PR(1),finance(1),administrator(1),enthusiasm(2),network(2),ambition(2),knowledge(2),spaciousness(2),ease of access(3),efficiency(2),portfolio(4),finance(2),business model(2),marketing(3),team building(2),project management(2),social media(3),negotiation(3), </v>
      </c>
      <c r="IB139" s="47" t="str">
        <f t="shared" si="481"/>
        <v xml:space="preserve">level of understanding(1),ambition(1),local biz(1),biz group(1),govt(1),media(1),entrepreneurs(1),technologists(1),non-profits(1),reputation(1),team building(1),database(1),AI&amp; data analysis(1),electronics(1),functions(1), </v>
      </c>
      <c r="IC139" s="47" t="str">
        <f t="shared" si="481"/>
        <v xml:space="preserve">level of understanding(6.25),ambition(6.25),local biz(6.25),biz group(6.25),govt(6.25),media(6.25),entrepreneurs(6.25),technologists(6.25),non-profits(6.25),reputation(6.25),team building(6.25),database(6.25),AI&amp; data analysis(6.25),electronics(6.25),functions(6.25), </v>
      </c>
      <c r="ID139" s="47" t="str">
        <f t="shared" si="481"/>
        <v xml:space="preserve">technologists(2), </v>
      </c>
      <c r="IE139" s="47" t="str">
        <f t="shared" si="481"/>
        <v xml:space="preserve">web(1),mobile apps(1),security(1),AI&amp; data analysis(1), </v>
      </c>
      <c r="IF139" s="47" t="str">
        <f t="shared" si="481"/>
        <v xml:space="preserve">web(25),mobile apps(25),security(25),AI&amp; data analysis(25), </v>
      </c>
      <c r="IG139" s="47" t="str">
        <f t="shared" si="481"/>
        <v xml:space="preserve">community manager(1),administrator(1),network(2),entrepreneurs(3),technologists(4),spaciousness(2),ease of access(2),reputation(3),efficiency(2),portfolio(3),web(2),database(2),mobile apps(2),security(2),AI&amp; data analysis(2), </v>
      </c>
      <c r="IH139" s="47" t="str">
        <f t="shared" si="481"/>
        <v xml:space="preserve">technologists(1),web(1),database(1),mobile apps(1),security(1),AI&amp; data analysis(1), </v>
      </c>
      <c r="II139" s="47" t="str">
        <f t="shared" si="481"/>
        <v xml:space="preserve">technologists(6.25),web(6.25),database(6.25),mobile apps(6.25),security(6.25),AI&amp; data analysis(6.25), </v>
      </c>
      <c r="IJ139" s="47" t="str">
        <f t="shared" si="481"/>
        <v xml:space="preserve">technologists(2), </v>
      </c>
      <c r="IK139" s="47" t="str">
        <f t="shared" si="481"/>
        <v xml:space="preserve">wood processing(1),metal processing(1),functions(1),safety(1), </v>
      </c>
      <c r="IL139" s="47" t="str">
        <f t="shared" si="481"/>
        <v xml:space="preserve">wood processing(25),metal processing(25),functions(25),safety(25), </v>
      </c>
      <c r="IM139" s="47" t="str">
        <f t="shared" si="481"/>
        <v xml:space="preserve">community manager(1),administrator(1),network(2),entrepreneurs(3),technologists(4),spaciousness(2),ease of access(2),reputation(3),efficiency(2),portfolio(3),wood processing(2),metal processing(2),functions(2),safety(2), </v>
      </c>
      <c r="IN139" s="47" t="str">
        <f t="shared" si="481"/>
        <v xml:space="preserve">technologists(1),wood processing(1),metal processing(1),functions(1),safety(1),interaction(1), </v>
      </c>
      <c r="IO139" s="47" t="str">
        <f t="shared" si="481"/>
        <v xml:space="preserve">technologists(6.25),wood processing(6.25),metal processing(6.25),functions(6.25),safety(6.25),interaction(6.25), </v>
      </c>
      <c r="IP139" s="57" t="str">
        <f t="shared" si="481"/>
        <v xml:space="preserve">local biz(2),reputation(1), </v>
      </c>
      <c r="IQ139" s="47" t="str">
        <f t="shared" si="481"/>
        <v xml:space="preserve">local biz(1),marketing(1), </v>
      </c>
      <c r="IR139" s="47" t="str">
        <f t="shared" si="481"/>
        <v xml:space="preserve">local biz(25),marketing(25), </v>
      </c>
      <c r="IS139" s="47" t="str">
        <f t="shared" si="481"/>
        <v xml:space="preserve">community manager(1),finance(1),administrator(1),enthusiasm(3),network(2),level of understanding(3),local biz(3),biz group(2),govt(2),non-profits(2),reputation(3),efficiency(2),marketing(2), </v>
      </c>
      <c r="IT139" s="47" t="str">
        <f t="shared" si="481"/>
        <v xml:space="preserve">local biz(1),biz group(1),govt(1),non-profits(1),marketing(1), </v>
      </c>
      <c r="IU139" s="47" t="str">
        <f t="shared" si="481"/>
        <v xml:space="preserve">local biz(6.25),biz group(6.25),govt(6.25),non-profits(6.25),marketing(6.25), </v>
      </c>
      <c r="IV139" s="57" t="str">
        <f t="shared" ref="IV139:LG139" si="482">IF(IV37="",IV140,$C139&amp;"("&amp;IV37&amp;"),"&amp;IV140)</f>
        <v xml:space="preserve">local biz(2),reputation(1), </v>
      </c>
      <c r="IW139" s="47" t="str">
        <f t="shared" si="482"/>
        <v xml:space="preserve">local biz(1),marketing(1), </v>
      </c>
      <c r="IX139" s="47" t="str">
        <f t="shared" si="482"/>
        <v xml:space="preserve">local biz(25),marketing(25), </v>
      </c>
      <c r="IY139" s="47" t="str">
        <f t="shared" si="482"/>
        <v xml:space="preserve">community manager(1),finance(1),administrator(1),enthusiasm(3),network(2),level of understanding(3),local biz(3),biz group(2),govt(2),reputation(3),efficiency(2),marketing(2), </v>
      </c>
      <c r="IZ139" s="47" t="str">
        <f t="shared" si="482"/>
        <v xml:space="preserve">local biz(1),biz group(1),govt(1),marketing(1), </v>
      </c>
      <c r="JA139" s="47" t="str">
        <f t="shared" si="482"/>
        <v xml:space="preserve">local biz(6.25),biz group(6.25),govt(6.25),marketing(6.25), </v>
      </c>
      <c r="JB139" s="47" t="str">
        <f t="shared" si="482"/>
        <v xml:space="preserve"> </v>
      </c>
      <c r="JC139" s="47" t="str">
        <f t="shared" si="482"/>
        <v xml:space="preserve"> </v>
      </c>
      <c r="JD139" s="47" t="str">
        <f t="shared" si="482"/>
        <v xml:space="preserve"> </v>
      </c>
      <c r="JE139" s="47" t="str">
        <f t="shared" si="482"/>
        <v xml:space="preserve">community manager(1),PR(1),administrator(1),network(2),level of understanding(2),technologists(2),spaciousness(1),ease of access(1),reputation(3),efficiency(2), </v>
      </c>
      <c r="JF139" s="47" t="str">
        <f t="shared" si="482"/>
        <v xml:space="preserve">web(1),infrastructrue(1),database(1),mobile apps(1),sensors(1),security(1),AI&amp; data analysis(1),mobile comm(1),VR&amp;AR(1),wood processing(1),metal processing(1),plastic processing(1),electronics(1),fabric(1),aesthetics(1),functions(1),safety(1),interaction(1), </v>
      </c>
      <c r="JG139" s="47" t="str">
        <f t="shared" si="482"/>
        <v xml:space="preserve">web(6.25),infrastructrue(6.25),database(6.25),mobile apps(6.25),sensors(6.25),security(6.25),AI&amp; data analysis(6.25),mobile comm(6.25),VR&amp;AR(6.25),wood processing(6.25),metal processing(6.25),plastic processing(6.25),electronics(6.25),fabric(6.25),aesthetics(6.25),functions(6.25),safety(6.25),interaction(6.25), </v>
      </c>
      <c r="JH139" s="47" t="str">
        <f t="shared" si="482"/>
        <v xml:space="preserve">enthusiasm(1),local biz(1),non-profits(1),reputation(2), </v>
      </c>
      <c r="JI139" s="47" t="str">
        <f t="shared" si="482"/>
        <v xml:space="preserve"> </v>
      </c>
      <c r="JJ139" s="47" t="str">
        <f t="shared" si="482"/>
        <v xml:space="preserve"> </v>
      </c>
      <c r="JK139" s="47" t="str">
        <f t="shared" si="482"/>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39" s="47" t="str">
        <f t="shared" si="482"/>
        <v xml:space="preserve">non-profits(1), </v>
      </c>
      <c r="JM139" s="47" t="str">
        <f t="shared" si="482"/>
        <v xml:space="preserve">non-profits(6.25), </v>
      </c>
      <c r="JN139" s="47" t="str">
        <f t="shared" si="482"/>
        <v xml:space="preserve">enthusiasm(1),network(1),local biz(1),investors(1),entrepreneurs(1),technologists(1),non-profits(1),reputation(2),portfolio(2), </v>
      </c>
      <c r="JO139" s="47" t="str">
        <f t="shared" si="482"/>
        <v xml:space="preserve"> </v>
      </c>
      <c r="JP139" s="47" t="str">
        <f t="shared" si="482"/>
        <v xml:space="preserve"> </v>
      </c>
      <c r="JQ139" s="47" t="str">
        <f t="shared" si="482"/>
        <v xml:space="preserve">community manager(1),PR(1),finance(1),administrator(1),enthusiasm(2),fame(2),network(2),level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39" s="47" t="str">
        <f t="shared" si="482"/>
        <v xml:space="preserve"> </v>
      </c>
      <c r="JS139" s="47" t="str">
        <f t="shared" si="482"/>
        <v xml:space="preserve"> </v>
      </c>
      <c r="JT139" s="47" t="str">
        <f t="shared" si="482"/>
        <v xml:space="preserve">PR(1),administrator(1),enthusiasm(2),network(2),local biz(2),biz group(1),govt(2),investors(2),entrepreneurs(2),technologists(2),non-profits(2),reputation(2),portfolio(3), </v>
      </c>
      <c r="JU139" s="47" t="str">
        <f t="shared" si="482"/>
        <v xml:space="preserve"> </v>
      </c>
      <c r="JV139" s="47" t="str">
        <f t="shared" si="482"/>
        <v xml:space="preserve"> </v>
      </c>
      <c r="JW139" s="47" t="str">
        <f t="shared" si="482"/>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39" s="47" t="str">
        <f t="shared" si="482"/>
        <v xml:space="preserve"> </v>
      </c>
      <c r="JY139" s="47" t="str">
        <f t="shared" si="482"/>
        <v xml:space="preserve"> </v>
      </c>
      <c r="JZ139" s="47" t="str">
        <f t="shared" si="482"/>
        <v xml:space="preserve">network(1),non-profits(1),reputation(2),social project(2), </v>
      </c>
      <c r="KA139" s="47" t="str">
        <f t="shared" si="482"/>
        <v xml:space="preserve">non-profits(1), </v>
      </c>
      <c r="KB139" s="47" t="str">
        <f t="shared" si="482"/>
        <v xml:space="preserve">non-profits(25), </v>
      </c>
      <c r="KC139" s="47" t="str">
        <f t="shared" si="482"/>
        <v xml:space="preserve">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39" s="47" t="str">
        <f t="shared" si="482"/>
        <v xml:space="preserve">non-profits(1), </v>
      </c>
      <c r="KE139" s="47" t="str">
        <f t="shared" si="482"/>
        <v xml:space="preserve">non-profits(6.25), </v>
      </c>
      <c r="KF139" s="47" t="str">
        <f t="shared" si="482"/>
        <v xml:space="preserve"> </v>
      </c>
      <c r="KG139" s="47" t="str">
        <f t="shared" si="482"/>
        <v xml:space="preserve"> </v>
      </c>
      <c r="KH139" s="47" t="str">
        <f t="shared" si="482"/>
        <v xml:space="preserve"> </v>
      </c>
      <c r="KI139" s="47" t="str">
        <f t="shared" si="482"/>
        <v xml:space="preserve"> </v>
      </c>
      <c r="KJ139" s="47" t="str">
        <f t="shared" si="482"/>
        <v xml:space="preserve"> </v>
      </c>
      <c r="KK139" s="47" t="str">
        <f t="shared" si="482"/>
        <v xml:space="preserve"> </v>
      </c>
      <c r="KL139" s="57" t="str">
        <f t="shared" si="482"/>
        <v xml:space="preserve"> </v>
      </c>
      <c r="KM139" s="47" t="str">
        <f t="shared" si="482"/>
        <v xml:space="preserve"> </v>
      </c>
      <c r="KN139" s="47" t="str">
        <f t="shared" si="482"/>
        <v xml:space="preserve"> </v>
      </c>
      <c r="KO139" s="47" t="str">
        <f t="shared" si="482"/>
        <v xml:space="preserve"> </v>
      </c>
      <c r="KP139" s="47" t="str">
        <f t="shared" si="482"/>
        <v xml:space="preserve"> </v>
      </c>
      <c r="KQ139" s="47" t="str">
        <f t="shared" si="482"/>
        <v xml:space="preserve"> </v>
      </c>
      <c r="KR139" s="57" t="str">
        <f t="shared" si="482"/>
        <v xml:space="preserve"> </v>
      </c>
      <c r="KS139" s="47" t="str">
        <f t="shared" si="482"/>
        <v xml:space="preserve"> </v>
      </c>
      <c r="KT139" s="47" t="str">
        <f t="shared" si="482"/>
        <v xml:space="preserve"> </v>
      </c>
      <c r="KU139" s="47" t="str">
        <f t="shared" si="482"/>
        <v xml:space="preserve"> </v>
      </c>
      <c r="KV139" s="47" t="str">
        <f t="shared" si="482"/>
        <v xml:space="preserve"> </v>
      </c>
      <c r="KW139" s="47" t="str">
        <f t="shared" si="482"/>
        <v xml:space="preserve"> </v>
      </c>
      <c r="KX139" s="57" t="str">
        <f t="shared" si="482"/>
        <v xml:space="preserve"> </v>
      </c>
      <c r="KY139" s="47" t="str">
        <f t="shared" si="482"/>
        <v xml:space="preserve"> </v>
      </c>
      <c r="KZ139" s="47" t="str">
        <f t="shared" si="482"/>
        <v xml:space="preserve"> </v>
      </c>
      <c r="LA139" s="47" t="str">
        <f t="shared" si="482"/>
        <v xml:space="preserve"> </v>
      </c>
      <c r="LB139" s="47" t="str">
        <f t="shared" si="482"/>
        <v xml:space="preserve"> </v>
      </c>
      <c r="LC139" s="47" t="str">
        <f t="shared" si="482"/>
        <v xml:space="preserve"> </v>
      </c>
      <c r="LD139" s="57" t="str">
        <f t="shared" si="482"/>
        <v xml:space="preserve"> </v>
      </c>
      <c r="LE139" s="47" t="str">
        <f t="shared" si="482"/>
        <v xml:space="preserve"> </v>
      </c>
      <c r="LF139" s="47" t="str">
        <f t="shared" si="482"/>
        <v xml:space="preserve"> </v>
      </c>
      <c r="LG139" s="47" t="str">
        <f t="shared" si="482"/>
        <v xml:space="preserve"> </v>
      </c>
      <c r="LH139" s="47" t="str">
        <f t="shared" ref="LH139:NM139" si="483">IF(LH37="",LH140,$C139&amp;"("&amp;LH37&amp;"),"&amp;LH140)</f>
        <v xml:space="preserve"> </v>
      </c>
      <c r="LI139" s="47" t="str">
        <f t="shared" si="483"/>
        <v xml:space="preserve"> </v>
      </c>
      <c r="LJ139" s="57" t="str">
        <f t="shared" si="483"/>
        <v xml:space="preserve"> </v>
      </c>
      <c r="LK139" s="47" t="str">
        <f t="shared" si="483"/>
        <v xml:space="preserve"> </v>
      </c>
      <c r="LL139" s="47" t="str">
        <f t="shared" si="483"/>
        <v xml:space="preserve"> </v>
      </c>
      <c r="LM139" s="47" t="str">
        <f t="shared" si="483"/>
        <v xml:space="preserve"> </v>
      </c>
      <c r="LN139" s="47" t="str">
        <f t="shared" si="483"/>
        <v xml:space="preserve"> </v>
      </c>
      <c r="LO139" s="47" t="str">
        <f t="shared" si="483"/>
        <v xml:space="preserve"> </v>
      </c>
      <c r="LP139" s="57" t="str">
        <f t="shared" si="483"/>
        <v xml:space="preserve"> </v>
      </c>
      <c r="LQ139" s="47" t="str">
        <f t="shared" si="483"/>
        <v xml:space="preserve"> </v>
      </c>
      <c r="LR139" s="47" t="str">
        <f t="shared" si="483"/>
        <v xml:space="preserve"> </v>
      </c>
      <c r="LS139" s="47" t="str">
        <f t="shared" si="483"/>
        <v xml:space="preserve"> </v>
      </c>
      <c r="LT139" s="47" t="str">
        <f t="shared" si="483"/>
        <v xml:space="preserve"> </v>
      </c>
      <c r="LU139" s="47" t="str">
        <f t="shared" si="483"/>
        <v xml:space="preserve"> </v>
      </c>
      <c r="LV139" s="57" t="str">
        <f t="shared" si="483"/>
        <v xml:space="preserve"> </v>
      </c>
      <c r="LW139" s="47" t="str">
        <f t="shared" si="483"/>
        <v xml:space="preserve"> </v>
      </c>
      <c r="LX139" s="47" t="str">
        <f t="shared" si="483"/>
        <v xml:space="preserve"> </v>
      </c>
      <c r="LY139" s="47" t="str">
        <f t="shared" si="483"/>
        <v xml:space="preserve"> </v>
      </c>
      <c r="LZ139" s="47" t="str">
        <f t="shared" si="483"/>
        <v xml:space="preserve"> </v>
      </c>
      <c r="MA139" s="47" t="str">
        <f t="shared" si="483"/>
        <v xml:space="preserve"> </v>
      </c>
      <c r="MB139" s="57" t="str">
        <f t="shared" si="483"/>
        <v xml:space="preserve"> </v>
      </c>
      <c r="MC139" s="47" t="str">
        <f t="shared" si="483"/>
        <v xml:space="preserve"> </v>
      </c>
      <c r="MD139" s="47" t="str">
        <f t="shared" si="483"/>
        <v xml:space="preserve"> </v>
      </c>
      <c r="ME139" s="47" t="str">
        <f t="shared" si="483"/>
        <v xml:space="preserve"> </v>
      </c>
      <c r="MF139" s="47" t="str">
        <f t="shared" si="483"/>
        <v xml:space="preserve"> </v>
      </c>
      <c r="MG139" s="47" t="str">
        <f t="shared" si="483"/>
        <v xml:space="preserve"> </v>
      </c>
      <c r="MH139" s="57" t="str">
        <f t="shared" si="483"/>
        <v xml:space="preserve"> </v>
      </c>
      <c r="MI139" s="47" t="str">
        <f t="shared" si="483"/>
        <v xml:space="preserve"> </v>
      </c>
      <c r="MJ139" s="47" t="str">
        <f t="shared" si="483"/>
        <v xml:space="preserve"> </v>
      </c>
      <c r="MK139" s="47" t="str">
        <f t="shared" si="483"/>
        <v xml:space="preserve"> </v>
      </c>
      <c r="ML139" s="47" t="str">
        <f t="shared" si="483"/>
        <v xml:space="preserve"> </v>
      </c>
      <c r="MM139" s="47" t="str">
        <f t="shared" si="483"/>
        <v xml:space="preserve"> </v>
      </c>
      <c r="MN139" s="57" t="str">
        <f t="shared" si="483"/>
        <v xml:space="preserve"> </v>
      </c>
      <c r="MO139" s="47" t="str">
        <f t="shared" si="483"/>
        <v xml:space="preserve"> </v>
      </c>
      <c r="MP139" s="47" t="str">
        <f t="shared" si="483"/>
        <v xml:space="preserve"> </v>
      </c>
      <c r="MQ139" s="47" t="str">
        <f t="shared" si="483"/>
        <v xml:space="preserve"> </v>
      </c>
      <c r="MR139" s="47" t="str">
        <f t="shared" si="483"/>
        <v xml:space="preserve"> </v>
      </c>
      <c r="MS139" s="47" t="str">
        <f t="shared" si="483"/>
        <v xml:space="preserve"> </v>
      </c>
      <c r="MT139" s="57" t="str">
        <f t="shared" si="483"/>
        <v xml:space="preserve"> </v>
      </c>
      <c r="MU139" s="47" t="str">
        <f t="shared" si="483"/>
        <v xml:space="preserve"> </v>
      </c>
      <c r="MV139" s="47" t="str">
        <f t="shared" si="483"/>
        <v xml:space="preserve"> </v>
      </c>
      <c r="MW139" s="47" t="str">
        <f t="shared" si="483"/>
        <v xml:space="preserve"> </v>
      </c>
      <c r="MX139" s="47" t="str">
        <f t="shared" si="483"/>
        <v xml:space="preserve"> </v>
      </c>
      <c r="MY139" s="47" t="str">
        <f t="shared" si="483"/>
        <v xml:space="preserve"> </v>
      </c>
      <c r="MZ139" s="57" t="str">
        <f t="shared" si="483"/>
        <v xml:space="preserve"> </v>
      </c>
      <c r="NA139" s="47" t="str">
        <f t="shared" si="483"/>
        <v xml:space="preserve"> </v>
      </c>
      <c r="NB139" s="47" t="str">
        <f t="shared" si="483"/>
        <v xml:space="preserve"> </v>
      </c>
      <c r="NC139" s="47" t="str">
        <f t="shared" si="483"/>
        <v xml:space="preserve"> </v>
      </c>
      <c r="ND139" s="47" t="str">
        <f t="shared" si="483"/>
        <v xml:space="preserve"> </v>
      </c>
      <c r="NE139" s="47" t="str">
        <f t="shared" si="483"/>
        <v xml:space="preserve"> </v>
      </c>
      <c r="NF139" s="57" t="str">
        <f t="shared" si="483"/>
        <v xml:space="preserve"> </v>
      </c>
      <c r="NG139" s="47" t="str">
        <f t="shared" si="483"/>
        <v xml:space="preserve"> </v>
      </c>
      <c r="NH139" s="47" t="str">
        <f t="shared" si="483"/>
        <v xml:space="preserve"> </v>
      </c>
      <c r="NI139" s="47" t="str">
        <f t="shared" si="483"/>
        <v xml:space="preserve"> </v>
      </c>
      <c r="NJ139" s="47" t="str">
        <f t="shared" si="483"/>
        <v xml:space="preserve"> </v>
      </c>
      <c r="NK139" s="47" t="str">
        <f t="shared" si="483"/>
        <v xml:space="preserve"> </v>
      </c>
      <c r="NL139" s="57" t="str">
        <f t="shared" si="483"/>
        <v xml:space="preserve"> </v>
      </c>
      <c r="NM139" s="47" t="str">
        <f t="shared" si="483"/>
        <v xml:space="preserve"> </v>
      </c>
    </row>
    <row r="140" spans="3:377" ht="15.75" customHeight="1">
      <c r="C140" s="7" t="str">
        <f t="shared" si="296"/>
        <v>PR</v>
      </c>
      <c r="D140" s="21" t="str">
        <f t="shared" si="169"/>
        <v xml:space="preserve"> </v>
      </c>
      <c r="E140" s="21" t="str">
        <f t="shared" si="297"/>
        <v xml:space="preserve"> </v>
      </c>
      <c r="F140" s="21" t="str">
        <f t="shared" si="170"/>
        <v xml:space="preserve"> </v>
      </c>
      <c r="G140" s="21" t="str">
        <f t="shared" si="298"/>
        <v xml:space="preserve">PR(1), fame(1), network(2), ease of access(1), reputation(2), social media(1),  </v>
      </c>
      <c r="H140" s="21" t="str">
        <f t="shared" si="299"/>
        <v xml:space="preserve"> </v>
      </c>
      <c r="I140" s="21" t="str">
        <f t="shared" ref="I140" si="484">IF(I38="",I141,$C140&amp;"("&amp;I38&amp;"),"&amp;I141)</f>
        <v xml:space="preserve"> </v>
      </c>
      <c r="J140" s="21" t="str">
        <f t="shared" si="468"/>
        <v xml:space="preserve">interaction 1
 </v>
      </c>
      <c r="K140" s="21" t="str">
        <f t="shared" si="173"/>
        <v xml:space="preserve">reputation(1,75),  </v>
      </c>
      <c r="L140" s="21" t="str">
        <f t="shared" si="469"/>
        <v xml:space="preserve">reputation 75
 </v>
      </c>
      <c r="M140" s="21" t="str">
        <f t="shared" si="175"/>
        <v xml:space="preserve">PR(1), portfolio(1), social innovation(1), non-profit biz(1),  </v>
      </c>
      <c r="N140" s="21" t="str">
        <f t="shared" si="176"/>
        <v xml:space="preserve">non-profits(1,12.5), reputation(1,75), marketing(1,12.5),  </v>
      </c>
      <c r="O140" s="21" t="str">
        <f t="shared" si="470"/>
        <v xml:space="preserve">non-profits(12.5),reputation(75),marketing(12.5), </v>
      </c>
      <c r="P140" s="21" t="str">
        <f t="shared" si="468"/>
        <v xml:space="preserve">biz project 1
 </v>
      </c>
      <c r="Q140" s="21" t="str">
        <f t="shared" si="178"/>
        <v xml:space="preserve"> </v>
      </c>
      <c r="R140" s="21" t="str">
        <f t="shared" si="469"/>
        <v xml:space="preserve"> </v>
      </c>
      <c r="S140" s="21" t="str">
        <f t="shared" si="179"/>
        <v xml:space="preserve">portfolio(1), biz enhancement(1), business(1), start-up(1),  </v>
      </c>
      <c r="T140" s="21" t="str">
        <f t="shared" si="180"/>
        <v xml:space="preserve">local biz(1,6.25), investors(1,6.25), reputation(1,6.25),  </v>
      </c>
      <c r="U140" s="21" t="str">
        <f t="shared" si="470"/>
        <v xml:space="preserve">local biz(6.25),investors(6.25),reputation(6.25), </v>
      </c>
      <c r="V140" s="21" t="str">
        <f t="shared" si="468"/>
        <v xml:space="preserve"> </v>
      </c>
      <c r="W140" s="21" t="str">
        <f t="shared" si="181"/>
        <v xml:space="preserve">local biz(1,),  </v>
      </c>
      <c r="X140" s="21" t="str">
        <f t="shared" si="469"/>
        <v xml:space="preserve"> </v>
      </c>
      <c r="Y140" s="21" t="str">
        <f t="shared" si="182"/>
        <v xml:space="preserve">PR(1), network(1), ease of access(1), reputation(1), portfolio(1), biz project(1), biz enhancement(1), job creation(1), business(1),  </v>
      </c>
      <c r="Z140" s="21" t="str">
        <f t="shared" si="183"/>
        <v xml:space="preserve">local biz(1,6.25),  </v>
      </c>
      <c r="AA140" s="21" t="str">
        <f t="shared" si="470"/>
        <v xml:space="preserve">local biz(6.25), </v>
      </c>
      <c r="AB140" s="21" t="str">
        <f t="shared" si="468"/>
        <v xml:space="preserve"> </v>
      </c>
      <c r="AC140" s="21" t="str">
        <f t="shared" si="184"/>
        <v xml:space="preserve">non-profits(1,100),  </v>
      </c>
      <c r="AD140" s="21" t="str">
        <f t="shared" si="469"/>
        <v xml:space="preserve">non-profits 100
 </v>
      </c>
      <c r="AE140" s="21" t="str">
        <f t="shared" si="185"/>
        <v xml:space="preserve">PR(1), network(1), ease of access(1), reputation(1), portfolio(1), social project(1), social innovation(1), non-profit biz(1),  </v>
      </c>
      <c r="AF140" s="21" t="str">
        <f t="shared" si="186"/>
        <v xml:space="preserve">non-profits(1,6.25),  </v>
      </c>
      <c r="AG140" s="21" t="str">
        <f t="shared" si="470"/>
        <v xml:space="preserve">non-profits(6.25), </v>
      </c>
      <c r="AH140" s="21" t="str">
        <f t="shared" si="468"/>
        <v xml:space="preserve"> </v>
      </c>
      <c r="AI140" s="21" t="str">
        <f t="shared" si="187"/>
        <v xml:space="preserve">govt(1,),  </v>
      </c>
      <c r="AJ140" s="21" t="str">
        <f t="shared" si="469"/>
        <v xml:space="preserve"> </v>
      </c>
      <c r="AK140" s="21" t="str">
        <f t="shared" si="188"/>
        <v xml:space="preserve">fame(1), network(1), govt(1), ease of access(1), reputation(2), portfolio(1), social project(1), social innovation(1), non-profit biz(1),  </v>
      </c>
      <c r="AL140" s="21" t="str">
        <f t="shared" si="189"/>
        <v xml:space="preserve">govt(1,6.25),  </v>
      </c>
      <c r="AM140" s="21" t="str">
        <f t="shared" si="470"/>
        <v xml:space="preserve">govt(6.25), </v>
      </c>
      <c r="AN140" s="21" t="str">
        <f t="shared" si="468"/>
        <v xml:space="preserve"> </v>
      </c>
      <c r="AO140" s="21" t="str">
        <f t="shared" si="190"/>
        <v xml:space="preserve">fame(1,), network(1,), investors(1,6.25),  </v>
      </c>
      <c r="AP140" s="21" t="str">
        <f t="shared" si="469"/>
        <v xml:space="preserve">investors 6.25
 </v>
      </c>
      <c r="AQ140" s="21" t="str">
        <f t="shared" si="191"/>
        <v xml:space="preserve">investors(1), ease of access(1), reputation(1), portfolio(1), start-up(1), start-up with mvp(1), start-up with customers(1),  </v>
      </c>
      <c r="AR140" s="21" t="str">
        <f t="shared" si="192"/>
        <v xml:space="preserve"> </v>
      </c>
      <c r="AS140" s="21" t="str">
        <f t="shared" si="470"/>
        <v xml:space="preserve"> </v>
      </c>
      <c r="AT140" s="21" t="str">
        <f t="shared" si="468"/>
        <v xml:space="preserve">administrator 1
non-profits 2
reputation 1
portfolio 1
social project 1
 </v>
      </c>
      <c r="AU140" s="21" t="str">
        <f t="shared" si="193"/>
        <v xml:space="preserve"> </v>
      </c>
      <c r="AV140" s="21" t="str">
        <f t="shared" si="469"/>
        <v xml:space="preserve"> </v>
      </c>
      <c r="AW140" s="21" t="str">
        <f t="shared" si="194"/>
        <v xml:space="preserve">PR(2), administrator(1), project management(2),  </v>
      </c>
      <c r="AX140" s="21" t="str">
        <f t="shared" si="195"/>
        <v xml:space="preserve">organizational rules and manuals(1,12.5), project management(1,12.5),  </v>
      </c>
      <c r="AY140" s="21" t="str">
        <f t="shared" si="470"/>
        <v xml:space="preserve">organizational rules and manuals(12.5),project management(12.5), </v>
      </c>
      <c r="AZ140" s="21" t="str">
        <f t="shared" si="468"/>
        <v xml:space="preserve">non-profits 1
 </v>
      </c>
      <c r="BA140" s="21" t="str">
        <f t="shared" si="196"/>
        <v xml:space="preserve"> </v>
      </c>
      <c r="BB140" s="21" t="str">
        <f t="shared" si="469"/>
        <v xml:space="preserve"> </v>
      </c>
      <c r="BC140" s="21" t="str">
        <f t="shared" si="197"/>
        <v xml:space="preserve"> </v>
      </c>
      <c r="BD140" s="21" t="str">
        <f t="shared" si="198"/>
        <v xml:space="preserve"> </v>
      </c>
      <c r="BE140" s="21" t="str">
        <f t="shared" si="470"/>
        <v xml:space="preserve"> </v>
      </c>
      <c r="BF140" s="21" t="str">
        <f t="shared" si="468"/>
        <v xml:space="preserve">administrator 1
local biz 2
entrepreneurs 1
reputation 1
portfolio 1
biz project 1
 </v>
      </c>
      <c r="BG140" s="21" t="str">
        <f t="shared" si="199"/>
        <v xml:space="preserve"> </v>
      </c>
      <c r="BH140" s="21" t="str">
        <f t="shared" si="469"/>
        <v xml:space="preserve"> </v>
      </c>
      <c r="BI140" s="21" t="str">
        <f t="shared" si="200"/>
        <v xml:space="preserve">PR(2), administrator(1), project management(2),  </v>
      </c>
      <c r="BJ140" s="21" t="str">
        <f t="shared" si="201"/>
        <v xml:space="preserve">organizational rules and manuals(1,12.5), project management(1,12.5),  </v>
      </c>
      <c r="BK140" s="21" t="str">
        <f t="shared" si="470"/>
        <v xml:space="preserve">organizational rules and manuals(12.5),project management(12.5), </v>
      </c>
      <c r="BL140" s="21" t="str">
        <f t="shared" si="468"/>
        <v xml:space="preserve">local biz 1
reputation 1
portfolio 1
biz enhancement 1
 </v>
      </c>
      <c r="BM140" s="21" t="str">
        <f t="shared" si="202"/>
        <v xml:space="preserve"> </v>
      </c>
      <c r="BN140" s="21" t="str">
        <f t="shared" si="469"/>
        <v xml:space="preserve"> </v>
      </c>
      <c r="BO140" s="21" t="str">
        <f t="shared" si="203"/>
        <v xml:space="preserve"> </v>
      </c>
      <c r="BP140" s="21" t="str">
        <f t="shared" si="204"/>
        <v xml:space="preserve"> </v>
      </c>
      <c r="BQ140" s="21" t="str">
        <f t="shared" si="470"/>
        <v xml:space="preserve"> </v>
      </c>
      <c r="BR140" s="21" t="str">
        <f t="shared" si="468"/>
        <v xml:space="preserve"> </v>
      </c>
      <c r="BS140" s="21" t="str">
        <f t="shared" si="205"/>
        <v xml:space="preserve"> </v>
      </c>
      <c r="BT140" s="21" t="str">
        <f t="shared" si="469"/>
        <v xml:space="preserve"> </v>
      </c>
      <c r="BU140" s="21" t="str">
        <f t="shared" si="206"/>
        <v xml:space="preserve"> </v>
      </c>
      <c r="BV140" s="21" t="str">
        <f t="shared" si="207"/>
        <v xml:space="preserve"> </v>
      </c>
      <c r="BW140" s="21" t="str">
        <f t="shared" si="470"/>
        <v xml:space="preserve"> </v>
      </c>
      <c r="BX140" s="21" t="str">
        <f t="shared" si="471"/>
        <v xml:space="preserve">network 1
 </v>
      </c>
      <c r="BY140" s="21" t="str">
        <f t="shared" si="209"/>
        <v xml:space="preserve">efficiency(1,),  </v>
      </c>
      <c r="BZ140" s="21" t="str">
        <f t="shared" si="472"/>
        <v xml:space="preserve"> </v>
      </c>
      <c r="CA140" s="21" t="str">
        <f t="shared" si="211"/>
        <v xml:space="preserve">administrator(1), negotiation(1),  </v>
      </c>
      <c r="CB140" s="21" t="str">
        <f t="shared" si="212"/>
        <v xml:space="preserve">user rules and manuals(1,50), organizational rules and manuals(1,50),  </v>
      </c>
      <c r="CC140" s="21" t="str">
        <f t="shared" si="473"/>
        <v xml:space="preserve">user rules and manuals(50),organizational rules and manuals(50), </v>
      </c>
      <c r="CD140" s="21" t="str">
        <f t="shared" si="471"/>
        <v xml:space="preserve">network 1
 </v>
      </c>
      <c r="CE140" s="21" t="str">
        <f t="shared" si="214"/>
        <v xml:space="preserve">non-profits(1,),  </v>
      </c>
      <c r="CF140" s="21" t="str">
        <f t="shared" si="472"/>
        <v xml:space="preserve"> </v>
      </c>
      <c r="CG140" s="21" t="str">
        <f t="shared" si="215"/>
        <v xml:space="preserve">ease of access(1), portfolio(1), user rules and manuals(1), negotiation(1), social project(1), biz project(1), for basic literacy(1), for the elites(1), for entrepreneurs(1),  </v>
      </c>
      <c r="CH140" s="21" t="str">
        <f t="shared" si="216"/>
        <v xml:space="preserve">technologists(1,6.25), non-profits(1,6.25),  </v>
      </c>
      <c r="CI140" s="21" t="str">
        <f t="shared" si="473"/>
        <v xml:space="preserve">technologists(6.25),non-profits(6.25), </v>
      </c>
      <c r="CJ140" s="21" t="str">
        <f t="shared" si="471"/>
        <v xml:space="preserve"> </v>
      </c>
      <c r="CK140" s="21" t="str">
        <f t="shared" si="217"/>
        <v xml:space="preserve">suppliers(1,),  </v>
      </c>
      <c r="CL140" s="21" t="str">
        <f t="shared" si="472"/>
        <v xml:space="preserve"> </v>
      </c>
      <c r="CM140" s="21" t="str">
        <f t="shared" si="218"/>
        <v xml:space="preserve">reputation(1), negotiation(1),  </v>
      </c>
      <c r="CN140" s="21" t="str">
        <f t="shared" si="219"/>
        <v xml:space="preserve">efficiency(1,6.25),  </v>
      </c>
      <c r="CO140" s="21" t="str">
        <f t="shared" si="473"/>
        <v xml:space="preserve">efficiency(6.25), </v>
      </c>
      <c r="CP140" s="21" t="str">
        <f t="shared" si="471"/>
        <v xml:space="preserve"> </v>
      </c>
      <c r="CQ140" s="21" t="str">
        <f t="shared" si="220"/>
        <v xml:space="preserve">technologists(1,),  </v>
      </c>
      <c r="CR140" s="21" t="str">
        <f t="shared" si="472"/>
        <v xml:space="preserve"> </v>
      </c>
      <c r="CS140" s="21" t="str">
        <f t="shared" si="221"/>
        <v xml:space="preserve">network(1), portfolio(1), negotiation(1), web(1), infrastructrue(1), database(1), mobile apps(1), sensors(1), security(1), AI&amp; data analysis(1), mobile comm(1), VR&amp;AR(1), wood processing(1), metal processing(1), plastic processing(1), electronics(1), fabric(1),  </v>
      </c>
      <c r="CT140" s="21" t="str">
        <f t="shared" si="222"/>
        <v xml:space="preserve">efficiency(1,6.25),  </v>
      </c>
      <c r="CU140" s="21" t="str">
        <f t="shared" si="473"/>
        <v xml:space="preserve">efficiency(6.25), </v>
      </c>
      <c r="CV140" s="21" t="str">
        <f t="shared" si="471"/>
        <v xml:space="preserve"> </v>
      </c>
      <c r="CW140" s="21" t="str">
        <f t="shared" si="223"/>
        <v xml:space="preserve">local biz(1,),  </v>
      </c>
      <c r="CX140" s="21" t="str">
        <f t="shared" si="472"/>
        <v xml:space="preserve"> </v>
      </c>
      <c r="CY140" s="21" t="str">
        <f t="shared" si="224"/>
        <v xml:space="preserve">ease of access(1), reputation(1), portfolio(1), negotiation(1),  </v>
      </c>
      <c r="CZ140" s="21" t="str">
        <f t="shared" si="225"/>
        <v xml:space="preserve">non-profits(1,6.25),  </v>
      </c>
      <c r="DA140" s="21" t="str">
        <f t="shared" si="473"/>
        <v xml:space="preserve">non-profits(6.25), </v>
      </c>
      <c r="DB140" s="21" t="str">
        <f t="shared" si="471"/>
        <v xml:space="preserve"> </v>
      </c>
      <c r="DC140" s="21" t="str">
        <f t="shared" si="226"/>
        <v xml:space="preserve"> </v>
      </c>
      <c r="DD140" s="21" t="str">
        <f t="shared" si="472"/>
        <v xml:space="preserve"> </v>
      </c>
      <c r="DE140"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0" s="21" t="str">
        <f t="shared" si="228"/>
        <v xml:space="preserve">network(1,), local biz(1,6.25), biz group(1,6.25), investors(1,6.25), entrepreneurs(1,6.25),  </v>
      </c>
      <c r="DG140" s="21" t="str">
        <f t="shared" si="473"/>
        <v xml:space="preserve">local biz(6.25),biz group(6.25),investors(6.25),entrepreneurs(6.25), </v>
      </c>
      <c r="DH140" s="21" t="str">
        <f t="shared" si="471"/>
        <v xml:space="preserve">network 1
non-profits 1
reputation 1
social project 1
 </v>
      </c>
      <c r="DI140" s="21" t="str">
        <f t="shared" si="229"/>
        <v xml:space="preserve"> </v>
      </c>
      <c r="DJ140" s="21" t="str">
        <f t="shared" si="472"/>
        <v xml:space="preserve"> </v>
      </c>
      <c r="DK140" s="21" t="str">
        <f t="shared" si="230"/>
        <v xml:space="preserve">PR(1), 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0" s="21" t="str">
        <f t="shared" si="231"/>
        <v xml:space="preserve">reputation(1,6.25),  </v>
      </c>
      <c r="DM140" s="21" t="str">
        <f t="shared" si="473"/>
        <v xml:space="preserve">reputation(6.25), </v>
      </c>
      <c r="DN140" s="21" t="str">
        <f t="shared" si="471"/>
        <v xml:space="preserve">network 1
local biz 1
reputation 1
biz project 1
 </v>
      </c>
      <c r="DO140" s="21" t="str">
        <f t="shared" si="232"/>
        <v xml:space="preserve"> </v>
      </c>
      <c r="DP140" s="21" t="str">
        <f t="shared" si="472"/>
        <v xml:space="preserve"> </v>
      </c>
      <c r="DQ140" s="21" t="str">
        <f t="shared" si="233"/>
        <v xml:space="preserve">PR(1), 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0" s="21" t="str">
        <f t="shared" si="234"/>
        <v xml:space="preserve">reputation(1,6.25),  </v>
      </c>
      <c r="DS140" s="21" t="str">
        <f t="shared" si="473"/>
        <v xml:space="preserve">reputation(6.25), </v>
      </c>
      <c r="DT140" s="21" t="str">
        <f t="shared" si="471"/>
        <v xml:space="preserve">network 1
reputation 1
 </v>
      </c>
      <c r="DU140" s="21" t="str">
        <f t="shared" si="235"/>
        <v xml:space="preserve"> </v>
      </c>
      <c r="DV140" s="21" t="str">
        <f t="shared" si="472"/>
        <v xml:space="preserve"> </v>
      </c>
      <c r="DW140" s="21" t="str">
        <f t="shared" si="236"/>
        <v xml:space="preserve">PR(1), administrator(1), fame(2), network(2), local biz(1), biz group(1), govt(2), investors(1), media(2), entrepreneurs(1), technologists(1), non-profits(1), spaciousness(1), ease of access(1), reputation(2), efficiency(1), organizational rules and manuals(1), marketing(1), social media(1), for basic literacy(1),  </v>
      </c>
      <c r="DX140" s="21" t="str">
        <f t="shared" si="237"/>
        <v xml:space="preserve">reputation(1,6.25), for basic literacy(1,6.25),  </v>
      </c>
      <c r="DY140" s="21" t="str">
        <f t="shared" si="473"/>
        <v xml:space="preserve">reputation(6.25),for basic literacy(6.25), </v>
      </c>
      <c r="DZ140" s="21" t="str">
        <f t="shared" si="471"/>
        <v xml:space="preserve">network 1
reputation 1
 </v>
      </c>
      <c r="EA140" s="21" t="str">
        <f t="shared" si="238"/>
        <v xml:space="preserve"> </v>
      </c>
      <c r="EB140" s="21" t="str">
        <f t="shared" si="472"/>
        <v xml:space="preserve"> </v>
      </c>
      <c r="EC140" s="21" t="str">
        <f t="shared" si="239"/>
        <v xml:space="preserve">PR(1), 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0" s="21" t="str">
        <f t="shared" si="240"/>
        <v xml:space="preserve">reputation(1,6.25), for basic literacy(1,6.25),  </v>
      </c>
      <c r="EE140" s="21" t="str">
        <f t="shared" si="473"/>
        <v xml:space="preserve">reputation(6.25),for basic literacy(6.25), </v>
      </c>
      <c r="EF140" s="21" t="str">
        <f t="shared" si="471"/>
        <v xml:space="preserve">technologists 1
reputation 1
 </v>
      </c>
      <c r="EG140" s="21" t="str">
        <f t="shared" si="241"/>
        <v xml:space="preserve">web(1,50), mobile apps(1,50), interaction(1,50),  </v>
      </c>
      <c r="EH140" s="21" t="str">
        <f t="shared" si="472"/>
        <v xml:space="preserve">web 50
mobile apps 50
interaction 50
 </v>
      </c>
      <c r="EI140" s="21" t="str">
        <f t="shared" si="242"/>
        <v xml:space="preserve">administrator(1), enthusiasm(1), fame(1), network(2), level of understanding(1), technologists(2), ease of access(1), reputation(2), infrastructrue(1), database(1), mobile comm(1), for entrepreneurs(1),  </v>
      </c>
      <c r="EJ140" s="21" t="str">
        <f t="shared" si="243"/>
        <v xml:space="preserve">technologists(1,12.5), infrastructrue(1,12.5), database(1,12.5), mobile comm(1,12.5), for entrepreneurs(1,6.25),  </v>
      </c>
      <c r="EK140" s="21" t="str">
        <f t="shared" si="473"/>
        <v xml:space="preserve">technologists(12.5),infrastructrue(12.5),database(12.5),mobile comm(12.5),for entrepreneurs(6.25), </v>
      </c>
      <c r="EL140" s="21" t="str">
        <f t="shared" si="474"/>
        <v xml:space="preserve">technologists 1
reputation 1
 </v>
      </c>
      <c r="EM140" s="21" t="str">
        <f t="shared" si="245"/>
        <v xml:space="preserve">sensors(1,50),  </v>
      </c>
      <c r="EN140" s="21" t="str">
        <f t="shared" si="475"/>
        <v xml:space="preserve">sensors 50
 </v>
      </c>
      <c r="EO140" s="21" t="str">
        <f t="shared" si="247"/>
        <v xml:space="preserve">administrator(1), enthusiasm(1), fame(1), network(2), level of understanding(1), technologists(2), ease of access(1), reputation(2), project management(2), infrastructrue(1), database(1), mobile comm(1), for entrepreneurs(1),  </v>
      </c>
      <c r="EP140" s="21" t="str">
        <f t="shared" si="248"/>
        <v xml:space="preserve">technologists(1,12.5), infrastructrue(1,12.5), database(1,12.5), mobile comm(1,12.5), electronics(1,6.25), for entrepreneurs(1,6.25),  </v>
      </c>
      <c r="EQ140" s="21" t="str">
        <f t="shared" si="476"/>
        <v xml:space="preserve">technologists(12.5),infrastructrue(12.5),database(12.5),mobile comm(12.5),electronics(6.25),for entrepreneurs(6.25), </v>
      </c>
      <c r="ER140" s="21" t="str">
        <f t="shared" si="474"/>
        <v xml:space="preserve">technologists 1
 </v>
      </c>
      <c r="ES140" s="21" t="str">
        <f t="shared" si="250"/>
        <v xml:space="preserve">AI&amp; data analysis(1,50),  </v>
      </c>
      <c r="ET140" s="21" t="str">
        <f t="shared" si="475"/>
        <v xml:space="preserve">AI&amp; data analysis 50
 </v>
      </c>
      <c r="EU140" s="21" t="str">
        <f t="shared" si="251"/>
        <v xml:space="preserve">administrator(1), enthusiasm(1), fame(1), network(2), level of understanding(1), technologists(2), ease of access(1), reputation(2), database(1), sensors(1), mobile comm(1), for entrepreneurs(1),  </v>
      </c>
      <c r="EV140" s="21" t="str">
        <f t="shared" si="252"/>
        <v xml:space="preserve">technologists(1,12.5), database(1,12.5), sensors(1,12.5), mobile comm(1,12.5), for entrepreneurs(1,6.25),  </v>
      </c>
      <c r="EW140" s="21" t="str">
        <f t="shared" si="476"/>
        <v xml:space="preserve">technologists(12.5),database(12.5),sensors(12.5),mobile comm(12.5),for entrepreneurs(6.25), </v>
      </c>
      <c r="EX140" s="21" t="str">
        <f t="shared" si="474"/>
        <v xml:space="preserve">technologists 1
 </v>
      </c>
      <c r="EY140" s="21" t="str">
        <f t="shared" si="253"/>
        <v xml:space="preserve">law(1,50), security(1,50), interaction(1,25),  </v>
      </c>
      <c r="EZ140" s="21" t="str">
        <f t="shared" si="475"/>
        <v xml:space="preserve">law 50
security 50
interaction 25
 </v>
      </c>
      <c r="FA140" s="21" t="str">
        <f t="shared" si="254"/>
        <v xml:space="preserve">administrator(1), enthusiasm(1), fame(1), network(2), level of understanding(1), technologists(2), ease of access(1), reputation(2), law(2), for entrepreneurs(1),  </v>
      </c>
      <c r="FB140" s="21" t="str">
        <f t="shared" si="255"/>
        <v xml:space="preserve">technologists(1,12.5), law(1,6.25), database(1,12.5), mobile apps(1,12.5), security(1,12.5), mobile comm(1,12.5), for entrepreneurs(1,6.25),  </v>
      </c>
      <c r="FC140" s="21" t="str">
        <f t="shared" si="476"/>
        <v xml:space="preserve">technologists(12.5),law(6.25),database(12.5),mobile apps(12.5),security(12.5),mobile comm(12.5),for entrepreneurs(6.25), </v>
      </c>
      <c r="FD140" s="21" t="str">
        <f t="shared" si="474"/>
        <v xml:space="preserve">technologists 1
 </v>
      </c>
      <c r="FE140" s="21" t="str">
        <f t="shared" si="256"/>
        <v xml:space="preserve">law(1,50), sensors(1,50), security(1,50),  </v>
      </c>
      <c r="FF140" s="21" t="str">
        <f t="shared" si="475"/>
        <v xml:space="preserve">law 50
sensors 50
security 50
 </v>
      </c>
      <c r="FG140" s="21" t="str">
        <f t="shared" si="257"/>
        <v xml:space="preserve">administrator(1), enthusiasm(1), fame(1), network(2), level of understanding(1), technologists(2), ease of access(1), reputation(2), law(2), project management(2), for entrepreneurs(1),  </v>
      </c>
      <c r="FH140" s="21" t="str">
        <f t="shared" si="258"/>
        <v xml:space="preserve">technologists(1,12.5), law(1,6.25), database(1,6.25), mobile apps(1,6.25), AI&amp; data analysis(1,6.25), mobile comm(1,6.25), for entrepreneurs(1,6.25),  </v>
      </c>
      <c r="FI140" s="21" t="str">
        <f t="shared" si="476"/>
        <v xml:space="preserve">technologists(12.5),law(6.25),database(6.25),mobile apps(6.25),AI&amp; data analysis(6.25),mobile comm(6.25),for entrepreneurs(6.25), </v>
      </c>
      <c r="FJ140" s="21" t="str">
        <f t="shared" si="474"/>
        <v xml:space="preserve">technologists 1
 </v>
      </c>
      <c r="FK140" s="21" t="str">
        <f t="shared" si="259"/>
        <v xml:space="preserve">wood processing(1,25), metal processing(1,25), plastic processing(1,25), fabric(1,25), safety(1,25), interaction(1,25),  </v>
      </c>
      <c r="FL140" s="21" t="str">
        <f t="shared" si="475"/>
        <v xml:space="preserve">project management 2
wood processing 25
metal processing 25
plastic processing 25
fabric 25
safety 25
interaction 25
 </v>
      </c>
      <c r="FM140" s="21" t="str">
        <f t="shared" si="260"/>
        <v xml:space="preserve">administrator(1), enthusiasm(1), fame(1), network(2), level of understanding(1), technologists(2), spaciousness(1), ease of access(1), reputation(2), for entrepreneurs(1),  </v>
      </c>
      <c r="FN140" s="21" t="str">
        <f t="shared" si="261"/>
        <v xml:space="preserve">technologists(1,12.5), for entrepreneurs(1,6.25),  </v>
      </c>
      <c r="FO140" s="21" t="str">
        <f t="shared" si="476"/>
        <v xml:space="preserve">technologists(12.5),for entrepreneurs(6.25), </v>
      </c>
      <c r="FP140" s="21" t="str">
        <f t="shared" si="474"/>
        <v xml:space="preserve">technologists 1
 </v>
      </c>
      <c r="FQ140" s="21" t="str">
        <f t="shared" si="262"/>
        <v xml:space="preserve">web(1,25), mobile apps(1,50), functions(1,25), interaction(1,25),  </v>
      </c>
      <c r="FR140" s="21" t="str">
        <f t="shared" si="475"/>
        <v xml:space="preserve">web 25
mobile apps 50
functions 25
interaction 25
 </v>
      </c>
      <c r="FS140" s="21" t="str">
        <f t="shared" si="263"/>
        <v xml:space="preserve">administrator(1), enthusiasm(1), fame(1), network(2), level of understanding(1), technologists(2), spaciousness(1), ease of access(1), reputation(2), for entrepreneurs(1),  </v>
      </c>
      <c r="FT140" s="21" t="str">
        <f t="shared" si="264"/>
        <v xml:space="preserve">technologists(1,12.5), for entrepreneurs(1,6.25),  </v>
      </c>
      <c r="FU140" s="21" t="str">
        <f t="shared" si="476"/>
        <v xml:space="preserve">technologists(12.5),for entrepreneurs(6.25), </v>
      </c>
      <c r="FV140" s="21" t="str">
        <f t="shared" si="474"/>
        <v xml:space="preserve">technologists 1
 </v>
      </c>
      <c r="FW140" s="21" t="str">
        <f t="shared" si="265"/>
        <v xml:space="preserve">mobile apps(1,50), sensors(1,50), wood processing(1,25), plastic processing(1,25), electronics(1,25), functions(1,25), interaction(1,25),  </v>
      </c>
      <c r="FX140" s="21" t="str">
        <f t="shared" si="475"/>
        <v xml:space="preserve">mobile apps 50
sensors 50
wood processing 25
plastic processing 25
electronics 25
functions 25
interaction 25
 </v>
      </c>
      <c r="FY140" s="21" t="str">
        <f t="shared" si="266"/>
        <v xml:space="preserve">administrator(1), enthusiasm(1), fame(1), network(2), level of understanding(1), technologists(2), spaciousness(1), ease of access(1), reputation(2), project management(2), for entrepreneurs(1),  </v>
      </c>
      <c r="FZ140" s="21" t="str">
        <f t="shared" si="267"/>
        <v xml:space="preserve">technologists(1,12.5), web(1,6.25), database(1,6.25), AI&amp; data analysis(1,6.25), mobile comm(1,6.25), for entrepreneurs(1,6.25),  </v>
      </c>
      <c r="GA140" s="21" t="str">
        <f t="shared" si="476"/>
        <v xml:space="preserve">technologists(12.5),web(6.25),database(6.25),AI&amp; data analysis(6.25),mobile comm(6.25),for entrepreneurs(6.25), </v>
      </c>
      <c r="GB140" s="21" t="str">
        <f t="shared" si="474"/>
        <v xml:space="preserve">technologists 1
 </v>
      </c>
      <c r="GC140" s="21" t="str">
        <f t="shared" si="268"/>
        <v xml:space="preserve">sensors(1,25), mobile comm(1,25), electronics(1,50), functions(1,25), safety(1,25),  </v>
      </c>
      <c r="GD140" s="21" t="str">
        <f t="shared" si="475"/>
        <v xml:space="preserve">sensors 25
mobile comm 25
electronics 50
functions 25
safety 25
 </v>
      </c>
      <c r="GE140" s="21" t="str">
        <f t="shared" si="269"/>
        <v xml:space="preserve">administrator(1), enthusiasm(1), fame(1), network(2), level of understanding(1), technologists(2), spaciousness(1), ease of access(1), reputation(2), project management(2), for entrepreneurs(1),  </v>
      </c>
      <c r="GF140" s="21" t="str">
        <f t="shared" si="270"/>
        <v xml:space="preserve">technologists(1,12.5), database(1,6.25), mobile apps(1,6.25), AI&amp; data analysis(1,6.25), plastic processing(1,6.25), interaction(1,6.25), for entrepreneurs(1,6.25),  </v>
      </c>
      <c r="GG140" s="21" t="str">
        <f t="shared" si="476"/>
        <v xml:space="preserve">technologists(12.5),database(6.25),mobile apps(6.25),AI&amp; data analysis(6.25),plastic processing(6.25),interaction(6.25),for entrepreneurs(6.25), </v>
      </c>
      <c r="GH140" s="21" t="str">
        <f t="shared" si="474"/>
        <v xml:space="preserve">technologists 1
 </v>
      </c>
      <c r="GI140" s="21" t="str">
        <f t="shared" si="271"/>
        <v xml:space="preserve">web(1,25), mobile apps(1,50), functions(1,25), interaction(1,25),  </v>
      </c>
      <c r="GJ140" s="21" t="str">
        <f t="shared" si="475"/>
        <v xml:space="preserve">web 25
mobile apps 50
functions 25
interaction 25
 </v>
      </c>
      <c r="GK140" s="21" t="str">
        <f t="shared" si="272"/>
        <v xml:space="preserve">administrator(1), enthusiasm(1), fame(1), network(2), level of understanding(1), technologists(2), spaciousness(1), ease of access(1), reputation(2), project management(2), for entrepreneurs(1),  </v>
      </c>
      <c r="GL140" s="21" t="str">
        <f t="shared" si="273"/>
        <v xml:space="preserve">technologists(1,12.5), for entrepreneurs(1,6.25),  </v>
      </c>
      <c r="GM140" s="21" t="str">
        <f t="shared" si="476"/>
        <v xml:space="preserve">technologists(12.5),for entrepreneurs(6.25), </v>
      </c>
      <c r="GN140" s="21" t="str">
        <f t="shared" si="474"/>
        <v xml:space="preserve">technologists 1
 </v>
      </c>
      <c r="GO140" s="21" t="str">
        <f t="shared" si="274"/>
        <v xml:space="preserve">web(1,25), mobile apps(1,25), VR&amp;AR(1,25), aesthetics(1,25), functions(1,25), interaction(1,50),  </v>
      </c>
      <c r="GP140" s="21" t="str">
        <f t="shared" si="475"/>
        <v xml:space="preserve">web 25
mobile apps 25
VR&amp;AR 25
aesthetics 25
functions 25
interaction 50
 </v>
      </c>
      <c r="GQ140" s="21" t="str">
        <f t="shared" si="275"/>
        <v xml:space="preserve">administrator(1), enthusiasm(1), fame(1), network(2), level of understanding(1), technologists(2), spaciousness(1), ease of access(1), reputation(2), project management(2), for entrepreneurs(1),  </v>
      </c>
      <c r="GR140" s="21" t="str">
        <f t="shared" si="276"/>
        <v xml:space="preserve">technologists(1,12.5), for entrepreneurs(1,6.25),  </v>
      </c>
      <c r="GS140" s="21" t="str">
        <f t="shared" si="476"/>
        <v xml:space="preserve">technologists(12.5),for entrepreneurs(6.25), </v>
      </c>
      <c r="GT140" s="21" t="str">
        <f t="shared" si="474"/>
        <v xml:space="preserve">ease of access 1
reputation 2
web 1
mobile apps 1
mobile comm 1
 </v>
      </c>
      <c r="GU140" s="21" t="str">
        <f t="shared" si="277"/>
        <v xml:space="preserve"> </v>
      </c>
      <c r="GV140" s="21" t="str">
        <f t="shared" si="475"/>
        <v xml:space="preserve"> </v>
      </c>
      <c r="GW140" s="21" t="str">
        <f t="shared" si="278"/>
        <v xml:space="preserve">PR(1), 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0" s="21" t="str">
        <f t="shared" si="279"/>
        <v xml:space="preserve">media(1,6.25), entrepreneurs(1,6.25), technologists(1,6.25), project management(1,6.25), social media(1,6.25), web(1,6.25), mobile apps(1,6.25),  </v>
      </c>
      <c r="GY140" s="21" t="str">
        <f t="shared" si="476"/>
        <v xml:space="preserve">media(6.25),entrepreneurs(6.25),technologists(6.25),project management(6.25),social media(6.25),web(6.25),mobile apps(6.25), </v>
      </c>
      <c r="GZ140" s="21" t="str">
        <f t="shared" si="477"/>
        <v xml:space="preserve">network 1
govt 1
non-profits 1
reputation 2
portfolio 1
 </v>
      </c>
      <c r="HA140" s="21" t="str">
        <f t="shared" si="281"/>
        <v xml:space="preserve"> </v>
      </c>
      <c r="HB140" s="21" t="str">
        <f t="shared" si="478"/>
        <v xml:space="preserve"> </v>
      </c>
      <c r="HC140" s="21" t="str">
        <f t="shared" si="283"/>
        <v xml:space="preserve">PR(1), finance(1), administrator(1), network(2), govt(3), non-profits(3), reputation(4), portfolio(3), social media(2), web(2), mobile apps(2), sensors(2), AI&amp; data analysis(2), VR&amp;AR(2), plastic processing(2), electronics(2), aesthetics(2), interaction(2),  </v>
      </c>
      <c r="HD140" s="21" t="str">
        <f t="shared" si="284"/>
        <v xml:space="preserve">media(1,6.25), technologists(1,6.25), non-profits(1,6.25), reputation(1,6.25), start-up with customers(1,6.25), for basic literacy(1,6.25),  </v>
      </c>
      <c r="HE140" s="21" t="str">
        <f t="shared" si="479"/>
        <v xml:space="preserve">media(6.25),technologists(6.25),non-profits(6.25),reputation(6.25),start-up with customers(6.25),for basic literacy(6.25), </v>
      </c>
      <c r="HF140" s="21" t="str">
        <f t="shared" si="477"/>
        <v xml:space="preserve"> </v>
      </c>
      <c r="HG140" s="21" t="str">
        <f t="shared" si="286"/>
        <v xml:space="preserve"> </v>
      </c>
      <c r="HH140" s="21" t="str">
        <f t="shared" si="478"/>
        <v xml:space="preserve"> </v>
      </c>
      <c r="HI140" s="21" t="str">
        <f t="shared" si="287"/>
        <v xml:space="preserve">PR(1), finance(1), administrator(1), network(2), portfolio(3), marketing(2), team building(3), project management(2), mobile apps(3), sensors(2), plastic processing(2), electronics(2), aesthetics(2), functions(2), interaction(2),  </v>
      </c>
      <c r="HJ140" s="21" t="str">
        <f t="shared" si="288"/>
        <v xml:space="preserve">govt(1,6.25), media(1,6.25), non-profits(1,6.25), start-up with customers(1,6.25),  </v>
      </c>
      <c r="HK140" s="21" t="str">
        <f t="shared" si="479"/>
        <v xml:space="preserve">govt(6.25),media(6.25),non-profits(6.25),start-up with customers(6.25), </v>
      </c>
      <c r="HL140" s="21" t="str">
        <f t="shared" si="477"/>
        <v xml:space="preserve">PR 1
administrator 1
local biz 1
entrepreneurs 1
non-profits 1
reputation 2
portfolio 2
 </v>
      </c>
      <c r="HM140" s="21" t="str">
        <f t="shared" si="289"/>
        <v xml:space="preserve"> </v>
      </c>
      <c r="HN140" s="21" t="str">
        <f t="shared" si="478"/>
        <v xml:space="preserve"> </v>
      </c>
      <c r="HO140"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0" s="21" t="str">
        <f t="shared" si="291"/>
        <v xml:space="preserve">enthusiasm(1,6.25), level of understanding(1,6.25), local biz(1,6.25), biz group(1,6.25), govt(1,6.25), investors(1,6.25), media(1,6.25), entrepreneurs(1,6.25), technologists(1,6.25), suppliers(1,6.25), non-profits(1,6.25), reputation(1,6.25),  </v>
      </c>
      <c r="HQ140" s="47" t="str">
        <f t="shared" si="479"/>
        <v xml:space="preserve">enthusiasm(6.25),level of understanding(6.25),local biz(6.25),biz group(6.25),govt(6.25),investors(6.25),media(6.25),entrepreneurs(6.25),technologists(6.25),suppliers(6.25),non-profits(6.25),reputation(6.25), </v>
      </c>
      <c r="HR140" s="47" t="str">
        <f t="shared" ref="HR140:HW140" si="485">IF(HR38="",HR141,$C140&amp;"("&amp;HR38&amp;"),"&amp;HR141)</f>
        <v xml:space="preserve">reputation(2),portfolio(2),mobile apps(1),sensors(1),wood processing(1),aesthetics(1), </v>
      </c>
      <c r="HS140" s="47" t="str">
        <f t="shared" si="485"/>
        <v xml:space="preserve"> </v>
      </c>
      <c r="HT140" s="47" t="str">
        <f t="shared" si="485"/>
        <v xml:space="preserve"> </v>
      </c>
      <c r="HU140" s="47" t="str">
        <f t="shared" si="485"/>
        <v xml:space="preserve">PR(1),finance(1),administrator(1),enthusiasm(2),network(2),level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0" s="47" t="str">
        <f t="shared" si="485"/>
        <v xml:space="preserve">local biz(1),biz group(1),govt(1),investors(1),media(1),entrepreneurs(1),technologists(1),suppliers(1),non-profits(1),reputation(1), </v>
      </c>
      <c r="HW140" s="47" t="str">
        <f t="shared" si="485"/>
        <v xml:space="preserve">local biz(6.25),biz group(6.25),govt(6.25),investors(6.25),media(6.25),entrepreneurs(6.25),technologists(12.5),suppliers(6.25),non-profits(6.25),reputation(6.25), </v>
      </c>
      <c r="HX140" s="47" t="str">
        <f t="shared" ref="HX140:IU140" si="486">IF(HX38="",HX141,$C140&amp;"("&amp;HX38&amp;"),"&amp;HX141)</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0" s="47" t="str">
        <f t="shared" si="486"/>
        <v xml:space="preserve">biz enhancement(1), </v>
      </c>
      <c r="HZ140" s="47" t="str">
        <f t="shared" si="486"/>
        <v xml:space="preserve">biz enhancement(100), </v>
      </c>
      <c r="IA140" s="47" t="str">
        <f t="shared" si="486"/>
        <v xml:space="preserve">PR(1),finance(1),administrator(1),enthusiasm(2),network(2),ambition(2),knowledge(2),spaciousness(2),ease of access(3),efficiency(2),portfolio(4),finance(2),business model(2),marketing(3),team building(2),project management(2),social media(3),negotiation(3), </v>
      </c>
      <c r="IB140" s="47" t="str">
        <f t="shared" si="486"/>
        <v xml:space="preserve">level of understanding(1),ambition(1),local biz(1),biz group(1),govt(1),media(1),entrepreneurs(1),technologists(1),non-profits(1),reputation(1),team building(1),database(1),AI&amp; data analysis(1),electronics(1),functions(1), </v>
      </c>
      <c r="IC140" s="47" t="str">
        <f t="shared" si="486"/>
        <v xml:space="preserve">level of understanding(6.25),ambition(6.25),local biz(6.25),biz group(6.25),govt(6.25),media(6.25),entrepreneurs(6.25),technologists(6.25),non-profits(6.25),reputation(6.25),team building(6.25),database(6.25),AI&amp; data analysis(6.25),electronics(6.25),functions(6.25), </v>
      </c>
      <c r="ID140" s="47" t="str">
        <f t="shared" si="486"/>
        <v xml:space="preserve">technologists(2), </v>
      </c>
      <c r="IE140" s="47" t="str">
        <f t="shared" si="486"/>
        <v xml:space="preserve">web(1),mobile apps(1),security(1),AI&amp; data analysis(1), </v>
      </c>
      <c r="IF140" s="47" t="str">
        <f t="shared" si="486"/>
        <v xml:space="preserve">web(25),mobile apps(25),security(25),AI&amp; data analysis(25), </v>
      </c>
      <c r="IG140" s="47" t="str">
        <f t="shared" si="486"/>
        <v xml:space="preserve">administrator(1),network(2),entrepreneurs(3),technologists(4),spaciousness(2),ease of access(2),reputation(3),efficiency(2),portfolio(3),web(2),database(2),mobile apps(2),security(2),AI&amp; data analysis(2), </v>
      </c>
      <c r="IH140" s="47" t="str">
        <f t="shared" si="486"/>
        <v xml:space="preserve">technologists(1),web(1),database(1),mobile apps(1),security(1),AI&amp; data analysis(1), </v>
      </c>
      <c r="II140" s="47" t="str">
        <f t="shared" si="486"/>
        <v xml:space="preserve">technologists(6.25),web(6.25),database(6.25),mobile apps(6.25),security(6.25),AI&amp; data analysis(6.25), </v>
      </c>
      <c r="IJ140" s="47" t="str">
        <f t="shared" si="486"/>
        <v xml:space="preserve">technologists(2), </v>
      </c>
      <c r="IK140" s="47" t="str">
        <f t="shared" si="486"/>
        <v xml:space="preserve">wood processing(1),metal processing(1),functions(1),safety(1), </v>
      </c>
      <c r="IL140" s="47" t="str">
        <f t="shared" si="486"/>
        <v xml:space="preserve">wood processing(25),metal processing(25),functions(25),safety(25), </v>
      </c>
      <c r="IM140" s="47" t="str">
        <f t="shared" si="486"/>
        <v xml:space="preserve">administrator(1),network(2),entrepreneurs(3),technologists(4),spaciousness(2),ease of access(2),reputation(3),efficiency(2),portfolio(3),wood processing(2),metal processing(2),functions(2),safety(2), </v>
      </c>
      <c r="IN140" s="47" t="str">
        <f t="shared" si="486"/>
        <v xml:space="preserve">technologists(1),wood processing(1),metal processing(1),functions(1),safety(1),interaction(1), </v>
      </c>
      <c r="IO140" s="47" t="str">
        <f t="shared" si="486"/>
        <v xml:space="preserve">technologists(6.25),wood processing(6.25),metal processing(6.25),functions(6.25),safety(6.25),interaction(6.25), </v>
      </c>
      <c r="IP140" s="57" t="str">
        <f t="shared" si="486"/>
        <v xml:space="preserve">local biz(2),reputation(1), </v>
      </c>
      <c r="IQ140" s="47" t="str">
        <f t="shared" si="486"/>
        <v xml:space="preserve">local biz(1),marketing(1), </v>
      </c>
      <c r="IR140" s="47" t="str">
        <f t="shared" si="486"/>
        <v xml:space="preserve">local biz(25),marketing(25), </v>
      </c>
      <c r="IS140" s="47" t="str">
        <f t="shared" si="486"/>
        <v xml:space="preserve">finance(1),administrator(1),enthusiasm(3),network(2),level of understanding(3),local biz(3),biz group(2),govt(2),non-profits(2),reputation(3),efficiency(2),marketing(2), </v>
      </c>
      <c r="IT140" s="47" t="str">
        <f t="shared" si="486"/>
        <v xml:space="preserve">local biz(1),biz group(1),govt(1),non-profits(1),marketing(1), </v>
      </c>
      <c r="IU140" s="47" t="str">
        <f t="shared" si="486"/>
        <v xml:space="preserve">local biz(6.25),biz group(6.25),govt(6.25),non-profits(6.25),marketing(6.25), </v>
      </c>
      <c r="IV140" s="57" t="str">
        <f t="shared" ref="IV140:LG140" si="487">IF(IV38="",IV141,$C140&amp;"("&amp;IV38&amp;"),"&amp;IV141)</f>
        <v xml:space="preserve">local biz(2),reputation(1), </v>
      </c>
      <c r="IW140" s="47" t="str">
        <f t="shared" si="487"/>
        <v xml:space="preserve">local biz(1),marketing(1), </v>
      </c>
      <c r="IX140" s="47" t="str">
        <f t="shared" si="487"/>
        <v xml:space="preserve">local biz(25),marketing(25), </v>
      </c>
      <c r="IY140" s="47" t="str">
        <f t="shared" si="487"/>
        <v xml:space="preserve">finance(1),administrator(1),enthusiasm(3),network(2),level of understanding(3),local biz(3),biz group(2),govt(2),reputation(3),efficiency(2),marketing(2), </v>
      </c>
      <c r="IZ140" s="47" t="str">
        <f t="shared" si="487"/>
        <v xml:space="preserve">local biz(1),biz group(1),govt(1),marketing(1), </v>
      </c>
      <c r="JA140" s="47" t="str">
        <f t="shared" si="487"/>
        <v xml:space="preserve">local biz(6.25),biz group(6.25),govt(6.25),marketing(6.25), </v>
      </c>
      <c r="JB140" s="47" t="str">
        <f t="shared" si="487"/>
        <v xml:space="preserve"> </v>
      </c>
      <c r="JC140" s="47" t="str">
        <f t="shared" si="487"/>
        <v xml:space="preserve"> </v>
      </c>
      <c r="JD140" s="47" t="str">
        <f t="shared" si="487"/>
        <v xml:space="preserve"> </v>
      </c>
      <c r="JE140" s="47" t="str">
        <f t="shared" si="487"/>
        <v xml:space="preserve">PR(1),administrator(1),network(2),level of understanding(2),technologists(2),spaciousness(1),ease of access(1),reputation(3),efficiency(2), </v>
      </c>
      <c r="JF140" s="47" t="str">
        <f t="shared" si="487"/>
        <v xml:space="preserve">web(1),infrastructrue(1),database(1),mobile apps(1),sensors(1),security(1),AI&amp; data analysis(1),mobile comm(1),VR&amp;AR(1),wood processing(1),metal processing(1),plastic processing(1),electronics(1),fabric(1),aesthetics(1),functions(1),safety(1),interaction(1), </v>
      </c>
      <c r="JG140" s="47" t="str">
        <f t="shared" si="487"/>
        <v xml:space="preserve">web(6.25),infrastructrue(6.25),database(6.25),mobile apps(6.25),sensors(6.25),security(6.25),AI&amp; data analysis(6.25),mobile comm(6.25),VR&amp;AR(6.25),wood processing(6.25),metal processing(6.25),plastic processing(6.25),electronics(6.25),fabric(6.25),aesthetics(6.25),functions(6.25),safety(6.25),interaction(6.25), </v>
      </c>
      <c r="JH140" s="47" t="str">
        <f t="shared" si="487"/>
        <v xml:space="preserve">enthusiasm(1),local biz(1),non-profits(1),reputation(2), </v>
      </c>
      <c r="JI140" s="47" t="str">
        <f t="shared" si="487"/>
        <v xml:space="preserve"> </v>
      </c>
      <c r="JJ140" s="47" t="str">
        <f t="shared" si="487"/>
        <v xml:space="preserve"> </v>
      </c>
      <c r="JK140" s="47" t="str">
        <f t="shared" si="487"/>
        <v xml:space="preserve">PR(1),finance(1),enthusiasm(2),fame(2),network(2),ambition(2),local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0" s="47" t="str">
        <f t="shared" si="487"/>
        <v xml:space="preserve">non-profits(1), </v>
      </c>
      <c r="JM140" s="47" t="str">
        <f t="shared" si="487"/>
        <v xml:space="preserve">non-profits(6.25), </v>
      </c>
      <c r="JN140" s="47" t="str">
        <f t="shared" si="487"/>
        <v xml:space="preserve">enthusiasm(1),network(1),local biz(1),investors(1),entrepreneurs(1),technologists(1),non-profits(1),reputation(2),portfolio(2), </v>
      </c>
      <c r="JO140" s="47" t="str">
        <f t="shared" si="487"/>
        <v xml:space="preserve"> </v>
      </c>
      <c r="JP140" s="47" t="str">
        <f t="shared" si="487"/>
        <v xml:space="preserve"> </v>
      </c>
      <c r="JQ140" s="47" t="str">
        <f t="shared" si="487"/>
        <v xml:space="preserve">PR(1),finance(1),administrator(1),enthusiasm(2),fame(2),network(2),level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0" s="47" t="str">
        <f t="shared" si="487"/>
        <v xml:space="preserve"> </v>
      </c>
      <c r="JS140" s="47" t="str">
        <f t="shared" si="487"/>
        <v xml:space="preserve"> </v>
      </c>
      <c r="JT140" s="47" t="str">
        <f t="shared" si="487"/>
        <v xml:space="preserve">PR(1),administrator(1),enthusiasm(2),network(2),local biz(2),biz group(1),govt(2),investors(2),entrepreneurs(2),technologists(2),non-profits(2),reputation(2),portfolio(3), </v>
      </c>
      <c r="JU140" s="47" t="str">
        <f t="shared" si="487"/>
        <v xml:space="preserve"> </v>
      </c>
      <c r="JV140" s="47" t="str">
        <f t="shared" si="487"/>
        <v xml:space="preserve"> </v>
      </c>
      <c r="JW140" s="47" t="str">
        <f t="shared" si="487"/>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0" s="47" t="str">
        <f t="shared" si="487"/>
        <v xml:space="preserve"> </v>
      </c>
      <c r="JY140" s="47" t="str">
        <f t="shared" si="487"/>
        <v xml:space="preserve"> </v>
      </c>
      <c r="JZ140" s="47" t="str">
        <f t="shared" si="487"/>
        <v xml:space="preserve">network(1),non-profits(1),reputation(2),social project(2), </v>
      </c>
      <c r="KA140" s="47" t="str">
        <f t="shared" si="487"/>
        <v xml:space="preserve">non-profits(1), </v>
      </c>
      <c r="KB140" s="47" t="str">
        <f t="shared" si="487"/>
        <v xml:space="preserve">non-profits(25), </v>
      </c>
      <c r="KC140" s="47" t="str">
        <f t="shared" si="487"/>
        <v xml:space="preserve">PR(1),administrator(1),enthusiasm(2),fame(2),network(2),ambition(3),local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0" s="47" t="str">
        <f t="shared" si="487"/>
        <v xml:space="preserve">non-profits(1), </v>
      </c>
      <c r="KE140" s="47" t="str">
        <f t="shared" si="487"/>
        <v xml:space="preserve">non-profits(6.25), </v>
      </c>
      <c r="KF140" s="47" t="str">
        <f t="shared" si="487"/>
        <v xml:space="preserve"> </v>
      </c>
      <c r="KG140" s="47" t="str">
        <f t="shared" si="487"/>
        <v xml:space="preserve"> </v>
      </c>
      <c r="KH140" s="47" t="str">
        <f t="shared" si="487"/>
        <v xml:space="preserve"> </v>
      </c>
      <c r="KI140" s="47" t="str">
        <f t="shared" si="487"/>
        <v xml:space="preserve"> </v>
      </c>
      <c r="KJ140" s="47" t="str">
        <f t="shared" si="487"/>
        <v xml:space="preserve"> </v>
      </c>
      <c r="KK140" s="47" t="str">
        <f t="shared" si="487"/>
        <v xml:space="preserve"> </v>
      </c>
      <c r="KL140" s="57" t="str">
        <f t="shared" si="487"/>
        <v xml:space="preserve"> </v>
      </c>
      <c r="KM140" s="47" t="str">
        <f t="shared" si="487"/>
        <v xml:space="preserve"> </v>
      </c>
      <c r="KN140" s="47" t="str">
        <f t="shared" si="487"/>
        <v xml:space="preserve"> </v>
      </c>
      <c r="KO140" s="47" t="str">
        <f t="shared" si="487"/>
        <v xml:space="preserve"> </v>
      </c>
      <c r="KP140" s="47" t="str">
        <f t="shared" si="487"/>
        <v xml:space="preserve"> </v>
      </c>
      <c r="KQ140" s="47" t="str">
        <f t="shared" si="487"/>
        <v xml:space="preserve"> </v>
      </c>
      <c r="KR140" s="57" t="str">
        <f t="shared" si="487"/>
        <v xml:space="preserve"> </v>
      </c>
      <c r="KS140" s="47" t="str">
        <f t="shared" si="487"/>
        <v xml:space="preserve"> </v>
      </c>
      <c r="KT140" s="47" t="str">
        <f t="shared" si="487"/>
        <v xml:space="preserve"> </v>
      </c>
      <c r="KU140" s="47" t="str">
        <f t="shared" si="487"/>
        <v xml:space="preserve"> </v>
      </c>
      <c r="KV140" s="47" t="str">
        <f t="shared" si="487"/>
        <v xml:space="preserve"> </v>
      </c>
      <c r="KW140" s="47" t="str">
        <f t="shared" si="487"/>
        <v xml:space="preserve"> </v>
      </c>
      <c r="KX140" s="57" t="str">
        <f t="shared" si="487"/>
        <v xml:space="preserve"> </v>
      </c>
      <c r="KY140" s="47" t="str">
        <f t="shared" si="487"/>
        <v xml:space="preserve"> </v>
      </c>
      <c r="KZ140" s="47" t="str">
        <f t="shared" si="487"/>
        <v xml:space="preserve"> </v>
      </c>
      <c r="LA140" s="47" t="str">
        <f t="shared" si="487"/>
        <v xml:space="preserve"> </v>
      </c>
      <c r="LB140" s="47" t="str">
        <f t="shared" si="487"/>
        <v xml:space="preserve"> </v>
      </c>
      <c r="LC140" s="47" t="str">
        <f t="shared" si="487"/>
        <v xml:space="preserve"> </v>
      </c>
      <c r="LD140" s="57" t="str">
        <f t="shared" si="487"/>
        <v xml:space="preserve"> </v>
      </c>
      <c r="LE140" s="47" t="str">
        <f t="shared" si="487"/>
        <v xml:space="preserve"> </v>
      </c>
      <c r="LF140" s="47" t="str">
        <f t="shared" si="487"/>
        <v xml:space="preserve"> </v>
      </c>
      <c r="LG140" s="47" t="str">
        <f t="shared" si="487"/>
        <v xml:space="preserve"> </v>
      </c>
      <c r="LH140" s="47" t="str">
        <f t="shared" ref="LH140:NM140" si="488">IF(LH38="",LH141,$C140&amp;"("&amp;LH38&amp;"),"&amp;LH141)</f>
        <v xml:space="preserve"> </v>
      </c>
      <c r="LI140" s="47" t="str">
        <f t="shared" si="488"/>
        <v xml:space="preserve"> </v>
      </c>
      <c r="LJ140" s="57" t="str">
        <f t="shared" si="488"/>
        <v xml:space="preserve"> </v>
      </c>
      <c r="LK140" s="47" t="str">
        <f t="shared" si="488"/>
        <v xml:space="preserve"> </v>
      </c>
      <c r="LL140" s="47" t="str">
        <f t="shared" si="488"/>
        <v xml:space="preserve"> </v>
      </c>
      <c r="LM140" s="47" t="str">
        <f t="shared" si="488"/>
        <v xml:space="preserve"> </v>
      </c>
      <c r="LN140" s="47" t="str">
        <f t="shared" si="488"/>
        <v xml:space="preserve"> </v>
      </c>
      <c r="LO140" s="47" t="str">
        <f t="shared" si="488"/>
        <v xml:space="preserve"> </v>
      </c>
      <c r="LP140" s="57" t="str">
        <f t="shared" si="488"/>
        <v xml:space="preserve"> </v>
      </c>
      <c r="LQ140" s="47" t="str">
        <f t="shared" si="488"/>
        <v xml:space="preserve"> </v>
      </c>
      <c r="LR140" s="47" t="str">
        <f t="shared" si="488"/>
        <v xml:space="preserve"> </v>
      </c>
      <c r="LS140" s="47" t="str">
        <f t="shared" si="488"/>
        <v xml:space="preserve"> </v>
      </c>
      <c r="LT140" s="47" t="str">
        <f t="shared" si="488"/>
        <v xml:space="preserve"> </v>
      </c>
      <c r="LU140" s="47" t="str">
        <f t="shared" si="488"/>
        <v xml:space="preserve"> </v>
      </c>
      <c r="LV140" s="57" t="str">
        <f t="shared" si="488"/>
        <v xml:space="preserve"> </v>
      </c>
      <c r="LW140" s="47" t="str">
        <f t="shared" si="488"/>
        <v xml:space="preserve"> </v>
      </c>
      <c r="LX140" s="47" t="str">
        <f t="shared" si="488"/>
        <v xml:space="preserve"> </v>
      </c>
      <c r="LY140" s="47" t="str">
        <f t="shared" si="488"/>
        <v xml:space="preserve"> </v>
      </c>
      <c r="LZ140" s="47" t="str">
        <f t="shared" si="488"/>
        <v xml:space="preserve"> </v>
      </c>
      <c r="MA140" s="47" t="str">
        <f t="shared" si="488"/>
        <v xml:space="preserve"> </v>
      </c>
      <c r="MB140" s="57" t="str">
        <f t="shared" si="488"/>
        <v xml:space="preserve"> </v>
      </c>
      <c r="MC140" s="47" t="str">
        <f t="shared" si="488"/>
        <v xml:space="preserve"> </v>
      </c>
      <c r="MD140" s="47" t="str">
        <f t="shared" si="488"/>
        <v xml:space="preserve"> </v>
      </c>
      <c r="ME140" s="47" t="str">
        <f t="shared" si="488"/>
        <v xml:space="preserve"> </v>
      </c>
      <c r="MF140" s="47" t="str">
        <f t="shared" si="488"/>
        <v xml:space="preserve"> </v>
      </c>
      <c r="MG140" s="47" t="str">
        <f t="shared" si="488"/>
        <v xml:space="preserve"> </v>
      </c>
      <c r="MH140" s="57" t="str">
        <f t="shared" si="488"/>
        <v xml:space="preserve"> </v>
      </c>
      <c r="MI140" s="47" t="str">
        <f t="shared" si="488"/>
        <v xml:space="preserve"> </v>
      </c>
      <c r="MJ140" s="47" t="str">
        <f t="shared" si="488"/>
        <v xml:space="preserve"> </v>
      </c>
      <c r="MK140" s="47" t="str">
        <f t="shared" si="488"/>
        <v xml:space="preserve"> </v>
      </c>
      <c r="ML140" s="47" t="str">
        <f t="shared" si="488"/>
        <v xml:space="preserve"> </v>
      </c>
      <c r="MM140" s="47" t="str">
        <f t="shared" si="488"/>
        <v xml:space="preserve"> </v>
      </c>
      <c r="MN140" s="57" t="str">
        <f t="shared" si="488"/>
        <v xml:space="preserve"> </v>
      </c>
      <c r="MO140" s="47" t="str">
        <f t="shared" si="488"/>
        <v xml:space="preserve"> </v>
      </c>
      <c r="MP140" s="47" t="str">
        <f t="shared" si="488"/>
        <v xml:space="preserve"> </v>
      </c>
      <c r="MQ140" s="47" t="str">
        <f t="shared" si="488"/>
        <v xml:space="preserve"> </v>
      </c>
      <c r="MR140" s="47" t="str">
        <f t="shared" si="488"/>
        <v xml:space="preserve"> </v>
      </c>
      <c r="MS140" s="47" t="str">
        <f t="shared" si="488"/>
        <v xml:space="preserve"> </v>
      </c>
      <c r="MT140" s="57" t="str">
        <f t="shared" si="488"/>
        <v xml:space="preserve"> </v>
      </c>
      <c r="MU140" s="47" t="str">
        <f t="shared" si="488"/>
        <v xml:space="preserve"> </v>
      </c>
      <c r="MV140" s="47" t="str">
        <f t="shared" si="488"/>
        <v xml:space="preserve"> </v>
      </c>
      <c r="MW140" s="47" t="str">
        <f t="shared" si="488"/>
        <v xml:space="preserve"> </v>
      </c>
      <c r="MX140" s="47" t="str">
        <f t="shared" si="488"/>
        <v xml:space="preserve"> </v>
      </c>
      <c r="MY140" s="47" t="str">
        <f t="shared" si="488"/>
        <v xml:space="preserve"> </v>
      </c>
      <c r="MZ140" s="57" t="str">
        <f t="shared" si="488"/>
        <v xml:space="preserve"> </v>
      </c>
      <c r="NA140" s="47" t="str">
        <f t="shared" si="488"/>
        <v xml:space="preserve"> </v>
      </c>
      <c r="NB140" s="47" t="str">
        <f t="shared" si="488"/>
        <v xml:space="preserve"> </v>
      </c>
      <c r="NC140" s="47" t="str">
        <f t="shared" si="488"/>
        <v xml:space="preserve"> </v>
      </c>
      <c r="ND140" s="47" t="str">
        <f t="shared" si="488"/>
        <v xml:space="preserve"> </v>
      </c>
      <c r="NE140" s="47" t="str">
        <f t="shared" si="488"/>
        <v xml:space="preserve"> </v>
      </c>
      <c r="NF140" s="57" t="str">
        <f t="shared" si="488"/>
        <v xml:space="preserve"> </v>
      </c>
      <c r="NG140" s="47" t="str">
        <f t="shared" si="488"/>
        <v xml:space="preserve"> </v>
      </c>
      <c r="NH140" s="47" t="str">
        <f t="shared" si="488"/>
        <v xml:space="preserve"> </v>
      </c>
      <c r="NI140" s="47" t="str">
        <f t="shared" si="488"/>
        <v xml:space="preserve"> </v>
      </c>
      <c r="NJ140" s="47" t="str">
        <f t="shared" si="488"/>
        <v xml:space="preserve"> </v>
      </c>
      <c r="NK140" s="47" t="str">
        <f t="shared" si="488"/>
        <v xml:space="preserve"> </v>
      </c>
      <c r="NL140" s="57" t="str">
        <f t="shared" si="488"/>
        <v xml:space="preserve"> </v>
      </c>
      <c r="NM140" s="47" t="str">
        <f t="shared" si="488"/>
        <v xml:space="preserve"> </v>
      </c>
    </row>
    <row r="141" spans="3:377" ht="15.75" customHeight="1">
      <c r="C141" s="7" t="str">
        <f t="shared" si="296"/>
        <v>finance</v>
      </c>
      <c r="D141" s="21" t="str">
        <f t="shared" si="169"/>
        <v xml:space="preserve"> </v>
      </c>
      <c r="E141" s="21" t="str">
        <f t="shared" si="297"/>
        <v xml:space="preserve"> </v>
      </c>
      <c r="F141" s="21" t="str">
        <f t="shared" si="170"/>
        <v xml:space="preserve"> </v>
      </c>
      <c r="G141" s="21" t="str">
        <f t="shared" si="298"/>
        <v xml:space="preserve">fame(1), network(2), ease of access(1), reputation(2), social media(1),  </v>
      </c>
      <c r="H141" s="21" t="str">
        <f t="shared" si="299"/>
        <v xml:space="preserve"> </v>
      </c>
      <c r="I141" s="21" t="str">
        <f t="shared" ref="I141" si="489">IF(I39="",I142,$C141&amp;"("&amp;I39&amp;"),"&amp;I142)</f>
        <v xml:space="preserve"> </v>
      </c>
      <c r="J141" s="21" t="str">
        <f t="shared" si="468"/>
        <v xml:space="preserve">interaction 1
 </v>
      </c>
      <c r="K141" s="21" t="str">
        <f t="shared" si="173"/>
        <v xml:space="preserve">reputation(1,75),  </v>
      </c>
      <c r="L141" s="21" t="str">
        <f t="shared" si="469"/>
        <v xml:space="preserve">reputation 75
 </v>
      </c>
      <c r="M141" s="21" t="str">
        <f t="shared" si="175"/>
        <v xml:space="preserve">portfolio(1), social innovation(1), non-profit biz(1),  </v>
      </c>
      <c r="N141" s="21" t="str">
        <f t="shared" si="176"/>
        <v xml:space="preserve">non-profits(1,12.5), reputation(1,75), marketing(1,12.5),  </v>
      </c>
      <c r="O141" s="21" t="str">
        <f t="shared" si="470"/>
        <v xml:space="preserve">non-profits(12.5),reputation(75),marketing(12.5), </v>
      </c>
      <c r="P141" s="21" t="str">
        <f t="shared" si="468"/>
        <v xml:space="preserve">biz project 1
 </v>
      </c>
      <c r="Q141" s="21" t="str">
        <f t="shared" si="178"/>
        <v xml:space="preserve"> </v>
      </c>
      <c r="R141" s="21" t="str">
        <f t="shared" si="469"/>
        <v xml:space="preserve"> </v>
      </c>
      <c r="S141" s="21" t="str">
        <f t="shared" si="179"/>
        <v xml:space="preserve">portfolio(1), biz enhancement(1), business(1), start-up(1),  </v>
      </c>
      <c r="T141" s="21" t="str">
        <f t="shared" si="180"/>
        <v xml:space="preserve">local biz(1,6.25), investors(1,6.25), reputation(1,6.25),  </v>
      </c>
      <c r="U141" s="21" t="str">
        <f t="shared" si="470"/>
        <v xml:space="preserve">local biz(6.25),investors(6.25),reputation(6.25), </v>
      </c>
      <c r="V141" s="21" t="str">
        <f t="shared" si="468"/>
        <v xml:space="preserve"> </v>
      </c>
      <c r="W141" s="21" t="str">
        <f t="shared" si="181"/>
        <v xml:space="preserve">local biz(1,),  </v>
      </c>
      <c r="X141" s="21" t="str">
        <f t="shared" si="469"/>
        <v xml:space="preserve"> </v>
      </c>
      <c r="Y141" s="21" t="str">
        <f t="shared" si="182"/>
        <v xml:space="preserve">network(1), ease of access(1), reputation(1), portfolio(1), biz project(1), biz enhancement(1), job creation(1), business(1),  </v>
      </c>
      <c r="Z141" s="21" t="str">
        <f t="shared" si="183"/>
        <v xml:space="preserve">local biz(1,6.25),  </v>
      </c>
      <c r="AA141" s="21" t="str">
        <f t="shared" si="470"/>
        <v xml:space="preserve">local biz(6.25), </v>
      </c>
      <c r="AB141" s="21" t="str">
        <f t="shared" si="468"/>
        <v xml:space="preserve"> </v>
      </c>
      <c r="AC141" s="21" t="str">
        <f t="shared" si="184"/>
        <v xml:space="preserve">non-profits(1,100),  </v>
      </c>
      <c r="AD141" s="21" t="str">
        <f t="shared" si="469"/>
        <v xml:space="preserve">non-profits 100
 </v>
      </c>
      <c r="AE141" s="21" t="str">
        <f t="shared" si="185"/>
        <v xml:space="preserve">network(1), ease of access(1), reputation(1), portfolio(1), social project(1), social innovation(1), non-profit biz(1),  </v>
      </c>
      <c r="AF141" s="21" t="str">
        <f t="shared" si="186"/>
        <v xml:space="preserve">non-profits(1,6.25),  </v>
      </c>
      <c r="AG141" s="21" t="str">
        <f t="shared" si="470"/>
        <v xml:space="preserve">non-profits(6.25), </v>
      </c>
      <c r="AH141" s="21" t="str">
        <f t="shared" si="468"/>
        <v xml:space="preserve"> </v>
      </c>
      <c r="AI141" s="21" t="str">
        <f t="shared" si="187"/>
        <v xml:space="preserve">govt(1,),  </v>
      </c>
      <c r="AJ141" s="21" t="str">
        <f t="shared" si="469"/>
        <v xml:space="preserve"> </v>
      </c>
      <c r="AK141" s="21" t="str">
        <f t="shared" si="188"/>
        <v xml:space="preserve">fame(1), network(1), govt(1), ease of access(1), reputation(2), portfolio(1), social project(1), social innovation(1), non-profit biz(1),  </v>
      </c>
      <c r="AL141" s="21" t="str">
        <f t="shared" si="189"/>
        <v xml:space="preserve">govt(1,6.25),  </v>
      </c>
      <c r="AM141" s="21" t="str">
        <f t="shared" si="470"/>
        <v xml:space="preserve">govt(6.25), </v>
      </c>
      <c r="AN141" s="21" t="str">
        <f t="shared" si="468"/>
        <v xml:space="preserve"> </v>
      </c>
      <c r="AO141" s="21" t="str">
        <f t="shared" si="190"/>
        <v xml:space="preserve">fame(1,), network(1,), investors(1,6.25),  </v>
      </c>
      <c r="AP141" s="21" t="str">
        <f t="shared" si="469"/>
        <v xml:space="preserve">investors 6.25
 </v>
      </c>
      <c r="AQ141" s="21" t="str">
        <f t="shared" si="191"/>
        <v xml:space="preserve">investors(1), ease of access(1), reputation(1), portfolio(1), start-up(1), start-up with mvp(1), start-up with customers(1),  </v>
      </c>
      <c r="AR141" s="21" t="str">
        <f t="shared" si="192"/>
        <v xml:space="preserve"> </v>
      </c>
      <c r="AS141" s="21" t="str">
        <f t="shared" si="470"/>
        <v xml:space="preserve"> </v>
      </c>
      <c r="AT141" s="21" t="str">
        <f t="shared" si="468"/>
        <v xml:space="preserve">administrator 1
non-profits 2
reputation 1
portfolio 1
social project 1
 </v>
      </c>
      <c r="AU141" s="21" t="str">
        <f t="shared" si="193"/>
        <v xml:space="preserve"> </v>
      </c>
      <c r="AV141" s="21" t="str">
        <f t="shared" si="469"/>
        <v xml:space="preserve"> </v>
      </c>
      <c r="AW141" s="21" t="str">
        <f t="shared" si="194"/>
        <v xml:space="preserve">administrator(1), project management(2),  </v>
      </c>
      <c r="AX141" s="21" t="str">
        <f t="shared" si="195"/>
        <v xml:space="preserve">organizational rules and manuals(1,12.5), project management(1,12.5),  </v>
      </c>
      <c r="AY141" s="21" t="str">
        <f t="shared" si="470"/>
        <v xml:space="preserve">organizational rules and manuals(12.5),project management(12.5), </v>
      </c>
      <c r="AZ141" s="21" t="str">
        <f t="shared" si="468"/>
        <v xml:space="preserve">non-profits 1
 </v>
      </c>
      <c r="BA141" s="21" t="str">
        <f t="shared" si="196"/>
        <v xml:space="preserve"> </v>
      </c>
      <c r="BB141" s="21" t="str">
        <f t="shared" si="469"/>
        <v xml:space="preserve"> </v>
      </c>
      <c r="BC141" s="21" t="str">
        <f t="shared" si="197"/>
        <v xml:space="preserve"> </v>
      </c>
      <c r="BD141" s="21" t="str">
        <f t="shared" si="198"/>
        <v xml:space="preserve"> </v>
      </c>
      <c r="BE141" s="21" t="str">
        <f t="shared" si="470"/>
        <v xml:space="preserve"> </v>
      </c>
      <c r="BF141" s="21" t="str">
        <f t="shared" si="468"/>
        <v xml:space="preserve">administrator 1
local biz 2
entrepreneurs 1
reputation 1
portfolio 1
biz project 1
 </v>
      </c>
      <c r="BG141" s="21" t="str">
        <f t="shared" si="199"/>
        <v xml:space="preserve"> </v>
      </c>
      <c r="BH141" s="21" t="str">
        <f t="shared" si="469"/>
        <v xml:space="preserve"> </v>
      </c>
      <c r="BI141" s="21" t="str">
        <f t="shared" si="200"/>
        <v xml:space="preserve">administrator(1), project management(2),  </v>
      </c>
      <c r="BJ141" s="21" t="str">
        <f t="shared" si="201"/>
        <v xml:space="preserve">organizational rules and manuals(1,12.5), project management(1,12.5),  </v>
      </c>
      <c r="BK141" s="21" t="str">
        <f t="shared" si="470"/>
        <v xml:space="preserve">organizational rules and manuals(12.5),project management(12.5), </v>
      </c>
      <c r="BL141" s="21" t="str">
        <f t="shared" si="468"/>
        <v xml:space="preserve">local biz 1
reputation 1
portfolio 1
biz enhancement 1
 </v>
      </c>
      <c r="BM141" s="21" t="str">
        <f t="shared" si="202"/>
        <v xml:space="preserve"> </v>
      </c>
      <c r="BN141" s="21" t="str">
        <f t="shared" si="469"/>
        <v xml:space="preserve"> </v>
      </c>
      <c r="BO141" s="21" t="str">
        <f t="shared" si="203"/>
        <v xml:space="preserve"> </v>
      </c>
      <c r="BP141" s="21" t="str">
        <f t="shared" si="204"/>
        <v xml:space="preserve"> </v>
      </c>
      <c r="BQ141" s="21" t="str">
        <f t="shared" si="470"/>
        <v xml:space="preserve"> </v>
      </c>
      <c r="BR141" s="21" t="str">
        <f t="shared" si="468"/>
        <v xml:space="preserve"> </v>
      </c>
      <c r="BS141" s="21" t="str">
        <f t="shared" si="205"/>
        <v xml:space="preserve"> </v>
      </c>
      <c r="BT141" s="21" t="str">
        <f t="shared" si="469"/>
        <v xml:space="preserve"> </v>
      </c>
      <c r="BU141" s="21" t="str">
        <f t="shared" si="206"/>
        <v xml:space="preserve"> </v>
      </c>
      <c r="BV141" s="21" t="str">
        <f t="shared" si="207"/>
        <v xml:space="preserve"> </v>
      </c>
      <c r="BW141" s="21" t="str">
        <f t="shared" si="470"/>
        <v xml:space="preserve"> </v>
      </c>
      <c r="BX141" s="21" t="str">
        <f t="shared" si="471"/>
        <v xml:space="preserve">network 1
 </v>
      </c>
      <c r="BY141" s="21" t="str">
        <f t="shared" si="209"/>
        <v xml:space="preserve">efficiency(1,),  </v>
      </c>
      <c r="BZ141" s="21" t="str">
        <f t="shared" si="472"/>
        <v xml:space="preserve"> </v>
      </c>
      <c r="CA141" s="21" t="str">
        <f t="shared" si="211"/>
        <v xml:space="preserve">administrator(1), negotiation(1),  </v>
      </c>
      <c r="CB141" s="21" t="str">
        <f t="shared" si="212"/>
        <v xml:space="preserve">user rules and manuals(1,50), organizational rules and manuals(1,50),  </v>
      </c>
      <c r="CC141" s="21" t="str">
        <f t="shared" si="473"/>
        <v xml:space="preserve">user rules and manuals(50),organizational rules and manuals(50), </v>
      </c>
      <c r="CD141" s="21" t="str">
        <f t="shared" si="471"/>
        <v xml:space="preserve">network 1
 </v>
      </c>
      <c r="CE141" s="21" t="str">
        <f t="shared" si="214"/>
        <v xml:space="preserve">non-profits(1,),  </v>
      </c>
      <c r="CF141" s="21" t="str">
        <f t="shared" si="472"/>
        <v xml:space="preserve"> </v>
      </c>
      <c r="CG141" s="21" t="str">
        <f t="shared" si="215"/>
        <v xml:space="preserve">ease of access(1), portfolio(1), user rules and manuals(1), negotiation(1), social project(1), biz project(1), for basic literacy(1), for the elites(1), for entrepreneurs(1),  </v>
      </c>
      <c r="CH141" s="21" t="str">
        <f t="shared" si="216"/>
        <v xml:space="preserve">technologists(1,6.25), non-profits(1,6.25),  </v>
      </c>
      <c r="CI141" s="21" t="str">
        <f t="shared" si="473"/>
        <v xml:space="preserve">technologists(6.25),non-profits(6.25), </v>
      </c>
      <c r="CJ141" s="21" t="str">
        <f t="shared" si="471"/>
        <v xml:space="preserve"> </v>
      </c>
      <c r="CK141" s="21" t="str">
        <f t="shared" si="217"/>
        <v xml:space="preserve">suppliers(1,),  </v>
      </c>
      <c r="CL141" s="21" t="str">
        <f t="shared" si="472"/>
        <v xml:space="preserve"> </v>
      </c>
      <c r="CM141" s="21" t="str">
        <f t="shared" si="218"/>
        <v xml:space="preserve">reputation(1), negotiation(1),  </v>
      </c>
      <c r="CN141" s="21" t="str">
        <f t="shared" si="219"/>
        <v xml:space="preserve">efficiency(1,6.25),  </v>
      </c>
      <c r="CO141" s="21" t="str">
        <f t="shared" si="473"/>
        <v xml:space="preserve">efficiency(6.25), </v>
      </c>
      <c r="CP141" s="21" t="str">
        <f t="shared" si="471"/>
        <v xml:space="preserve"> </v>
      </c>
      <c r="CQ141" s="21" t="str">
        <f t="shared" si="220"/>
        <v xml:space="preserve">technologists(1,),  </v>
      </c>
      <c r="CR141" s="21" t="str">
        <f t="shared" si="472"/>
        <v xml:space="preserve"> </v>
      </c>
      <c r="CS141" s="21" t="str">
        <f t="shared" si="221"/>
        <v xml:space="preserve">network(1), portfolio(1), negotiation(1), web(1), infrastructrue(1), database(1), mobile apps(1), sensors(1), security(1), AI&amp; data analysis(1), mobile comm(1), VR&amp;AR(1), wood processing(1), metal processing(1), plastic processing(1), electronics(1), fabric(1),  </v>
      </c>
      <c r="CT141" s="21" t="str">
        <f t="shared" si="222"/>
        <v xml:space="preserve">efficiency(1,6.25),  </v>
      </c>
      <c r="CU141" s="21" t="str">
        <f t="shared" si="473"/>
        <v xml:space="preserve">efficiency(6.25), </v>
      </c>
      <c r="CV141" s="21" t="str">
        <f t="shared" si="471"/>
        <v xml:space="preserve"> </v>
      </c>
      <c r="CW141" s="21" t="str">
        <f t="shared" si="223"/>
        <v xml:space="preserve">local biz(1,),  </v>
      </c>
      <c r="CX141" s="21" t="str">
        <f t="shared" si="472"/>
        <v xml:space="preserve"> </v>
      </c>
      <c r="CY141" s="21" t="str">
        <f t="shared" si="224"/>
        <v xml:space="preserve">ease of access(1), reputation(1), portfolio(1), negotiation(1),  </v>
      </c>
      <c r="CZ141" s="21" t="str">
        <f t="shared" si="225"/>
        <v xml:space="preserve">non-profits(1,6.25),  </v>
      </c>
      <c r="DA141" s="21" t="str">
        <f t="shared" si="473"/>
        <v xml:space="preserve">non-profits(6.25), </v>
      </c>
      <c r="DB141" s="21" t="str">
        <f t="shared" si="471"/>
        <v xml:space="preserve"> </v>
      </c>
      <c r="DC141" s="21" t="str">
        <f t="shared" si="226"/>
        <v xml:space="preserve"> </v>
      </c>
      <c r="DD141" s="21" t="str">
        <f t="shared" si="472"/>
        <v xml:space="preserve"> </v>
      </c>
      <c r="DE141"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1" s="21" t="str">
        <f t="shared" si="228"/>
        <v xml:space="preserve">network(1,), local biz(1,6.25), biz group(1,6.25), investors(1,6.25), entrepreneurs(1,6.25),  </v>
      </c>
      <c r="DG141" s="21" t="str">
        <f t="shared" si="473"/>
        <v xml:space="preserve">local biz(6.25),biz group(6.25),investors(6.25),entrepreneurs(6.25), </v>
      </c>
      <c r="DH141" s="21" t="str">
        <f t="shared" si="471"/>
        <v xml:space="preserve">network 1
non-profits 1
reputation 1
social project 1
 </v>
      </c>
      <c r="DI141" s="21" t="str">
        <f t="shared" si="229"/>
        <v xml:space="preserve"> </v>
      </c>
      <c r="DJ141" s="21" t="str">
        <f t="shared" si="472"/>
        <v xml:space="preserve"> </v>
      </c>
      <c r="DK141" s="21" t="str">
        <f t="shared" si="230"/>
        <v xml:space="preserve">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1" s="21" t="str">
        <f t="shared" si="231"/>
        <v xml:space="preserve">reputation(1,6.25),  </v>
      </c>
      <c r="DM141" s="21" t="str">
        <f t="shared" si="473"/>
        <v xml:space="preserve">reputation(6.25), </v>
      </c>
      <c r="DN141" s="21" t="str">
        <f t="shared" si="471"/>
        <v xml:space="preserve">network 1
local biz 1
reputation 1
biz project 1
 </v>
      </c>
      <c r="DO141" s="21" t="str">
        <f t="shared" si="232"/>
        <v xml:space="preserve"> </v>
      </c>
      <c r="DP141" s="21" t="str">
        <f t="shared" si="472"/>
        <v xml:space="preserve"> </v>
      </c>
      <c r="DQ141" s="21" t="str">
        <f t="shared" si="233"/>
        <v xml:space="preserve">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1" s="21" t="str">
        <f t="shared" si="234"/>
        <v xml:space="preserve">reputation(1,6.25),  </v>
      </c>
      <c r="DS141" s="21" t="str">
        <f t="shared" si="473"/>
        <v xml:space="preserve">reputation(6.25), </v>
      </c>
      <c r="DT141" s="21" t="str">
        <f t="shared" si="471"/>
        <v xml:space="preserve">network 1
reputation 1
 </v>
      </c>
      <c r="DU141" s="21" t="str">
        <f t="shared" si="235"/>
        <v xml:space="preserve"> </v>
      </c>
      <c r="DV141" s="21" t="str">
        <f t="shared" si="472"/>
        <v xml:space="preserve"> </v>
      </c>
      <c r="DW141" s="21" t="str">
        <f t="shared" si="236"/>
        <v xml:space="preserve">administrator(1), fame(2), network(2), local biz(1), biz group(1), govt(2), investors(1), media(2), entrepreneurs(1), technologists(1), non-profits(1), spaciousness(1), ease of access(1), reputation(2), efficiency(1), organizational rules and manuals(1), marketing(1), social media(1), for basic literacy(1),  </v>
      </c>
      <c r="DX141" s="21" t="str">
        <f t="shared" si="237"/>
        <v xml:space="preserve">reputation(1,6.25), for basic literacy(1,6.25),  </v>
      </c>
      <c r="DY141" s="21" t="str">
        <f t="shared" si="473"/>
        <v xml:space="preserve">reputation(6.25),for basic literacy(6.25), </v>
      </c>
      <c r="DZ141" s="21" t="str">
        <f t="shared" si="471"/>
        <v xml:space="preserve">network 1
reputation 1
 </v>
      </c>
      <c r="EA141" s="21" t="str">
        <f t="shared" si="238"/>
        <v xml:space="preserve"> </v>
      </c>
      <c r="EB141" s="21" t="str">
        <f t="shared" si="472"/>
        <v xml:space="preserve"> </v>
      </c>
      <c r="EC141" s="21" t="str">
        <f t="shared" si="239"/>
        <v xml:space="preserve">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1" s="21" t="str">
        <f t="shared" si="240"/>
        <v xml:space="preserve">reputation(1,6.25), for basic literacy(1,6.25),  </v>
      </c>
      <c r="EE141" s="21" t="str">
        <f t="shared" si="473"/>
        <v xml:space="preserve">reputation(6.25),for basic literacy(6.25), </v>
      </c>
      <c r="EF141" s="21" t="str">
        <f t="shared" si="471"/>
        <v xml:space="preserve">technologists 1
reputation 1
 </v>
      </c>
      <c r="EG141" s="21" t="str">
        <f t="shared" si="241"/>
        <v xml:space="preserve">web(1,50), mobile apps(1,50), interaction(1,50),  </v>
      </c>
      <c r="EH141" s="21" t="str">
        <f t="shared" si="472"/>
        <v xml:space="preserve">web 50
mobile apps 50
interaction 50
 </v>
      </c>
      <c r="EI141" s="21" t="str">
        <f t="shared" si="242"/>
        <v xml:space="preserve">administrator(1), enthusiasm(1), fame(1), network(2), level of understanding(1), technologists(2), ease of access(1), reputation(2), infrastructrue(1), database(1), mobile comm(1), for entrepreneurs(1),  </v>
      </c>
      <c r="EJ141" s="21" t="str">
        <f t="shared" si="243"/>
        <v xml:space="preserve">technologists(1,12.5), infrastructrue(1,12.5), database(1,12.5), mobile comm(1,12.5), for entrepreneurs(1,6.25),  </v>
      </c>
      <c r="EK141" s="21" t="str">
        <f t="shared" si="473"/>
        <v xml:space="preserve">technologists(12.5),infrastructrue(12.5),database(12.5),mobile comm(12.5),for entrepreneurs(6.25), </v>
      </c>
      <c r="EL141" s="21" t="str">
        <f t="shared" si="474"/>
        <v xml:space="preserve">technologists 1
reputation 1
 </v>
      </c>
      <c r="EM141" s="21" t="str">
        <f t="shared" si="245"/>
        <v xml:space="preserve">sensors(1,50),  </v>
      </c>
      <c r="EN141" s="21" t="str">
        <f t="shared" si="475"/>
        <v xml:space="preserve">sensors 50
 </v>
      </c>
      <c r="EO141" s="21" t="str">
        <f t="shared" si="247"/>
        <v xml:space="preserve">administrator(1), enthusiasm(1), fame(1), network(2), level of understanding(1), technologists(2), ease of access(1), reputation(2), project management(2), infrastructrue(1), database(1), mobile comm(1), for entrepreneurs(1),  </v>
      </c>
      <c r="EP141" s="21" t="str">
        <f t="shared" si="248"/>
        <v xml:space="preserve">technologists(1,12.5), infrastructrue(1,12.5), database(1,12.5), mobile comm(1,12.5), electronics(1,6.25), for entrepreneurs(1,6.25),  </v>
      </c>
      <c r="EQ141" s="21" t="str">
        <f t="shared" si="476"/>
        <v xml:space="preserve">technologists(12.5),infrastructrue(12.5),database(12.5),mobile comm(12.5),electronics(6.25),for entrepreneurs(6.25), </v>
      </c>
      <c r="ER141" s="21" t="str">
        <f t="shared" si="474"/>
        <v xml:space="preserve">technologists 1
 </v>
      </c>
      <c r="ES141" s="21" t="str">
        <f t="shared" si="250"/>
        <v xml:space="preserve">AI&amp; data analysis(1,50),  </v>
      </c>
      <c r="ET141" s="21" t="str">
        <f t="shared" si="475"/>
        <v xml:space="preserve">AI&amp; data analysis 50
 </v>
      </c>
      <c r="EU141" s="21" t="str">
        <f t="shared" si="251"/>
        <v xml:space="preserve">administrator(1), enthusiasm(1), fame(1), network(2), level of understanding(1), technologists(2), ease of access(1), reputation(2), database(1), sensors(1), mobile comm(1), for entrepreneurs(1),  </v>
      </c>
      <c r="EV141" s="21" t="str">
        <f t="shared" si="252"/>
        <v xml:space="preserve">technologists(1,12.5), database(1,12.5), sensors(1,12.5), mobile comm(1,12.5), for entrepreneurs(1,6.25),  </v>
      </c>
      <c r="EW141" s="21" t="str">
        <f t="shared" si="476"/>
        <v xml:space="preserve">technologists(12.5),database(12.5),sensors(12.5),mobile comm(12.5),for entrepreneurs(6.25), </v>
      </c>
      <c r="EX141" s="21" t="str">
        <f t="shared" si="474"/>
        <v xml:space="preserve">technologists 1
 </v>
      </c>
      <c r="EY141" s="21" t="str">
        <f t="shared" si="253"/>
        <v xml:space="preserve">law(1,50), security(1,50), interaction(1,25),  </v>
      </c>
      <c r="EZ141" s="21" t="str">
        <f t="shared" si="475"/>
        <v xml:space="preserve">law 50
security 50
interaction 25
 </v>
      </c>
      <c r="FA141" s="21" t="str">
        <f t="shared" si="254"/>
        <v xml:space="preserve">administrator(1), enthusiasm(1), fame(1), network(2), level of understanding(1), technologists(2), ease of access(1), reputation(2), law(2), for entrepreneurs(1),  </v>
      </c>
      <c r="FB141" s="21" t="str">
        <f t="shared" si="255"/>
        <v xml:space="preserve">technologists(1,12.5), law(1,6.25), database(1,12.5), mobile apps(1,12.5), security(1,12.5), mobile comm(1,12.5), for entrepreneurs(1,6.25),  </v>
      </c>
      <c r="FC141" s="21" t="str">
        <f t="shared" si="476"/>
        <v xml:space="preserve">technologists(12.5),law(6.25),database(12.5),mobile apps(12.5),security(12.5),mobile comm(12.5),for entrepreneurs(6.25), </v>
      </c>
      <c r="FD141" s="21" t="str">
        <f t="shared" si="474"/>
        <v xml:space="preserve">technologists 1
 </v>
      </c>
      <c r="FE141" s="21" t="str">
        <f t="shared" si="256"/>
        <v xml:space="preserve">law(1,50), sensors(1,50), security(1,50),  </v>
      </c>
      <c r="FF141" s="21" t="str">
        <f t="shared" si="475"/>
        <v xml:space="preserve">law 50
sensors 50
security 50
 </v>
      </c>
      <c r="FG141" s="21" t="str">
        <f t="shared" si="257"/>
        <v xml:space="preserve">administrator(1), enthusiasm(1), fame(1), network(2), level of understanding(1), technologists(2), ease of access(1), reputation(2), law(2), project management(2), for entrepreneurs(1),  </v>
      </c>
      <c r="FH141" s="21" t="str">
        <f t="shared" si="258"/>
        <v xml:space="preserve">technologists(1,12.5), law(1,6.25), database(1,6.25), mobile apps(1,6.25), AI&amp; data analysis(1,6.25), mobile comm(1,6.25), for entrepreneurs(1,6.25),  </v>
      </c>
      <c r="FI141" s="21" t="str">
        <f t="shared" si="476"/>
        <v xml:space="preserve">technologists(12.5),law(6.25),database(6.25),mobile apps(6.25),AI&amp; data analysis(6.25),mobile comm(6.25),for entrepreneurs(6.25), </v>
      </c>
      <c r="FJ141" s="21" t="str">
        <f t="shared" si="474"/>
        <v xml:space="preserve">technologists 1
 </v>
      </c>
      <c r="FK141" s="21" t="str">
        <f t="shared" si="259"/>
        <v xml:space="preserve">wood processing(1,25), metal processing(1,25), plastic processing(1,25), fabric(1,25), safety(1,25), interaction(1,25),  </v>
      </c>
      <c r="FL141" s="21" t="str">
        <f t="shared" si="475"/>
        <v xml:space="preserve">project management 2
wood processing 25
metal processing 25
plastic processing 25
fabric 25
safety 25
interaction 25
 </v>
      </c>
      <c r="FM141" s="21" t="str">
        <f t="shared" si="260"/>
        <v xml:space="preserve">administrator(1), enthusiasm(1), fame(1), network(2), level of understanding(1), technologists(2), spaciousness(1), ease of access(1), reputation(2), for entrepreneurs(1),  </v>
      </c>
      <c r="FN141" s="21" t="str">
        <f t="shared" si="261"/>
        <v xml:space="preserve">technologists(1,12.5), for entrepreneurs(1,6.25),  </v>
      </c>
      <c r="FO141" s="21" t="str">
        <f t="shared" si="476"/>
        <v xml:space="preserve">technologists(12.5),for entrepreneurs(6.25), </v>
      </c>
      <c r="FP141" s="21" t="str">
        <f t="shared" si="474"/>
        <v xml:space="preserve">technologists 1
 </v>
      </c>
      <c r="FQ141" s="21" t="str">
        <f t="shared" si="262"/>
        <v xml:space="preserve">web(1,25), mobile apps(1,50), functions(1,25), interaction(1,25),  </v>
      </c>
      <c r="FR141" s="21" t="str">
        <f t="shared" si="475"/>
        <v xml:space="preserve">web 25
mobile apps 50
functions 25
interaction 25
 </v>
      </c>
      <c r="FS141" s="21" t="str">
        <f t="shared" si="263"/>
        <v xml:space="preserve">administrator(1), enthusiasm(1), fame(1), network(2), level of understanding(1), technologists(2), spaciousness(1), ease of access(1), reputation(2), for entrepreneurs(1),  </v>
      </c>
      <c r="FT141" s="21" t="str">
        <f t="shared" si="264"/>
        <v xml:space="preserve">technologists(1,12.5), for entrepreneurs(1,6.25),  </v>
      </c>
      <c r="FU141" s="21" t="str">
        <f t="shared" si="476"/>
        <v xml:space="preserve">technologists(12.5),for entrepreneurs(6.25), </v>
      </c>
      <c r="FV141" s="21" t="str">
        <f t="shared" si="474"/>
        <v xml:space="preserve">technologists 1
 </v>
      </c>
      <c r="FW141" s="21" t="str">
        <f t="shared" si="265"/>
        <v xml:space="preserve">mobile apps(1,50), sensors(1,50), wood processing(1,25), plastic processing(1,25), electronics(1,25), functions(1,25), interaction(1,25),  </v>
      </c>
      <c r="FX141" s="21" t="str">
        <f t="shared" si="475"/>
        <v xml:space="preserve">mobile apps 50
sensors 50
wood processing 25
plastic processing 25
electronics 25
functions 25
interaction 25
 </v>
      </c>
      <c r="FY141" s="21" t="str">
        <f t="shared" si="266"/>
        <v xml:space="preserve">administrator(1), enthusiasm(1), fame(1), network(2), level of understanding(1), technologists(2), spaciousness(1), ease of access(1), reputation(2), project management(2), for entrepreneurs(1),  </v>
      </c>
      <c r="FZ141" s="21" t="str">
        <f t="shared" si="267"/>
        <v xml:space="preserve">technologists(1,12.5), web(1,6.25), database(1,6.25), AI&amp; data analysis(1,6.25), mobile comm(1,6.25), for entrepreneurs(1,6.25),  </v>
      </c>
      <c r="GA141" s="21" t="str">
        <f t="shared" si="476"/>
        <v xml:space="preserve">technologists(12.5),web(6.25),database(6.25),AI&amp; data analysis(6.25),mobile comm(6.25),for entrepreneurs(6.25), </v>
      </c>
      <c r="GB141" s="21" t="str">
        <f t="shared" si="474"/>
        <v xml:space="preserve">technologists 1
 </v>
      </c>
      <c r="GC141" s="21" t="str">
        <f t="shared" si="268"/>
        <v xml:space="preserve">sensors(1,25), mobile comm(1,25), electronics(1,50), functions(1,25), safety(1,25),  </v>
      </c>
      <c r="GD141" s="21" t="str">
        <f t="shared" si="475"/>
        <v xml:space="preserve">sensors 25
mobile comm 25
electronics 50
functions 25
safety 25
 </v>
      </c>
      <c r="GE141" s="21" t="str">
        <f t="shared" si="269"/>
        <v xml:space="preserve">administrator(1), enthusiasm(1), fame(1), network(2), level of understanding(1), technologists(2), spaciousness(1), ease of access(1), reputation(2), project management(2), for entrepreneurs(1),  </v>
      </c>
      <c r="GF141" s="21" t="str">
        <f t="shared" si="270"/>
        <v xml:space="preserve">technologists(1,12.5), database(1,6.25), mobile apps(1,6.25), AI&amp; data analysis(1,6.25), plastic processing(1,6.25), interaction(1,6.25), for entrepreneurs(1,6.25),  </v>
      </c>
      <c r="GG141" s="21" t="str">
        <f t="shared" si="476"/>
        <v xml:space="preserve">technologists(12.5),database(6.25),mobile apps(6.25),AI&amp; data analysis(6.25),plastic processing(6.25),interaction(6.25),for entrepreneurs(6.25), </v>
      </c>
      <c r="GH141" s="21" t="str">
        <f t="shared" si="474"/>
        <v xml:space="preserve">technologists 1
 </v>
      </c>
      <c r="GI141" s="21" t="str">
        <f t="shared" si="271"/>
        <v xml:space="preserve">web(1,25), mobile apps(1,50), functions(1,25), interaction(1,25),  </v>
      </c>
      <c r="GJ141" s="21" t="str">
        <f t="shared" si="475"/>
        <v xml:space="preserve">web 25
mobile apps 50
functions 25
interaction 25
 </v>
      </c>
      <c r="GK141" s="21" t="str">
        <f t="shared" si="272"/>
        <v xml:space="preserve">administrator(1), enthusiasm(1), fame(1), network(2), level of understanding(1), technologists(2), spaciousness(1), ease of access(1), reputation(2), project management(2), for entrepreneurs(1),  </v>
      </c>
      <c r="GL141" s="21" t="str">
        <f t="shared" si="273"/>
        <v xml:space="preserve">technologists(1,12.5), for entrepreneurs(1,6.25),  </v>
      </c>
      <c r="GM141" s="21" t="str">
        <f t="shared" si="476"/>
        <v xml:space="preserve">technologists(12.5),for entrepreneurs(6.25), </v>
      </c>
      <c r="GN141" s="21" t="str">
        <f t="shared" si="474"/>
        <v xml:space="preserve">technologists 1
 </v>
      </c>
      <c r="GO141" s="21" t="str">
        <f t="shared" si="274"/>
        <v xml:space="preserve">web(1,25), mobile apps(1,25), VR&amp;AR(1,25), aesthetics(1,25), functions(1,25), interaction(1,50),  </v>
      </c>
      <c r="GP141" s="21" t="str">
        <f t="shared" si="475"/>
        <v xml:space="preserve">web 25
mobile apps 25
VR&amp;AR 25
aesthetics 25
functions 25
interaction 50
 </v>
      </c>
      <c r="GQ141" s="21" t="str">
        <f t="shared" si="275"/>
        <v xml:space="preserve">administrator(1), enthusiasm(1), fame(1), network(2), level of understanding(1), technologists(2), spaciousness(1), ease of access(1), reputation(2), project management(2), for entrepreneurs(1),  </v>
      </c>
      <c r="GR141" s="21" t="str">
        <f t="shared" si="276"/>
        <v xml:space="preserve">technologists(1,12.5), for entrepreneurs(1,6.25),  </v>
      </c>
      <c r="GS141" s="21" t="str">
        <f t="shared" si="476"/>
        <v xml:space="preserve">technologists(12.5),for entrepreneurs(6.25), </v>
      </c>
      <c r="GT141" s="21" t="str">
        <f t="shared" si="474"/>
        <v xml:space="preserve">ease of access 1
reputation 2
web 1
mobile apps 1
mobile comm 1
 </v>
      </c>
      <c r="GU141" s="21" t="str">
        <f t="shared" si="277"/>
        <v xml:space="preserve"> </v>
      </c>
      <c r="GV141" s="21" t="str">
        <f t="shared" si="475"/>
        <v xml:space="preserve"> </v>
      </c>
      <c r="GW141" s="21" t="str">
        <f t="shared" si="278"/>
        <v xml:space="preserve">finance(1), 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1" s="21" t="str">
        <f t="shared" si="279"/>
        <v xml:space="preserve">media(1,6.25), entrepreneurs(1,6.25), technologists(1,6.25), project management(1,6.25), social media(1,6.25), web(1,6.25), mobile apps(1,6.25),  </v>
      </c>
      <c r="GY141" s="21" t="str">
        <f t="shared" si="476"/>
        <v xml:space="preserve">media(6.25),entrepreneurs(6.25),technologists(6.25),project management(6.25),social media(6.25),web(6.25),mobile apps(6.25), </v>
      </c>
      <c r="GZ141" s="21" t="str">
        <f t="shared" si="477"/>
        <v xml:space="preserve">network 1
govt 1
non-profits 1
reputation 2
portfolio 1
 </v>
      </c>
      <c r="HA141" s="21" t="str">
        <f t="shared" si="281"/>
        <v xml:space="preserve"> </v>
      </c>
      <c r="HB141" s="21" t="str">
        <f t="shared" si="478"/>
        <v xml:space="preserve"> </v>
      </c>
      <c r="HC141" s="21" t="str">
        <f t="shared" si="283"/>
        <v xml:space="preserve">finance(1), administrator(1), network(2), govt(3), non-profits(3), reputation(4), portfolio(3), social media(2), web(2), mobile apps(2), sensors(2), AI&amp; data analysis(2), VR&amp;AR(2), plastic processing(2), electronics(2), aesthetics(2), interaction(2),  </v>
      </c>
      <c r="HD141" s="21" t="str">
        <f t="shared" si="284"/>
        <v xml:space="preserve">media(1,6.25), technologists(1,6.25), non-profits(1,6.25), reputation(1,6.25), start-up with customers(1,6.25), for basic literacy(1,6.25),  </v>
      </c>
      <c r="HE141" s="21" t="str">
        <f t="shared" si="479"/>
        <v xml:space="preserve">media(6.25),technologists(6.25),non-profits(6.25),reputation(6.25),start-up with customers(6.25),for basic literacy(6.25), </v>
      </c>
      <c r="HF141" s="21" t="str">
        <f t="shared" si="477"/>
        <v xml:space="preserve"> </v>
      </c>
      <c r="HG141" s="21" t="str">
        <f t="shared" si="286"/>
        <v xml:space="preserve"> </v>
      </c>
      <c r="HH141" s="21" t="str">
        <f t="shared" si="478"/>
        <v xml:space="preserve"> </v>
      </c>
      <c r="HI141" s="21" t="str">
        <f t="shared" si="287"/>
        <v xml:space="preserve">finance(1), administrator(1), network(2), portfolio(3), marketing(2), team building(3), project management(2), mobile apps(3), sensors(2), plastic processing(2), electronics(2), aesthetics(2), functions(2), interaction(2),  </v>
      </c>
      <c r="HJ141" s="21" t="str">
        <f t="shared" si="288"/>
        <v xml:space="preserve">govt(1,6.25), media(1,6.25), non-profits(1,6.25), start-up with customers(1,6.25),  </v>
      </c>
      <c r="HK141" s="21" t="str">
        <f t="shared" si="479"/>
        <v xml:space="preserve">govt(6.25),media(6.25),non-profits(6.25),start-up with customers(6.25), </v>
      </c>
      <c r="HL141" s="21" t="str">
        <f t="shared" si="477"/>
        <v xml:space="preserve">administrator 1
local biz 1
entrepreneurs 1
non-profits 1
reputation 2
portfolio 2
 </v>
      </c>
      <c r="HM141" s="21" t="str">
        <f t="shared" si="289"/>
        <v xml:space="preserve"> </v>
      </c>
      <c r="HN141" s="21" t="str">
        <f t="shared" si="478"/>
        <v xml:space="preserve"> </v>
      </c>
      <c r="HO141" s="21" t="str">
        <f t="shared" si="290"/>
        <v xml:space="preserve">finance(1), 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1" s="21" t="str">
        <f t="shared" si="291"/>
        <v xml:space="preserve">enthusiasm(1,6.25), level of understanding(1,6.25), local biz(1,6.25), biz group(1,6.25), govt(1,6.25), investors(1,6.25), media(1,6.25), entrepreneurs(1,6.25), technologists(1,6.25), suppliers(1,6.25), non-profits(1,6.25), reputation(1,6.25),  </v>
      </c>
      <c r="HQ141" s="47" t="str">
        <f t="shared" si="479"/>
        <v xml:space="preserve">enthusiasm(6.25),level of understanding(6.25),local biz(6.25),biz group(6.25),govt(6.25),investors(6.25),media(6.25),entrepreneurs(6.25),technologists(6.25),suppliers(6.25),non-profits(6.25),reputation(6.25), </v>
      </c>
      <c r="HR141" s="47" t="str">
        <f t="shared" ref="HR141:HW141" si="490">IF(HR39="",HR142,$C141&amp;"("&amp;HR39&amp;"),"&amp;HR142)</f>
        <v xml:space="preserve">reputation(2),portfolio(2),mobile apps(1),sensors(1),wood processing(1),aesthetics(1), </v>
      </c>
      <c r="HS141" s="47" t="str">
        <f t="shared" si="490"/>
        <v xml:space="preserve"> </v>
      </c>
      <c r="HT141" s="47" t="str">
        <f t="shared" si="490"/>
        <v xml:space="preserve"> </v>
      </c>
      <c r="HU141" s="47" t="str">
        <f t="shared" si="490"/>
        <v xml:space="preserve">finance(1),administrator(1),enthusiasm(2),network(2),level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1" s="47" t="str">
        <f t="shared" si="490"/>
        <v xml:space="preserve">local biz(1),biz group(1),govt(1),investors(1),media(1),entrepreneurs(1),technologists(1),suppliers(1),non-profits(1),reputation(1), </v>
      </c>
      <c r="HW141" s="47" t="str">
        <f t="shared" si="490"/>
        <v xml:space="preserve">local biz(6.25),biz group(6.25),govt(6.25),investors(6.25),media(6.25),entrepreneurs(6.25),technologists(12.5),suppliers(6.25),non-profits(6.25),reputation(6.25), </v>
      </c>
      <c r="HX141" s="47" t="str">
        <f t="shared" ref="HX141:IU141" si="491">IF(HX39="",HX142,$C141&amp;"("&amp;HX39&amp;"),"&amp;HX142)</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1" s="47" t="str">
        <f t="shared" si="491"/>
        <v xml:space="preserve">biz enhancement(1), </v>
      </c>
      <c r="HZ141" s="47" t="str">
        <f t="shared" si="491"/>
        <v xml:space="preserve">biz enhancement(100), </v>
      </c>
      <c r="IA141" s="47" t="str">
        <f t="shared" si="491"/>
        <v xml:space="preserve">finance(1),administrator(1),enthusiasm(2),network(2),ambition(2),knowledge(2),spaciousness(2),ease of access(3),efficiency(2),portfolio(4),finance(2),business model(2),marketing(3),team building(2),project management(2),social media(3),negotiation(3), </v>
      </c>
      <c r="IB141" s="47" t="str">
        <f t="shared" si="491"/>
        <v xml:space="preserve">level of understanding(1),ambition(1),local biz(1),biz group(1),govt(1),media(1),entrepreneurs(1),technologists(1),non-profits(1),reputation(1),team building(1),database(1),AI&amp; data analysis(1),electronics(1),functions(1), </v>
      </c>
      <c r="IC141" s="47" t="str">
        <f t="shared" si="491"/>
        <v xml:space="preserve">level of understanding(6.25),ambition(6.25),local biz(6.25),biz group(6.25),govt(6.25),media(6.25),entrepreneurs(6.25),technologists(6.25),non-profits(6.25),reputation(6.25),team building(6.25),database(6.25),AI&amp; data analysis(6.25),electronics(6.25),functions(6.25), </v>
      </c>
      <c r="ID141" s="47" t="str">
        <f t="shared" si="491"/>
        <v xml:space="preserve">technologists(2), </v>
      </c>
      <c r="IE141" s="47" t="str">
        <f t="shared" si="491"/>
        <v xml:space="preserve">web(1),mobile apps(1),security(1),AI&amp; data analysis(1), </v>
      </c>
      <c r="IF141" s="47" t="str">
        <f t="shared" si="491"/>
        <v xml:space="preserve">web(25),mobile apps(25),security(25),AI&amp; data analysis(25), </v>
      </c>
      <c r="IG141" s="47" t="str">
        <f t="shared" si="491"/>
        <v xml:space="preserve">administrator(1),network(2),entrepreneurs(3),technologists(4),spaciousness(2),ease of access(2),reputation(3),efficiency(2),portfolio(3),web(2),database(2),mobile apps(2),security(2),AI&amp; data analysis(2), </v>
      </c>
      <c r="IH141" s="47" t="str">
        <f t="shared" si="491"/>
        <v xml:space="preserve">technologists(1),web(1),database(1),mobile apps(1),security(1),AI&amp; data analysis(1), </v>
      </c>
      <c r="II141" s="47" t="str">
        <f t="shared" si="491"/>
        <v xml:space="preserve">technologists(6.25),web(6.25),database(6.25),mobile apps(6.25),security(6.25),AI&amp; data analysis(6.25), </v>
      </c>
      <c r="IJ141" s="47" t="str">
        <f t="shared" si="491"/>
        <v xml:space="preserve">technologists(2), </v>
      </c>
      <c r="IK141" s="47" t="str">
        <f t="shared" si="491"/>
        <v xml:space="preserve">wood processing(1),metal processing(1),functions(1),safety(1), </v>
      </c>
      <c r="IL141" s="47" t="str">
        <f t="shared" si="491"/>
        <v xml:space="preserve">wood processing(25),metal processing(25),functions(25),safety(25), </v>
      </c>
      <c r="IM141" s="47" t="str">
        <f t="shared" si="491"/>
        <v xml:space="preserve">administrator(1),network(2),entrepreneurs(3),technologists(4),spaciousness(2),ease of access(2),reputation(3),efficiency(2),portfolio(3),wood processing(2),metal processing(2),functions(2),safety(2), </v>
      </c>
      <c r="IN141" s="47" t="str">
        <f t="shared" si="491"/>
        <v xml:space="preserve">technologists(1),wood processing(1),metal processing(1),functions(1),safety(1),interaction(1), </v>
      </c>
      <c r="IO141" s="47" t="str">
        <f t="shared" si="491"/>
        <v xml:space="preserve">technologists(6.25),wood processing(6.25),metal processing(6.25),functions(6.25),safety(6.25),interaction(6.25), </v>
      </c>
      <c r="IP141" s="57" t="str">
        <f t="shared" si="491"/>
        <v xml:space="preserve">local biz(2),reputation(1), </v>
      </c>
      <c r="IQ141" s="47" t="str">
        <f t="shared" si="491"/>
        <v xml:space="preserve">local biz(1),marketing(1), </v>
      </c>
      <c r="IR141" s="47" t="str">
        <f t="shared" si="491"/>
        <v xml:space="preserve">local biz(25),marketing(25), </v>
      </c>
      <c r="IS141" s="47" t="str">
        <f t="shared" si="491"/>
        <v xml:space="preserve">finance(1),administrator(1),enthusiasm(3),network(2),level of understanding(3),local biz(3),biz group(2),govt(2),non-profits(2),reputation(3),efficiency(2),marketing(2), </v>
      </c>
      <c r="IT141" s="47" t="str">
        <f t="shared" si="491"/>
        <v xml:space="preserve">local biz(1),biz group(1),govt(1),non-profits(1),marketing(1), </v>
      </c>
      <c r="IU141" s="47" t="str">
        <f t="shared" si="491"/>
        <v xml:space="preserve">local biz(6.25),biz group(6.25),govt(6.25),non-profits(6.25),marketing(6.25), </v>
      </c>
      <c r="IV141" s="57" t="str">
        <f t="shared" ref="IV141:LG141" si="492">IF(IV39="",IV142,$C141&amp;"("&amp;IV39&amp;"),"&amp;IV142)</f>
        <v xml:space="preserve">local biz(2),reputation(1), </v>
      </c>
      <c r="IW141" s="47" t="str">
        <f t="shared" si="492"/>
        <v xml:space="preserve">local biz(1),marketing(1), </v>
      </c>
      <c r="IX141" s="47" t="str">
        <f t="shared" si="492"/>
        <v xml:space="preserve">local biz(25),marketing(25), </v>
      </c>
      <c r="IY141" s="47" t="str">
        <f t="shared" si="492"/>
        <v xml:space="preserve">finance(1),administrator(1),enthusiasm(3),network(2),level of understanding(3),local biz(3),biz group(2),govt(2),reputation(3),efficiency(2),marketing(2), </v>
      </c>
      <c r="IZ141" s="47" t="str">
        <f t="shared" si="492"/>
        <v xml:space="preserve">local biz(1),biz group(1),govt(1),marketing(1), </v>
      </c>
      <c r="JA141" s="47" t="str">
        <f t="shared" si="492"/>
        <v xml:space="preserve">local biz(6.25),biz group(6.25),govt(6.25),marketing(6.25), </v>
      </c>
      <c r="JB141" s="47" t="str">
        <f t="shared" si="492"/>
        <v xml:space="preserve"> </v>
      </c>
      <c r="JC141" s="47" t="str">
        <f t="shared" si="492"/>
        <v xml:space="preserve"> </v>
      </c>
      <c r="JD141" s="47" t="str">
        <f t="shared" si="492"/>
        <v xml:space="preserve"> </v>
      </c>
      <c r="JE141" s="47" t="str">
        <f t="shared" si="492"/>
        <v xml:space="preserve">administrator(1),network(2),level of understanding(2),technologists(2),spaciousness(1),ease of access(1),reputation(3),efficiency(2), </v>
      </c>
      <c r="JF141" s="47" t="str">
        <f t="shared" si="492"/>
        <v xml:space="preserve">web(1),infrastructrue(1),database(1),mobile apps(1),sensors(1),security(1),AI&amp; data analysis(1),mobile comm(1),VR&amp;AR(1),wood processing(1),metal processing(1),plastic processing(1),electronics(1),fabric(1),aesthetics(1),functions(1),safety(1),interaction(1), </v>
      </c>
      <c r="JG141" s="47" t="str">
        <f t="shared" si="492"/>
        <v xml:space="preserve">web(6.25),infrastructrue(6.25),database(6.25),mobile apps(6.25),sensors(6.25),security(6.25),AI&amp; data analysis(6.25),mobile comm(6.25),VR&amp;AR(6.25),wood processing(6.25),metal processing(6.25),plastic processing(6.25),electronics(6.25),fabric(6.25),aesthetics(6.25),functions(6.25),safety(6.25),interaction(6.25), </v>
      </c>
      <c r="JH141" s="47" t="str">
        <f t="shared" si="492"/>
        <v xml:space="preserve">enthusiasm(1),local biz(1),non-profits(1),reputation(2), </v>
      </c>
      <c r="JI141" s="47" t="str">
        <f t="shared" si="492"/>
        <v xml:space="preserve"> </v>
      </c>
      <c r="JJ141" s="47" t="str">
        <f t="shared" si="492"/>
        <v xml:space="preserve"> </v>
      </c>
      <c r="JK141" s="47" t="str">
        <f t="shared" si="492"/>
        <v xml:space="preserve">finance(1),enthusiasm(2),fame(2),network(2),ambition(2),local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1" s="47" t="str">
        <f t="shared" si="492"/>
        <v xml:space="preserve">non-profits(1), </v>
      </c>
      <c r="JM141" s="47" t="str">
        <f t="shared" si="492"/>
        <v xml:space="preserve">non-profits(6.25), </v>
      </c>
      <c r="JN141" s="47" t="str">
        <f t="shared" si="492"/>
        <v xml:space="preserve">enthusiasm(1),network(1),local biz(1),investors(1),entrepreneurs(1),technologists(1),non-profits(1),reputation(2),portfolio(2), </v>
      </c>
      <c r="JO141" s="47" t="str">
        <f t="shared" si="492"/>
        <v xml:space="preserve"> </v>
      </c>
      <c r="JP141" s="47" t="str">
        <f t="shared" si="492"/>
        <v xml:space="preserve"> </v>
      </c>
      <c r="JQ141" s="47" t="str">
        <f t="shared" si="492"/>
        <v xml:space="preserve">finance(1),administrator(1),enthusiasm(2),fame(2),network(2),level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1" s="47" t="str">
        <f t="shared" si="492"/>
        <v xml:space="preserve"> </v>
      </c>
      <c r="JS141" s="47" t="str">
        <f t="shared" si="492"/>
        <v xml:space="preserve"> </v>
      </c>
      <c r="JT141" s="47" t="str">
        <f t="shared" si="492"/>
        <v xml:space="preserve">administrator(1),enthusiasm(2),network(2),local biz(2),biz group(1),govt(2),investors(2),entrepreneurs(2),technologists(2),non-profits(2),reputation(2),portfolio(3), </v>
      </c>
      <c r="JU141" s="47" t="str">
        <f t="shared" si="492"/>
        <v xml:space="preserve"> </v>
      </c>
      <c r="JV141" s="47" t="str">
        <f t="shared" si="492"/>
        <v xml:space="preserve"> </v>
      </c>
      <c r="JW141" s="47" t="str">
        <f t="shared" si="492"/>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1" s="47" t="str">
        <f t="shared" si="492"/>
        <v xml:space="preserve"> </v>
      </c>
      <c r="JY141" s="47" t="str">
        <f t="shared" si="492"/>
        <v xml:space="preserve"> </v>
      </c>
      <c r="JZ141" s="47" t="str">
        <f t="shared" si="492"/>
        <v xml:space="preserve">network(1),non-profits(1),reputation(2),social project(2), </v>
      </c>
      <c r="KA141" s="47" t="str">
        <f t="shared" si="492"/>
        <v xml:space="preserve">non-profits(1), </v>
      </c>
      <c r="KB141" s="47" t="str">
        <f t="shared" si="492"/>
        <v xml:space="preserve">non-profits(25), </v>
      </c>
      <c r="KC141" s="47" t="str">
        <f t="shared" si="492"/>
        <v xml:space="preserve">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1" s="47" t="str">
        <f t="shared" si="492"/>
        <v xml:space="preserve">non-profits(1), </v>
      </c>
      <c r="KE141" s="47" t="str">
        <f t="shared" si="492"/>
        <v xml:space="preserve">non-profits(6.25), </v>
      </c>
      <c r="KF141" s="47" t="str">
        <f t="shared" si="492"/>
        <v xml:space="preserve"> </v>
      </c>
      <c r="KG141" s="47" t="str">
        <f t="shared" si="492"/>
        <v xml:space="preserve"> </v>
      </c>
      <c r="KH141" s="47" t="str">
        <f t="shared" si="492"/>
        <v xml:space="preserve"> </v>
      </c>
      <c r="KI141" s="47" t="str">
        <f t="shared" si="492"/>
        <v xml:space="preserve"> </v>
      </c>
      <c r="KJ141" s="47" t="str">
        <f t="shared" si="492"/>
        <v xml:space="preserve"> </v>
      </c>
      <c r="KK141" s="47" t="str">
        <f t="shared" si="492"/>
        <v xml:space="preserve"> </v>
      </c>
      <c r="KL141" s="57" t="str">
        <f t="shared" si="492"/>
        <v xml:space="preserve"> </v>
      </c>
      <c r="KM141" s="47" t="str">
        <f t="shared" si="492"/>
        <v xml:space="preserve"> </v>
      </c>
      <c r="KN141" s="47" t="str">
        <f t="shared" si="492"/>
        <v xml:space="preserve"> </v>
      </c>
      <c r="KO141" s="47" t="str">
        <f t="shared" si="492"/>
        <v xml:space="preserve"> </v>
      </c>
      <c r="KP141" s="47" t="str">
        <f t="shared" si="492"/>
        <v xml:space="preserve"> </v>
      </c>
      <c r="KQ141" s="47" t="str">
        <f t="shared" si="492"/>
        <v xml:space="preserve"> </v>
      </c>
      <c r="KR141" s="57" t="str">
        <f t="shared" si="492"/>
        <v xml:space="preserve"> </v>
      </c>
      <c r="KS141" s="47" t="str">
        <f t="shared" si="492"/>
        <v xml:space="preserve"> </v>
      </c>
      <c r="KT141" s="47" t="str">
        <f t="shared" si="492"/>
        <v xml:space="preserve"> </v>
      </c>
      <c r="KU141" s="47" t="str">
        <f t="shared" si="492"/>
        <v xml:space="preserve"> </v>
      </c>
      <c r="KV141" s="47" t="str">
        <f t="shared" si="492"/>
        <v xml:space="preserve"> </v>
      </c>
      <c r="KW141" s="47" t="str">
        <f t="shared" si="492"/>
        <v xml:space="preserve"> </v>
      </c>
      <c r="KX141" s="57" t="str">
        <f t="shared" si="492"/>
        <v xml:space="preserve"> </v>
      </c>
      <c r="KY141" s="47" t="str">
        <f t="shared" si="492"/>
        <v xml:space="preserve"> </v>
      </c>
      <c r="KZ141" s="47" t="str">
        <f t="shared" si="492"/>
        <v xml:space="preserve"> </v>
      </c>
      <c r="LA141" s="47" t="str">
        <f t="shared" si="492"/>
        <v xml:space="preserve"> </v>
      </c>
      <c r="LB141" s="47" t="str">
        <f t="shared" si="492"/>
        <v xml:space="preserve"> </v>
      </c>
      <c r="LC141" s="47" t="str">
        <f t="shared" si="492"/>
        <v xml:space="preserve"> </v>
      </c>
      <c r="LD141" s="57" t="str">
        <f t="shared" si="492"/>
        <v xml:space="preserve"> </v>
      </c>
      <c r="LE141" s="47" t="str">
        <f t="shared" si="492"/>
        <v xml:space="preserve"> </v>
      </c>
      <c r="LF141" s="47" t="str">
        <f t="shared" si="492"/>
        <v xml:space="preserve"> </v>
      </c>
      <c r="LG141" s="47" t="str">
        <f t="shared" si="492"/>
        <v xml:space="preserve"> </v>
      </c>
      <c r="LH141" s="47" t="str">
        <f t="shared" ref="LH141:NM141" si="493">IF(LH39="",LH142,$C141&amp;"("&amp;LH39&amp;"),"&amp;LH142)</f>
        <v xml:space="preserve"> </v>
      </c>
      <c r="LI141" s="47" t="str">
        <f t="shared" si="493"/>
        <v xml:space="preserve"> </v>
      </c>
      <c r="LJ141" s="57" t="str">
        <f t="shared" si="493"/>
        <v xml:space="preserve"> </v>
      </c>
      <c r="LK141" s="47" t="str">
        <f t="shared" si="493"/>
        <v xml:space="preserve"> </v>
      </c>
      <c r="LL141" s="47" t="str">
        <f t="shared" si="493"/>
        <v xml:space="preserve"> </v>
      </c>
      <c r="LM141" s="47" t="str">
        <f t="shared" si="493"/>
        <v xml:space="preserve"> </v>
      </c>
      <c r="LN141" s="47" t="str">
        <f t="shared" si="493"/>
        <v xml:space="preserve"> </v>
      </c>
      <c r="LO141" s="47" t="str">
        <f t="shared" si="493"/>
        <v xml:space="preserve"> </v>
      </c>
      <c r="LP141" s="57" t="str">
        <f t="shared" si="493"/>
        <v xml:space="preserve"> </v>
      </c>
      <c r="LQ141" s="47" t="str">
        <f t="shared" si="493"/>
        <v xml:space="preserve"> </v>
      </c>
      <c r="LR141" s="47" t="str">
        <f t="shared" si="493"/>
        <v xml:space="preserve"> </v>
      </c>
      <c r="LS141" s="47" t="str">
        <f t="shared" si="493"/>
        <v xml:space="preserve"> </v>
      </c>
      <c r="LT141" s="47" t="str">
        <f t="shared" si="493"/>
        <v xml:space="preserve"> </v>
      </c>
      <c r="LU141" s="47" t="str">
        <f t="shared" si="493"/>
        <v xml:space="preserve"> </v>
      </c>
      <c r="LV141" s="57" t="str">
        <f t="shared" si="493"/>
        <v xml:space="preserve"> </v>
      </c>
      <c r="LW141" s="47" t="str">
        <f t="shared" si="493"/>
        <v xml:space="preserve"> </v>
      </c>
      <c r="LX141" s="47" t="str">
        <f t="shared" si="493"/>
        <v xml:space="preserve"> </v>
      </c>
      <c r="LY141" s="47" t="str">
        <f t="shared" si="493"/>
        <v xml:space="preserve"> </v>
      </c>
      <c r="LZ141" s="47" t="str">
        <f t="shared" si="493"/>
        <v xml:space="preserve"> </v>
      </c>
      <c r="MA141" s="47" t="str">
        <f t="shared" si="493"/>
        <v xml:space="preserve"> </v>
      </c>
      <c r="MB141" s="57" t="str">
        <f t="shared" si="493"/>
        <v xml:space="preserve"> </v>
      </c>
      <c r="MC141" s="47" t="str">
        <f t="shared" si="493"/>
        <v xml:space="preserve"> </v>
      </c>
      <c r="MD141" s="47" t="str">
        <f t="shared" si="493"/>
        <v xml:space="preserve"> </v>
      </c>
      <c r="ME141" s="47" t="str">
        <f t="shared" si="493"/>
        <v xml:space="preserve"> </v>
      </c>
      <c r="MF141" s="47" t="str">
        <f t="shared" si="493"/>
        <v xml:space="preserve"> </v>
      </c>
      <c r="MG141" s="47" t="str">
        <f t="shared" si="493"/>
        <v xml:space="preserve"> </v>
      </c>
      <c r="MH141" s="57" t="str">
        <f t="shared" si="493"/>
        <v xml:space="preserve"> </v>
      </c>
      <c r="MI141" s="47" t="str">
        <f t="shared" si="493"/>
        <v xml:space="preserve"> </v>
      </c>
      <c r="MJ141" s="47" t="str">
        <f t="shared" si="493"/>
        <v xml:space="preserve"> </v>
      </c>
      <c r="MK141" s="47" t="str">
        <f t="shared" si="493"/>
        <v xml:space="preserve"> </v>
      </c>
      <c r="ML141" s="47" t="str">
        <f t="shared" si="493"/>
        <v xml:space="preserve"> </v>
      </c>
      <c r="MM141" s="47" t="str">
        <f t="shared" si="493"/>
        <v xml:space="preserve"> </v>
      </c>
      <c r="MN141" s="57" t="str">
        <f t="shared" si="493"/>
        <v xml:space="preserve"> </v>
      </c>
      <c r="MO141" s="47" t="str">
        <f t="shared" si="493"/>
        <v xml:space="preserve"> </v>
      </c>
      <c r="MP141" s="47" t="str">
        <f t="shared" si="493"/>
        <v xml:space="preserve"> </v>
      </c>
      <c r="MQ141" s="47" t="str">
        <f t="shared" si="493"/>
        <v xml:space="preserve"> </v>
      </c>
      <c r="MR141" s="47" t="str">
        <f t="shared" si="493"/>
        <v xml:space="preserve"> </v>
      </c>
      <c r="MS141" s="47" t="str">
        <f t="shared" si="493"/>
        <v xml:space="preserve"> </v>
      </c>
      <c r="MT141" s="57" t="str">
        <f t="shared" si="493"/>
        <v xml:space="preserve"> </v>
      </c>
      <c r="MU141" s="47" t="str">
        <f t="shared" si="493"/>
        <v xml:space="preserve"> </v>
      </c>
      <c r="MV141" s="47" t="str">
        <f t="shared" si="493"/>
        <v xml:space="preserve"> </v>
      </c>
      <c r="MW141" s="47" t="str">
        <f t="shared" si="493"/>
        <v xml:space="preserve"> </v>
      </c>
      <c r="MX141" s="47" t="str">
        <f t="shared" si="493"/>
        <v xml:space="preserve"> </v>
      </c>
      <c r="MY141" s="47" t="str">
        <f t="shared" si="493"/>
        <v xml:space="preserve"> </v>
      </c>
      <c r="MZ141" s="57" t="str">
        <f t="shared" si="493"/>
        <v xml:space="preserve"> </v>
      </c>
      <c r="NA141" s="47" t="str">
        <f t="shared" si="493"/>
        <v xml:space="preserve"> </v>
      </c>
      <c r="NB141" s="47" t="str">
        <f t="shared" si="493"/>
        <v xml:space="preserve"> </v>
      </c>
      <c r="NC141" s="47" t="str">
        <f t="shared" si="493"/>
        <v xml:space="preserve"> </v>
      </c>
      <c r="ND141" s="47" t="str">
        <f t="shared" si="493"/>
        <v xml:space="preserve"> </v>
      </c>
      <c r="NE141" s="47" t="str">
        <f t="shared" si="493"/>
        <v xml:space="preserve"> </v>
      </c>
      <c r="NF141" s="57" t="str">
        <f t="shared" si="493"/>
        <v xml:space="preserve"> </v>
      </c>
      <c r="NG141" s="47" t="str">
        <f t="shared" si="493"/>
        <v xml:space="preserve"> </v>
      </c>
      <c r="NH141" s="47" t="str">
        <f t="shared" si="493"/>
        <v xml:space="preserve"> </v>
      </c>
      <c r="NI141" s="47" t="str">
        <f t="shared" si="493"/>
        <v xml:space="preserve"> </v>
      </c>
      <c r="NJ141" s="47" t="str">
        <f t="shared" si="493"/>
        <v xml:space="preserve"> </v>
      </c>
      <c r="NK141" s="47" t="str">
        <f t="shared" si="493"/>
        <v xml:space="preserve"> </v>
      </c>
      <c r="NL141" s="57" t="str">
        <f t="shared" si="493"/>
        <v xml:space="preserve"> </v>
      </c>
      <c r="NM141" s="47" t="str">
        <f t="shared" si="493"/>
        <v xml:space="preserve"> </v>
      </c>
    </row>
    <row r="142" spans="3:377" ht="15.75" customHeight="1">
      <c r="C142" s="7" t="str">
        <f t="shared" si="296"/>
        <v>administrator</v>
      </c>
      <c r="D142" s="21" t="str">
        <f t="shared" si="169"/>
        <v xml:space="preserve"> </v>
      </c>
      <c r="E142" s="21" t="str">
        <f t="shared" si="297"/>
        <v xml:space="preserve"> </v>
      </c>
      <c r="F142" s="21" t="str">
        <f t="shared" si="170"/>
        <v xml:space="preserve"> </v>
      </c>
      <c r="G142" s="21" t="str">
        <f t="shared" si="298"/>
        <v xml:space="preserve">fame(1), network(2), ease of access(1), reputation(2), social media(1),  </v>
      </c>
      <c r="H142" s="21" t="str">
        <f t="shared" si="299"/>
        <v xml:space="preserve"> </v>
      </c>
      <c r="I142" s="21" t="str">
        <f t="shared" ref="I142" si="494">IF(I40="",I143,$C142&amp;"("&amp;I40&amp;"),"&amp;I143)</f>
        <v xml:space="preserve"> </v>
      </c>
      <c r="J142" s="21" t="str">
        <f t="shared" si="468"/>
        <v xml:space="preserve">interaction 1
 </v>
      </c>
      <c r="K142" s="21" t="str">
        <f t="shared" si="173"/>
        <v xml:space="preserve">reputation(1,75),  </v>
      </c>
      <c r="L142" s="21" t="str">
        <f t="shared" si="469"/>
        <v xml:space="preserve">reputation 75
 </v>
      </c>
      <c r="M142" s="21" t="str">
        <f t="shared" si="175"/>
        <v xml:space="preserve">portfolio(1), social innovation(1), non-profit biz(1),  </v>
      </c>
      <c r="N142" s="21" t="str">
        <f t="shared" si="176"/>
        <v xml:space="preserve">non-profits(1,12.5), reputation(1,75), marketing(1,12.5),  </v>
      </c>
      <c r="O142" s="21" t="str">
        <f t="shared" si="470"/>
        <v xml:space="preserve">non-profits(12.5),reputation(75),marketing(12.5), </v>
      </c>
      <c r="P142" s="21" t="str">
        <f t="shared" si="468"/>
        <v xml:space="preserve">biz project 1
 </v>
      </c>
      <c r="Q142" s="21" t="str">
        <f t="shared" si="178"/>
        <v xml:space="preserve"> </v>
      </c>
      <c r="R142" s="21" t="str">
        <f t="shared" si="469"/>
        <v xml:space="preserve"> </v>
      </c>
      <c r="S142" s="21" t="str">
        <f t="shared" si="179"/>
        <v xml:space="preserve">portfolio(1), biz enhancement(1), business(1), start-up(1),  </v>
      </c>
      <c r="T142" s="21" t="str">
        <f t="shared" si="180"/>
        <v xml:space="preserve">local biz(1,6.25), investors(1,6.25), reputation(1,6.25),  </v>
      </c>
      <c r="U142" s="21" t="str">
        <f t="shared" si="470"/>
        <v xml:space="preserve">local biz(6.25),investors(6.25),reputation(6.25), </v>
      </c>
      <c r="V142" s="21" t="str">
        <f t="shared" si="468"/>
        <v xml:space="preserve"> </v>
      </c>
      <c r="W142" s="21" t="str">
        <f t="shared" si="181"/>
        <v xml:space="preserve">local biz(1,),  </v>
      </c>
      <c r="X142" s="21" t="str">
        <f t="shared" si="469"/>
        <v xml:space="preserve"> </v>
      </c>
      <c r="Y142" s="21" t="str">
        <f t="shared" si="182"/>
        <v xml:space="preserve">network(1), ease of access(1), reputation(1), portfolio(1), biz project(1), biz enhancement(1), job creation(1), business(1),  </v>
      </c>
      <c r="Z142" s="21" t="str">
        <f t="shared" si="183"/>
        <v xml:space="preserve">local biz(1,6.25),  </v>
      </c>
      <c r="AA142" s="21" t="str">
        <f t="shared" si="470"/>
        <v xml:space="preserve">local biz(6.25), </v>
      </c>
      <c r="AB142" s="21" t="str">
        <f t="shared" si="468"/>
        <v xml:space="preserve"> </v>
      </c>
      <c r="AC142" s="21" t="str">
        <f t="shared" si="184"/>
        <v xml:space="preserve">non-profits(1,100),  </v>
      </c>
      <c r="AD142" s="21" t="str">
        <f t="shared" si="469"/>
        <v xml:space="preserve">non-profits 100
 </v>
      </c>
      <c r="AE142" s="21" t="str">
        <f t="shared" si="185"/>
        <v xml:space="preserve">network(1), ease of access(1), reputation(1), portfolio(1), social project(1), social innovation(1), non-profit biz(1),  </v>
      </c>
      <c r="AF142" s="21" t="str">
        <f t="shared" si="186"/>
        <v xml:space="preserve">non-profits(1,6.25),  </v>
      </c>
      <c r="AG142" s="21" t="str">
        <f t="shared" si="470"/>
        <v xml:space="preserve">non-profits(6.25), </v>
      </c>
      <c r="AH142" s="21" t="str">
        <f t="shared" si="468"/>
        <v xml:space="preserve"> </v>
      </c>
      <c r="AI142" s="21" t="str">
        <f t="shared" si="187"/>
        <v xml:space="preserve">govt(1,),  </v>
      </c>
      <c r="AJ142" s="21" t="str">
        <f t="shared" si="469"/>
        <v xml:space="preserve"> </v>
      </c>
      <c r="AK142" s="21" t="str">
        <f t="shared" si="188"/>
        <v xml:space="preserve">fame(1), network(1), govt(1), ease of access(1), reputation(2), portfolio(1), social project(1), social innovation(1), non-profit biz(1),  </v>
      </c>
      <c r="AL142" s="21" t="str">
        <f t="shared" si="189"/>
        <v xml:space="preserve">govt(1,6.25),  </v>
      </c>
      <c r="AM142" s="21" t="str">
        <f t="shared" si="470"/>
        <v xml:space="preserve">govt(6.25), </v>
      </c>
      <c r="AN142" s="21" t="str">
        <f t="shared" si="468"/>
        <v xml:space="preserve"> </v>
      </c>
      <c r="AO142" s="21" t="str">
        <f t="shared" si="190"/>
        <v xml:space="preserve">fame(1,), network(1,), investors(1,6.25),  </v>
      </c>
      <c r="AP142" s="21" t="str">
        <f t="shared" si="469"/>
        <v xml:space="preserve">investors 6.25
 </v>
      </c>
      <c r="AQ142" s="21" t="str">
        <f t="shared" si="191"/>
        <v xml:space="preserve">investors(1), ease of access(1), reputation(1), portfolio(1), start-up(1), start-up with mvp(1), start-up with customers(1),  </v>
      </c>
      <c r="AR142" s="21" t="str">
        <f t="shared" si="192"/>
        <v xml:space="preserve"> </v>
      </c>
      <c r="AS142" s="21" t="str">
        <f t="shared" si="470"/>
        <v xml:space="preserve"> </v>
      </c>
      <c r="AT142" s="21" t="str">
        <f t="shared" si="468"/>
        <v xml:space="preserve">administrator 1
non-profits 2
reputation 1
portfolio 1
social project 1
 </v>
      </c>
      <c r="AU142" s="21" t="str">
        <f t="shared" si="193"/>
        <v xml:space="preserve"> </v>
      </c>
      <c r="AV142" s="21" t="str">
        <f t="shared" si="469"/>
        <v xml:space="preserve"> </v>
      </c>
      <c r="AW142" s="21" t="str">
        <f t="shared" si="194"/>
        <v xml:space="preserve">administrator(1), project management(2),  </v>
      </c>
      <c r="AX142" s="21" t="str">
        <f t="shared" si="195"/>
        <v xml:space="preserve">organizational rules and manuals(1,12.5), project management(1,12.5),  </v>
      </c>
      <c r="AY142" s="21" t="str">
        <f t="shared" si="470"/>
        <v xml:space="preserve">organizational rules and manuals(12.5),project management(12.5), </v>
      </c>
      <c r="AZ142" s="21" t="str">
        <f t="shared" si="468"/>
        <v xml:space="preserve">non-profits 1
 </v>
      </c>
      <c r="BA142" s="21" t="str">
        <f t="shared" si="196"/>
        <v xml:space="preserve"> </v>
      </c>
      <c r="BB142" s="21" t="str">
        <f t="shared" si="469"/>
        <v xml:space="preserve"> </v>
      </c>
      <c r="BC142" s="21" t="str">
        <f t="shared" si="197"/>
        <v xml:space="preserve"> </v>
      </c>
      <c r="BD142" s="21" t="str">
        <f t="shared" si="198"/>
        <v xml:space="preserve"> </v>
      </c>
      <c r="BE142" s="21" t="str">
        <f t="shared" si="470"/>
        <v xml:space="preserve"> </v>
      </c>
      <c r="BF142" s="21" t="str">
        <f t="shared" si="468"/>
        <v xml:space="preserve">administrator 1
local biz 2
entrepreneurs 1
reputation 1
portfolio 1
biz project 1
 </v>
      </c>
      <c r="BG142" s="21" t="str">
        <f t="shared" si="199"/>
        <v xml:space="preserve"> </v>
      </c>
      <c r="BH142" s="21" t="str">
        <f t="shared" si="469"/>
        <v xml:space="preserve"> </v>
      </c>
      <c r="BI142" s="21" t="str">
        <f t="shared" si="200"/>
        <v xml:space="preserve">administrator(1), project management(2),  </v>
      </c>
      <c r="BJ142" s="21" t="str">
        <f t="shared" si="201"/>
        <v xml:space="preserve">organizational rules and manuals(1,12.5), project management(1,12.5),  </v>
      </c>
      <c r="BK142" s="21" t="str">
        <f t="shared" si="470"/>
        <v xml:space="preserve">organizational rules and manuals(12.5),project management(12.5), </v>
      </c>
      <c r="BL142" s="21" t="str">
        <f t="shared" si="468"/>
        <v xml:space="preserve">local biz 1
reputation 1
portfolio 1
biz enhancement 1
 </v>
      </c>
      <c r="BM142" s="21" t="str">
        <f t="shared" si="202"/>
        <v xml:space="preserve"> </v>
      </c>
      <c r="BN142" s="21" t="str">
        <f t="shared" si="469"/>
        <v xml:space="preserve"> </v>
      </c>
      <c r="BO142" s="21" t="str">
        <f t="shared" si="203"/>
        <v xml:space="preserve"> </v>
      </c>
      <c r="BP142" s="21" t="str">
        <f t="shared" si="204"/>
        <v xml:space="preserve"> </v>
      </c>
      <c r="BQ142" s="21" t="str">
        <f t="shared" si="470"/>
        <v xml:space="preserve"> </v>
      </c>
      <c r="BR142" s="21" t="str">
        <f t="shared" si="468"/>
        <v xml:space="preserve"> </v>
      </c>
      <c r="BS142" s="21" t="str">
        <f t="shared" si="205"/>
        <v xml:space="preserve"> </v>
      </c>
      <c r="BT142" s="21" t="str">
        <f t="shared" si="469"/>
        <v xml:space="preserve"> </v>
      </c>
      <c r="BU142" s="21" t="str">
        <f t="shared" si="206"/>
        <v xml:space="preserve"> </v>
      </c>
      <c r="BV142" s="21" t="str">
        <f t="shared" si="207"/>
        <v xml:space="preserve"> </v>
      </c>
      <c r="BW142" s="21" t="str">
        <f t="shared" si="470"/>
        <v xml:space="preserve"> </v>
      </c>
      <c r="BX142" s="21" t="str">
        <f t="shared" si="471"/>
        <v xml:space="preserve">network 1
 </v>
      </c>
      <c r="BY142" s="21" t="str">
        <f t="shared" si="209"/>
        <v xml:space="preserve">efficiency(1,),  </v>
      </c>
      <c r="BZ142" s="21" t="str">
        <f t="shared" si="472"/>
        <v xml:space="preserve"> </v>
      </c>
      <c r="CA142" s="21" t="str">
        <f t="shared" si="211"/>
        <v xml:space="preserve">administrator(1), negotiation(1),  </v>
      </c>
      <c r="CB142" s="21" t="str">
        <f t="shared" si="212"/>
        <v xml:space="preserve">user rules and manuals(1,50), organizational rules and manuals(1,50),  </v>
      </c>
      <c r="CC142" s="21" t="str">
        <f t="shared" si="473"/>
        <v xml:space="preserve">user rules and manuals(50),organizational rules and manuals(50), </v>
      </c>
      <c r="CD142" s="21" t="str">
        <f t="shared" si="471"/>
        <v xml:space="preserve">network 1
 </v>
      </c>
      <c r="CE142" s="21" t="str">
        <f t="shared" si="214"/>
        <v xml:space="preserve">non-profits(1,),  </v>
      </c>
      <c r="CF142" s="21" t="str">
        <f t="shared" si="472"/>
        <v xml:space="preserve"> </v>
      </c>
      <c r="CG142" s="21" t="str">
        <f t="shared" si="215"/>
        <v xml:space="preserve">ease of access(1), portfolio(1), user rules and manuals(1), negotiation(1), social project(1), biz project(1), for basic literacy(1), for the elites(1), for entrepreneurs(1),  </v>
      </c>
      <c r="CH142" s="21" t="str">
        <f t="shared" si="216"/>
        <v xml:space="preserve">technologists(1,6.25), non-profits(1,6.25),  </v>
      </c>
      <c r="CI142" s="21" t="str">
        <f t="shared" si="473"/>
        <v xml:space="preserve">technologists(6.25),non-profits(6.25), </v>
      </c>
      <c r="CJ142" s="21" t="str">
        <f t="shared" si="471"/>
        <v xml:space="preserve"> </v>
      </c>
      <c r="CK142" s="21" t="str">
        <f t="shared" si="217"/>
        <v xml:space="preserve">suppliers(1,),  </v>
      </c>
      <c r="CL142" s="21" t="str">
        <f t="shared" si="472"/>
        <v xml:space="preserve"> </v>
      </c>
      <c r="CM142" s="21" t="str">
        <f t="shared" si="218"/>
        <v xml:space="preserve">reputation(1), negotiation(1),  </v>
      </c>
      <c r="CN142" s="21" t="str">
        <f t="shared" si="219"/>
        <v xml:space="preserve">efficiency(1,6.25),  </v>
      </c>
      <c r="CO142" s="21" t="str">
        <f t="shared" si="473"/>
        <v xml:space="preserve">efficiency(6.25), </v>
      </c>
      <c r="CP142" s="21" t="str">
        <f t="shared" si="471"/>
        <v xml:space="preserve"> </v>
      </c>
      <c r="CQ142" s="21" t="str">
        <f t="shared" si="220"/>
        <v xml:space="preserve">technologists(1,),  </v>
      </c>
      <c r="CR142" s="21" t="str">
        <f t="shared" si="472"/>
        <v xml:space="preserve"> </v>
      </c>
      <c r="CS142" s="21" t="str">
        <f t="shared" si="221"/>
        <v xml:space="preserve">network(1), portfolio(1), negotiation(1), web(1), infrastructrue(1), database(1), mobile apps(1), sensors(1), security(1), AI&amp; data analysis(1), mobile comm(1), VR&amp;AR(1), wood processing(1), metal processing(1), plastic processing(1), electronics(1), fabric(1),  </v>
      </c>
      <c r="CT142" s="21" t="str">
        <f t="shared" si="222"/>
        <v xml:space="preserve">efficiency(1,6.25),  </v>
      </c>
      <c r="CU142" s="21" t="str">
        <f t="shared" si="473"/>
        <v xml:space="preserve">efficiency(6.25), </v>
      </c>
      <c r="CV142" s="21" t="str">
        <f t="shared" si="471"/>
        <v xml:space="preserve"> </v>
      </c>
      <c r="CW142" s="21" t="str">
        <f t="shared" si="223"/>
        <v xml:space="preserve">local biz(1,),  </v>
      </c>
      <c r="CX142" s="21" t="str">
        <f t="shared" si="472"/>
        <v xml:space="preserve"> </v>
      </c>
      <c r="CY142" s="21" t="str">
        <f t="shared" si="224"/>
        <v xml:space="preserve">ease of access(1), reputation(1), portfolio(1), negotiation(1),  </v>
      </c>
      <c r="CZ142" s="21" t="str">
        <f t="shared" si="225"/>
        <v xml:space="preserve">non-profits(1,6.25),  </v>
      </c>
      <c r="DA142" s="21" t="str">
        <f t="shared" si="473"/>
        <v xml:space="preserve">non-profits(6.25), </v>
      </c>
      <c r="DB142" s="21" t="str">
        <f t="shared" si="471"/>
        <v xml:space="preserve"> </v>
      </c>
      <c r="DC142" s="21" t="str">
        <f t="shared" si="226"/>
        <v xml:space="preserve"> </v>
      </c>
      <c r="DD142" s="21" t="str">
        <f t="shared" si="472"/>
        <v xml:space="preserve"> </v>
      </c>
      <c r="DE142"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2" s="21" t="str">
        <f t="shared" si="228"/>
        <v xml:space="preserve">network(1,), local biz(1,6.25), biz group(1,6.25), investors(1,6.25), entrepreneurs(1,6.25),  </v>
      </c>
      <c r="DG142" s="21" t="str">
        <f t="shared" si="473"/>
        <v xml:space="preserve">local biz(6.25),biz group(6.25),investors(6.25),entrepreneurs(6.25), </v>
      </c>
      <c r="DH142" s="21" t="str">
        <f t="shared" si="471"/>
        <v xml:space="preserve">network 1
non-profits 1
reputation 1
social project 1
 </v>
      </c>
      <c r="DI142" s="21" t="str">
        <f t="shared" si="229"/>
        <v xml:space="preserve"> </v>
      </c>
      <c r="DJ142" s="21" t="str">
        <f t="shared" si="472"/>
        <v xml:space="preserve"> </v>
      </c>
      <c r="DK142" s="21" t="str">
        <f t="shared" si="230"/>
        <v xml:space="preserve">administrator(1), 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2" s="21" t="str">
        <f t="shared" si="231"/>
        <v xml:space="preserve">reputation(1,6.25),  </v>
      </c>
      <c r="DM142" s="21" t="str">
        <f t="shared" si="473"/>
        <v xml:space="preserve">reputation(6.25), </v>
      </c>
      <c r="DN142" s="21" t="str">
        <f t="shared" si="471"/>
        <v xml:space="preserve">network 1
local biz 1
reputation 1
biz project 1
 </v>
      </c>
      <c r="DO142" s="21" t="str">
        <f t="shared" si="232"/>
        <v xml:space="preserve"> </v>
      </c>
      <c r="DP142" s="21" t="str">
        <f t="shared" si="472"/>
        <v xml:space="preserve"> </v>
      </c>
      <c r="DQ142" s="21" t="str">
        <f t="shared" si="233"/>
        <v xml:space="preserve">administrator(1), 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2" s="21" t="str">
        <f t="shared" si="234"/>
        <v xml:space="preserve">reputation(1,6.25),  </v>
      </c>
      <c r="DS142" s="21" t="str">
        <f t="shared" si="473"/>
        <v xml:space="preserve">reputation(6.25), </v>
      </c>
      <c r="DT142" s="21" t="str">
        <f t="shared" si="471"/>
        <v xml:space="preserve">network 1
reputation 1
 </v>
      </c>
      <c r="DU142" s="21" t="str">
        <f t="shared" si="235"/>
        <v xml:space="preserve"> </v>
      </c>
      <c r="DV142" s="21" t="str">
        <f t="shared" si="472"/>
        <v xml:space="preserve"> </v>
      </c>
      <c r="DW142" s="21" t="str">
        <f t="shared" si="236"/>
        <v xml:space="preserve">administrator(1), fame(2), network(2), local biz(1), biz group(1), govt(2), investors(1), media(2), entrepreneurs(1), technologists(1), non-profits(1), spaciousness(1), ease of access(1), reputation(2), efficiency(1), organizational rules and manuals(1), marketing(1), social media(1), for basic literacy(1),  </v>
      </c>
      <c r="DX142" s="21" t="str">
        <f t="shared" si="237"/>
        <v xml:space="preserve">reputation(1,6.25), for basic literacy(1,6.25),  </v>
      </c>
      <c r="DY142" s="21" t="str">
        <f t="shared" si="473"/>
        <v xml:space="preserve">reputation(6.25),for basic literacy(6.25), </v>
      </c>
      <c r="DZ142" s="21" t="str">
        <f t="shared" si="471"/>
        <v xml:space="preserve">network 1
reputation 1
 </v>
      </c>
      <c r="EA142" s="21" t="str">
        <f t="shared" si="238"/>
        <v xml:space="preserve"> </v>
      </c>
      <c r="EB142" s="21" t="str">
        <f t="shared" si="472"/>
        <v xml:space="preserve"> </v>
      </c>
      <c r="EC142" s="21" t="str">
        <f t="shared" si="239"/>
        <v xml:space="preserve">administrator(1), 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2" s="21" t="str">
        <f t="shared" si="240"/>
        <v xml:space="preserve">reputation(1,6.25), for basic literacy(1,6.25),  </v>
      </c>
      <c r="EE142" s="21" t="str">
        <f t="shared" si="473"/>
        <v xml:space="preserve">reputation(6.25),for basic literacy(6.25), </v>
      </c>
      <c r="EF142" s="21" t="str">
        <f t="shared" si="471"/>
        <v xml:space="preserve">technologists 1
reputation 1
 </v>
      </c>
      <c r="EG142" s="21" t="str">
        <f t="shared" si="241"/>
        <v xml:space="preserve">web(1,50), mobile apps(1,50), interaction(1,50),  </v>
      </c>
      <c r="EH142" s="21" t="str">
        <f t="shared" si="472"/>
        <v xml:space="preserve">web 50
mobile apps 50
interaction 50
 </v>
      </c>
      <c r="EI142" s="21" t="str">
        <f t="shared" si="242"/>
        <v xml:space="preserve">administrator(1), enthusiasm(1), fame(1), network(2), level of understanding(1), technologists(2), ease of access(1), reputation(2), infrastructrue(1), database(1), mobile comm(1), for entrepreneurs(1),  </v>
      </c>
      <c r="EJ142" s="21" t="str">
        <f t="shared" si="243"/>
        <v xml:space="preserve">technologists(1,12.5), infrastructrue(1,12.5), database(1,12.5), mobile comm(1,12.5), for entrepreneurs(1,6.25),  </v>
      </c>
      <c r="EK142" s="21" t="str">
        <f t="shared" si="473"/>
        <v xml:space="preserve">technologists(12.5),infrastructrue(12.5),database(12.5),mobile comm(12.5),for entrepreneurs(6.25), </v>
      </c>
      <c r="EL142" s="21" t="str">
        <f t="shared" si="474"/>
        <v xml:space="preserve">technologists 1
reputation 1
 </v>
      </c>
      <c r="EM142" s="21" t="str">
        <f t="shared" si="245"/>
        <v xml:space="preserve">sensors(1,50),  </v>
      </c>
      <c r="EN142" s="21" t="str">
        <f t="shared" si="475"/>
        <v xml:space="preserve">sensors 50
 </v>
      </c>
      <c r="EO142" s="21" t="str">
        <f t="shared" si="247"/>
        <v xml:space="preserve">administrator(1), enthusiasm(1), fame(1), network(2), level of understanding(1), technologists(2), ease of access(1), reputation(2), project management(2), infrastructrue(1), database(1), mobile comm(1), for entrepreneurs(1),  </v>
      </c>
      <c r="EP142" s="21" t="str">
        <f t="shared" si="248"/>
        <v xml:space="preserve">technologists(1,12.5), infrastructrue(1,12.5), database(1,12.5), mobile comm(1,12.5), electronics(1,6.25), for entrepreneurs(1,6.25),  </v>
      </c>
      <c r="EQ142" s="21" t="str">
        <f t="shared" si="476"/>
        <v xml:space="preserve">technologists(12.5),infrastructrue(12.5),database(12.5),mobile comm(12.5),electronics(6.25),for entrepreneurs(6.25), </v>
      </c>
      <c r="ER142" s="21" t="str">
        <f t="shared" si="474"/>
        <v xml:space="preserve">technologists 1
 </v>
      </c>
      <c r="ES142" s="21" t="str">
        <f t="shared" si="250"/>
        <v xml:space="preserve">AI&amp; data analysis(1,50),  </v>
      </c>
      <c r="ET142" s="21" t="str">
        <f t="shared" si="475"/>
        <v xml:space="preserve">AI&amp; data analysis 50
 </v>
      </c>
      <c r="EU142" s="21" t="str">
        <f t="shared" si="251"/>
        <v xml:space="preserve">administrator(1), enthusiasm(1), fame(1), network(2), level of understanding(1), technologists(2), ease of access(1), reputation(2), database(1), sensors(1), mobile comm(1), for entrepreneurs(1),  </v>
      </c>
      <c r="EV142" s="21" t="str">
        <f t="shared" si="252"/>
        <v xml:space="preserve">technologists(1,12.5), database(1,12.5), sensors(1,12.5), mobile comm(1,12.5), for entrepreneurs(1,6.25),  </v>
      </c>
      <c r="EW142" s="21" t="str">
        <f t="shared" si="476"/>
        <v xml:space="preserve">technologists(12.5),database(12.5),sensors(12.5),mobile comm(12.5),for entrepreneurs(6.25), </v>
      </c>
      <c r="EX142" s="21" t="str">
        <f t="shared" si="474"/>
        <v xml:space="preserve">technologists 1
 </v>
      </c>
      <c r="EY142" s="21" t="str">
        <f t="shared" si="253"/>
        <v xml:space="preserve">law(1,50), security(1,50), interaction(1,25),  </v>
      </c>
      <c r="EZ142" s="21" t="str">
        <f t="shared" si="475"/>
        <v xml:space="preserve">law 50
security 50
interaction 25
 </v>
      </c>
      <c r="FA142" s="21" t="str">
        <f t="shared" si="254"/>
        <v xml:space="preserve">administrator(1), enthusiasm(1), fame(1), network(2), level of understanding(1), technologists(2), ease of access(1), reputation(2), law(2), for entrepreneurs(1),  </v>
      </c>
      <c r="FB142" s="21" t="str">
        <f t="shared" si="255"/>
        <v xml:space="preserve">technologists(1,12.5), law(1,6.25), database(1,12.5), mobile apps(1,12.5), security(1,12.5), mobile comm(1,12.5), for entrepreneurs(1,6.25),  </v>
      </c>
      <c r="FC142" s="21" t="str">
        <f t="shared" si="476"/>
        <v xml:space="preserve">technologists(12.5),law(6.25),database(12.5),mobile apps(12.5),security(12.5),mobile comm(12.5),for entrepreneurs(6.25), </v>
      </c>
      <c r="FD142" s="21" t="str">
        <f t="shared" si="474"/>
        <v xml:space="preserve">technologists 1
 </v>
      </c>
      <c r="FE142" s="21" t="str">
        <f t="shared" si="256"/>
        <v xml:space="preserve">law(1,50), sensors(1,50), security(1,50),  </v>
      </c>
      <c r="FF142" s="21" t="str">
        <f t="shared" si="475"/>
        <v xml:space="preserve">law 50
sensors 50
security 50
 </v>
      </c>
      <c r="FG142" s="21" t="str">
        <f t="shared" si="257"/>
        <v xml:space="preserve">administrator(1), enthusiasm(1), fame(1), network(2), level of understanding(1), technologists(2), ease of access(1), reputation(2), law(2), project management(2), for entrepreneurs(1),  </v>
      </c>
      <c r="FH142" s="21" t="str">
        <f t="shared" si="258"/>
        <v xml:space="preserve">technologists(1,12.5), law(1,6.25), database(1,6.25), mobile apps(1,6.25), AI&amp; data analysis(1,6.25), mobile comm(1,6.25), for entrepreneurs(1,6.25),  </v>
      </c>
      <c r="FI142" s="21" t="str">
        <f t="shared" si="476"/>
        <v xml:space="preserve">technologists(12.5),law(6.25),database(6.25),mobile apps(6.25),AI&amp; data analysis(6.25),mobile comm(6.25),for entrepreneurs(6.25), </v>
      </c>
      <c r="FJ142" s="21" t="str">
        <f t="shared" si="474"/>
        <v xml:space="preserve">technologists 1
 </v>
      </c>
      <c r="FK142" s="21" t="str">
        <f t="shared" si="259"/>
        <v xml:space="preserve">wood processing(1,25), metal processing(1,25), plastic processing(1,25), fabric(1,25), safety(1,25), interaction(1,25),  </v>
      </c>
      <c r="FL142" s="21" t="str">
        <f t="shared" si="475"/>
        <v xml:space="preserve">project management 2
wood processing 25
metal processing 25
plastic processing 25
fabric 25
safety 25
interaction 25
 </v>
      </c>
      <c r="FM142" s="21" t="str">
        <f t="shared" si="260"/>
        <v xml:space="preserve">administrator(1), enthusiasm(1), fame(1), network(2), level of understanding(1), technologists(2), spaciousness(1), ease of access(1), reputation(2), for entrepreneurs(1),  </v>
      </c>
      <c r="FN142" s="21" t="str">
        <f t="shared" si="261"/>
        <v xml:space="preserve">technologists(1,12.5), for entrepreneurs(1,6.25),  </v>
      </c>
      <c r="FO142" s="21" t="str">
        <f t="shared" si="476"/>
        <v xml:space="preserve">technologists(12.5),for entrepreneurs(6.25), </v>
      </c>
      <c r="FP142" s="21" t="str">
        <f t="shared" si="474"/>
        <v xml:space="preserve">technologists 1
 </v>
      </c>
      <c r="FQ142" s="21" t="str">
        <f t="shared" si="262"/>
        <v xml:space="preserve">web(1,25), mobile apps(1,50), functions(1,25), interaction(1,25),  </v>
      </c>
      <c r="FR142" s="21" t="str">
        <f t="shared" si="475"/>
        <v xml:space="preserve">web 25
mobile apps 50
functions 25
interaction 25
 </v>
      </c>
      <c r="FS142" s="21" t="str">
        <f t="shared" si="263"/>
        <v xml:space="preserve">administrator(1), enthusiasm(1), fame(1), network(2), level of understanding(1), technologists(2), spaciousness(1), ease of access(1), reputation(2), for entrepreneurs(1),  </v>
      </c>
      <c r="FT142" s="21" t="str">
        <f t="shared" si="264"/>
        <v xml:space="preserve">technologists(1,12.5), for entrepreneurs(1,6.25),  </v>
      </c>
      <c r="FU142" s="21" t="str">
        <f t="shared" si="476"/>
        <v xml:space="preserve">technologists(12.5),for entrepreneurs(6.25), </v>
      </c>
      <c r="FV142" s="21" t="str">
        <f t="shared" si="474"/>
        <v xml:space="preserve">technologists 1
 </v>
      </c>
      <c r="FW142" s="21" t="str">
        <f t="shared" si="265"/>
        <v xml:space="preserve">mobile apps(1,50), sensors(1,50), wood processing(1,25), plastic processing(1,25), electronics(1,25), functions(1,25), interaction(1,25),  </v>
      </c>
      <c r="FX142" s="21" t="str">
        <f t="shared" si="475"/>
        <v xml:space="preserve">mobile apps 50
sensors 50
wood processing 25
plastic processing 25
electronics 25
functions 25
interaction 25
 </v>
      </c>
      <c r="FY142" s="21" t="str">
        <f t="shared" si="266"/>
        <v xml:space="preserve">administrator(1), enthusiasm(1), fame(1), network(2), level of understanding(1), technologists(2), spaciousness(1), ease of access(1), reputation(2), project management(2), for entrepreneurs(1),  </v>
      </c>
      <c r="FZ142" s="21" t="str">
        <f t="shared" si="267"/>
        <v xml:space="preserve">technologists(1,12.5), web(1,6.25), database(1,6.25), AI&amp; data analysis(1,6.25), mobile comm(1,6.25), for entrepreneurs(1,6.25),  </v>
      </c>
      <c r="GA142" s="21" t="str">
        <f t="shared" si="476"/>
        <v xml:space="preserve">technologists(12.5),web(6.25),database(6.25),AI&amp; data analysis(6.25),mobile comm(6.25),for entrepreneurs(6.25), </v>
      </c>
      <c r="GB142" s="21" t="str">
        <f t="shared" si="474"/>
        <v xml:space="preserve">technologists 1
 </v>
      </c>
      <c r="GC142" s="21" t="str">
        <f t="shared" si="268"/>
        <v xml:space="preserve">sensors(1,25), mobile comm(1,25), electronics(1,50), functions(1,25), safety(1,25),  </v>
      </c>
      <c r="GD142" s="21" t="str">
        <f t="shared" si="475"/>
        <v xml:space="preserve">sensors 25
mobile comm 25
electronics 50
functions 25
safety 25
 </v>
      </c>
      <c r="GE142" s="21" t="str">
        <f t="shared" si="269"/>
        <v xml:space="preserve">administrator(1), enthusiasm(1), fame(1), network(2), level of understanding(1), technologists(2), spaciousness(1), ease of access(1), reputation(2), project management(2), for entrepreneurs(1),  </v>
      </c>
      <c r="GF142" s="21" t="str">
        <f t="shared" si="270"/>
        <v xml:space="preserve">technologists(1,12.5), database(1,6.25), mobile apps(1,6.25), AI&amp; data analysis(1,6.25), plastic processing(1,6.25), interaction(1,6.25), for entrepreneurs(1,6.25),  </v>
      </c>
      <c r="GG142" s="21" t="str">
        <f t="shared" si="476"/>
        <v xml:space="preserve">technologists(12.5),database(6.25),mobile apps(6.25),AI&amp; data analysis(6.25),plastic processing(6.25),interaction(6.25),for entrepreneurs(6.25), </v>
      </c>
      <c r="GH142" s="21" t="str">
        <f t="shared" si="474"/>
        <v xml:space="preserve">technologists 1
 </v>
      </c>
      <c r="GI142" s="21" t="str">
        <f t="shared" si="271"/>
        <v xml:space="preserve">web(1,25), mobile apps(1,50), functions(1,25), interaction(1,25),  </v>
      </c>
      <c r="GJ142" s="21" t="str">
        <f t="shared" si="475"/>
        <v xml:space="preserve">web 25
mobile apps 50
functions 25
interaction 25
 </v>
      </c>
      <c r="GK142" s="21" t="str">
        <f t="shared" si="272"/>
        <v xml:space="preserve">administrator(1), enthusiasm(1), fame(1), network(2), level of understanding(1), technologists(2), spaciousness(1), ease of access(1), reputation(2), project management(2), for entrepreneurs(1),  </v>
      </c>
      <c r="GL142" s="21" t="str">
        <f t="shared" si="273"/>
        <v xml:space="preserve">technologists(1,12.5), for entrepreneurs(1,6.25),  </v>
      </c>
      <c r="GM142" s="21" t="str">
        <f t="shared" si="476"/>
        <v xml:space="preserve">technologists(12.5),for entrepreneurs(6.25), </v>
      </c>
      <c r="GN142" s="21" t="str">
        <f t="shared" si="474"/>
        <v xml:space="preserve">technologists 1
 </v>
      </c>
      <c r="GO142" s="21" t="str">
        <f t="shared" si="274"/>
        <v xml:space="preserve">web(1,25), mobile apps(1,25), VR&amp;AR(1,25), aesthetics(1,25), functions(1,25), interaction(1,50),  </v>
      </c>
      <c r="GP142" s="21" t="str">
        <f t="shared" si="475"/>
        <v xml:space="preserve">web 25
mobile apps 25
VR&amp;AR 25
aesthetics 25
functions 25
interaction 50
 </v>
      </c>
      <c r="GQ142" s="21" t="str">
        <f t="shared" si="275"/>
        <v xml:space="preserve">administrator(1), enthusiasm(1), fame(1), network(2), level of understanding(1), technologists(2), spaciousness(1), ease of access(1), reputation(2), project management(2), for entrepreneurs(1),  </v>
      </c>
      <c r="GR142" s="21" t="str">
        <f t="shared" si="276"/>
        <v xml:space="preserve">technologists(1,12.5), for entrepreneurs(1,6.25),  </v>
      </c>
      <c r="GS142" s="21" t="str">
        <f t="shared" si="476"/>
        <v xml:space="preserve">technologists(12.5),for entrepreneurs(6.25), </v>
      </c>
      <c r="GT142" s="21" t="str">
        <f t="shared" si="474"/>
        <v xml:space="preserve">ease of access 1
reputation 2
web 1
mobile apps 1
mobile comm 1
 </v>
      </c>
      <c r="GU142" s="21" t="str">
        <f t="shared" si="277"/>
        <v xml:space="preserve"> </v>
      </c>
      <c r="GV142" s="21" t="str">
        <f t="shared" si="475"/>
        <v xml:space="preserve"> </v>
      </c>
      <c r="GW142" s="21" t="str">
        <f t="shared" si="278"/>
        <v xml:space="preserve">administrator(1), 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2" s="21" t="str">
        <f t="shared" si="279"/>
        <v xml:space="preserve">media(1,6.25), entrepreneurs(1,6.25), technologists(1,6.25), project management(1,6.25), social media(1,6.25), web(1,6.25), mobile apps(1,6.25),  </v>
      </c>
      <c r="GY142" s="21" t="str">
        <f t="shared" si="476"/>
        <v xml:space="preserve">media(6.25),entrepreneurs(6.25),technologists(6.25),project management(6.25),social media(6.25),web(6.25),mobile apps(6.25), </v>
      </c>
      <c r="GZ142" s="21" t="str">
        <f t="shared" si="477"/>
        <v xml:space="preserve">network 1
govt 1
non-profits 1
reputation 2
portfolio 1
 </v>
      </c>
      <c r="HA142" s="21" t="str">
        <f t="shared" si="281"/>
        <v xml:space="preserve"> </v>
      </c>
      <c r="HB142" s="21" t="str">
        <f t="shared" si="478"/>
        <v xml:space="preserve"> </v>
      </c>
      <c r="HC142" s="21" t="str">
        <f t="shared" si="283"/>
        <v xml:space="preserve">administrator(1), network(2), govt(3), non-profits(3), reputation(4), portfolio(3), social media(2), web(2), mobile apps(2), sensors(2), AI&amp; data analysis(2), VR&amp;AR(2), plastic processing(2), electronics(2), aesthetics(2), interaction(2),  </v>
      </c>
      <c r="HD142" s="21" t="str">
        <f t="shared" si="284"/>
        <v xml:space="preserve">media(1,6.25), technologists(1,6.25), non-profits(1,6.25), reputation(1,6.25), start-up with customers(1,6.25), for basic literacy(1,6.25),  </v>
      </c>
      <c r="HE142" s="21" t="str">
        <f t="shared" si="479"/>
        <v xml:space="preserve">media(6.25),technologists(6.25),non-profits(6.25),reputation(6.25),start-up with customers(6.25),for basic literacy(6.25), </v>
      </c>
      <c r="HF142" s="21" t="str">
        <f t="shared" si="477"/>
        <v xml:space="preserve"> </v>
      </c>
      <c r="HG142" s="21" t="str">
        <f t="shared" si="286"/>
        <v xml:space="preserve"> </v>
      </c>
      <c r="HH142" s="21" t="str">
        <f t="shared" si="478"/>
        <v xml:space="preserve"> </v>
      </c>
      <c r="HI142" s="21" t="str">
        <f t="shared" si="287"/>
        <v xml:space="preserve">administrator(1), network(2), portfolio(3), marketing(2), team building(3), project management(2), mobile apps(3), sensors(2), plastic processing(2), electronics(2), aesthetics(2), functions(2), interaction(2),  </v>
      </c>
      <c r="HJ142" s="21" t="str">
        <f t="shared" si="288"/>
        <v xml:space="preserve">govt(1,6.25), media(1,6.25), non-profits(1,6.25), start-up with customers(1,6.25),  </v>
      </c>
      <c r="HK142" s="21" t="str">
        <f t="shared" si="479"/>
        <v xml:space="preserve">govt(6.25),media(6.25),non-profits(6.25),start-up with customers(6.25), </v>
      </c>
      <c r="HL142" s="21" t="str">
        <f t="shared" si="477"/>
        <v xml:space="preserve">administrator 1
local biz 1
entrepreneurs 1
non-profits 1
reputation 2
portfolio 2
 </v>
      </c>
      <c r="HM142" s="21" t="str">
        <f t="shared" si="289"/>
        <v xml:space="preserve"> </v>
      </c>
      <c r="HN142" s="21" t="str">
        <f t="shared" si="478"/>
        <v xml:space="preserve"> </v>
      </c>
      <c r="HO142" s="21" t="str">
        <f t="shared" si="290"/>
        <v xml:space="preserve">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2" s="21" t="str">
        <f t="shared" si="291"/>
        <v xml:space="preserve">enthusiasm(1,6.25), level of understanding(1,6.25), local biz(1,6.25), biz group(1,6.25), govt(1,6.25), investors(1,6.25), media(1,6.25), entrepreneurs(1,6.25), technologists(1,6.25), suppliers(1,6.25), non-profits(1,6.25), reputation(1,6.25),  </v>
      </c>
      <c r="HQ142" s="47" t="str">
        <f t="shared" si="479"/>
        <v xml:space="preserve">enthusiasm(6.25),level of understanding(6.25),local biz(6.25),biz group(6.25),govt(6.25),investors(6.25),media(6.25),entrepreneurs(6.25),technologists(6.25),suppliers(6.25),non-profits(6.25),reputation(6.25), </v>
      </c>
      <c r="HR142" s="47" t="str">
        <f t="shared" ref="HR142:HW142" si="495">IF(HR40="",HR143,$C142&amp;"("&amp;HR40&amp;"),"&amp;HR143)</f>
        <v xml:space="preserve">reputation(2),portfolio(2),mobile apps(1),sensors(1),wood processing(1),aesthetics(1), </v>
      </c>
      <c r="HS142" s="47" t="str">
        <f t="shared" si="495"/>
        <v xml:space="preserve"> </v>
      </c>
      <c r="HT142" s="47" t="str">
        <f t="shared" si="495"/>
        <v xml:space="preserve"> </v>
      </c>
      <c r="HU142" s="47" t="str">
        <f t="shared" si="495"/>
        <v xml:space="preserve">administrator(1),enthusiasm(2),network(2),level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2" s="47" t="str">
        <f t="shared" si="495"/>
        <v xml:space="preserve">local biz(1),biz group(1),govt(1),investors(1),media(1),entrepreneurs(1),technologists(1),suppliers(1),non-profits(1),reputation(1), </v>
      </c>
      <c r="HW142" s="47" t="str">
        <f t="shared" si="495"/>
        <v xml:space="preserve">local biz(6.25),biz group(6.25),govt(6.25),investors(6.25),media(6.25),entrepreneurs(6.25),technologists(12.5),suppliers(6.25),non-profits(6.25),reputation(6.25), </v>
      </c>
      <c r="HX142" s="47" t="str">
        <f t="shared" ref="HX142:IU142" si="496">IF(HX40="",HX143,$C142&amp;"("&amp;HX40&amp;"),"&amp;HX143)</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2" s="47" t="str">
        <f t="shared" si="496"/>
        <v xml:space="preserve">biz enhancement(1), </v>
      </c>
      <c r="HZ142" s="47" t="str">
        <f t="shared" si="496"/>
        <v xml:space="preserve">biz enhancement(100), </v>
      </c>
      <c r="IA142" s="47" t="str">
        <f t="shared" si="496"/>
        <v xml:space="preserve">administrator(1),enthusiasm(2),network(2),ambition(2),knowledge(2),spaciousness(2),ease of access(3),efficiency(2),portfolio(4),finance(2),business model(2),marketing(3),team building(2),project management(2),social media(3),negotiation(3), </v>
      </c>
      <c r="IB142" s="47" t="str">
        <f t="shared" si="496"/>
        <v xml:space="preserve">level of understanding(1),ambition(1),local biz(1),biz group(1),govt(1),media(1),entrepreneurs(1),technologists(1),non-profits(1),reputation(1),team building(1),database(1),AI&amp; data analysis(1),electronics(1),functions(1), </v>
      </c>
      <c r="IC142" s="47" t="str">
        <f t="shared" si="496"/>
        <v xml:space="preserve">level of understanding(6.25),ambition(6.25),local biz(6.25),biz group(6.25),govt(6.25),media(6.25),entrepreneurs(6.25),technologists(6.25),non-profits(6.25),reputation(6.25),team building(6.25),database(6.25),AI&amp; data analysis(6.25),electronics(6.25),functions(6.25), </v>
      </c>
      <c r="ID142" s="47" t="str">
        <f t="shared" si="496"/>
        <v xml:space="preserve">technologists(2), </v>
      </c>
      <c r="IE142" s="47" t="str">
        <f t="shared" si="496"/>
        <v xml:space="preserve">web(1),mobile apps(1),security(1),AI&amp; data analysis(1), </v>
      </c>
      <c r="IF142" s="47" t="str">
        <f t="shared" si="496"/>
        <v xml:space="preserve">web(25),mobile apps(25),security(25),AI&amp; data analysis(25), </v>
      </c>
      <c r="IG142" s="47" t="str">
        <f t="shared" si="496"/>
        <v xml:space="preserve">administrator(1),network(2),entrepreneurs(3),technologists(4),spaciousness(2),ease of access(2),reputation(3),efficiency(2),portfolio(3),web(2),database(2),mobile apps(2),security(2),AI&amp; data analysis(2), </v>
      </c>
      <c r="IH142" s="47" t="str">
        <f t="shared" si="496"/>
        <v xml:space="preserve">technologists(1),web(1),database(1),mobile apps(1),security(1),AI&amp; data analysis(1), </v>
      </c>
      <c r="II142" s="47" t="str">
        <f t="shared" si="496"/>
        <v xml:space="preserve">technologists(6.25),web(6.25),database(6.25),mobile apps(6.25),security(6.25),AI&amp; data analysis(6.25), </v>
      </c>
      <c r="IJ142" s="47" t="str">
        <f t="shared" si="496"/>
        <v xml:space="preserve">technologists(2), </v>
      </c>
      <c r="IK142" s="47" t="str">
        <f t="shared" si="496"/>
        <v xml:space="preserve">wood processing(1),metal processing(1),functions(1),safety(1), </v>
      </c>
      <c r="IL142" s="47" t="str">
        <f t="shared" si="496"/>
        <v xml:space="preserve">wood processing(25),metal processing(25),functions(25),safety(25), </v>
      </c>
      <c r="IM142" s="47" t="str">
        <f t="shared" si="496"/>
        <v xml:space="preserve">administrator(1),network(2),entrepreneurs(3),technologists(4),spaciousness(2),ease of access(2),reputation(3),efficiency(2),portfolio(3),wood processing(2),metal processing(2),functions(2),safety(2), </v>
      </c>
      <c r="IN142" s="47" t="str">
        <f t="shared" si="496"/>
        <v xml:space="preserve">technologists(1),wood processing(1),metal processing(1),functions(1),safety(1),interaction(1), </v>
      </c>
      <c r="IO142" s="47" t="str">
        <f t="shared" si="496"/>
        <v xml:space="preserve">technologists(6.25),wood processing(6.25),metal processing(6.25),functions(6.25),safety(6.25),interaction(6.25), </v>
      </c>
      <c r="IP142" s="57" t="str">
        <f t="shared" si="496"/>
        <v xml:space="preserve">local biz(2),reputation(1), </v>
      </c>
      <c r="IQ142" s="47" t="str">
        <f t="shared" si="496"/>
        <v xml:space="preserve">local biz(1),marketing(1), </v>
      </c>
      <c r="IR142" s="47" t="str">
        <f t="shared" si="496"/>
        <v xml:space="preserve">local biz(25),marketing(25), </v>
      </c>
      <c r="IS142" s="47" t="str">
        <f t="shared" si="496"/>
        <v xml:space="preserve">administrator(1),enthusiasm(3),network(2),level of understanding(3),local biz(3),biz group(2),govt(2),non-profits(2),reputation(3),efficiency(2),marketing(2), </v>
      </c>
      <c r="IT142" s="47" t="str">
        <f t="shared" si="496"/>
        <v xml:space="preserve">local biz(1),biz group(1),govt(1),non-profits(1),marketing(1), </v>
      </c>
      <c r="IU142" s="47" t="str">
        <f t="shared" si="496"/>
        <v xml:space="preserve">local biz(6.25),biz group(6.25),govt(6.25),non-profits(6.25),marketing(6.25), </v>
      </c>
      <c r="IV142" s="57" t="str">
        <f t="shared" ref="IV142:LG142" si="497">IF(IV40="",IV143,$C142&amp;"("&amp;IV40&amp;"),"&amp;IV143)</f>
        <v xml:space="preserve">local biz(2),reputation(1), </v>
      </c>
      <c r="IW142" s="47" t="str">
        <f t="shared" si="497"/>
        <v xml:space="preserve">local biz(1),marketing(1), </v>
      </c>
      <c r="IX142" s="47" t="str">
        <f t="shared" si="497"/>
        <v xml:space="preserve">local biz(25),marketing(25), </v>
      </c>
      <c r="IY142" s="47" t="str">
        <f t="shared" si="497"/>
        <v xml:space="preserve">administrator(1),enthusiasm(3),network(2),level of understanding(3),local biz(3),biz group(2),govt(2),reputation(3),efficiency(2),marketing(2), </v>
      </c>
      <c r="IZ142" s="47" t="str">
        <f t="shared" si="497"/>
        <v xml:space="preserve">local biz(1),biz group(1),govt(1),marketing(1), </v>
      </c>
      <c r="JA142" s="47" t="str">
        <f t="shared" si="497"/>
        <v xml:space="preserve">local biz(6.25),biz group(6.25),govt(6.25),marketing(6.25), </v>
      </c>
      <c r="JB142" s="47" t="str">
        <f t="shared" si="497"/>
        <v xml:space="preserve"> </v>
      </c>
      <c r="JC142" s="47" t="str">
        <f t="shared" si="497"/>
        <v xml:space="preserve"> </v>
      </c>
      <c r="JD142" s="47" t="str">
        <f t="shared" si="497"/>
        <v xml:space="preserve"> </v>
      </c>
      <c r="JE142" s="47" t="str">
        <f t="shared" si="497"/>
        <v xml:space="preserve">administrator(1),network(2),level of understanding(2),technologists(2),spaciousness(1),ease of access(1),reputation(3),efficiency(2), </v>
      </c>
      <c r="JF142" s="47" t="str">
        <f t="shared" si="497"/>
        <v xml:space="preserve">web(1),infrastructrue(1),database(1),mobile apps(1),sensors(1),security(1),AI&amp; data analysis(1),mobile comm(1),VR&amp;AR(1),wood processing(1),metal processing(1),plastic processing(1),electronics(1),fabric(1),aesthetics(1),functions(1),safety(1),interaction(1), </v>
      </c>
      <c r="JG142" s="47" t="str">
        <f t="shared" si="497"/>
        <v xml:space="preserve">web(6.25),infrastructrue(6.25),database(6.25),mobile apps(6.25),sensors(6.25),security(6.25),AI&amp; data analysis(6.25),mobile comm(6.25),VR&amp;AR(6.25),wood processing(6.25),metal processing(6.25),plastic processing(6.25),electronics(6.25),fabric(6.25),aesthetics(6.25),functions(6.25),safety(6.25),interaction(6.25), </v>
      </c>
      <c r="JH142" s="47" t="str">
        <f t="shared" si="497"/>
        <v xml:space="preserve">enthusiasm(1),local biz(1),non-profits(1),reputation(2), </v>
      </c>
      <c r="JI142" s="47" t="str">
        <f t="shared" si="497"/>
        <v xml:space="preserve"> </v>
      </c>
      <c r="JJ142" s="47" t="str">
        <f t="shared" si="497"/>
        <v xml:space="preserve"> </v>
      </c>
      <c r="JK142" s="47" t="str">
        <f t="shared" si="497"/>
        <v xml:space="preserve">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2" s="47" t="str">
        <f t="shared" si="497"/>
        <v xml:space="preserve">non-profits(1), </v>
      </c>
      <c r="JM142" s="47" t="str">
        <f t="shared" si="497"/>
        <v xml:space="preserve">non-profits(6.25), </v>
      </c>
      <c r="JN142" s="47" t="str">
        <f t="shared" si="497"/>
        <v xml:space="preserve">enthusiasm(1),network(1),local biz(1),investors(1),entrepreneurs(1),technologists(1),non-profits(1),reputation(2),portfolio(2), </v>
      </c>
      <c r="JO142" s="47" t="str">
        <f t="shared" si="497"/>
        <v xml:space="preserve"> </v>
      </c>
      <c r="JP142" s="47" t="str">
        <f t="shared" si="497"/>
        <v xml:space="preserve"> </v>
      </c>
      <c r="JQ142" s="47" t="str">
        <f t="shared" si="497"/>
        <v xml:space="preserve">administrator(1),enthusiasm(2),fame(2),network(2),level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2" s="47" t="str">
        <f t="shared" si="497"/>
        <v xml:space="preserve"> </v>
      </c>
      <c r="JS142" s="47" t="str">
        <f t="shared" si="497"/>
        <v xml:space="preserve"> </v>
      </c>
      <c r="JT142" s="47" t="str">
        <f t="shared" si="497"/>
        <v xml:space="preserve">administrator(1),enthusiasm(2),network(2),local biz(2),biz group(1),govt(2),investors(2),entrepreneurs(2),technologists(2),non-profits(2),reputation(2),portfolio(3), </v>
      </c>
      <c r="JU142" s="47" t="str">
        <f t="shared" si="497"/>
        <v xml:space="preserve"> </v>
      </c>
      <c r="JV142" s="47" t="str">
        <f t="shared" si="497"/>
        <v xml:space="preserve"> </v>
      </c>
      <c r="JW142" s="47" t="str">
        <f t="shared" si="497"/>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2" s="47" t="str">
        <f t="shared" si="497"/>
        <v xml:space="preserve"> </v>
      </c>
      <c r="JY142" s="47" t="str">
        <f t="shared" si="497"/>
        <v xml:space="preserve"> </v>
      </c>
      <c r="JZ142" s="47" t="str">
        <f t="shared" si="497"/>
        <v xml:space="preserve">network(1),non-profits(1),reputation(2),social project(2), </v>
      </c>
      <c r="KA142" s="47" t="str">
        <f t="shared" si="497"/>
        <v xml:space="preserve">non-profits(1), </v>
      </c>
      <c r="KB142" s="47" t="str">
        <f t="shared" si="497"/>
        <v xml:space="preserve">non-profits(25), </v>
      </c>
      <c r="KC142" s="47" t="str">
        <f t="shared" si="497"/>
        <v xml:space="preserve">administrator(1),enthusiasm(2),fame(2),network(2),ambition(3),local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2" s="47" t="str">
        <f t="shared" si="497"/>
        <v xml:space="preserve">non-profits(1), </v>
      </c>
      <c r="KE142" s="47" t="str">
        <f t="shared" si="497"/>
        <v xml:space="preserve">non-profits(6.25), </v>
      </c>
      <c r="KF142" s="47" t="str">
        <f t="shared" si="497"/>
        <v xml:space="preserve"> </v>
      </c>
      <c r="KG142" s="47" t="str">
        <f t="shared" si="497"/>
        <v xml:space="preserve"> </v>
      </c>
      <c r="KH142" s="47" t="str">
        <f t="shared" si="497"/>
        <v xml:space="preserve"> </v>
      </c>
      <c r="KI142" s="47" t="str">
        <f t="shared" si="497"/>
        <v xml:space="preserve"> </v>
      </c>
      <c r="KJ142" s="47" t="str">
        <f t="shared" si="497"/>
        <v xml:space="preserve"> </v>
      </c>
      <c r="KK142" s="47" t="str">
        <f t="shared" si="497"/>
        <v xml:space="preserve"> </v>
      </c>
      <c r="KL142" s="57" t="str">
        <f t="shared" si="497"/>
        <v xml:space="preserve"> </v>
      </c>
      <c r="KM142" s="47" t="str">
        <f t="shared" si="497"/>
        <v xml:space="preserve"> </v>
      </c>
      <c r="KN142" s="47" t="str">
        <f t="shared" si="497"/>
        <v xml:space="preserve"> </v>
      </c>
      <c r="KO142" s="47" t="str">
        <f t="shared" si="497"/>
        <v xml:space="preserve"> </v>
      </c>
      <c r="KP142" s="47" t="str">
        <f t="shared" si="497"/>
        <v xml:space="preserve"> </v>
      </c>
      <c r="KQ142" s="47" t="str">
        <f t="shared" si="497"/>
        <v xml:space="preserve"> </v>
      </c>
      <c r="KR142" s="57" t="str">
        <f t="shared" si="497"/>
        <v xml:space="preserve"> </v>
      </c>
      <c r="KS142" s="47" t="str">
        <f t="shared" si="497"/>
        <v xml:space="preserve"> </v>
      </c>
      <c r="KT142" s="47" t="str">
        <f t="shared" si="497"/>
        <v xml:space="preserve"> </v>
      </c>
      <c r="KU142" s="47" t="str">
        <f t="shared" si="497"/>
        <v xml:space="preserve"> </v>
      </c>
      <c r="KV142" s="47" t="str">
        <f t="shared" si="497"/>
        <v xml:space="preserve"> </v>
      </c>
      <c r="KW142" s="47" t="str">
        <f t="shared" si="497"/>
        <v xml:space="preserve"> </v>
      </c>
      <c r="KX142" s="57" t="str">
        <f t="shared" si="497"/>
        <v xml:space="preserve"> </v>
      </c>
      <c r="KY142" s="47" t="str">
        <f t="shared" si="497"/>
        <v xml:space="preserve"> </v>
      </c>
      <c r="KZ142" s="47" t="str">
        <f t="shared" si="497"/>
        <v xml:space="preserve"> </v>
      </c>
      <c r="LA142" s="47" t="str">
        <f t="shared" si="497"/>
        <v xml:space="preserve"> </v>
      </c>
      <c r="LB142" s="47" t="str">
        <f t="shared" si="497"/>
        <v xml:space="preserve"> </v>
      </c>
      <c r="LC142" s="47" t="str">
        <f t="shared" si="497"/>
        <v xml:space="preserve"> </v>
      </c>
      <c r="LD142" s="57" t="str">
        <f t="shared" si="497"/>
        <v xml:space="preserve"> </v>
      </c>
      <c r="LE142" s="47" t="str">
        <f t="shared" si="497"/>
        <v xml:space="preserve"> </v>
      </c>
      <c r="LF142" s="47" t="str">
        <f t="shared" si="497"/>
        <v xml:space="preserve"> </v>
      </c>
      <c r="LG142" s="47" t="str">
        <f t="shared" si="497"/>
        <v xml:space="preserve"> </v>
      </c>
      <c r="LH142" s="47" t="str">
        <f t="shared" ref="LH142:NM142" si="498">IF(LH40="",LH143,$C142&amp;"("&amp;LH40&amp;"),"&amp;LH143)</f>
        <v xml:space="preserve"> </v>
      </c>
      <c r="LI142" s="47" t="str">
        <f t="shared" si="498"/>
        <v xml:space="preserve"> </v>
      </c>
      <c r="LJ142" s="57" t="str">
        <f t="shared" si="498"/>
        <v xml:space="preserve"> </v>
      </c>
      <c r="LK142" s="47" t="str">
        <f t="shared" si="498"/>
        <v xml:space="preserve"> </v>
      </c>
      <c r="LL142" s="47" t="str">
        <f t="shared" si="498"/>
        <v xml:space="preserve"> </v>
      </c>
      <c r="LM142" s="47" t="str">
        <f t="shared" si="498"/>
        <v xml:space="preserve"> </v>
      </c>
      <c r="LN142" s="47" t="str">
        <f t="shared" si="498"/>
        <v xml:space="preserve"> </v>
      </c>
      <c r="LO142" s="47" t="str">
        <f t="shared" si="498"/>
        <v xml:space="preserve"> </v>
      </c>
      <c r="LP142" s="57" t="str">
        <f t="shared" si="498"/>
        <v xml:space="preserve"> </v>
      </c>
      <c r="LQ142" s="47" t="str">
        <f t="shared" si="498"/>
        <v xml:space="preserve"> </v>
      </c>
      <c r="LR142" s="47" t="str">
        <f t="shared" si="498"/>
        <v xml:space="preserve"> </v>
      </c>
      <c r="LS142" s="47" t="str">
        <f t="shared" si="498"/>
        <v xml:space="preserve"> </v>
      </c>
      <c r="LT142" s="47" t="str">
        <f t="shared" si="498"/>
        <v xml:space="preserve"> </v>
      </c>
      <c r="LU142" s="47" t="str">
        <f t="shared" si="498"/>
        <v xml:space="preserve"> </v>
      </c>
      <c r="LV142" s="57" t="str">
        <f t="shared" si="498"/>
        <v xml:space="preserve"> </v>
      </c>
      <c r="LW142" s="47" t="str">
        <f t="shared" si="498"/>
        <v xml:space="preserve"> </v>
      </c>
      <c r="LX142" s="47" t="str">
        <f t="shared" si="498"/>
        <v xml:space="preserve"> </v>
      </c>
      <c r="LY142" s="47" t="str">
        <f t="shared" si="498"/>
        <v xml:space="preserve"> </v>
      </c>
      <c r="LZ142" s="47" t="str">
        <f t="shared" si="498"/>
        <v xml:space="preserve"> </v>
      </c>
      <c r="MA142" s="47" t="str">
        <f t="shared" si="498"/>
        <v xml:space="preserve"> </v>
      </c>
      <c r="MB142" s="57" t="str">
        <f t="shared" si="498"/>
        <v xml:space="preserve"> </v>
      </c>
      <c r="MC142" s="47" t="str">
        <f t="shared" si="498"/>
        <v xml:space="preserve"> </v>
      </c>
      <c r="MD142" s="47" t="str">
        <f t="shared" si="498"/>
        <v xml:space="preserve"> </v>
      </c>
      <c r="ME142" s="47" t="str">
        <f t="shared" si="498"/>
        <v xml:space="preserve"> </v>
      </c>
      <c r="MF142" s="47" t="str">
        <f t="shared" si="498"/>
        <v xml:space="preserve"> </v>
      </c>
      <c r="MG142" s="47" t="str">
        <f t="shared" si="498"/>
        <v xml:space="preserve"> </v>
      </c>
      <c r="MH142" s="57" t="str">
        <f t="shared" si="498"/>
        <v xml:space="preserve"> </v>
      </c>
      <c r="MI142" s="47" t="str">
        <f t="shared" si="498"/>
        <v xml:space="preserve"> </v>
      </c>
      <c r="MJ142" s="47" t="str">
        <f t="shared" si="498"/>
        <v xml:space="preserve"> </v>
      </c>
      <c r="MK142" s="47" t="str">
        <f t="shared" si="498"/>
        <v xml:space="preserve"> </v>
      </c>
      <c r="ML142" s="47" t="str">
        <f t="shared" si="498"/>
        <v xml:space="preserve"> </v>
      </c>
      <c r="MM142" s="47" t="str">
        <f t="shared" si="498"/>
        <v xml:space="preserve"> </v>
      </c>
      <c r="MN142" s="57" t="str">
        <f t="shared" si="498"/>
        <v xml:space="preserve"> </v>
      </c>
      <c r="MO142" s="47" t="str">
        <f t="shared" si="498"/>
        <v xml:space="preserve"> </v>
      </c>
      <c r="MP142" s="47" t="str">
        <f t="shared" si="498"/>
        <v xml:space="preserve"> </v>
      </c>
      <c r="MQ142" s="47" t="str">
        <f t="shared" si="498"/>
        <v xml:space="preserve"> </v>
      </c>
      <c r="MR142" s="47" t="str">
        <f t="shared" si="498"/>
        <v xml:space="preserve"> </v>
      </c>
      <c r="MS142" s="47" t="str">
        <f t="shared" si="498"/>
        <v xml:space="preserve"> </v>
      </c>
      <c r="MT142" s="57" t="str">
        <f t="shared" si="498"/>
        <v xml:space="preserve"> </v>
      </c>
      <c r="MU142" s="47" t="str">
        <f t="shared" si="498"/>
        <v xml:space="preserve"> </v>
      </c>
      <c r="MV142" s="47" t="str">
        <f t="shared" si="498"/>
        <v xml:space="preserve"> </v>
      </c>
      <c r="MW142" s="47" t="str">
        <f t="shared" si="498"/>
        <v xml:space="preserve"> </v>
      </c>
      <c r="MX142" s="47" t="str">
        <f t="shared" si="498"/>
        <v xml:space="preserve"> </v>
      </c>
      <c r="MY142" s="47" t="str">
        <f t="shared" si="498"/>
        <v xml:space="preserve"> </v>
      </c>
      <c r="MZ142" s="57" t="str">
        <f t="shared" si="498"/>
        <v xml:space="preserve"> </v>
      </c>
      <c r="NA142" s="47" t="str">
        <f t="shared" si="498"/>
        <v xml:space="preserve"> </v>
      </c>
      <c r="NB142" s="47" t="str">
        <f t="shared" si="498"/>
        <v xml:space="preserve"> </v>
      </c>
      <c r="NC142" s="47" t="str">
        <f t="shared" si="498"/>
        <v xml:space="preserve"> </v>
      </c>
      <c r="ND142" s="47" t="str">
        <f t="shared" si="498"/>
        <v xml:space="preserve"> </v>
      </c>
      <c r="NE142" s="47" t="str">
        <f t="shared" si="498"/>
        <v xml:space="preserve"> </v>
      </c>
      <c r="NF142" s="57" t="str">
        <f t="shared" si="498"/>
        <v xml:space="preserve"> </v>
      </c>
      <c r="NG142" s="47" t="str">
        <f t="shared" si="498"/>
        <v xml:space="preserve"> </v>
      </c>
      <c r="NH142" s="47" t="str">
        <f t="shared" si="498"/>
        <v xml:space="preserve"> </v>
      </c>
      <c r="NI142" s="47" t="str">
        <f t="shared" si="498"/>
        <v xml:space="preserve"> </v>
      </c>
      <c r="NJ142" s="47" t="str">
        <f t="shared" si="498"/>
        <v xml:space="preserve"> </v>
      </c>
      <c r="NK142" s="47" t="str">
        <f t="shared" si="498"/>
        <v xml:space="preserve"> </v>
      </c>
      <c r="NL142" s="57" t="str">
        <f t="shared" si="498"/>
        <v xml:space="preserve"> </v>
      </c>
      <c r="NM142" s="47" t="str">
        <f t="shared" si="498"/>
        <v xml:space="preserve"> </v>
      </c>
    </row>
    <row r="143" spans="3:377" ht="15.75" customHeight="1">
      <c r="C143" s="7" t="str">
        <f t="shared" si="296"/>
        <v>enthusiasm</v>
      </c>
      <c r="D143" s="21" t="str">
        <f t="shared" si="169"/>
        <v xml:space="preserve"> </v>
      </c>
      <c r="E143" s="21" t="str">
        <f t="shared" si="297"/>
        <v xml:space="preserve"> </v>
      </c>
      <c r="F143" s="21" t="str">
        <f t="shared" si="170"/>
        <v xml:space="preserve"> </v>
      </c>
      <c r="G143" s="21" t="str">
        <f t="shared" si="298"/>
        <v xml:space="preserve">fame(1), network(2), ease of access(1), reputation(2), social media(1),  </v>
      </c>
      <c r="H143" s="21" t="str">
        <f t="shared" si="299"/>
        <v xml:space="preserve"> </v>
      </c>
      <c r="I143" s="21" t="str">
        <f t="shared" ref="I143" si="499">IF(I41="",I144,$C143&amp;"("&amp;I41&amp;"),"&amp;I144)</f>
        <v xml:space="preserve"> </v>
      </c>
      <c r="J143" s="21" t="str">
        <f t="shared" si="468"/>
        <v xml:space="preserve">interaction 1
 </v>
      </c>
      <c r="K143" s="21" t="str">
        <f t="shared" si="173"/>
        <v xml:space="preserve">reputation(1,75),  </v>
      </c>
      <c r="L143" s="21" t="str">
        <f t="shared" si="469"/>
        <v xml:space="preserve">reputation 75
 </v>
      </c>
      <c r="M143" s="21" t="str">
        <f t="shared" si="175"/>
        <v xml:space="preserve">portfolio(1), social innovation(1), non-profit biz(1),  </v>
      </c>
      <c r="N143" s="21" t="str">
        <f t="shared" si="176"/>
        <v xml:space="preserve">non-profits(1,12.5), reputation(1,75), marketing(1,12.5),  </v>
      </c>
      <c r="O143" s="21" t="str">
        <f t="shared" si="470"/>
        <v xml:space="preserve">non-profits(12.5),reputation(75),marketing(12.5), </v>
      </c>
      <c r="P143" s="21" t="str">
        <f t="shared" si="468"/>
        <v xml:space="preserve">biz project 1
 </v>
      </c>
      <c r="Q143" s="21" t="str">
        <f t="shared" si="178"/>
        <v xml:space="preserve"> </v>
      </c>
      <c r="R143" s="21" t="str">
        <f t="shared" si="469"/>
        <v xml:space="preserve"> </v>
      </c>
      <c r="S143" s="21" t="str">
        <f t="shared" si="179"/>
        <v xml:space="preserve">portfolio(1), biz enhancement(1), business(1), start-up(1),  </v>
      </c>
      <c r="T143" s="21" t="str">
        <f t="shared" si="180"/>
        <v xml:space="preserve">local biz(1,6.25), investors(1,6.25), reputation(1,6.25),  </v>
      </c>
      <c r="U143" s="21" t="str">
        <f t="shared" si="470"/>
        <v xml:space="preserve">local biz(6.25),investors(6.25),reputation(6.25), </v>
      </c>
      <c r="V143" s="21" t="str">
        <f t="shared" si="468"/>
        <v xml:space="preserve"> </v>
      </c>
      <c r="W143" s="21" t="str">
        <f t="shared" si="181"/>
        <v xml:space="preserve">local biz(1,),  </v>
      </c>
      <c r="X143" s="21" t="str">
        <f t="shared" si="469"/>
        <v xml:space="preserve"> </v>
      </c>
      <c r="Y143" s="21" t="str">
        <f t="shared" si="182"/>
        <v xml:space="preserve">network(1), ease of access(1), reputation(1), portfolio(1), biz project(1), biz enhancement(1), job creation(1), business(1),  </v>
      </c>
      <c r="Z143" s="21" t="str">
        <f t="shared" si="183"/>
        <v xml:space="preserve">local biz(1,6.25),  </v>
      </c>
      <c r="AA143" s="21" t="str">
        <f t="shared" si="470"/>
        <v xml:space="preserve">local biz(6.25), </v>
      </c>
      <c r="AB143" s="21" t="str">
        <f t="shared" si="468"/>
        <v xml:space="preserve"> </v>
      </c>
      <c r="AC143" s="21" t="str">
        <f t="shared" si="184"/>
        <v xml:space="preserve">non-profits(1,100),  </v>
      </c>
      <c r="AD143" s="21" t="str">
        <f t="shared" si="469"/>
        <v xml:space="preserve">non-profits 100
 </v>
      </c>
      <c r="AE143" s="21" t="str">
        <f t="shared" si="185"/>
        <v xml:space="preserve">network(1), ease of access(1), reputation(1), portfolio(1), social project(1), social innovation(1), non-profit biz(1),  </v>
      </c>
      <c r="AF143" s="21" t="str">
        <f t="shared" si="186"/>
        <v xml:space="preserve">non-profits(1,6.25),  </v>
      </c>
      <c r="AG143" s="21" t="str">
        <f t="shared" si="470"/>
        <v xml:space="preserve">non-profits(6.25), </v>
      </c>
      <c r="AH143" s="21" t="str">
        <f t="shared" si="468"/>
        <v xml:space="preserve"> </v>
      </c>
      <c r="AI143" s="21" t="str">
        <f t="shared" si="187"/>
        <v xml:space="preserve">govt(1,),  </v>
      </c>
      <c r="AJ143" s="21" t="str">
        <f t="shared" si="469"/>
        <v xml:space="preserve"> </v>
      </c>
      <c r="AK143" s="21" t="str">
        <f t="shared" si="188"/>
        <v xml:space="preserve">fame(1), network(1), govt(1), ease of access(1), reputation(2), portfolio(1), social project(1), social innovation(1), non-profit biz(1),  </v>
      </c>
      <c r="AL143" s="21" t="str">
        <f t="shared" si="189"/>
        <v xml:space="preserve">govt(1,6.25),  </v>
      </c>
      <c r="AM143" s="21" t="str">
        <f t="shared" si="470"/>
        <v xml:space="preserve">govt(6.25), </v>
      </c>
      <c r="AN143" s="21" t="str">
        <f t="shared" si="468"/>
        <v xml:space="preserve"> </v>
      </c>
      <c r="AO143" s="21" t="str">
        <f t="shared" si="190"/>
        <v xml:space="preserve">fame(1,), network(1,), investors(1,6.25),  </v>
      </c>
      <c r="AP143" s="21" t="str">
        <f t="shared" si="469"/>
        <v xml:space="preserve">investors 6.25
 </v>
      </c>
      <c r="AQ143" s="21" t="str">
        <f t="shared" si="191"/>
        <v xml:space="preserve">investors(1), ease of access(1), reputation(1), portfolio(1), start-up(1), start-up with mvp(1), start-up with customers(1),  </v>
      </c>
      <c r="AR143" s="21" t="str">
        <f t="shared" si="192"/>
        <v xml:space="preserve"> </v>
      </c>
      <c r="AS143" s="21" t="str">
        <f t="shared" si="470"/>
        <v xml:space="preserve"> </v>
      </c>
      <c r="AT143" s="21" t="str">
        <f t="shared" si="468"/>
        <v xml:space="preserve">non-profits 2
reputation 1
portfolio 1
social project 1
 </v>
      </c>
      <c r="AU143" s="21" t="str">
        <f t="shared" si="193"/>
        <v xml:space="preserve"> </v>
      </c>
      <c r="AV143" s="21" t="str">
        <f t="shared" si="469"/>
        <v xml:space="preserve"> </v>
      </c>
      <c r="AW143" s="21" t="str">
        <f t="shared" si="194"/>
        <v xml:space="preserve">project management(2),  </v>
      </c>
      <c r="AX143" s="21" t="str">
        <f t="shared" si="195"/>
        <v xml:space="preserve">organizational rules and manuals(1,12.5), project management(1,12.5),  </v>
      </c>
      <c r="AY143" s="21" t="str">
        <f t="shared" si="470"/>
        <v xml:space="preserve">organizational rules and manuals(12.5),project management(12.5), </v>
      </c>
      <c r="AZ143" s="21" t="str">
        <f t="shared" si="468"/>
        <v xml:space="preserve">non-profits 1
 </v>
      </c>
      <c r="BA143" s="21" t="str">
        <f t="shared" si="196"/>
        <v xml:space="preserve"> </v>
      </c>
      <c r="BB143" s="21" t="str">
        <f t="shared" si="469"/>
        <v xml:space="preserve"> </v>
      </c>
      <c r="BC143" s="21" t="str">
        <f t="shared" si="197"/>
        <v xml:space="preserve"> </v>
      </c>
      <c r="BD143" s="21" t="str">
        <f t="shared" si="198"/>
        <v xml:space="preserve"> </v>
      </c>
      <c r="BE143" s="21" t="str">
        <f t="shared" si="470"/>
        <v xml:space="preserve"> </v>
      </c>
      <c r="BF143" s="21" t="str">
        <f t="shared" si="468"/>
        <v xml:space="preserve">local biz 2
entrepreneurs 1
reputation 1
portfolio 1
biz project 1
 </v>
      </c>
      <c r="BG143" s="21" t="str">
        <f t="shared" si="199"/>
        <v xml:space="preserve"> </v>
      </c>
      <c r="BH143" s="21" t="str">
        <f t="shared" si="469"/>
        <v xml:space="preserve"> </v>
      </c>
      <c r="BI143" s="21" t="str">
        <f t="shared" si="200"/>
        <v xml:space="preserve">project management(2),  </v>
      </c>
      <c r="BJ143" s="21" t="str">
        <f t="shared" si="201"/>
        <v xml:space="preserve">organizational rules and manuals(1,12.5), project management(1,12.5),  </v>
      </c>
      <c r="BK143" s="21" t="str">
        <f t="shared" si="470"/>
        <v xml:space="preserve">organizational rules and manuals(12.5),project management(12.5), </v>
      </c>
      <c r="BL143" s="21" t="str">
        <f t="shared" si="468"/>
        <v xml:space="preserve">local biz 1
reputation 1
portfolio 1
biz enhancement 1
 </v>
      </c>
      <c r="BM143" s="21" t="str">
        <f t="shared" si="202"/>
        <v xml:space="preserve"> </v>
      </c>
      <c r="BN143" s="21" t="str">
        <f t="shared" si="469"/>
        <v xml:space="preserve"> </v>
      </c>
      <c r="BO143" s="21" t="str">
        <f t="shared" si="203"/>
        <v xml:space="preserve"> </v>
      </c>
      <c r="BP143" s="21" t="str">
        <f t="shared" si="204"/>
        <v xml:space="preserve"> </v>
      </c>
      <c r="BQ143" s="21" t="str">
        <f t="shared" si="470"/>
        <v xml:space="preserve"> </v>
      </c>
      <c r="BR143" s="21" t="str">
        <f t="shared" si="468"/>
        <v xml:space="preserve"> </v>
      </c>
      <c r="BS143" s="21" t="str">
        <f t="shared" si="205"/>
        <v xml:space="preserve"> </v>
      </c>
      <c r="BT143" s="21" t="str">
        <f t="shared" si="469"/>
        <v xml:space="preserve"> </v>
      </c>
      <c r="BU143" s="21" t="str">
        <f t="shared" si="206"/>
        <v xml:space="preserve"> </v>
      </c>
      <c r="BV143" s="21" t="str">
        <f t="shared" si="207"/>
        <v xml:space="preserve"> </v>
      </c>
      <c r="BW143" s="21" t="str">
        <f t="shared" si="470"/>
        <v xml:space="preserve"> </v>
      </c>
      <c r="BX143" s="21" t="str">
        <f t="shared" si="471"/>
        <v xml:space="preserve">network 1
 </v>
      </c>
      <c r="BY143" s="21" t="str">
        <f t="shared" si="209"/>
        <v xml:space="preserve">efficiency(1,),  </v>
      </c>
      <c r="BZ143" s="21" t="str">
        <f t="shared" si="472"/>
        <v xml:space="preserve"> </v>
      </c>
      <c r="CA143" s="21" t="str">
        <f t="shared" si="211"/>
        <v xml:space="preserve">negotiation(1),  </v>
      </c>
      <c r="CB143" s="21" t="str">
        <f t="shared" si="212"/>
        <v xml:space="preserve">user rules and manuals(1,50), organizational rules and manuals(1,50),  </v>
      </c>
      <c r="CC143" s="21" t="str">
        <f t="shared" si="473"/>
        <v xml:space="preserve">user rules and manuals(50),organizational rules and manuals(50), </v>
      </c>
      <c r="CD143" s="21" t="str">
        <f t="shared" si="471"/>
        <v xml:space="preserve">network 1
 </v>
      </c>
      <c r="CE143" s="21" t="str">
        <f t="shared" si="214"/>
        <v xml:space="preserve">non-profits(1,),  </v>
      </c>
      <c r="CF143" s="21" t="str">
        <f t="shared" si="472"/>
        <v xml:space="preserve"> </v>
      </c>
      <c r="CG143" s="21" t="str">
        <f t="shared" si="215"/>
        <v xml:space="preserve">ease of access(1), portfolio(1), user rules and manuals(1), negotiation(1), social project(1), biz project(1), for basic literacy(1), for the elites(1), for entrepreneurs(1),  </v>
      </c>
      <c r="CH143" s="21" t="str">
        <f t="shared" si="216"/>
        <v xml:space="preserve">technologists(1,6.25), non-profits(1,6.25),  </v>
      </c>
      <c r="CI143" s="21" t="str">
        <f t="shared" si="473"/>
        <v xml:space="preserve">technologists(6.25),non-profits(6.25), </v>
      </c>
      <c r="CJ143" s="21" t="str">
        <f t="shared" si="471"/>
        <v xml:space="preserve"> </v>
      </c>
      <c r="CK143" s="21" t="str">
        <f t="shared" si="217"/>
        <v xml:space="preserve">suppliers(1,),  </v>
      </c>
      <c r="CL143" s="21" t="str">
        <f t="shared" si="472"/>
        <v xml:space="preserve"> </v>
      </c>
      <c r="CM143" s="21" t="str">
        <f t="shared" si="218"/>
        <v xml:space="preserve">reputation(1), negotiation(1),  </v>
      </c>
      <c r="CN143" s="21" t="str">
        <f t="shared" si="219"/>
        <v xml:space="preserve">efficiency(1,6.25),  </v>
      </c>
      <c r="CO143" s="21" t="str">
        <f t="shared" si="473"/>
        <v xml:space="preserve">efficiency(6.25), </v>
      </c>
      <c r="CP143" s="21" t="str">
        <f t="shared" si="471"/>
        <v xml:space="preserve"> </v>
      </c>
      <c r="CQ143" s="21" t="str">
        <f t="shared" si="220"/>
        <v xml:space="preserve">technologists(1,),  </v>
      </c>
      <c r="CR143" s="21" t="str">
        <f t="shared" si="472"/>
        <v xml:space="preserve"> </v>
      </c>
      <c r="CS143" s="21" t="str">
        <f t="shared" si="221"/>
        <v xml:space="preserve">network(1), portfolio(1), negotiation(1), web(1), infrastructrue(1), database(1), mobile apps(1), sensors(1), security(1), AI&amp; data analysis(1), mobile comm(1), VR&amp;AR(1), wood processing(1), metal processing(1), plastic processing(1), electronics(1), fabric(1),  </v>
      </c>
      <c r="CT143" s="21" t="str">
        <f t="shared" si="222"/>
        <v xml:space="preserve">efficiency(1,6.25),  </v>
      </c>
      <c r="CU143" s="21" t="str">
        <f t="shared" si="473"/>
        <v xml:space="preserve">efficiency(6.25), </v>
      </c>
      <c r="CV143" s="21" t="str">
        <f t="shared" si="471"/>
        <v xml:space="preserve"> </v>
      </c>
      <c r="CW143" s="21" t="str">
        <f t="shared" si="223"/>
        <v xml:space="preserve">local biz(1,),  </v>
      </c>
      <c r="CX143" s="21" t="str">
        <f t="shared" si="472"/>
        <v xml:space="preserve"> </v>
      </c>
      <c r="CY143" s="21" t="str">
        <f t="shared" si="224"/>
        <v xml:space="preserve">ease of access(1), reputation(1), portfolio(1), negotiation(1),  </v>
      </c>
      <c r="CZ143" s="21" t="str">
        <f t="shared" si="225"/>
        <v xml:space="preserve">non-profits(1,6.25),  </v>
      </c>
      <c r="DA143" s="21" t="str">
        <f t="shared" si="473"/>
        <v xml:space="preserve">non-profits(6.25), </v>
      </c>
      <c r="DB143" s="21" t="str">
        <f t="shared" si="471"/>
        <v xml:space="preserve"> </v>
      </c>
      <c r="DC143" s="21" t="str">
        <f t="shared" si="226"/>
        <v xml:space="preserve"> </v>
      </c>
      <c r="DD143" s="21" t="str">
        <f t="shared" si="472"/>
        <v xml:space="preserve"> </v>
      </c>
      <c r="DE143"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3" s="21" t="str">
        <f t="shared" si="228"/>
        <v xml:space="preserve">network(1,), local biz(1,6.25), biz group(1,6.25), investors(1,6.25), entrepreneurs(1,6.25),  </v>
      </c>
      <c r="DG143" s="21" t="str">
        <f t="shared" si="473"/>
        <v xml:space="preserve">local biz(6.25),biz group(6.25),investors(6.25),entrepreneurs(6.25), </v>
      </c>
      <c r="DH143" s="21" t="str">
        <f t="shared" si="471"/>
        <v xml:space="preserve">network 1
non-profits 1
reputation 1
social project 1
 </v>
      </c>
      <c r="DI143" s="21" t="str">
        <f t="shared" si="229"/>
        <v xml:space="preserve"> </v>
      </c>
      <c r="DJ143" s="21" t="str">
        <f t="shared" si="472"/>
        <v xml:space="preserve"> </v>
      </c>
      <c r="DK143" s="21" t="str">
        <f t="shared" si="230"/>
        <v xml:space="preserve">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3" s="21" t="str">
        <f t="shared" si="231"/>
        <v xml:space="preserve">reputation(1,6.25),  </v>
      </c>
      <c r="DM143" s="21" t="str">
        <f t="shared" si="473"/>
        <v xml:space="preserve">reputation(6.25), </v>
      </c>
      <c r="DN143" s="21" t="str">
        <f t="shared" si="471"/>
        <v xml:space="preserve">network 1
local biz 1
reputation 1
biz project 1
 </v>
      </c>
      <c r="DO143" s="21" t="str">
        <f t="shared" si="232"/>
        <v xml:space="preserve"> </v>
      </c>
      <c r="DP143" s="21" t="str">
        <f t="shared" si="472"/>
        <v xml:space="preserve"> </v>
      </c>
      <c r="DQ143" s="21" t="str">
        <f t="shared" si="233"/>
        <v xml:space="preserve">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3" s="21" t="str">
        <f t="shared" si="234"/>
        <v xml:space="preserve">reputation(1,6.25),  </v>
      </c>
      <c r="DS143" s="21" t="str">
        <f t="shared" si="473"/>
        <v xml:space="preserve">reputation(6.25), </v>
      </c>
      <c r="DT143" s="21" t="str">
        <f t="shared" si="471"/>
        <v xml:space="preserve">network 1
reputation 1
 </v>
      </c>
      <c r="DU143" s="21" t="str">
        <f t="shared" si="235"/>
        <v xml:space="preserve"> </v>
      </c>
      <c r="DV143" s="21" t="str">
        <f t="shared" si="472"/>
        <v xml:space="preserve"> </v>
      </c>
      <c r="DW143" s="21" t="str">
        <f t="shared" si="236"/>
        <v xml:space="preserve">fame(2), network(2), local biz(1), biz group(1), govt(2), investors(1), media(2), entrepreneurs(1), technologists(1), non-profits(1), spaciousness(1), ease of access(1), reputation(2), efficiency(1), organizational rules and manuals(1), marketing(1), social media(1), for basic literacy(1),  </v>
      </c>
      <c r="DX143" s="21" t="str">
        <f t="shared" si="237"/>
        <v xml:space="preserve">reputation(1,6.25), for basic literacy(1,6.25),  </v>
      </c>
      <c r="DY143" s="21" t="str">
        <f t="shared" si="473"/>
        <v xml:space="preserve">reputation(6.25),for basic literacy(6.25), </v>
      </c>
      <c r="DZ143" s="21" t="str">
        <f t="shared" si="471"/>
        <v xml:space="preserve">network 1
reputation 1
 </v>
      </c>
      <c r="EA143" s="21" t="str">
        <f t="shared" si="238"/>
        <v xml:space="preserve"> </v>
      </c>
      <c r="EB143" s="21" t="str">
        <f t="shared" si="472"/>
        <v xml:space="preserve"> </v>
      </c>
      <c r="EC143" s="21" t="str">
        <f t="shared" si="239"/>
        <v xml:space="preserve">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3" s="21" t="str">
        <f t="shared" si="240"/>
        <v xml:space="preserve">reputation(1,6.25), for basic literacy(1,6.25),  </v>
      </c>
      <c r="EE143" s="21" t="str">
        <f t="shared" si="473"/>
        <v xml:space="preserve">reputation(6.25),for basic literacy(6.25), </v>
      </c>
      <c r="EF143" s="21" t="str">
        <f t="shared" si="471"/>
        <v xml:space="preserve">technologists 1
reputation 1
 </v>
      </c>
      <c r="EG143" s="21" t="str">
        <f t="shared" si="241"/>
        <v xml:space="preserve">web(1,50), mobile apps(1,50), interaction(1,50),  </v>
      </c>
      <c r="EH143" s="21" t="str">
        <f t="shared" si="472"/>
        <v xml:space="preserve">web 50
mobile apps 50
interaction 50
 </v>
      </c>
      <c r="EI143" s="21" t="str">
        <f t="shared" si="242"/>
        <v xml:space="preserve">enthusiasm(1), fame(1), network(2), level of understanding(1), technologists(2), ease of access(1), reputation(2), infrastructrue(1), database(1), mobile comm(1), for entrepreneurs(1),  </v>
      </c>
      <c r="EJ143" s="21" t="str">
        <f t="shared" si="243"/>
        <v xml:space="preserve">technologists(1,12.5), infrastructrue(1,12.5), database(1,12.5), mobile comm(1,12.5), for entrepreneurs(1,6.25),  </v>
      </c>
      <c r="EK143" s="21" t="str">
        <f t="shared" si="473"/>
        <v xml:space="preserve">technologists(12.5),infrastructrue(12.5),database(12.5),mobile comm(12.5),for entrepreneurs(6.25), </v>
      </c>
      <c r="EL143" s="21" t="str">
        <f t="shared" si="474"/>
        <v xml:space="preserve">technologists 1
reputation 1
 </v>
      </c>
      <c r="EM143" s="21" t="str">
        <f t="shared" si="245"/>
        <v xml:space="preserve">sensors(1,50),  </v>
      </c>
      <c r="EN143" s="21" t="str">
        <f t="shared" si="475"/>
        <v xml:space="preserve">sensors 50
 </v>
      </c>
      <c r="EO143" s="21" t="str">
        <f t="shared" si="247"/>
        <v xml:space="preserve">enthusiasm(1), fame(1), network(2), level of understanding(1), technologists(2), ease of access(1), reputation(2), project management(2), infrastructrue(1), database(1), mobile comm(1), for entrepreneurs(1),  </v>
      </c>
      <c r="EP143" s="21" t="str">
        <f t="shared" si="248"/>
        <v xml:space="preserve">technologists(1,12.5), infrastructrue(1,12.5), database(1,12.5), mobile comm(1,12.5), electronics(1,6.25), for entrepreneurs(1,6.25),  </v>
      </c>
      <c r="EQ143" s="21" t="str">
        <f t="shared" si="476"/>
        <v xml:space="preserve">technologists(12.5),infrastructrue(12.5),database(12.5),mobile comm(12.5),electronics(6.25),for entrepreneurs(6.25), </v>
      </c>
      <c r="ER143" s="21" t="str">
        <f t="shared" si="474"/>
        <v xml:space="preserve">technologists 1
 </v>
      </c>
      <c r="ES143" s="21" t="str">
        <f t="shared" si="250"/>
        <v xml:space="preserve">AI&amp; data analysis(1,50),  </v>
      </c>
      <c r="ET143" s="21" t="str">
        <f t="shared" si="475"/>
        <v xml:space="preserve">AI&amp; data analysis 50
 </v>
      </c>
      <c r="EU143" s="21" t="str">
        <f t="shared" si="251"/>
        <v xml:space="preserve">enthusiasm(1), fame(1), network(2), level of understanding(1), technologists(2), ease of access(1), reputation(2), database(1), sensors(1), mobile comm(1), for entrepreneurs(1),  </v>
      </c>
      <c r="EV143" s="21" t="str">
        <f t="shared" si="252"/>
        <v xml:space="preserve">technologists(1,12.5), database(1,12.5), sensors(1,12.5), mobile comm(1,12.5), for entrepreneurs(1,6.25),  </v>
      </c>
      <c r="EW143" s="21" t="str">
        <f t="shared" si="476"/>
        <v xml:space="preserve">technologists(12.5),database(12.5),sensors(12.5),mobile comm(12.5),for entrepreneurs(6.25), </v>
      </c>
      <c r="EX143" s="21" t="str">
        <f t="shared" si="474"/>
        <v xml:space="preserve">technologists 1
 </v>
      </c>
      <c r="EY143" s="21" t="str">
        <f t="shared" si="253"/>
        <v xml:space="preserve">law(1,50), security(1,50), interaction(1,25),  </v>
      </c>
      <c r="EZ143" s="21" t="str">
        <f t="shared" si="475"/>
        <v xml:space="preserve">law 50
security 50
interaction 25
 </v>
      </c>
      <c r="FA143" s="21" t="str">
        <f t="shared" si="254"/>
        <v xml:space="preserve">enthusiasm(1), fame(1), network(2), level of understanding(1), technologists(2), ease of access(1), reputation(2), law(2), for entrepreneurs(1),  </v>
      </c>
      <c r="FB143" s="21" t="str">
        <f t="shared" si="255"/>
        <v xml:space="preserve">technologists(1,12.5), law(1,6.25), database(1,12.5), mobile apps(1,12.5), security(1,12.5), mobile comm(1,12.5), for entrepreneurs(1,6.25),  </v>
      </c>
      <c r="FC143" s="21" t="str">
        <f t="shared" si="476"/>
        <v xml:space="preserve">technologists(12.5),law(6.25),database(12.5),mobile apps(12.5),security(12.5),mobile comm(12.5),for entrepreneurs(6.25), </v>
      </c>
      <c r="FD143" s="21" t="str">
        <f t="shared" si="474"/>
        <v xml:space="preserve">technologists 1
 </v>
      </c>
      <c r="FE143" s="21" t="str">
        <f t="shared" si="256"/>
        <v xml:space="preserve">law(1,50), sensors(1,50), security(1,50),  </v>
      </c>
      <c r="FF143" s="21" t="str">
        <f t="shared" si="475"/>
        <v xml:space="preserve">law 50
sensors 50
security 50
 </v>
      </c>
      <c r="FG143" s="21" t="str">
        <f t="shared" si="257"/>
        <v xml:space="preserve">enthusiasm(1), fame(1), network(2), level of understanding(1), technologists(2), ease of access(1), reputation(2), law(2), project management(2), for entrepreneurs(1),  </v>
      </c>
      <c r="FH143" s="21" t="str">
        <f t="shared" si="258"/>
        <v xml:space="preserve">technologists(1,12.5), law(1,6.25), database(1,6.25), mobile apps(1,6.25), AI&amp; data analysis(1,6.25), mobile comm(1,6.25), for entrepreneurs(1,6.25),  </v>
      </c>
      <c r="FI143" s="21" t="str">
        <f t="shared" si="476"/>
        <v xml:space="preserve">technologists(12.5),law(6.25),database(6.25),mobile apps(6.25),AI&amp; data analysis(6.25),mobile comm(6.25),for entrepreneurs(6.25), </v>
      </c>
      <c r="FJ143" s="21" t="str">
        <f t="shared" si="474"/>
        <v xml:space="preserve">technologists 1
 </v>
      </c>
      <c r="FK143" s="21" t="str">
        <f t="shared" si="259"/>
        <v xml:space="preserve">wood processing(1,25), metal processing(1,25), plastic processing(1,25), fabric(1,25), safety(1,25), interaction(1,25),  </v>
      </c>
      <c r="FL143" s="21" t="str">
        <f t="shared" si="475"/>
        <v xml:space="preserve">project management 2
wood processing 25
metal processing 25
plastic processing 25
fabric 25
safety 25
interaction 25
 </v>
      </c>
      <c r="FM143" s="21" t="str">
        <f t="shared" si="260"/>
        <v xml:space="preserve">enthusiasm(1), fame(1), network(2), level of understanding(1), technologists(2), spaciousness(1), ease of access(1), reputation(2), for entrepreneurs(1),  </v>
      </c>
      <c r="FN143" s="21" t="str">
        <f t="shared" si="261"/>
        <v xml:space="preserve">technologists(1,12.5), for entrepreneurs(1,6.25),  </v>
      </c>
      <c r="FO143" s="21" t="str">
        <f t="shared" si="476"/>
        <v xml:space="preserve">technologists(12.5),for entrepreneurs(6.25), </v>
      </c>
      <c r="FP143" s="21" t="str">
        <f t="shared" si="474"/>
        <v xml:space="preserve">technologists 1
 </v>
      </c>
      <c r="FQ143" s="21" t="str">
        <f t="shared" si="262"/>
        <v xml:space="preserve">web(1,25), mobile apps(1,50), functions(1,25), interaction(1,25),  </v>
      </c>
      <c r="FR143" s="21" t="str">
        <f t="shared" si="475"/>
        <v xml:space="preserve">web 25
mobile apps 50
functions 25
interaction 25
 </v>
      </c>
      <c r="FS143" s="21" t="str">
        <f t="shared" si="263"/>
        <v xml:space="preserve">enthusiasm(1), fame(1), network(2), level of understanding(1), technologists(2), spaciousness(1), ease of access(1), reputation(2), for entrepreneurs(1),  </v>
      </c>
      <c r="FT143" s="21" t="str">
        <f t="shared" si="264"/>
        <v xml:space="preserve">technologists(1,12.5), for entrepreneurs(1,6.25),  </v>
      </c>
      <c r="FU143" s="21" t="str">
        <f t="shared" si="476"/>
        <v xml:space="preserve">technologists(12.5),for entrepreneurs(6.25), </v>
      </c>
      <c r="FV143" s="21" t="str">
        <f t="shared" si="474"/>
        <v xml:space="preserve">technologists 1
 </v>
      </c>
      <c r="FW143" s="21" t="str">
        <f t="shared" si="265"/>
        <v xml:space="preserve">mobile apps(1,50), sensors(1,50), wood processing(1,25), plastic processing(1,25), electronics(1,25), functions(1,25), interaction(1,25),  </v>
      </c>
      <c r="FX143" s="21" t="str">
        <f t="shared" si="475"/>
        <v xml:space="preserve">mobile apps 50
sensors 50
wood processing 25
plastic processing 25
electronics 25
functions 25
interaction 25
 </v>
      </c>
      <c r="FY143" s="21" t="str">
        <f t="shared" si="266"/>
        <v xml:space="preserve">enthusiasm(1), fame(1), network(2), level of understanding(1), technologists(2), spaciousness(1), ease of access(1), reputation(2), project management(2), for entrepreneurs(1),  </v>
      </c>
      <c r="FZ143" s="21" t="str">
        <f t="shared" si="267"/>
        <v xml:space="preserve">technologists(1,12.5), web(1,6.25), database(1,6.25), AI&amp; data analysis(1,6.25), mobile comm(1,6.25), for entrepreneurs(1,6.25),  </v>
      </c>
      <c r="GA143" s="21" t="str">
        <f t="shared" si="476"/>
        <v xml:space="preserve">technologists(12.5),web(6.25),database(6.25),AI&amp; data analysis(6.25),mobile comm(6.25),for entrepreneurs(6.25), </v>
      </c>
      <c r="GB143" s="21" t="str">
        <f t="shared" si="474"/>
        <v xml:space="preserve">technologists 1
 </v>
      </c>
      <c r="GC143" s="21" t="str">
        <f t="shared" si="268"/>
        <v xml:space="preserve">sensors(1,25), mobile comm(1,25), electronics(1,50), functions(1,25), safety(1,25),  </v>
      </c>
      <c r="GD143" s="21" t="str">
        <f t="shared" si="475"/>
        <v xml:space="preserve">sensors 25
mobile comm 25
electronics 50
functions 25
safety 25
 </v>
      </c>
      <c r="GE143" s="21" t="str">
        <f t="shared" si="269"/>
        <v xml:space="preserve">enthusiasm(1), fame(1), network(2), level of understanding(1), technologists(2), spaciousness(1), ease of access(1), reputation(2), project management(2), for entrepreneurs(1),  </v>
      </c>
      <c r="GF143" s="21" t="str">
        <f t="shared" si="270"/>
        <v xml:space="preserve">technologists(1,12.5), database(1,6.25), mobile apps(1,6.25), AI&amp; data analysis(1,6.25), plastic processing(1,6.25), interaction(1,6.25), for entrepreneurs(1,6.25),  </v>
      </c>
      <c r="GG143" s="21" t="str">
        <f t="shared" si="476"/>
        <v xml:space="preserve">technologists(12.5),database(6.25),mobile apps(6.25),AI&amp; data analysis(6.25),plastic processing(6.25),interaction(6.25),for entrepreneurs(6.25), </v>
      </c>
      <c r="GH143" s="21" t="str">
        <f t="shared" si="474"/>
        <v xml:space="preserve">technologists 1
 </v>
      </c>
      <c r="GI143" s="21" t="str">
        <f t="shared" si="271"/>
        <v xml:space="preserve">web(1,25), mobile apps(1,50), functions(1,25), interaction(1,25),  </v>
      </c>
      <c r="GJ143" s="21" t="str">
        <f t="shared" si="475"/>
        <v xml:space="preserve">web 25
mobile apps 50
functions 25
interaction 25
 </v>
      </c>
      <c r="GK143" s="21" t="str">
        <f t="shared" si="272"/>
        <v xml:space="preserve">enthusiasm(1), fame(1), network(2), level of understanding(1), technologists(2), spaciousness(1), ease of access(1), reputation(2), project management(2), for entrepreneurs(1),  </v>
      </c>
      <c r="GL143" s="21" t="str">
        <f t="shared" si="273"/>
        <v xml:space="preserve">technologists(1,12.5), for entrepreneurs(1,6.25),  </v>
      </c>
      <c r="GM143" s="21" t="str">
        <f t="shared" si="476"/>
        <v xml:space="preserve">technologists(12.5),for entrepreneurs(6.25), </v>
      </c>
      <c r="GN143" s="21" t="str">
        <f t="shared" si="474"/>
        <v xml:space="preserve">technologists 1
 </v>
      </c>
      <c r="GO143" s="21" t="str">
        <f t="shared" si="274"/>
        <v xml:space="preserve">web(1,25), mobile apps(1,25), VR&amp;AR(1,25), aesthetics(1,25), functions(1,25), interaction(1,50),  </v>
      </c>
      <c r="GP143" s="21" t="str">
        <f t="shared" si="475"/>
        <v xml:space="preserve">web 25
mobile apps 25
VR&amp;AR 25
aesthetics 25
functions 25
interaction 50
 </v>
      </c>
      <c r="GQ143" s="21" t="str">
        <f t="shared" si="275"/>
        <v xml:space="preserve">enthusiasm(1), fame(1), network(2), level of understanding(1), technologists(2), spaciousness(1), ease of access(1), reputation(2), project management(2), for entrepreneurs(1),  </v>
      </c>
      <c r="GR143" s="21" t="str">
        <f t="shared" si="276"/>
        <v xml:space="preserve">technologists(1,12.5), for entrepreneurs(1,6.25),  </v>
      </c>
      <c r="GS143" s="21" t="str">
        <f t="shared" si="476"/>
        <v xml:space="preserve">technologists(12.5),for entrepreneurs(6.25), </v>
      </c>
      <c r="GT143" s="21" t="str">
        <f t="shared" si="474"/>
        <v xml:space="preserve">ease of access 1
reputation 2
web 1
mobile apps 1
mobile comm 1
 </v>
      </c>
      <c r="GU143" s="21" t="str">
        <f t="shared" si="277"/>
        <v xml:space="preserve"> </v>
      </c>
      <c r="GV143" s="21" t="str">
        <f t="shared" si="475"/>
        <v xml:space="preserve"> </v>
      </c>
      <c r="GW143" s="21" t="str">
        <f t="shared" si="278"/>
        <v xml:space="preserve">enthusiasm(2), 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3" s="21" t="str">
        <f t="shared" si="279"/>
        <v xml:space="preserve">media(1,6.25), entrepreneurs(1,6.25), technologists(1,6.25), project management(1,6.25), social media(1,6.25), web(1,6.25), mobile apps(1,6.25),  </v>
      </c>
      <c r="GY143" s="21" t="str">
        <f t="shared" si="476"/>
        <v xml:space="preserve">media(6.25),entrepreneurs(6.25),technologists(6.25),project management(6.25),social media(6.25),web(6.25),mobile apps(6.25), </v>
      </c>
      <c r="GZ143" s="21" t="str">
        <f t="shared" si="477"/>
        <v xml:space="preserve">network 1
govt 1
non-profits 1
reputation 2
portfolio 1
 </v>
      </c>
      <c r="HA143" s="21" t="str">
        <f t="shared" si="281"/>
        <v xml:space="preserve"> </v>
      </c>
      <c r="HB143" s="21" t="str">
        <f t="shared" si="478"/>
        <v xml:space="preserve"> </v>
      </c>
      <c r="HC143" s="21" t="str">
        <f t="shared" si="283"/>
        <v xml:space="preserve">network(2), govt(3), non-profits(3), reputation(4), portfolio(3), social media(2), web(2), mobile apps(2), sensors(2), AI&amp; data analysis(2), VR&amp;AR(2), plastic processing(2), electronics(2), aesthetics(2), interaction(2),  </v>
      </c>
      <c r="HD143" s="21" t="str">
        <f t="shared" si="284"/>
        <v xml:space="preserve">media(1,6.25), technologists(1,6.25), non-profits(1,6.25), reputation(1,6.25), start-up with customers(1,6.25), for basic literacy(1,6.25),  </v>
      </c>
      <c r="HE143" s="21" t="str">
        <f t="shared" si="479"/>
        <v xml:space="preserve">media(6.25),technologists(6.25),non-profits(6.25),reputation(6.25),start-up with customers(6.25),for basic literacy(6.25), </v>
      </c>
      <c r="HF143" s="21" t="str">
        <f t="shared" si="477"/>
        <v xml:space="preserve"> </v>
      </c>
      <c r="HG143" s="21" t="str">
        <f t="shared" si="286"/>
        <v xml:space="preserve"> </v>
      </c>
      <c r="HH143" s="21" t="str">
        <f t="shared" si="478"/>
        <v xml:space="preserve"> </v>
      </c>
      <c r="HI143" s="21" t="str">
        <f t="shared" si="287"/>
        <v xml:space="preserve">network(2), portfolio(3), marketing(2), team building(3), project management(2), mobile apps(3), sensors(2), plastic processing(2), electronics(2), aesthetics(2), functions(2), interaction(2),  </v>
      </c>
      <c r="HJ143" s="21" t="str">
        <f t="shared" si="288"/>
        <v xml:space="preserve">govt(1,6.25), media(1,6.25), non-profits(1,6.25), start-up with customers(1,6.25),  </v>
      </c>
      <c r="HK143" s="21" t="str">
        <f t="shared" si="479"/>
        <v xml:space="preserve">govt(6.25),media(6.25),non-profits(6.25),start-up with customers(6.25), </v>
      </c>
      <c r="HL143" s="21" t="str">
        <f t="shared" si="477"/>
        <v xml:space="preserve">local biz 1
entrepreneurs 1
non-profits 1
reputation 2
portfolio 2
 </v>
      </c>
      <c r="HM143" s="21" t="str">
        <f t="shared" si="289"/>
        <v xml:space="preserve"> </v>
      </c>
      <c r="HN143" s="21" t="str">
        <f t="shared" si="478"/>
        <v xml:space="preserve"> </v>
      </c>
      <c r="HO143" s="21" t="str">
        <f t="shared" si="290"/>
        <v xml:space="preserve">enthusiasm(2), 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3" s="21" t="str">
        <f t="shared" si="291"/>
        <v xml:space="preserve">enthusiasm(1,6.25), level of understanding(1,6.25), local biz(1,6.25), biz group(1,6.25), govt(1,6.25), investors(1,6.25), media(1,6.25), entrepreneurs(1,6.25), technologists(1,6.25), suppliers(1,6.25), non-profits(1,6.25), reputation(1,6.25),  </v>
      </c>
      <c r="HQ143" s="47" t="str">
        <f t="shared" si="479"/>
        <v xml:space="preserve">enthusiasm(6.25),level of understanding(6.25),local biz(6.25),biz group(6.25),govt(6.25),investors(6.25),media(6.25),entrepreneurs(6.25),technologists(6.25),suppliers(6.25),non-profits(6.25),reputation(6.25), </v>
      </c>
      <c r="HR143" s="47" t="str">
        <f t="shared" ref="HR143:HW143" si="500">IF(HR41="",HR144,$C143&amp;"("&amp;HR41&amp;"),"&amp;HR144)</f>
        <v xml:space="preserve">reputation(2),portfolio(2),mobile apps(1),sensors(1),wood processing(1),aesthetics(1), </v>
      </c>
      <c r="HS143" s="47" t="str">
        <f t="shared" si="500"/>
        <v xml:space="preserve"> </v>
      </c>
      <c r="HT143" s="47" t="str">
        <f t="shared" si="500"/>
        <v xml:space="preserve"> </v>
      </c>
      <c r="HU143" s="47" t="str">
        <f t="shared" si="500"/>
        <v xml:space="preserve">enthusiasm(2),network(2),level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3" s="47" t="str">
        <f t="shared" si="500"/>
        <v xml:space="preserve">local biz(1),biz group(1),govt(1),investors(1),media(1),entrepreneurs(1),technologists(1),suppliers(1),non-profits(1),reputation(1), </v>
      </c>
      <c r="HW143" s="47" t="str">
        <f t="shared" si="500"/>
        <v xml:space="preserve">local biz(6.25),biz group(6.25),govt(6.25),investors(6.25),media(6.25),entrepreneurs(6.25),technologists(12.5),suppliers(6.25),non-profits(6.25),reputation(6.25), </v>
      </c>
      <c r="HX143" s="47" t="str">
        <f t="shared" ref="HX143:IU143" si="501">IF(HX41="",HX144,$C143&amp;"("&amp;HX41&amp;"),"&amp;HX144)</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3" s="47" t="str">
        <f t="shared" si="501"/>
        <v xml:space="preserve">biz enhancement(1), </v>
      </c>
      <c r="HZ143" s="47" t="str">
        <f t="shared" si="501"/>
        <v xml:space="preserve">biz enhancement(100), </v>
      </c>
      <c r="IA143" s="47" t="str">
        <f t="shared" si="501"/>
        <v xml:space="preserve">enthusiasm(2),network(2),ambition(2),knowledge(2),spaciousness(2),ease of access(3),efficiency(2),portfolio(4),finance(2),business model(2),marketing(3),team building(2),project management(2),social media(3),negotiation(3), </v>
      </c>
      <c r="IB143" s="47" t="str">
        <f t="shared" si="501"/>
        <v xml:space="preserve">level of understanding(1),ambition(1),local biz(1),biz group(1),govt(1),media(1),entrepreneurs(1),technologists(1),non-profits(1),reputation(1),team building(1),database(1),AI&amp; data analysis(1),electronics(1),functions(1), </v>
      </c>
      <c r="IC143" s="47" t="str">
        <f t="shared" si="501"/>
        <v xml:space="preserve">level of understanding(6.25),ambition(6.25),local biz(6.25),biz group(6.25),govt(6.25),media(6.25),entrepreneurs(6.25),technologists(6.25),non-profits(6.25),reputation(6.25),team building(6.25),database(6.25),AI&amp; data analysis(6.25),electronics(6.25),functions(6.25), </v>
      </c>
      <c r="ID143" s="47" t="str">
        <f t="shared" si="501"/>
        <v xml:space="preserve">technologists(2), </v>
      </c>
      <c r="IE143" s="47" t="str">
        <f t="shared" si="501"/>
        <v xml:space="preserve">web(1),mobile apps(1),security(1),AI&amp; data analysis(1), </v>
      </c>
      <c r="IF143" s="47" t="str">
        <f t="shared" si="501"/>
        <v xml:space="preserve">web(25),mobile apps(25),security(25),AI&amp; data analysis(25), </v>
      </c>
      <c r="IG143" s="47" t="str">
        <f t="shared" si="501"/>
        <v xml:space="preserve">network(2),entrepreneurs(3),technologists(4),spaciousness(2),ease of access(2),reputation(3),efficiency(2),portfolio(3),web(2),database(2),mobile apps(2),security(2),AI&amp; data analysis(2), </v>
      </c>
      <c r="IH143" s="47" t="str">
        <f t="shared" si="501"/>
        <v xml:space="preserve">technologists(1),web(1),database(1),mobile apps(1),security(1),AI&amp; data analysis(1), </v>
      </c>
      <c r="II143" s="47" t="str">
        <f t="shared" si="501"/>
        <v xml:space="preserve">technologists(6.25),web(6.25),database(6.25),mobile apps(6.25),security(6.25),AI&amp; data analysis(6.25), </v>
      </c>
      <c r="IJ143" s="47" t="str">
        <f t="shared" si="501"/>
        <v xml:space="preserve">technologists(2), </v>
      </c>
      <c r="IK143" s="47" t="str">
        <f t="shared" si="501"/>
        <v xml:space="preserve">wood processing(1),metal processing(1),functions(1),safety(1), </v>
      </c>
      <c r="IL143" s="47" t="str">
        <f t="shared" si="501"/>
        <v xml:space="preserve">wood processing(25),metal processing(25),functions(25),safety(25), </v>
      </c>
      <c r="IM143" s="47" t="str">
        <f t="shared" si="501"/>
        <v xml:space="preserve">network(2),entrepreneurs(3),technologists(4),spaciousness(2),ease of access(2),reputation(3),efficiency(2),portfolio(3),wood processing(2),metal processing(2),functions(2),safety(2), </v>
      </c>
      <c r="IN143" s="47" t="str">
        <f t="shared" si="501"/>
        <v xml:space="preserve">technologists(1),wood processing(1),metal processing(1),functions(1),safety(1),interaction(1), </v>
      </c>
      <c r="IO143" s="47" t="str">
        <f t="shared" si="501"/>
        <v xml:space="preserve">technologists(6.25),wood processing(6.25),metal processing(6.25),functions(6.25),safety(6.25),interaction(6.25), </v>
      </c>
      <c r="IP143" s="57" t="str">
        <f t="shared" si="501"/>
        <v xml:space="preserve">local biz(2),reputation(1), </v>
      </c>
      <c r="IQ143" s="47" t="str">
        <f t="shared" si="501"/>
        <v xml:space="preserve">local biz(1),marketing(1), </v>
      </c>
      <c r="IR143" s="47" t="str">
        <f t="shared" si="501"/>
        <v xml:space="preserve">local biz(25),marketing(25), </v>
      </c>
      <c r="IS143" s="47" t="str">
        <f t="shared" si="501"/>
        <v xml:space="preserve">enthusiasm(3),network(2),level of understanding(3),local biz(3),biz group(2),govt(2),non-profits(2),reputation(3),efficiency(2),marketing(2), </v>
      </c>
      <c r="IT143" s="47" t="str">
        <f t="shared" si="501"/>
        <v xml:space="preserve">local biz(1),biz group(1),govt(1),non-profits(1),marketing(1), </v>
      </c>
      <c r="IU143" s="47" t="str">
        <f t="shared" si="501"/>
        <v xml:space="preserve">local biz(6.25),biz group(6.25),govt(6.25),non-profits(6.25),marketing(6.25), </v>
      </c>
      <c r="IV143" s="57" t="str">
        <f t="shared" ref="IV143:LG143" si="502">IF(IV41="",IV144,$C143&amp;"("&amp;IV41&amp;"),"&amp;IV144)</f>
        <v xml:space="preserve">local biz(2),reputation(1), </v>
      </c>
      <c r="IW143" s="47" t="str">
        <f t="shared" si="502"/>
        <v xml:space="preserve">local biz(1),marketing(1), </v>
      </c>
      <c r="IX143" s="47" t="str">
        <f t="shared" si="502"/>
        <v xml:space="preserve">local biz(25),marketing(25), </v>
      </c>
      <c r="IY143" s="47" t="str">
        <f t="shared" si="502"/>
        <v xml:space="preserve">enthusiasm(3),network(2),level of understanding(3),local biz(3),biz group(2),govt(2),reputation(3),efficiency(2),marketing(2), </v>
      </c>
      <c r="IZ143" s="47" t="str">
        <f t="shared" si="502"/>
        <v xml:space="preserve">local biz(1),biz group(1),govt(1),marketing(1), </v>
      </c>
      <c r="JA143" s="47" t="str">
        <f t="shared" si="502"/>
        <v xml:space="preserve">local biz(6.25),biz group(6.25),govt(6.25),marketing(6.25), </v>
      </c>
      <c r="JB143" s="47" t="str">
        <f t="shared" si="502"/>
        <v xml:space="preserve"> </v>
      </c>
      <c r="JC143" s="47" t="str">
        <f t="shared" si="502"/>
        <v xml:space="preserve"> </v>
      </c>
      <c r="JD143" s="47" t="str">
        <f t="shared" si="502"/>
        <v xml:space="preserve"> </v>
      </c>
      <c r="JE143" s="47" t="str">
        <f t="shared" si="502"/>
        <v xml:space="preserve">network(2),level of understanding(2),technologists(2),spaciousness(1),ease of access(1),reputation(3),efficiency(2), </v>
      </c>
      <c r="JF143" s="47" t="str">
        <f t="shared" si="502"/>
        <v xml:space="preserve">web(1),infrastructrue(1),database(1),mobile apps(1),sensors(1),security(1),AI&amp; data analysis(1),mobile comm(1),VR&amp;AR(1),wood processing(1),metal processing(1),plastic processing(1),electronics(1),fabric(1),aesthetics(1),functions(1),safety(1),interaction(1), </v>
      </c>
      <c r="JG143" s="47" t="str">
        <f t="shared" si="502"/>
        <v xml:space="preserve">web(6.25),infrastructrue(6.25),database(6.25),mobile apps(6.25),sensors(6.25),security(6.25),AI&amp; data analysis(6.25),mobile comm(6.25),VR&amp;AR(6.25),wood processing(6.25),metal processing(6.25),plastic processing(6.25),electronics(6.25),fabric(6.25),aesthetics(6.25),functions(6.25),safety(6.25),interaction(6.25), </v>
      </c>
      <c r="JH143" s="47" t="str">
        <f t="shared" si="502"/>
        <v xml:space="preserve">enthusiasm(1),local biz(1),non-profits(1),reputation(2), </v>
      </c>
      <c r="JI143" s="47" t="str">
        <f t="shared" si="502"/>
        <v xml:space="preserve"> </v>
      </c>
      <c r="JJ143" s="47" t="str">
        <f t="shared" si="502"/>
        <v xml:space="preserve"> </v>
      </c>
      <c r="JK143" s="47" t="str">
        <f t="shared" si="502"/>
        <v xml:space="preserve">enthusiasm(2),fame(2),network(2),ambition(2),local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3" s="47" t="str">
        <f t="shared" si="502"/>
        <v xml:space="preserve">non-profits(1), </v>
      </c>
      <c r="JM143" s="47" t="str">
        <f t="shared" si="502"/>
        <v xml:space="preserve">non-profits(6.25), </v>
      </c>
      <c r="JN143" s="47" t="str">
        <f t="shared" si="502"/>
        <v xml:space="preserve">enthusiasm(1),network(1),local biz(1),investors(1),entrepreneurs(1),technologists(1),non-profits(1),reputation(2),portfolio(2), </v>
      </c>
      <c r="JO143" s="47" t="str">
        <f t="shared" si="502"/>
        <v xml:space="preserve"> </v>
      </c>
      <c r="JP143" s="47" t="str">
        <f t="shared" si="502"/>
        <v xml:space="preserve"> </v>
      </c>
      <c r="JQ143" s="47" t="str">
        <f t="shared" si="502"/>
        <v xml:space="preserve">enthusiasm(2),fame(2),network(2),level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3" s="47" t="str">
        <f t="shared" si="502"/>
        <v xml:space="preserve"> </v>
      </c>
      <c r="JS143" s="47" t="str">
        <f t="shared" si="502"/>
        <v xml:space="preserve"> </v>
      </c>
      <c r="JT143" s="47" t="str">
        <f t="shared" si="502"/>
        <v xml:space="preserve">enthusiasm(2),network(2),local biz(2),biz group(1),govt(2),investors(2),entrepreneurs(2),technologists(2),non-profits(2),reputation(2),portfolio(3), </v>
      </c>
      <c r="JU143" s="47" t="str">
        <f t="shared" si="502"/>
        <v xml:space="preserve"> </v>
      </c>
      <c r="JV143" s="47" t="str">
        <f t="shared" si="502"/>
        <v xml:space="preserve"> </v>
      </c>
      <c r="JW143" s="47" t="str">
        <f t="shared" si="502"/>
        <v xml:space="preserve">enthusiasm(3),fame(3),network(3),level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3" s="47" t="str">
        <f t="shared" si="502"/>
        <v xml:space="preserve"> </v>
      </c>
      <c r="JY143" s="47" t="str">
        <f t="shared" si="502"/>
        <v xml:space="preserve"> </v>
      </c>
      <c r="JZ143" s="47" t="str">
        <f t="shared" si="502"/>
        <v xml:space="preserve">network(1),non-profits(1),reputation(2),social project(2), </v>
      </c>
      <c r="KA143" s="47" t="str">
        <f t="shared" si="502"/>
        <v xml:space="preserve">non-profits(1), </v>
      </c>
      <c r="KB143" s="47" t="str">
        <f t="shared" si="502"/>
        <v xml:space="preserve">non-profits(25), </v>
      </c>
      <c r="KC143" s="47" t="str">
        <f t="shared" si="502"/>
        <v xml:space="preserve">enthusiasm(2),fame(2),network(2),ambition(3),local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3" s="47" t="str">
        <f t="shared" si="502"/>
        <v xml:space="preserve">non-profits(1), </v>
      </c>
      <c r="KE143" s="47" t="str">
        <f t="shared" si="502"/>
        <v xml:space="preserve">non-profits(6.25), </v>
      </c>
      <c r="KF143" s="47" t="str">
        <f t="shared" si="502"/>
        <v xml:space="preserve"> </v>
      </c>
      <c r="KG143" s="47" t="str">
        <f t="shared" si="502"/>
        <v xml:space="preserve"> </v>
      </c>
      <c r="KH143" s="47" t="str">
        <f t="shared" si="502"/>
        <v xml:space="preserve"> </v>
      </c>
      <c r="KI143" s="47" t="str">
        <f t="shared" si="502"/>
        <v xml:space="preserve"> </v>
      </c>
      <c r="KJ143" s="47" t="str">
        <f t="shared" si="502"/>
        <v xml:space="preserve"> </v>
      </c>
      <c r="KK143" s="47" t="str">
        <f t="shared" si="502"/>
        <v xml:space="preserve"> </v>
      </c>
      <c r="KL143" s="57" t="str">
        <f t="shared" si="502"/>
        <v xml:space="preserve"> </v>
      </c>
      <c r="KM143" s="47" t="str">
        <f t="shared" si="502"/>
        <v xml:space="preserve"> </v>
      </c>
      <c r="KN143" s="47" t="str">
        <f t="shared" si="502"/>
        <v xml:space="preserve"> </v>
      </c>
      <c r="KO143" s="47" t="str">
        <f t="shared" si="502"/>
        <v xml:space="preserve"> </v>
      </c>
      <c r="KP143" s="47" t="str">
        <f t="shared" si="502"/>
        <v xml:space="preserve"> </v>
      </c>
      <c r="KQ143" s="47" t="str">
        <f t="shared" si="502"/>
        <v xml:space="preserve"> </v>
      </c>
      <c r="KR143" s="57" t="str">
        <f t="shared" si="502"/>
        <v xml:space="preserve"> </v>
      </c>
      <c r="KS143" s="47" t="str">
        <f t="shared" si="502"/>
        <v xml:space="preserve"> </v>
      </c>
      <c r="KT143" s="47" t="str">
        <f t="shared" si="502"/>
        <v xml:space="preserve"> </v>
      </c>
      <c r="KU143" s="47" t="str">
        <f t="shared" si="502"/>
        <v xml:space="preserve"> </v>
      </c>
      <c r="KV143" s="47" t="str">
        <f t="shared" si="502"/>
        <v xml:space="preserve"> </v>
      </c>
      <c r="KW143" s="47" t="str">
        <f t="shared" si="502"/>
        <v xml:space="preserve"> </v>
      </c>
      <c r="KX143" s="57" t="str">
        <f t="shared" si="502"/>
        <v xml:space="preserve"> </v>
      </c>
      <c r="KY143" s="47" t="str">
        <f t="shared" si="502"/>
        <v xml:space="preserve"> </v>
      </c>
      <c r="KZ143" s="47" t="str">
        <f t="shared" si="502"/>
        <v xml:space="preserve"> </v>
      </c>
      <c r="LA143" s="47" t="str">
        <f t="shared" si="502"/>
        <v xml:space="preserve"> </v>
      </c>
      <c r="LB143" s="47" t="str">
        <f t="shared" si="502"/>
        <v xml:space="preserve"> </v>
      </c>
      <c r="LC143" s="47" t="str">
        <f t="shared" si="502"/>
        <v xml:space="preserve"> </v>
      </c>
      <c r="LD143" s="57" t="str">
        <f t="shared" si="502"/>
        <v xml:space="preserve"> </v>
      </c>
      <c r="LE143" s="47" t="str">
        <f t="shared" si="502"/>
        <v xml:space="preserve"> </v>
      </c>
      <c r="LF143" s="47" t="str">
        <f t="shared" si="502"/>
        <v xml:space="preserve"> </v>
      </c>
      <c r="LG143" s="47" t="str">
        <f t="shared" si="502"/>
        <v xml:space="preserve"> </v>
      </c>
      <c r="LH143" s="47" t="str">
        <f t="shared" ref="LH143:NM143" si="503">IF(LH41="",LH144,$C143&amp;"("&amp;LH41&amp;"),"&amp;LH144)</f>
        <v xml:space="preserve"> </v>
      </c>
      <c r="LI143" s="47" t="str">
        <f t="shared" si="503"/>
        <v xml:space="preserve"> </v>
      </c>
      <c r="LJ143" s="57" t="str">
        <f t="shared" si="503"/>
        <v xml:space="preserve"> </v>
      </c>
      <c r="LK143" s="47" t="str">
        <f t="shared" si="503"/>
        <v xml:space="preserve"> </v>
      </c>
      <c r="LL143" s="47" t="str">
        <f t="shared" si="503"/>
        <v xml:space="preserve"> </v>
      </c>
      <c r="LM143" s="47" t="str">
        <f t="shared" si="503"/>
        <v xml:space="preserve"> </v>
      </c>
      <c r="LN143" s="47" t="str">
        <f t="shared" si="503"/>
        <v xml:space="preserve"> </v>
      </c>
      <c r="LO143" s="47" t="str">
        <f t="shared" si="503"/>
        <v xml:space="preserve"> </v>
      </c>
      <c r="LP143" s="57" t="str">
        <f t="shared" si="503"/>
        <v xml:space="preserve"> </v>
      </c>
      <c r="LQ143" s="47" t="str">
        <f t="shared" si="503"/>
        <v xml:space="preserve"> </v>
      </c>
      <c r="LR143" s="47" t="str">
        <f t="shared" si="503"/>
        <v xml:space="preserve"> </v>
      </c>
      <c r="LS143" s="47" t="str">
        <f t="shared" si="503"/>
        <v xml:space="preserve"> </v>
      </c>
      <c r="LT143" s="47" t="str">
        <f t="shared" si="503"/>
        <v xml:space="preserve"> </v>
      </c>
      <c r="LU143" s="47" t="str">
        <f t="shared" si="503"/>
        <v xml:space="preserve"> </v>
      </c>
      <c r="LV143" s="57" t="str">
        <f t="shared" si="503"/>
        <v xml:space="preserve"> </v>
      </c>
      <c r="LW143" s="47" t="str">
        <f t="shared" si="503"/>
        <v xml:space="preserve"> </v>
      </c>
      <c r="LX143" s="47" t="str">
        <f t="shared" si="503"/>
        <v xml:space="preserve"> </v>
      </c>
      <c r="LY143" s="47" t="str">
        <f t="shared" si="503"/>
        <v xml:space="preserve"> </v>
      </c>
      <c r="LZ143" s="47" t="str">
        <f t="shared" si="503"/>
        <v xml:space="preserve"> </v>
      </c>
      <c r="MA143" s="47" t="str">
        <f t="shared" si="503"/>
        <v xml:space="preserve"> </v>
      </c>
      <c r="MB143" s="57" t="str">
        <f t="shared" si="503"/>
        <v xml:space="preserve"> </v>
      </c>
      <c r="MC143" s="47" t="str">
        <f t="shared" si="503"/>
        <v xml:space="preserve"> </v>
      </c>
      <c r="MD143" s="47" t="str">
        <f t="shared" si="503"/>
        <v xml:space="preserve"> </v>
      </c>
      <c r="ME143" s="47" t="str">
        <f t="shared" si="503"/>
        <v xml:space="preserve"> </v>
      </c>
      <c r="MF143" s="47" t="str">
        <f t="shared" si="503"/>
        <v xml:space="preserve"> </v>
      </c>
      <c r="MG143" s="47" t="str">
        <f t="shared" si="503"/>
        <v xml:space="preserve"> </v>
      </c>
      <c r="MH143" s="57" t="str">
        <f t="shared" si="503"/>
        <v xml:space="preserve"> </v>
      </c>
      <c r="MI143" s="47" t="str">
        <f t="shared" si="503"/>
        <v xml:space="preserve"> </v>
      </c>
      <c r="MJ143" s="47" t="str">
        <f t="shared" si="503"/>
        <v xml:space="preserve"> </v>
      </c>
      <c r="MK143" s="47" t="str">
        <f t="shared" si="503"/>
        <v xml:space="preserve"> </v>
      </c>
      <c r="ML143" s="47" t="str">
        <f t="shared" si="503"/>
        <v xml:space="preserve"> </v>
      </c>
      <c r="MM143" s="47" t="str">
        <f t="shared" si="503"/>
        <v xml:space="preserve"> </v>
      </c>
      <c r="MN143" s="57" t="str">
        <f t="shared" si="503"/>
        <v xml:space="preserve"> </v>
      </c>
      <c r="MO143" s="47" t="str">
        <f t="shared" si="503"/>
        <v xml:space="preserve"> </v>
      </c>
      <c r="MP143" s="47" t="str">
        <f t="shared" si="503"/>
        <v xml:space="preserve"> </v>
      </c>
      <c r="MQ143" s="47" t="str">
        <f t="shared" si="503"/>
        <v xml:space="preserve"> </v>
      </c>
      <c r="MR143" s="47" t="str">
        <f t="shared" si="503"/>
        <v xml:space="preserve"> </v>
      </c>
      <c r="MS143" s="47" t="str">
        <f t="shared" si="503"/>
        <v xml:space="preserve"> </v>
      </c>
      <c r="MT143" s="57" t="str">
        <f t="shared" si="503"/>
        <v xml:space="preserve"> </v>
      </c>
      <c r="MU143" s="47" t="str">
        <f t="shared" si="503"/>
        <v xml:space="preserve"> </v>
      </c>
      <c r="MV143" s="47" t="str">
        <f t="shared" si="503"/>
        <v xml:space="preserve"> </v>
      </c>
      <c r="MW143" s="47" t="str">
        <f t="shared" si="503"/>
        <v xml:space="preserve"> </v>
      </c>
      <c r="MX143" s="47" t="str">
        <f t="shared" si="503"/>
        <v xml:space="preserve"> </v>
      </c>
      <c r="MY143" s="47" t="str">
        <f t="shared" si="503"/>
        <v xml:space="preserve"> </v>
      </c>
      <c r="MZ143" s="57" t="str">
        <f t="shared" si="503"/>
        <v xml:space="preserve"> </v>
      </c>
      <c r="NA143" s="47" t="str">
        <f t="shared" si="503"/>
        <v xml:space="preserve"> </v>
      </c>
      <c r="NB143" s="47" t="str">
        <f t="shared" si="503"/>
        <v xml:space="preserve"> </v>
      </c>
      <c r="NC143" s="47" t="str">
        <f t="shared" si="503"/>
        <v xml:space="preserve"> </v>
      </c>
      <c r="ND143" s="47" t="str">
        <f t="shared" si="503"/>
        <v xml:space="preserve"> </v>
      </c>
      <c r="NE143" s="47" t="str">
        <f t="shared" si="503"/>
        <v xml:space="preserve"> </v>
      </c>
      <c r="NF143" s="57" t="str">
        <f t="shared" si="503"/>
        <v xml:space="preserve"> </v>
      </c>
      <c r="NG143" s="47" t="str">
        <f t="shared" si="503"/>
        <v xml:space="preserve"> </v>
      </c>
      <c r="NH143" s="47" t="str">
        <f t="shared" si="503"/>
        <v xml:space="preserve"> </v>
      </c>
      <c r="NI143" s="47" t="str">
        <f t="shared" si="503"/>
        <v xml:space="preserve"> </v>
      </c>
      <c r="NJ143" s="47" t="str">
        <f t="shared" si="503"/>
        <v xml:space="preserve"> </v>
      </c>
      <c r="NK143" s="47" t="str">
        <f t="shared" si="503"/>
        <v xml:space="preserve"> </v>
      </c>
      <c r="NL143" s="57" t="str">
        <f t="shared" si="503"/>
        <v xml:space="preserve"> </v>
      </c>
      <c r="NM143" s="47" t="str">
        <f t="shared" si="503"/>
        <v xml:space="preserve"> </v>
      </c>
    </row>
    <row r="144" spans="3:377" ht="15.75" customHeight="1">
      <c r="C144" s="7" t="str">
        <f t="shared" si="296"/>
        <v>fame</v>
      </c>
      <c r="D144" s="21" t="str">
        <f t="shared" si="169"/>
        <v xml:space="preserve"> </v>
      </c>
      <c r="E144" s="21" t="str">
        <f t="shared" si="297"/>
        <v xml:space="preserve"> </v>
      </c>
      <c r="F144" s="21" t="str">
        <f t="shared" si="170"/>
        <v xml:space="preserve"> </v>
      </c>
      <c r="G144" s="21" t="str">
        <f t="shared" si="298"/>
        <v xml:space="preserve">fame(1), network(2), ease of access(1), reputation(2), social media(1),  </v>
      </c>
      <c r="H144" s="21" t="str">
        <f t="shared" si="299"/>
        <v xml:space="preserve"> </v>
      </c>
      <c r="I144" s="21" t="str">
        <f t="shared" ref="I144" si="504">IF(I42="",I145,$C144&amp;"("&amp;I42&amp;"),"&amp;I145)</f>
        <v xml:space="preserve"> </v>
      </c>
      <c r="J144" s="21" t="str">
        <f t="shared" si="468"/>
        <v xml:space="preserve">interaction 1
 </v>
      </c>
      <c r="K144" s="21" t="str">
        <f t="shared" si="173"/>
        <v xml:space="preserve">reputation(1,75),  </v>
      </c>
      <c r="L144" s="21" t="str">
        <f t="shared" si="469"/>
        <v xml:space="preserve">reputation 75
 </v>
      </c>
      <c r="M144" s="21" t="str">
        <f t="shared" si="175"/>
        <v xml:space="preserve">portfolio(1), social innovation(1), non-profit biz(1),  </v>
      </c>
      <c r="N144" s="21" t="str">
        <f t="shared" si="176"/>
        <v xml:space="preserve">non-profits(1,12.5), reputation(1,75), marketing(1,12.5),  </v>
      </c>
      <c r="O144" s="21" t="str">
        <f t="shared" si="470"/>
        <v xml:space="preserve">non-profits(12.5),reputation(75),marketing(12.5), </v>
      </c>
      <c r="P144" s="21" t="str">
        <f t="shared" si="468"/>
        <v xml:space="preserve">biz project 1
 </v>
      </c>
      <c r="Q144" s="21" t="str">
        <f t="shared" si="178"/>
        <v xml:space="preserve"> </v>
      </c>
      <c r="R144" s="21" t="str">
        <f t="shared" si="469"/>
        <v xml:space="preserve"> </v>
      </c>
      <c r="S144" s="21" t="str">
        <f t="shared" si="179"/>
        <v xml:space="preserve">portfolio(1), biz enhancement(1), business(1), start-up(1),  </v>
      </c>
      <c r="T144" s="21" t="str">
        <f t="shared" si="180"/>
        <v xml:space="preserve">local biz(1,6.25), investors(1,6.25), reputation(1,6.25),  </v>
      </c>
      <c r="U144" s="21" t="str">
        <f t="shared" si="470"/>
        <v xml:space="preserve">local biz(6.25),investors(6.25),reputation(6.25), </v>
      </c>
      <c r="V144" s="21" t="str">
        <f t="shared" si="468"/>
        <v xml:space="preserve"> </v>
      </c>
      <c r="W144" s="21" t="str">
        <f t="shared" si="181"/>
        <v xml:space="preserve">local biz(1,),  </v>
      </c>
      <c r="X144" s="21" t="str">
        <f t="shared" si="469"/>
        <v xml:space="preserve"> </v>
      </c>
      <c r="Y144" s="21" t="str">
        <f t="shared" si="182"/>
        <v xml:space="preserve">network(1), ease of access(1), reputation(1), portfolio(1), biz project(1), biz enhancement(1), job creation(1), business(1),  </v>
      </c>
      <c r="Z144" s="21" t="str">
        <f t="shared" si="183"/>
        <v xml:space="preserve">local biz(1,6.25),  </v>
      </c>
      <c r="AA144" s="21" t="str">
        <f t="shared" si="470"/>
        <v xml:space="preserve">local biz(6.25), </v>
      </c>
      <c r="AB144" s="21" t="str">
        <f t="shared" si="468"/>
        <v xml:space="preserve"> </v>
      </c>
      <c r="AC144" s="21" t="str">
        <f t="shared" si="184"/>
        <v xml:space="preserve">non-profits(1,100),  </v>
      </c>
      <c r="AD144" s="21" t="str">
        <f t="shared" si="469"/>
        <v xml:space="preserve">non-profits 100
 </v>
      </c>
      <c r="AE144" s="21" t="str">
        <f t="shared" si="185"/>
        <v xml:space="preserve">network(1), ease of access(1), reputation(1), portfolio(1), social project(1), social innovation(1), non-profit biz(1),  </v>
      </c>
      <c r="AF144" s="21" t="str">
        <f t="shared" si="186"/>
        <v xml:space="preserve">non-profits(1,6.25),  </v>
      </c>
      <c r="AG144" s="21" t="str">
        <f t="shared" si="470"/>
        <v xml:space="preserve">non-profits(6.25), </v>
      </c>
      <c r="AH144" s="21" t="str">
        <f t="shared" si="468"/>
        <v xml:space="preserve"> </v>
      </c>
      <c r="AI144" s="21" t="str">
        <f t="shared" si="187"/>
        <v xml:space="preserve">govt(1,),  </v>
      </c>
      <c r="AJ144" s="21" t="str">
        <f t="shared" si="469"/>
        <v xml:space="preserve"> </v>
      </c>
      <c r="AK144" s="21" t="str">
        <f t="shared" si="188"/>
        <v xml:space="preserve">fame(1), network(1), govt(1), ease of access(1), reputation(2), portfolio(1), social project(1), social innovation(1), non-profit biz(1),  </v>
      </c>
      <c r="AL144" s="21" t="str">
        <f t="shared" si="189"/>
        <v xml:space="preserve">govt(1,6.25),  </v>
      </c>
      <c r="AM144" s="21" t="str">
        <f t="shared" si="470"/>
        <v xml:space="preserve">govt(6.25), </v>
      </c>
      <c r="AN144" s="21" t="str">
        <f t="shared" si="468"/>
        <v xml:space="preserve"> </v>
      </c>
      <c r="AO144" s="21" t="str">
        <f t="shared" si="190"/>
        <v xml:space="preserve">fame(1,), network(1,), investors(1,6.25),  </v>
      </c>
      <c r="AP144" s="21" t="str">
        <f t="shared" si="469"/>
        <v xml:space="preserve">investors 6.25
 </v>
      </c>
      <c r="AQ144" s="21" t="str">
        <f t="shared" si="191"/>
        <v xml:space="preserve">investors(1), ease of access(1), reputation(1), portfolio(1), start-up(1), start-up with mvp(1), start-up with customers(1),  </v>
      </c>
      <c r="AR144" s="21" t="str">
        <f t="shared" si="192"/>
        <v xml:space="preserve"> </v>
      </c>
      <c r="AS144" s="21" t="str">
        <f t="shared" si="470"/>
        <v xml:space="preserve"> </v>
      </c>
      <c r="AT144" s="21" t="str">
        <f t="shared" si="468"/>
        <v xml:space="preserve">non-profits 2
reputation 1
portfolio 1
social project 1
 </v>
      </c>
      <c r="AU144" s="21" t="str">
        <f t="shared" si="193"/>
        <v xml:space="preserve"> </v>
      </c>
      <c r="AV144" s="21" t="str">
        <f t="shared" si="469"/>
        <v xml:space="preserve"> </v>
      </c>
      <c r="AW144" s="21" t="str">
        <f t="shared" si="194"/>
        <v xml:space="preserve">project management(2),  </v>
      </c>
      <c r="AX144" s="21" t="str">
        <f t="shared" si="195"/>
        <v xml:space="preserve">organizational rules and manuals(1,12.5), project management(1,12.5),  </v>
      </c>
      <c r="AY144" s="21" t="str">
        <f t="shared" si="470"/>
        <v xml:space="preserve">organizational rules and manuals(12.5),project management(12.5), </v>
      </c>
      <c r="AZ144" s="21" t="str">
        <f t="shared" si="468"/>
        <v xml:space="preserve">non-profits 1
 </v>
      </c>
      <c r="BA144" s="21" t="str">
        <f t="shared" si="196"/>
        <v xml:space="preserve"> </v>
      </c>
      <c r="BB144" s="21" t="str">
        <f t="shared" si="469"/>
        <v xml:space="preserve"> </v>
      </c>
      <c r="BC144" s="21" t="str">
        <f t="shared" si="197"/>
        <v xml:space="preserve"> </v>
      </c>
      <c r="BD144" s="21" t="str">
        <f t="shared" si="198"/>
        <v xml:space="preserve"> </v>
      </c>
      <c r="BE144" s="21" t="str">
        <f t="shared" si="470"/>
        <v xml:space="preserve"> </v>
      </c>
      <c r="BF144" s="21" t="str">
        <f t="shared" si="468"/>
        <v xml:space="preserve">local biz 2
entrepreneurs 1
reputation 1
portfolio 1
biz project 1
 </v>
      </c>
      <c r="BG144" s="21" t="str">
        <f t="shared" si="199"/>
        <v xml:space="preserve"> </v>
      </c>
      <c r="BH144" s="21" t="str">
        <f t="shared" si="469"/>
        <v xml:space="preserve"> </v>
      </c>
      <c r="BI144" s="21" t="str">
        <f t="shared" si="200"/>
        <v xml:space="preserve">project management(2),  </v>
      </c>
      <c r="BJ144" s="21" t="str">
        <f t="shared" si="201"/>
        <v xml:space="preserve">organizational rules and manuals(1,12.5), project management(1,12.5),  </v>
      </c>
      <c r="BK144" s="21" t="str">
        <f t="shared" si="470"/>
        <v xml:space="preserve">organizational rules and manuals(12.5),project management(12.5), </v>
      </c>
      <c r="BL144" s="21" t="str">
        <f t="shared" si="468"/>
        <v xml:space="preserve">local biz 1
reputation 1
portfolio 1
biz enhancement 1
 </v>
      </c>
      <c r="BM144" s="21" t="str">
        <f t="shared" si="202"/>
        <v xml:space="preserve"> </v>
      </c>
      <c r="BN144" s="21" t="str">
        <f t="shared" si="469"/>
        <v xml:space="preserve"> </v>
      </c>
      <c r="BO144" s="21" t="str">
        <f t="shared" si="203"/>
        <v xml:space="preserve"> </v>
      </c>
      <c r="BP144" s="21" t="str">
        <f t="shared" si="204"/>
        <v xml:space="preserve"> </v>
      </c>
      <c r="BQ144" s="21" t="str">
        <f t="shared" si="470"/>
        <v xml:space="preserve"> </v>
      </c>
      <c r="BR144" s="21" t="str">
        <f t="shared" si="468"/>
        <v xml:space="preserve"> </v>
      </c>
      <c r="BS144" s="21" t="str">
        <f t="shared" si="205"/>
        <v xml:space="preserve"> </v>
      </c>
      <c r="BT144" s="21" t="str">
        <f t="shared" si="469"/>
        <v xml:space="preserve"> </v>
      </c>
      <c r="BU144" s="21" t="str">
        <f t="shared" si="206"/>
        <v xml:space="preserve"> </v>
      </c>
      <c r="BV144" s="21" t="str">
        <f t="shared" si="207"/>
        <v xml:space="preserve"> </v>
      </c>
      <c r="BW144" s="21" t="str">
        <f t="shared" si="470"/>
        <v xml:space="preserve"> </v>
      </c>
      <c r="BX144" s="21" t="str">
        <f t="shared" si="471"/>
        <v xml:space="preserve">network 1
 </v>
      </c>
      <c r="BY144" s="21" t="str">
        <f t="shared" si="209"/>
        <v xml:space="preserve">efficiency(1,),  </v>
      </c>
      <c r="BZ144" s="21" t="str">
        <f t="shared" si="472"/>
        <v xml:space="preserve"> </v>
      </c>
      <c r="CA144" s="21" t="str">
        <f t="shared" si="211"/>
        <v xml:space="preserve">negotiation(1),  </v>
      </c>
      <c r="CB144" s="21" t="str">
        <f t="shared" si="212"/>
        <v xml:space="preserve">user rules and manuals(1,50), organizational rules and manuals(1,50),  </v>
      </c>
      <c r="CC144" s="21" t="str">
        <f t="shared" si="473"/>
        <v xml:space="preserve">user rules and manuals(50),organizational rules and manuals(50), </v>
      </c>
      <c r="CD144" s="21" t="str">
        <f t="shared" si="471"/>
        <v xml:space="preserve">network 1
 </v>
      </c>
      <c r="CE144" s="21" t="str">
        <f t="shared" si="214"/>
        <v xml:space="preserve">non-profits(1,),  </v>
      </c>
      <c r="CF144" s="21" t="str">
        <f t="shared" si="472"/>
        <v xml:space="preserve"> </v>
      </c>
      <c r="CG144" s="21" t="str">
        <f t="shared" si="215"/>
        <v xml:space="preserve">ease of access(1), portfolio(1), user rules and manuals(1), negotiation(1), social project(1), biz project(1), for basic literacy(1), for the elites(1), for entrepreneurs(1),  </v>
      </c>
      <c r="CH144" s="21" t="str">
        <f t="shared" si="216"/>
        <v xml:space="preserve">technologists(1,6.25), non-profits(1,6.25),  </v>
      </c>
      <c r="CI144" s="21" t="str">
        <f t="shared" si="473"/>
        <v xml:space="preserve">technologists(6.25),non-profits(6.25), </v>
      </c>
      <c r="CJ144" s="21" t="str">
        <f t="shared" si="471"/>
        <v xml:space="preserve"> </v>
      </c>
      <c r="CK144" s="21" t="str">
        <f t="shared" si="217"/>
        <v xml:space="preserve">suppliers(1,),  </v>
      </c>
      <c r="CL144" s="21" t="str">
        <f t="shared" si="472"/>
        <v xml:space="preserve"> </v>
      </c>
      <c r="CM144" s="21" t="str">
        <f t="shared" si="218"/>
        <v xml:space="preserve">reputation(1), negotiation(1),  </v>
      </c>
      <c r="CN144" s="21" t="str">
        <f t="shared" si="219"/>
        <v xml:space="preserve">efficiency(1,6.25),  </v>
      </c>
      <c r="CO144" s="21" t="str">
        <f t="shared" si="473"/>
        <v xml:space="preserve">efficiency(6.25), </v>
      </c>
      <c r="CP144" s="21" t="str">
        <f t="shared" si="471"/>
        <v xml:space="preserve"> </v>
      </c>
      <c r="CQ144" s="21" t="str">
        <f t="shared" si="220"/>
        <v xml:space="preserve">technologists(1,),  </v>
      </c>
      <c r="CR144" s="21" t="str">
        <f t="shared" si="472"/>
        <v xml:space="preserve"> </v>
      </c>
      <c r="CS144" s="21" t="str">
        <f t="shared" si="221"/>
        <v xml:space="preserve">network(1), portfolio(1), negotiation(1), web(1), infrastructrue(1), database(1), mobile apps(1), sensors(1), security(1), AI&amp; data analysis(1), mobile comm(1), VR&amp;AR(1), wood processing(1), metal processing(1), plastic processing(1), electronics(1), fabric(1),  </v>
      </c>
      <c r="CT144" s="21" t="str">
        <f t="shared" si="222"/>
        <v xml:space="preserve">efficiency(1,6.25),  </v>
      </c>
      <c r="CU144" s="21" t="str">
        <f t="shared" si="473"/>
        <v xml:space="preserve">efficiency(6.25), </v>
      </c>
      <c r="CV144" s="21" t="str">
        <f t="shared" si="471"/>
        <v xml:space="preserve"> </v>
      </c>
      <c r="CW144" s="21" t="str">
        <f t="shared" si="223"/>
        <v xml:space="preserve">local biz(1,),  </v>
      </c>
      <c r="CX144" s="21" t="str">
        <f t="shared" si="472"/>
        <v xml:space="preserve"> </v>
      </c>
      <c r="CY144" s="21" t="str">
        <f t="shared" si="224"/>
        <v xml:space="preserve">ease of access(1), reputation(1), portfolio(1), negotiation(1),  </v>
      </c>
      <c r="CZ144" s="21" t="str">
        <f t="shared" si="225"/>
        <v xml:space="preserve">non-profits(1,6.25),  </v>
      </c>
      <c r="DA144" s="21" t="str">
        <f t="shared" si="473"/>
        <v xml:space="preserve">non-profits(6.25), </v>
      </c>
      <c r="DB144" s="21" t="str">
        <f t="shared" si="471"/>
        <v xml:space="preserve"> </v>
      </c>
      <c r="DC144" s="21" t="str">
        <f t="shared" si="226"/>
        <v xml:space="preserve"> </v>
      </c>
      <c r="DD144" s="21" t="str">
        <f t="shared" si="472"/>
        <v xml:space="preserve"> </v>
      </c>
      <c r="DE144"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4" s="21" t="str">
        <f t="shared" si="228"/>
        <v xml:space="preserve">network(1,), local biz(1,6.25), biz group(1,6.25), investors(1,6.25), entrepreneurs(1,6.25),  </v>
      </c>
      <c r="DG144" s="21" t="str">
        <f t="shared" si="473"/>
        <v xml:space="preserve">local biz(6.25),biz group(6.25),investors(6.25),entrepreneurs(6.25), </v>
      </c>
      <c r="DH144" s="21" t="str">
        <f t="shared" si="471"/>
        <v xml:space="preserve">network 1
non-profits 1
reputation 1
social project 1
 </v>
      </c>
      <c r="DI144" s="21" t="str">
        <f t="shared" si="229"/>
        <v xml:space="preserve"> </v>
      </c>
      <c r="DJ144" s="21" t="str">
        <f t="shared" si="472"/>
        <v xml:space="preserve"> </v>
      </c>
      <c r="DK144" s="21" t="str">
        <f t="shared" si="230"/>
        <v xml:space="preserve">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4" s="21" t="str">
        <f t="shared" si="231"/>
        <v xml:space="preserve">reputation(1,6.25),  </v>
      </c>
      <c r="DM144" s="21" t="str">
        <f t="shared" si="473"/>
        <v xml:space="preserve">reputation(6.25), </v>
      </c>
      <c r="DN144" s="21" t="str">
        <f t="shared" si="471"/>
        <v xml:space="preserve">network 1
local biz 1
reputation 1
biz project 1
 </v>
      </c>
      <c r="DO144" s="21" t="str">
        <f t="shared" si="232"/>
        <v xml:space="preserve"> </v>
      </c>
      <c r="DP144" s="21" t="str">
        <f t="shared" si="472"/>
        <v xml:space="preserve"> </v>
      </c>
      <c r="DQ144" s="21" t="str">
        <f t="shared" si="233"/>
        <v xml:space="preserve">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4" s="21" t="str">
        <f t="shared" si="234"/>
        <v xml:space="preserve">reputation(1,6.25),  </v>
      </c>
      <c r="DS144" s="21" t="str">
        <f t="shared" si="473"/>
        <v xml:space="preserve">reputation(6.25), </v>
      </c>
      <c r="DT144" s="21" t="str">
        <f t="shared" si="471"/>
        <v xml:space="preserve">network 1
reputation 1
 </v>
      </c>
      <c r="DU144" s="21" t="str">
        <f t="shared" si="235"/>
        <v xml:space="preserve"> </v>
      </c>
      <c r="DV144" s="21" t="str">
        <f t="shared" si="472"/>
        <v xml:space="preserve"> </v>
      </c>
      <c r="DW144" s="21" t="str">
        <f t="shared" si="236"/>
        <v xml:space="preserve">fame(2), network(2), local biz(1), biz group(1), govt(2), investors(1), media(2), entrepreneurs(1), technologists(1), non-profits(1), spaciousness(1), ease of access(1), reputation(2), efficiency(1), organizational rules and manuals(1), marketing(1), social media(1), for basic literacy(1),  </v>
      </c>
      <c r="DX144" s="21" t="str">
        <f t="shared" si="237"/>
        <v xml:space="preserve">reputation(1,6.25), for basic literacy(1,6.25),  </v>
      </c>
      <c r="DY144" s="21" t="str">
        <f t="shared" si="473"/>
        <v xml:space="preserve">reputation(6.25),for basic literacy(6.25), </v>
      </c>
      <c r="DZ144" s="21" t="str">
        <f t="shared" si="471"/>
        <v xml:space="preserve">network 1
reputation 1
 </v>
      </c>
      <c r="EA144" s="21" t="str">
        <f t="shared" si="238"/>
        <v xml:space="preserve"> </v>
      </c>
      <c r="EB144" s="21" t="str">
        <f t="shared" si="472"/>
        <v xml:space="preserve"> </v>
      </c>
      <c r="EC144" s="21" t="str">
        <f t="shared" si="239"/>
        <v xml:space="preserve">fame(2), 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4" s="21" t="str">
        <f t="shared" si="240"/>
        <v xml:space="preserve">reputation(1,6.25), for basic literacy(1,6.25),  </v>
      </c>
      <c r="EE144" s="21" t="str">
        <f t="shared" si="473"/>
        <v xml:space="preserve">reputation(6.25),for basic literacy(6.25), </v>
      </c>
      <c r="EF144" s="21" t="str">
        <f t="shared" si="471"/>
        <v xml:space="preserve">technologists 1
reputation 1
 </v>
      </c>
      <c r="EG144" s="21" t="str">
        <f t="shared" si="241"/>
        <v xml:space="preserve">web(1,50), mobile apps(1,50), interaction(1,50),  </v>
      </c>
      <c r="EH144" s="21" t="str">
        <f t="shared" si="472"/>
        <v xml:space="preserve">web 50
mobile apps 50
interaction 50
 </v>
      </c>
      <c r="EI144" s="21" t="str">
        <f t="shared" si="242"/>
        <v xml:space="preserve">fame(1), network(2), level of understanding(1), technologists(2), ease of access(1), reputation(2), infrastructrue(1), database(1), mobile comm(1), for entrepreneurs(1),  </v>
      </c>
      <c r="EJ144" s="21" t="str">
        <f t="shared" si="243"/>
        <v xml:space="preserve">technologists(1,12.5), infrastructrue(1,12.5), database(1,12.5), mobile comm(1,12.5), for entrepreneurs(1,6.25),  </v>
      </c>
      <c r="EK144" s="21" t="str">
        <f t="shared" si="473"/>
        <v xml:space="preserve">technologists(12.5),infrastructrue(12.5),database(12.5),mobile comm(12.5),for entrepreneurs(6.25), </v>
      </c>
      <c r="EL144" s="21" t="str">
        <f t="shared" si="474"/>
        <v xml:space="preserve">technologists 1
reputation 1
 </v>
      </c>
      <c r="EM144" s="21" t="str">
        <f t="shared" si="245"/>
        <v xml:space="preserve">sensors(1,50),  </v>
      </c>
      <c r="EN144" s="21" t="str">
        <f t="shared" si="475"/>
        <v xml:space="preserve">sensors 50
 </v>
      </c>
      <c r="EO144" s="21" t="str">
        <f t="shared" si="247"/>
        <v xml:space="preserve">fame(1), network(2), level of understanding(1), technologists(2), ease of access(1), reputation(2), project management(2), infrastructrue(1), database(1), mobile comm(1), for entrepreneurs(1),  </v>
      </c>
      <c r="EP144" s="21" t="str">
        <f t="shared" si="248"/>
        <v xml:space="preserve">technologists(1,12.5), infrastructrue(1,12.5), database(1,12.5), mobile comm(1,12.5), electronics(1,6.25), for entrepreneurs(1,6.25),  </v>
      </c>
      <c r="EQ144" s="21" t="str">
        <f t="shared" si="476"/>
        <v xml:space="preserve">technologists(12.5),infrastructrue(12.5),database(12.5),mobile comm(12.5),electronics(6.25),for entrepreneurs(6.25), </v>
      </c>
      <c r="ER144" s="21" t="str">
        <f t="shared" si="474"/>
        <v xml:space="preserve">technologists 1
 </v>
      </c>
      <c r="ES144" s="21" t="str">
        <f t="shared" si="250"/>
        <v xml:space="preserve">AI&amp; data analysis(1,50),  </v>
      </c>
      <c r="ET144" s="21" t="str">
        <f t="shared" si="475"/>
        <v xml:space="preserve">AI&amp; data analysis 50
 </v>
      </c>
      <c r="EU144" s="21" t="str">
        <f t="shared" si="251"/>
        <v xml:space="preserve">fame(1), network(2), level of understanding(1), technologists(2), ease of access(1), reputation(2), database(1), sensors(1), mobile comm(1), for entrepreneurs(1),  </v>
      </c>
      <c r="EV144" s="21" t="str">
        <f t="shared" si="252"/>
        <v xml:space="preserve">technologists(1,12.5), database(1,12.5), sensors(1,12.5), mobile comm(1,12.5), for entrepreneurs(1,6.25),  </v>
      </c>
      <c r="EW144" s="21" t="str">
        <f t="shared" si="476"/>
        <v xml:space="preserve">technologists(12.5),database(12.5),sensors(12.5),mobile comm(12.5),for entrepreneurs(6.25), </v>
      </c>
      <c r="EX144" s="21" t="str">
        <f t="shared" si="474"/>
        <v xml:space="preserve">technologists 1
 </v>
      </c>
      <c r="EY144" s="21" t="str">
        <f t="shared" si="253"/>
        <v xml:space="preserve">law(1,50), security(1,50), interaction(1,25),  </v>
      </c>
      <c r="EZ144" s="21" t="str">
        <f t="shared" si="475"/>
        <v xml:space="preserve">law 50
security 50
interaction 25
 </v>
      </c>
      <c r="FA144" s="21" t="str">
        <f t="shared" si="254"/>
        <v xml:space="preserve">fame(1), network(2), level of understanding(1), technologists(2), ease of access(1), reputation(2), law(2), for entrepreneurs(1),  </v>
      </c>
      <c r="FB144" s="21" t="str">
        <f t="shared" si="255"/>
        <v xml:space="preserve">technologists(1,12.5), law(1,6.25), database(1,12.5), mobile apps(1,12.5), security(1,12.5), mobile comm(1,12.5), for entrepreneurs(1,6.25),  </v>
      </c>
      <c r="FC144" s="21" t="str">
        <f t="shared" si="476"/>
        <v xml:space="preserve">technologists(12.5),law(6.25),database(12.5),mobile apps(12.5),security(12.5),mobile comm(12.5),for entrepreneurs(6.25), </v>
      </c>
      <c r="FD144" s="21" t="str">
        <f t="shared" si="474"/>
        <v xml:space="preserve">technologists 1
 </v>
      </c>
      <c r="FE144" s="21" t="str">
        <f t="shared" si="256"/>
        <v xml:space="preserve">law(1,50), sensors(1,50), security(1,50),  </v>
      </c>
      <c r="FF144" s="21" t="str">
        <f t="shared" si="475"/>
        <v xml:space="preserve">law 50
sensors 50
security 50
 </v>
      </c>
      <c r="FG144" s="21" t="str">
        <f t="shared" si="257"/>
        <v xml:space="preserve">fame(1), network(2), level of understanding(1), technologists(2), ease of access(1), reputation(2), law(2), project management(2), for entrepreneurs(1),  </v>
      </c>
      <c r="FH144" s="21" t="str">
        <f t="shared" si="258"/>
        <v xml:space="preserve">technologists(1,12.5), law(1,6.25), database(1,6.25), mobile apps(1,6.25), AI&amp; data analysis(1,6.25), mobile comm(1,6.25), for entrepreneurs(1,6.25),  </v>
      </c>
      <c r="FI144" s="21" t="str">
        <f t="shared" si="476"/>
        <v xml:space="preserve">technologists(12.5),law(6.25),database(6.25),mobile apps(6.25),AI&amp; data analysis(6.25),mobile comm(6.25),for entrepreneurs(6.25), </v>
      </c>
      <c r="FJ144" s="21" t="str">
        <f t="shared" si="474"/>
        <v xml:space="preserve">technologists 1
 </v>
      </c>
      <c r="FK144" s="21" t="str">
        <f t="shared" si="259"/>
        <v xml:space="preserve">wood processing(1,25), metal processing(1,25), plastic processing(1,25), fabric(1,25), safety(1,25), interaction(1,25),  </v>
      </c>
      <c r="FL144" s="21" t="str">
        <f t="shared" si="475"/>
        <v xml:space="preserve">project management 2
wood processing 25
metal processing 25
plastic processing 25
fabric 25
safety 25
interaction 25
 </v>
      </c>
      <c r="FM144" s="21" t="str">
        <f t="shared" si="260"/>
        <v xml:space="preserve">fame(1), network(2), level of understanding(1), technologists(2), spaciousness(1), ease of access(1), reputation(2), for entrepreneurs(1),  </v>
      </c>
      <c r="FN144" s="21" t="str">
        <f t="shared" si="261"/>
        <v xml:space="preserve">technologists(1,12.5), for entrepreneurs(1,6.25),  </v>
      </c>
      <c r="FO144" s="21" t="str">
        <f t="shared" si="476"/>
        <v xml:space="preserve">technologists(12.5),for entrepreneurs(6.25), </v>
      </c>
      <c r="FP144" s="21" t="str">
        <f t="shared" si="474"/>
        <v xml:space="preserve">technologists 1
 </v>
      </c>
      <c r="FQ144" s="21" t="str">
        <f t="shared" si="262"/>
        <v xml:space="preserve">web(1,25), mobile apps(1,50), functions(1,25), interaction(1,25),  </v>
      </c>
      <c r="FR144" s="21" t="str">
        <f t="shared" si="475"/>
        <v xml:space="preserve">web 25
mobile apps 50
functions 25
interaction 25
 </v>
      </c>
      <c r="FS144" s="21" t="str">
        <f t="shared" si="263"/>
        <v xml:space="preserve">fame(1), network(2), level of understanding(1), technologists(2), spaciousness(1), ease of access(1), reputation(2), for entrepreneurs(1),  </v>
      </c>
      <c r="FT144" s="21" t="str">
        <f t="shared" si="264"/>
        <v xml:space="preserve">technologists(1,12.5), for entrepreneurs(1,6.25),  </v>
      </c>
      <c r="FU144" s="21" t="str">
        <f t="shared" si="476"/>
        <v xml:space="preserve">technologists(12.5),for entrepreneurs(6.25), </v>
      </c>
      <c r="FV144" s="21" t="str">
        <f t="shared" si="474"/>
        <v xml:space="preserve">technologists 1
 </v>
      </c>
      <c r="FW144" s="21" t="str">
        <f t="shared" si="265"/>
        <v xml:space="preserve">mobile apps(1,50), sensors(1,50), wood processing(1,25), plastic processing(1,25), electronics(1,25), functions(1,25), interaction(1,25),  </v>
      </c>
      <c r="FX144" s="21" t="str">
        <f t="shared" si="475"/>
        <v xml:space="preserve">mobile apps 50
sensors 50
wood processing 25
plastic processing 25
electronics 25
functions 25
interaction 25
 </v>
      </c>
      <c r="FY144" s="21" t="str">
        <f t="shared" si="266"/>
        <v xml:space="preserve">fame(1), network(2), level of understanding(1), technologists(2), spaciousness(1), ease of access(1), reputation(2), project management(2), for entrepreneurs(1),  </v>
      </c>
      <c r="FZ144" s="21" t="str">
        <f t="shared" si="267"/>
        <v xml:space="preserve">technologists(1,12.5), web(1,6.25), database(1,6.25), AI&amp; data analysis(1,6.25), mobile comm(1,6.25), for entrepreneurs(1,6.25),  </v>
      </c>
      <c r="GA144" s="21" t="str">
        <f t="shared" si="476"/>
        <v xml:space="preserve">technologists(12.5),web(6.25),database(6.25),AI&amp; data analysis(6.25),mobile comm(6.25),for entrepreneurs(6.25), </v>
      </c>
      <c r="GB144" s="21" t="str">
        <f t="shared" si="474"/>
        <v xml:space="preserve">technologists 1
 </v>
      </c>
      <c r="GC144" s="21" t="str">
        <f t="shared" si="268"/>
        <v xml:space="preserve">sensors(1,25), mobile comm(1,25), electronics(1,50), functions(1,25), safety(1,25),  </v>
      </c>
      <c r="GD144" s="21" t="str">
        <f t="shared" si="475"/>
        <v xml:space="preserve">sensors 25
mobile comm 25
electronics 50
functions 25
safety 25
 </v>
      </c>
      <c r="GE144" s="21" t="str">
        <f t="shared" si="269"/>
        <v xml:space="preserve">fame(1), network(2), level of understanding(1), technologists(2), spaciousness(1), ease of access(1), reputation(2), project management(2), for entrepreneurs(1),  </v>
      </c>
      <c r="GF144" s="21" t="str">
        <f t="shared" si="270"/>
        <v xml:space="preserve">technologists(1,12.5), database(1,6.25), mobile apps(1,6.25), AI&amp; data analysis(1,6.25), plastic processing(1,6.25), interaction(1,6.25), for entrepreneurs(1,6.25),  </v>
      </c>
      <c r="GG144" s="21" t="str">
        <f t="shared" si="476"/>
        <v xml:space="preserve">technologists(12.5),database(6.25),mobile apps(6.25),AI&amp; data analysis(6.25),plastic processing(6.25),interaction(6.25),for entrepreneurs(6.25), </v>
      </c>
      <c r="GH144" s="21" t="str">
        <f t="shared" si="474"/>
        <v xml:space="preserve">technologists 1
 </v>
      </c>
      <c r="GI144" s="21" t="str">
        <f t="shared" si="271"/>
        <v xml:space="preserve">web(1,25), mobile apps(1,50), functions(1,25), interaction(1,25),  </v>
      </c>
      <c r="GJ144" s="21" t="str">
        <f t="shared" si="475"/>
        <v xml:space="preserve">web 25
mobile apps 50
functions 25
interaction 25
 </v>
      </c>
      <c r="GK144" s="21" t="str">
        <f t="shared" si="272"/>
        <v xml:space="preserve">fame(1), network(2), level of understanding(1), technologists(2), spaciousness(1), ease of access(1), reputation(2), project management(2), for entrepreneurs(1),  </v>
      </c>
      <c r="GL144" s="21" t="str">
        <f t="shared" si="273"/>
        <v xml:space="preserve">technologists(1,12.5), for entrepreneurs(1,6.25),  </v>
      </c>
      <c r="GM144" s="21" t="str">
        <f t="shared" si="476"/>
        <v xml:space="preserve">technologists(12.5),for entrepreneurs(6.25), </v>
      </c>
      <c r="GN144" s="21" t="str">
        <f t="shared" si="474"/>
        <v xml:space="preserve">technologists 1
 </v>
      </c>
      <c r="GO144" s="21" t="str">
        <f t="shared" si="274"/>
        <v xml:space="preserve">web(1,25), mobile apps(1,25), VR&amp;AR(1,25), aesthetics(1,25), functions(1,25), interaction(1,50),  </v>
      </c>
      <c r="GP144" s="21" t="str">
        <f t="shared" si="475"/>
        <v xml:space="preserve">web 25
mobile apps 25
VR&amp;AR 25
aesthetics 25
functions 25
interaction 50
 </v>
      </c>
      <c r="GQ144" s="21" t="str">
        <f t="shared" si="275"/>
        <v xml:space="preserve">fame(1), network(2), level of understanding(1), technologists(2), spaciousness(1), ease of access(1), reputation(2), project management(2), for entrepreneurs(1),  </v>
      </c>
      <c r="GR144" s="21" t="str">
        <f t="shared" si="276"/>
        <v xml:space="preserve">technologists(1,12.5), for entrepreneurs(1,6.25),  </v>
      </c>
      <c r="GS144" s="21" t="str">
        <f t="shared" si="476"/>
        <v xml:space="preserve">technologists(12.5),for entrepreneurs(6.25), </v>
      </c>
      <c r="GT144" s="21" t="str">
        <f t="shared" si="474"/>
        <v xml:space="preserve">ease of access 1
reputation 2
web 1
mobile apps 1
mobile comm 1
 </v>
      </c>
      <c r="GU144" s="21" t="str">
        <f t="shared" si="277"/>
        <v xml:space="preserve"> </v>
      </c>
      <c r="GV144" s="21" t="str">
        <f t="shared" si="475"/>
        <v xml:space="preserve"> </v>
      </c>
      <c r="GW144" s="21" t="str">
        <f t="shared" si="278"/>
        <v xml:space="preserve">fame(1), 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4" s="21" t="str">
        <f t="shared" si="279"/>
        <v xml:space="preserve">media(1,6.25), entrepreneurs(1,6.25), technologists(1,6.25), project management(1,6.25), social media(1,6.25), web(1,6.25), mobile apps(1,6.25),  </v>
      </c>
      <c r="GY144" s="21" t="str">
        <f t="shared" si="476"/>
        <v xml:space="preserve">media(6.25),entrepreneurs(6.25),technologists(6.25),project management(6.25),social media(6.25),web(6.25),mobile apps(6.25), </v>
      </c>
      <c r="GZ144" s="21" t="str">
        <f t="shared" si="477"/>
        <v xml:space="preserve">network 1
govt 1
non-profits 1
reputation 2
portfolio 1
 </v>
      </c>
      <c r="HA144" s="21" t="str">
        <f t="shared" si="281"/>
        <v xml:space="preserve"> </v>
      </c>
      <c r="HB144" s="21" t="str">
        <f t="shared" si="478"/>
        <v xml:space="preserve"> </v>
      </c>
      <c r="HC144" s="21" t="str">
        <f t="shared" si="283"/>
        <v xml:space="preserve">network(2), govt(3), non-profits(3), reputation(4), portfolio(3), social media(2), web(2), mobile apps(2), sensors(2), AI&amp; data analysis(2), VR&amp;AR(2), plastic processing(2), electronics(2), aesthetics(2), interaction(2),  </v>
      </c>
      <c r="HD144" s="21" t="str">
        <f t="shared" si="284"/>
        <v xml:space="preserve">media(1,6.25), technologists(1,6.25), non-profits(1,6.25), reputation(1,6.25), start-up with customers(1,6.25), for basic literacy(1,6.25),  </v>
      </c>
      <c r="HE144" s="21" t="str">
        <f t="shared" si="479"/>
        <v xml:space="preserve">media(6.25),technologists(6.25),non-profits(6.25),reputation(6.25),start-up with customers(6.25),for basic literacy(6.25), </v>
      </c>
      <c r="HF144" s="21" t="str">
        <f t="shared" si="477"/>
        <v xml:space="preserve"> </v>
      </c>
      <c r="HG144" s="21" t="str">
        <f t="shared" si="286"/>
        <v xml:space="preserve"> </v>
      </c>
      <c r="HH144" s="21" t="str">
        <f t="shared" si="478"/>
        <v xml:space="preserve"> </v>
      </c>
      <c r="HI144" s="21" t="str">
        <f t="shared" si="287"/>
        <v xml:space="preserve">network(2), portfolio(3), marketing(2), team building(3), project management(2), mobile apps(3), sensors(2), plastic processing(2), electronics(2), aesthetics(2), functions(2), interaction(2),  </v>
      </c>
      <c r="HJ144" s="21" t="str">
        <f t="shared" si="288"/>
        <v xml:space="preserve">govt(1,6.25), media(1,6.25), non-profits(1,6.25), start-up with customers(1,6.25),  </v>
      </c>
      <c r="HK144" s="21" t="str">
        <f t="shared" si="479"/>
        <v xml:space="preserve">govt(6.25),media(6.25),non-profits(6.25),start-up with customers(6.25), </v>
      </c>
      <c r="HL144" s="21" t="str">
        <f t="shared" si="477"/>
        <v xml:space="preserve">local biz 1
entrepreneurs 1
non-profits 1
reputation 2
portfolio 2
 </v>
      </c>
      <c r="HM144" s="21" t="str">
        <f t="shared" si="289"/>
        <v xml:space="preserve"> </v>
      </c>
      <c r="HN144" s="21" t="str">
        <f t="shared" si="478"/>
        <v xml:space="preserve"> </v>
      </c>
      <c r="HO144" s="21" t="str">
        <f t="shared" si="290"/>
        <v xml:space="preserve">fame(2), 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4" s="21" t="str">
        <f t="shared" si="291"/>
        <v xml:space="preserve">level of understanding(1,6.25), local biz(1,6.25), biz group(1,6.25), govt(1,6.25), investors(1,6.25), media(1,6.25), entrepreneurs(1,6.25), technologists(1,6.25), suppliers(1,6.25), non-profits(1,6.25), reputation(1,6.25),  </v>
      </c>
      <c r="HQ144" s="47" t="str">
        <f t="shared" si="479"/>
        <v xml:space="preserve">level of understanding(6.25),local biz(6.25),biz group(6.25),govt(6.25),investors(6.25),media(6.25),entrepreneurs(6.25),technologists(6.25),suppliers(6.25),non-profits(6.25),reputation(6.25), </v>
      </c>
      <c r="HR144" s="47" t="str">
        <f t="shared" ref="HR144:HW144" si="505">IF(HR42="",HR145,$C144&amp;"("&amp;HR42&amp;"),"&amp;HR145)</f>
        <v xml:space="preserve">reputation(2),portfolio(2),mobile apps(1),sensors(1),wood processing(1),aesthetics(1), </v>
      </c>
      <c r="HS144" s="47" t="str">
        <f t="shared" si="505"/>
        <v xml:space="preserve"> </v>
      </c>
      <c r="HT144" s="47" t="str">
        <f t="shared" si="505"/>
        <v xml:space="preserve"> </v>
      </c>
      <c r="HU144" s="47" t="str">
        <f t="shared" si="505"/>
        <v xml:space="preserve">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4" s="47" t="str">
        <f t="shared" si="505"/>
        <v xml:space="preserve">local biz(1),biz group(1),govt(1),investors(1),media(1),entrepreneurs(1),technologists(1),suppliers(1),non-profits(1),reputation(1), </v>
      </c>
      <c r="HW144" s="47" t="str">
        <f t="shared" si="505"/>
        <v xml:space="preserve">local biz(6.25),biz group(6.25),govt(6.25),investors(6.25),media(6.25),entrepreneurs(6.25),technologists(12.5),suppliers(6.25),non-profits(6.25),reputation(6.25), </v>
      </c>
      <c r="HX144" s="47" t="str">
        <f t="shared" ref="HX144:IU144" si="506">IF(HX42="",HX145,$C144&amp;"("&amp;HX42&amp;"),"&amp;HX145)</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4" s="47" t="str">
        <f t="shared" si="506"/>
        <v xml:space="preserve">biz enhancement(1), </v>
      </c>
      <c r="HZ144" s="47" t="str">
        <f t="shared" si="506"/>
        <v xml:space="preserve">biz enhancement(100), </v>
      </c>
      <c r="IA144" s="47" t="str">
        <f t="shared" si="506"/>
        <v xml:space="preserve">network(2),ambition(2),knowledge(2),spaciousness(2),ease of access(3),efficiency(2),portfolio(4),finance(2),business model(2),marketing(3),team building(2),project management(2),social media(3),negotiation(3), </v>
      </c>
      <c r="IB144" s="47" t="str">
        <f t="shared" si="506"/>
        <v xml:space="preserve">level of understanding(1),ambition(1),local biz(1),biz group(1),govt(1),media(1),entrepreneurs(1),technologists(1),non-profits(1),reputation(1),team building(1),database(1),AI&amp; data analysis(1),electronics(1),functions(1), </v>
      </c>
      <c r="IC144" s="47" t="str">
        <f t="shared" si="506"/>
        <v xml:space="preserve">level of understanding(6.25),ambition(6.25),local biz(6.25),biz group(6.25),govt(6.25),media(6.25),entrepreneurs(6.25),technologists(6.25),non-profits(6.25),reputation(6.25),team building(6.25),database(6.25),AI&amp; data analysis(6.25),electronics(6.25),functions(6.25), </v>
      </c>
      <c r="ID144" s="47" t="str">
        <f t="shared" si="506"/>
        <v xml:space="preserve">technologists(2), </v>
      </c>
      <c r="IE144" s="47" t="str">
        <f t="shared" si="506"/>
        <v xml:space="preserve">web(1),mobile apps(1),security(1),AI&amp; data analysis(1), </v>
      </c>
      <c r="IF144" s="47" t="str">
        <f t="shared" si="506"/>
        <v xml:space="preserve">web(25),mobile apps(25),security(25),AI&amp; data analysis(25), </v>
      </c>
      <c r="IG144" s="47" t="str">
        <f t="shared" si="506"/>
        <v xml:space="preserve">network(2),entrepreneurs(3),technologists(4),spaciousness(2),ease of access(2),reputation(3),efficiency(2),portfolio(3),web(2),database(2),mobile apps(2),security(2),AI&amp; data analysis(2), </v>
      </c>
      <c r="IH144" s="47" t="str">
        <f t="shared" si="506"/>
        <v xml:space="preserve">technologists(1),web(1),database(1),mobile apps(1),security(1),AI&amp; data analysis(1), </v>
      </c>
      <c r="II144" s="47" t="str">
        <f t="shared" si="506"/>
        <v xml:space="preserve">technologists(6.25),web(6.25),database(6.25),mobile apps(6.25),security(6.25),AI&amp; data analysis(6.25), </v>
      </c>
      <c r="IJ144" s="47" t="str">
        <f t="shared" si="506"/>
        <v xml:space="preserve">technologists(2), </v>
      </c>
      <c r="IK144" s="47" t="str">
        <f t="shared" si="506"/>
        <v xml:space="preserve">wood processing(1),metal processing(1),functions(1),safety(1), </v>
      </c>
      <c r="IL144" s="47" t="str">
        <f t="shared" si="506"/>
        <v xml:space="preserve">wood processing(25),metal processing(25),functions(25),safety(25), </v>
      </c>
      <c r="IM144" s="47" t="str">
        <f t="shared" si="506"/>
        <v xml:space="preserve">network(2),entrepreneurs(3),technologists(4),spaciousness(2),ease of access(2),reputation(3),efficiency(2),portfolio(3),wood processing(2),metal processing(2),functions(2),safety(2), </v>
      </c>
      <c r="IN144" s="47" t="str">
        <f t="shared" si="506"/>
        <v xml:space="preserve">technologists(1),wood processing(1),metal processing(1),functions(1),safety(1),interaction(1), </v>
      </c>
      <c r="IO144" s="47" t="str">
        <f t="shared" si="506"/>
        <v xml:space="preserve">technologists(6.25),wood processing(6.25),metal processing(6.25),functions(6.25),safety(6.25),interaction(6.25), </v>
      </c>
      <c r="IP144" s="57" t="str">
        <f t="shared" si="506"/>
        <v xml:space="preserve">local biz(2),reputation(1), </v>
      </c>
      <c r="IQ144" s="47" t="str">
        <f t="shared" si="506"/>
        <v xml:space="preserve">local biz(1),marketing(1), </v>
      </c>
      <c r="IR144" s="47" t="str">
        <f t="shared" si="506"/>
        <v xml:space="preserve">local biz(25),marketing(25), </v>
      </c>
      <c r="IS144" s="47" t="str">
        <f t="shared" si="506"/>
        <v xml:space="preserve">network(2),level of understanding(3),local biz(3),biz group(2),govt(2),non-profits(2),reputation(3),efficiency(2),marketing(2), </v>
      </c>
      <c r="IT144" s="47" t="str">
        <f t="shared" si="506"/>
        <v xml:space="preserve">local biz(1),biz group(1),govt(1),non-profits(1),marketing(1), </v>
      </c>
      <c r="IU144" s="47" t="str">
        <f t="shared" si="506"/>
        <v xml:space="preserve">local biz(6.25),biz group(6.25),govt(6.25),non-profits(6.25),marketing(6.25), </v>
      </c>
      <c r="IV144" s="57" t="str">
        <f t="shared" ref="IV144:LG144" si="507">IF(IV42="",IV145,$C144&amp;"("&amp;IV42&amp;"),"&amp;IV145)</f>
        <v xml:space="preserve">local biz(2),reputation(1), </v>
      </c>
      <c r="IW144" s="47" t="str">
        <f t="shared" si="507"/>
        <v xml:space="preserve">local biz(1),marketing(1), </v>
      </c>
      <c r="IX144" s="47" t="str">
        <f t="shared" si="507"/>
        <v xml:space="preserve">local biz(25),marketing(25), </v>
      </c>
      <c r="IY144" s="47" t="str">
        <f t="shared" si="507"/>
        <v xml:space="preserve">network(2),level of understanding(3),local biz(3),biz group(2),govt(2),reputation(3),efficiency(2),marketing(2), </v>
      </c>
      <c r="IZ144" s="47" t="str">
        <f t="shared" si="507"/>
        <v xml:space="preserve">local biz(1),biz group(1),govt(1),marketing(1), </v>
      </c>
      <c r="JA144" s="47" t="str">
        <f t="shared" si="507"/>
        <v xml:space="preserve">local biz(6.25),biz group(6.25),govt(6.25),marketing(6.25), </v>
      </c>
      <c r="JB144" s="47" t="str">
        <f t="shared" si="507"/>
        <v xml:space="preserve"> </v>
      </c>
      <c r="JC144" s="47" t="str">
        <f t="shared" si="507"/>
        <v xml:space="preserve"> </v>
      </c>
      <c r="JD144" s="47" t="str">
        <f t="shared" si="507"/>
        <v xml:space="preserve"> </v>
      </c>
      <c r="JE144" s="47" t="str">
        <f t="shared" si="507"/>
        <v xml:space="preserve">network(2),level of understanding(2),technologists(2),spaciousness(1),ease of access(1),reputation(3),efficiency(2), </v>
      </c>
      <c r="JF144" s="47" t="str">
        <f t="shared" si="507"/>
        <v xml:space="preserve">web(1),infrastructrue(1),database(1),mobile apps(1),sensors(1),security(1),AI&amp; data analysis(1),mobile comm(1),VR&amp;AR(1),wood processing(1),metal processing(1),plastic processing(1),electronics(1),fabric(1),aesthetics(1),functions(1),safety(1),interaction(1), </v>
      </c>
      <c r="JG144" s="47" t="str">
        <f t="shared" si="507"/>
        <v xml:space="preserve">web(6.25),infrastructrue(6.25),database(6.25),mobile apps(6.25),sensors(6.25),security(6.25),AI&amp; data analysis(6.25),mobile comm(6.25),VR&amp;AR(6.25),wood processing(6.25),metal processing(6.25),plastic processing(6.25),electronics(6.25),fabric(6.25),aesthetics(6.25),functions(6.25),safety(6.25),interaction(6.25), </v>
      </c>
      <c r="JH144" s="47" t="str">
        <f t="shared" si="507"/>
        <v xml:space="preserve">local biz(1),non-profits(1),reputation(2), </v>
      </c>
      <c r="JI144" s="47" t="str">
        <f t="shared" si="507"/>
        <v xml:space="preserve"> </v>
      </c>
      <c r="JJ144" s="47" t="str">
        <f t="shared" si="507"/>
        <v xml:space="preserve"> </v>
      </c>
      <c r="JK144" s="47" t="str">
        <f t="shared" si="507"/>
        <v xml:space="preserve">fame(2),network(2),ambition(2),local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4" s="47" t="str">
        <f t="shared" si="507"/>
        <v xml:space="preserve">non-profits(1), </v>
      </c>
      <c r="JM144" s="47" t="str">
        <f t="shared" si="507"/>
        <v xml:space="preserve">non-profits(6.25), </v>
      </c>
      <c r="JN144" s="47" t="str">
        <f t="shared" si="507"/>
        <v xml:space="preserve">network(1),local biz(1),investors(1),entrepreneurs(1),technologists(1),non-profits(1),reputation(2),portfolio(2), </v>
      </c>
      <c r="JO144" s="47" t="str">
        <f t="shared" si="507"/>
        <v xml:space="preserve"> </v>
      </c>
      <c r="JP144" s="47" t="str">
        <f t="shared" si="507"/>
        <v xml:space="preserve"> </v>
      </c>
      <c r="JQ144" s="47" t="str">
        <f t="shared" si="507"/>
        <v xml:space="preserve">fame(2),network(2),level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4" s="47" t="str">
        <f t="shared" si="507"/>
        <v xml:space="preserve"> </v>
      </c>
      <c r="JS144" s="47" t="str">
        <f t="shared" si="507"/>
        <v xml:space="preserve"> </v>
      </c>
      <c r="JT144" s="47" t="str">
        <f t="shared" si="507"/>
        <v xml:space="preserve">network(2),local biz(2),biz group(1),govt(2),investors(2),entrepreneurs(2),technologists(2),non-profits(2),reputation(2),portfolio(3), </v>
      </c>
      <c r="JU144" s="47" t="str">
        <f t="shared" si="507"/>
        <v xml:space="preserve"> </v>
      </c>
      <c r="JV144" s="47" t="str">
        <f t="shared" si="507"/>
        <v xml:space="preserve"> </v>
      </c>
      <c r="JW144" s="47" t="str">
        <f t="shared" si="507"/>
        <v xml:space="preserve">fame(3),network(3),level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4" s="47" t="str">
        <f t="shared" si="507"/>
        <v xml:space="preserve"> </v>
      </c>
      <c r="JY144" s="47" t="str">
        <f t="shared" si="507"/>
        <v xml:space="preserve"> </v>
      </c>
      <c r="JZ144" s="47" t="str">
        <f t="shared" si="507"/>
        <v xml:space="preserve">network(1),non-profits(1),reputation(2),social project(2), </v>
      </c>
      <c r="KA144" s="47" t="str">
        <f t="shared" si="507"/>
        <v xml:space="preserve">non-profits(1), </v>
      </c>
      <c r="KB144" s="47" t="str">
        <f t="shared" si="507"/>
        <v xml:space="preserve">non-profits(25), </v>
      </c>
      <c r="KC144" s="47" t="str">
        <f t="shared" si="507"/>
        <v xml:space="preserve">fame(2),network(2),ambition(3),local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4" s="47" t="str">
        <f t="shared" si="507"/>
        <v xml:space="preserve">non-profits(1), </v>
      </c>
      <c r="KE144" s="47" t="str">
        <f t="shared" si="507"/>
        <v xml:space="preserve">non-profits(6.25), </v>
      </c>
      <c r="KF144" s="47" t="str">
        <f t="shared" si="507"/>
        <v xml:space="preserve"> </v>
      </c>
      <c r="KG144" s="47" t="str">
        <f t="shared" si="507"/>
        <v xml:space="preserve"> </v>
      </c>
      <c r="KH144" s="47" t="str">
        <f t="shared" si="507"/>
        <v xml:space="preserve"> </v>
      </c>
      <c r="KI144" s="47" t="str">
        <f t="shared" si="507"/>
        <v xml:space="preserve"> </v>
      </c>
      <c r="KJ144" s="47" t="str">
        <f t="shared" si="507"/>
        <v xml:space="preserve"> </v>
      </c>
      <c r="KK144" s="47" t="str">
        <f t="shared" si="507"/>
        <v xml:space="preserve"> </v>
      </c>
      <c r="KL144" s="57" t="str">
        <f t="shared" si="507"/>
        <v xml:space="preserve"> </v>
      </c>
      <c r="KM144" s="47" t="str">
        <f t="shared" si="507"/>
        <v xml:space="preserve"> </v>
      </c>
      <c r="KN144" s="47" t="str">
        <f t="shared" si="507"/>
        <v xml:space="preserve"> </v>
      </c>
      <c r="KO144" s="47" t="str">
        <f t="shared" si="507"/>
        <v xml:space="preserve"> </v>
      </c>
      <c r="KP144" s="47" t="str">
        <f t="shared" si="507"/>
        <v xml:space="preserve"> </v>
      </c>
      <c r="KQ144" s="47" t="str">
        <f t="shared" si="507"/>
        <v xml:space="preserve"> </v>
      </c>
      <c r="KR144" s="57" t="str">
        <f t="shared" si="507"/>
        <v xml:space="preserve"> </v>
      </c>
      <c r="KS144" s="47" t="str">
        <f t="shared" si="507"/>
        <v xml:space="preserve"> </v>
      </c>
      <c r="KT144" s="47" t="str">
        <f t="shared" si="507"/>
        <v xml:space="preserve"> </v>
      </c>
      <c r="KU144" s="47" t="str">
        <f t="shared" si="507"/>
        <v xml:space="preserve"> </v>
      </c>
      <c r="KV144" s="47" t="str">
        <f t="shared" si="507"/>
        <v xml:space="preserve"> </v>
      </c>
      <c r="KW144" s="47" t="str">
        <f t="shared" si="507"/>
        <v xml:space="preserve"> </v>
      </c>
      <c r="KX144" s="57" t="str">
        <f t="shared" si="507"/>
        <v xml:space="preserve"> </v>
      </c>
      <c r="KY144" s="47" t="str">
        <f t="shared" si="507"/>
        <v xml:space="preserve"> </v>
      </c>
      <c r="KZ144" s="47" t="str">
        <f t="shared" si="507"/>
        <v xml:space="preserve"> </v>
      </c>
      <c r="LA144" s="47" t="str">
        <f t="shared" si="507"/>
        <v xml:space="preserve"> </v>
      </c>
      <c r="LB144" s="47" t="str">
        <f t="shared" si="507"/>
        <v xml:space="preserve"> </v>
      </c>
      <c r="LC144" s="47" t="str">
        <f t="shared" si="507"/>
        <v xml:space="preserve"> </v>
      </c>
      <c r="LD144" s="57" t="str">
        <f t="shared" si="507"/>
        <v xml:space="preserve"> </v>
      </c>
      <c r="LE144" s="47" t="str">
        <f t="shared" si="507"/>
        <v xml:space="preserve"> </v>
      </c>
      <c r="LF144" s="47" t="str">
        <f t="shared" si="507"/>
        <v xml:space="preserve"> </v>
      </c>
      <c r="LG144" s="47" t="str">
        <f t="shared" si="507"/>
        <v xml:space="preserve"> </v>
      </c>
      <c r="LH144" s="47" t="str">
        <f t="shared" ref="LH144:NM144" si="508">IF(LH42="",LH145,$C144&amp;"("&amp;LH42&amp;"),"&amp;LH145)</f>
        <v xml:space="preserve"> </v>
      </c>
      <c r="LI144" s="47" t="str">
        <f t="shared" si="508"/>
        <v xml:space="preserve"> </v>
      </c>
      <c r="LJ144" s="57" t="str">
        <f t="shared" si="508"/>
        <v xml:space="preserve"> </v>
      </c>
      <c r="LK144" s="47" t="str">
        <f t="shared" si="508"/>
        <v xml:space="preserve"> </v>
      </c>
      <c r="LL144" s="47" t="str">
        <f t="shared" si="508"/>
        <v xml:space="preserve"> </v>
      </c>
      <c r="LM144" s="47" t="str">
        <f t="shared" si="508"/>
        <v xml:space="preserve"> </v>
      </c>
      <c r="LN144" s="47" t="str">
        <f t="shared" si="508"/>
        <v xml:space="preserve"> </v>
      </c>
      <c r="LO144" s="47" t="str">
        <f t="shared" si="508"/>
        <v xml:space="preserve"> </v>
      </c>
      <c r="LP144" s="57" t="str">
        <f t="shared" si="508"/>
        <v xml:space="preserve"> </v>
      </c>
      <c r="LQ144" s="47" t="str">
        <f t="shared" si="508"/>
        <v xml:space="preserve"> </v>
      </c>
      <c r="LR144" s="47" t="str">
        <f t="shared" si="508"/>
        <v xml:space="preserve"> </v>
      </c>
      <c r="LS144" s="47" t="str">
        <f t="shared" si="508"/>
        <v xml:space="preserve"> </v>
      </c>
      <c r="LT144" s="47" t="str">
        <f t="shared" si="508"/>
        <v xml:space="preserve"> </v>
      </c>
      <c r="LU144" s="47" t="str">
        <f t="shared" si="508"/>
        <v xml:space="preserve"> </v>
      </c>
      <c r="LV144" s="57" t="str">
        <f t="shared" si="508"/>
        <v xml:space="preserve"> </v>
      </c>
      <c r="LW144" s="47" t="str">
        <f t="shared" si="508"/>
        <v xml:space="preserve"> </v>
      </c>
      <c r="LX144" s="47" t="str">
        <f t="shared" si="508"/>
        <v xml:space="preserve"> </v>
      </c>
      <c r="LY144" s="47" t="str">
        <f t="shared" si="508"/>
        <v xml:space="preserve"> </v>
      </c>
      <c r="LZ144" s="47" t="str">
        <f t="shared" si="508"/>
        <v xml:space="preserve"> </v>
      </c>
      <c r="MA144" s="47" t="str">
        <f t="shared" si="508"/>
        <v xml:space="preserve"> </v>
      </c>
      <c r="MB144" s="57" t="str">
        <f t="shared" si="508"/>
        <v xml:space="preserve"> </v>
      </c>
      <c r="MC144" s="47" t="str">
        <f t="shared" si="508"/>
        <v xml:space="preserve"> </v>
      </c>
      <c r="MD144" s="47" t="str">
        <f t="shared" si="508"/>
        <v xml:space="preserve"> </v>
      </c>
      <c r="ME144" s="47" t="str">
        <f t="shared" si="508"/>
        <v xml:space="preserve"> </v>
      </c>
      <c r="MF144" s="47" t="str">
        <f t="shared" si="508"/>
        <v xml:space="preserve"> </v>
      </c>
      <c r="MG144" s="47" t="str">
        <f t="shared" si="508"/>
        <v xml:space="preserve"> </v>
      </c>
      <c r="MH144" s="57" t="str">
        <f t="shared" si="508"/>
        <v xml:space="preserve"> </v>
      </c>
      <c r="MI144" s="47" t="str">
        <f t="shared" si="508"/>
        <v xml:space="preserve"> </v>
      </c>
      <c r="MJ144" s="47" t="str">
        <f t="shared" si="508"/>
        <v xml:space="preserve"> </v>
      </c>
      <c r="MK144" s="47" t="str">
        <f t="shared" si="508"/>
        <v xml:space="preserve"> </v>
      </c>
      <c r="ML144" s="47" t="str">
        <f t="shared" si="508"/>
        <v xml:space="preserve"> </v>
      </c>
      <c r="MM144" s="47" t="str">
        <f t="shared" si="508"/>
        <v xml:space="preserve"> </v>
      </c>
      <c r="MN144" s="57" t="str">
        <f t="shared" si="508"/>
        <v xml:space="preserve"> </v>
      </c>
      <c r="MO144" s="47" t="str">
        <f t="shared" si="508"/>
        <v xml:space="preserve"> </v>
      </c>
      <c r="MP144" s="47" t="str">
        <f t="shared" si="508"/>
        <v xml:space="preserve"> </v>
      </c>
      <c r="MQ144" s="47" t="str">
        <f t="shared" si="508"/>
        <v xml:space="preserve"> </v>
      </c>
      <c r="MR144" s="47" t="str">
        <f t="shared" si="508"/>
        <v xml:space="preserve"> </v>
      </c>
      <c r="MS144" s="47" t="str">
        <f t="shared" si="508"/>
        <v xml:space="preserve"> </v>
      </c>
      <c r="MT144" s="57" t="str">
        <f t="shared" si="508"/>
        <v xml:space="preserve"> </v>
      </c>
      <c r="MU144" s="47" t="str">
        <f t="shared" si="508"/>
        <v xml:space="preserve"> </v>
      </c>
      <c r="MV144" s="47" t="str">
        <f t="shared" si="508"/>
        <v xml:space="preserve"> </v>
      </c>
      <c r="MW144" s="47" t="str">
        <f t="shared" si="508"/>
        <v xml:space="preserve"> </v>
      </c>
      <c r="MX144" s="47" t="str">
        <f t="shared" si="508"/>
        <v xml:space="preserve"> </v>
      </c>
      <c r="MY144" s="47" t="str">
        <f t="shared" si="508"/>
        <v xml:space="preserve"> </v>
      </c>
      <c r="MZ144" s="57" t="str">
        <f t="shared" si="508"/>
        <v xml:space="preserve"> </v>
      </c>
      <c r="NA144" s="47" t="str">
        <f t="shared" si="508"/>
        <v xml:space="preserve"> </v>
      </c>
      <c r="NB144" s="47" t="str">
        <f t="shared" si="508"/>
        <v xml:space="preserve"> </v>
      </c>
      <c r="NC144" s="47" t="str">
        <f t="shared" si="508"/>
        <v xml:space="preserve"> </v>
      </c>
      <c r="ND144" s="47" t="str">
        <f t="shared" si="508"/>
        <v xml:space="preserve"> </v>
      </c>
      <c r="NE144" s="47" t="str">
        <f t="shared" si="508"/>
        <v xml:space="preserve"> </v>
      </c>
      <c r="NF144" s="57" t="str">
        <f t="shared" si="508"/>
        <v xml:space="preserve"> </v>
      </c>
      <c r="NG144" s="47" t="str">
        <f t="shared" si="508"/>
        <v xml:space="preserve"> </v>
      </c>
      <c r="NH144" s="47" t="str">
        <f t="shared" si="508"/>
        <v xml:space="preserve"> </v>
      </c>
      <c r="NI144" s="47" t="str">
        <f t="shared" si="508"/>
        <v xml:space="preserve"> </v>
      </c>
      <c r="NJ144" s="47" t="str">
        <f t="shared" si="508"/>
        <v xml:space="preserve"> </v>
      </c>
      <c r="NK144" s="47" t="str">
        <f t="shared" si="508"/>
        <v xml:space="preserve"> </v>
      </c>
      <c r="NL144" s="57" t="str">
        <f t="shared" si="508"/>
        <v xml:space="preserve"> </v>
      </c>
      <c r="NM144" s="47" t="str">
        <f t="shared" si="508"/>
        <v xml:space="preserve"> </v>
      </c>
    </row>
    <row r="145" spans="3:377" ht="15.75" customHeight="1">
      <c r="C145" s="7" t="str">
        <f t="shared" si="296"/>
        <v>network</v>
      </c>
      <c r="D145" s="21" t="str">
        <f t="shared" si="169"/>
        <v xml:space="preserve"> </v>
      </c>
      <c r="E145" s="21" t="str">
        <f t="shared" si="297"/>
        <v xml:space="preserve"> </v>
      </c>
      <c r="F145" s="21" t="str">
        <f t="shared" si="170"/>
        <v xml:space="preserve"> </v>
      </c>
      <c r="G145" s="21" t="str">
        <f t="shared" si="298"/>
        <v xml:space="preserve">network(2), ease of access(1), reputation(2), social media(1),  </v>
      </c>
      <c r="H145" s="21" t="str">
        <f t="shared" si="299"/>
        <v xml:space="preserve"> </v>
      </c>
      <c r="I145" s="21" t="str">
        <f t="shared" ref="I145" si="509">IF(I43="",I146,$C145&amp;"("&amp;I43&amp;"),"&amp;I146)</f>
        <v xml:space="preserve"> </v>
      </c>
      <c r="J145" s="21" t="str">
        <f t="shared" si="468"/>
        <v xml:space="preserve">interaction 1
 </v>
      </c>
      <c r="K145" s="21" t="str">
        <f t="shared" si="173"/>
        <v xml:space="preserve">reputation(1,75),  </v>
      </c>
      <c r="L145" s="21" t="str">
        <f t="shared" si="469"/>
        <v xml:space="preserve">reputation 75
 </v>
      </c>
      <c r="M145" s="21" t="str">
        <f t="shared" si="175"/>
        <v xml:space="preserve">portfolio(1), social innovation(1), non-profit biz(1),  </v>
      </c>
      <c r="N145" s="21" t="str">
        <f t="shared" si="176"/>
        <v xml:space="preserve">non-profits(1,12.5), reputation(1,75), marketing(1,12.5),  </v>
      </c>
      <c r="O145" s="21" t="str">
        <f t="shared" si="470"/>
        <v xml:space="preserve">non-profits(12.5),reputation(75),marketing(12.5), </v>
      </c>
      <c r="P145" s="21" t="str">
        <f t="shared" si="468"/>
        <v xml:space="preserve">biz project 1
 </v>
      </c>
      <c r="Q145" s="21" t="str">
        <f t="shared" si="178"/>
        <v xml:space="preserve"> </v>
      </c>
      <c r="R145" s="21" t="str">
        <f t="shared" si="469"/>
        <v xml:space="preserve"> </v>
      </c>
      <c r="S145" s="21" t="str">
        <f t="shared" si="179"/>
        <v xml:space="preserve">portfolio(1), biz enhancement(1), business(1), start-up(1),  </v>
      </c>
      <c r="T145" s="21" t="str">
        <f t="shared" si="180"/>
        <v xml:space="preserve">local biz(1,6.25), investors(1,6.25), reputation(1,6.25),  </v>
      </c>
      <c r="U145" s="21" t="str">
        <f t="shared" si="470"/>
        <v xml:space="preserve">local biz(6.25),investors(6.25),reputation(6.25), </v>
      </c>
      <c r="V145" s="21" t="str">
        <f t="shared" si="468"/>
        <v xml:space="preserve"> </v>
      </c>
      <c r="W145" s="21" t="str">
        <f t="shared" si="181"/>
        <v xml:space="preserve">local biz(1,),  </v>
      </c>
      <c r="X145" s="21" t="str">
        <f t="shared" si="469"/>
        <v xml:space="preserve"> </v>
      </c>
      <c r="Y145" s="21" t="str">
        <f t="shared" si="182"/>
        <v xml:space="preserve">network(1), ease of access(1), reputation(1), portfolio(1), biz project(1), biz enhancement(1), job creation(1), business(1),  </v>
      </c>
      <c r="Z145" s="21" t="str">
        <f t="shared" si="183"/>
        <v xml:space="preserve">local biz(1,6.25),  </v>
      </c>
      <c r="AA145" s="21" t="str">
        <f t="shared" si="470"/>
        <v xml:space="preserve">local biz(6.25), </v>
      </c>
      <c r="AB145" s="21" t="str">
        <f t="shared" si="468"/>
        <v xml:space="preserve"> </v>
      </c>
      <c r="AC145" s="21" t="str">
        <f t="shared" si="184"/>
        <v xml:space="preserve">non-profits(1,100),  </v>
      </c>
      <c r="AD145" s="21" t="str">
        <f t="shared" si="469"/>
        <v xml:space="preserve">non-profits 100
 </v>
      </c>
      <c r="AE145" s="21" t="str">
        <f t="shared" si="185"/>
        <v xml:space="preserve">network(1), ease of access(1), reputation(1), portfolio(1), social project(1), social innovation(1), non-profit biz(1),  </v>
      </c>
      <c r="AF145" s="21" t="str">
        <f t="shared" si="186"/>
        <v xml:space="preserve">non-profits(1,6.25),  </v>
      </c>
      <c r="AG145" s="21" t="str">
        <f t="shared" si="470"/>
        <v xml:space="preserve">non-profits(6.25), </v>
      </c>
      <c r="AH145" s="21" t="str">
        <f t="shared" si="468"/>
        <v xml:space="preserve"> </v>
      </c>
      <c r="AI145" s="21" t="str">
        <f t="shared" si="187"/>
        <v xml:space="preserve">govt(1,),  </v>
      </c>
      <c r="AJ145" s="21" t="str">
        <f t="shared" si="469"/>
        <v xml:space="preserve"> </v>
      </c>
      <c r="AK145" s="21" t="str">
        <f t="shared" si="188"/>
        <v xml:space="preserve">network(1), govt(1), ease of access(1), reputation(2), portfolio(1), social project(1), social innovation(1), non-profit biz(1),  </v>
      </c>
      <c r="AL145" s="21" t="str">
        <f t="shared" si="189"/>
        <v xml:space="preserve">govt(1,6.25),  </v>
      </c>
      <c r="AM145" s="21" t="str">
        <f t="shared" si="470"/>
        <v xml:space="preserve">govt(6.25), </v>
      </c>
      <c r="AN145" s="21" t="str">
        <f t="shared" si="468"/>
        <v xml:space="preserve"> </v>
      </c>
      <c r="AO145" s="21" t="str">
        <f t="shared" si="190"/>
        <v xml:space="preserve">network(1,), investors(1,6.25),  </v>
      </c>
      <c r="AP145" s="21" t="str">
        <f t="shared" si="469"/>
        <v xml:space="preserve">investors 6.25
 </v>
      </c>
      <c r="AQ145" s="21" t="str">
        <f t="shared" si="191"/>
        <v xml:space="preserve">investors(1), ease of access(1), reputation(1), portfolio(1), start-up(1), start-up with mvp(1), start-up with customers(1),  </v>
      </c>
      <c r="AR145" s="21" t="str">
        <f t="shared" si="192"/>
        <v xml:space="preserve"> </v>
      </c>
      <c r="AS145" s="21" t="str">
        <f t="shared" si="470"/>
        <v xml:space="preserve"> </v>
      </c>
      <c r="AT145" s="21" t="str">
        <f t="shared" si="468"/>
        <v xml:space="preserve">non-profits 2
reputation 1
portfolio 1
social project 1
 </v>
      </c>
      <c r="AU145" s="21" t="str">
        <f t="shared" si="193"/>
        <v xml:space="preserve"> </v>
      </c>
      <c r="AV145" s="21" t="str">
        <f t="shared" si="469"/>
        <v xml:space="preserve"> </v>
      </c>
      <c r="AW145" s="21" t="str">
        <f t="shared" si="194"/>
        <v xml:space="preserve">project management(2),  </v>
      </c>
      <c r="AX145" s="21" t="str">
        <f t="shared" si="195"/>
        <v xml:space="preserve">organizational rules and manuals(1,12.5), project management(1,12.5),  </v>
      </c>
      <c r="AY145" s="21" t="str">
        <f t="shared" si="470"/>
        <v xml:space="preserve">organizational rules and manuals(12.5),project management(12.5), </v>
      </c>
      <c r="AZ145" s="21" t="str">
        <f t="shared" si="468"/>
        <v xml:space="preserve">non-profits 1
 </v>
      </c>
      <c r="BA145" s="21" t="str">
        <f t="shared" si="196"/>
        <v xml:space="preserve"> </v>
      </c>
      <c r="BB145" s="21" t="str">
        <f t="shared" si="469"/>
        <v xml:space="preserve"> </v>
      </c>
      <c r="BC145" s="21" t="str">
        <f t="shared" si="197"/>
        <v xml:space="preserve"> </v>
      </c>
      <c r="BD145" s="21" t="str">
        <f t="shared" si="198"/>
        <v xml:space="preserve"> </v>
      </c>
      <c r="BE145" s="21" t="str">
        <f t="shared" si="470"/>
        <v xml:space="preserve"> </v>
      </c>
      <c r="BF145" s="21" t="str">
        <f t="shared" si="468"/>
        <v xml:space="preserve">local biz 2
entrepreneurs 1
reputation 1
portfolio 1
biz project 1
 </v>
      </c>
      <c r="BG145" s="21" t="str">
        <f t="shared" si="199"/>
        <v xml:space="preserve"> </v>
      </c>
      <c r="BH145" s="21" t="str">
        <f t="shared" si="469"/>
        <v xml:space="preserve"> </v>
      </c>
      <c r="BI145" s="21" t="str">
        <f t="shared" si="200"/>
        <v xml:space="preserve">project management(2),  </v>
      </c>
      <c r="BJ145" s="21" t="str">
        <f t="shared" si="201"/>
        <v xml:space="preserve">organizational rules and manuals(1,12.5), project management(1,12.5),  </v>
      </c>
      <c r="BK145" s="21" t="str">
        <f t="shared" si="470"/>
        <v xml:space="preserve">organizational rules and manuals(12.5),project management(12.5), </v>
      </c>
      <c r="BL145" s="21" t="str">
        <f t="shared" si="468"/>
        <v xml:space="preserve">local biz 1
reputation 1
portfolio 1
biz enhancement 1
 </v>
      </c>
      <c r="BM145" s="21" t="str">
        <f t="shared" si="202"/>
        <v xml:space="preserve"> </v>
      </c>
      <c r="BN145" s="21" t="str">
        <f t="shared" si="469"/>
        <v xml:space="preserve"> </v>
      </c>
      <c r="BO145" s="21" t="str">
        <f t="shared" si="203"/>
        <v xml:space="preserve"> </v>
      </c>
      <c r="BP145" s="21" t="str">
        <f t="shared" si="204"/>
        <v xml:space="preserve"> </v>
      </c>
      <c r="BQ145" s="21" t="str">
        <f t="shared" si="470"/>
        <v xml:space="preserve"> </v>
      </c>
      <c r="BR145" s="21" t="str">
        <f t="shared" si="468"/>
        <v xml:space="preserve"> </v>
      </c>
      <c r="BS145" s="21" t="str">
        <f t="shared" si="205"/>
        <v xml:space="preserve"> </v>
      </c>
      <c r="BT145" s="21" t="str">
        <f t="shared" si="469"/>
        <v xml:space="preserve"> </v>
      </c>
      <c r="BU145" s="21" t="str">
        <f t="shared" si="206"/>
        <v xml:space="preserve"> </v>
      </c>
      <c r="BV145" s="21" t="str">
        <f t="shared" si="207"/>
        <v xml:space="preserve"> </v>
      </c>
      <c r="BW145" s="21" t="str">
        <f t="shared" si="470"/>
        <v xml:space="preserve"> </v>
      </c>
      <c r="BX145" s="21" t="str">
        <f t="shared" si="471"/>
        <v xml:space="preserve">network 1
 </v>
      </c>
      <c r="BY145" s="21" t="str">
        <f t="shared" si="209"/>
        <v xml:space="preserve">efficiency(1,),  </v>
      </c>
      <c r="BZ145" s="21" t="str">
        <f t="shared" si="472"/>
        <v xml:space="preserve"> </v>
      </c>
      <c r="CA145" s="21" t="str">
        <f t="shared" si="211"/>
        <v xml:space="preserve">negotiation(1),  </v>
      </c>
      <c r="CB145" s="21" t="str">
        <f t="shared" si="212"/>
        <v xml:space="preserve">user rules and manuals(1,50), organizational rules and manuals(1,50),  </v>
      </c>
      <c r="CC145" s="21" t="str">
        <f t="shared" si="473"/>
        <v xml:space="preserve">user rules and manuals(50),organizational rules and manuals(50), </v>
      </c>
      <c r="CD145" s="21" t="str">
        <f t="shared" si="471"/>
        <v xml:space="preserve">network 1
 </v>
      </c>
      <c r="CE145" s="21" t="str">
        <f t="shared" si="214"/>
        <v xml:space="preserve">non-profits(1,),  </v>
      </c>
      <c r="CF145" s="21" t="str">
        <f t="shared" si="472"/>
        <v xml:space="preserve"> </v>
      </c>
      <c r="CG145" s="21" t="str">
        <f t="shared" si="215"/>
        <v xml:space="preserve">ease of access(1), portfolio(1), user rules and manuals(1), negotiation(1), social project(1), biz project(1), for basic literacy(1), for the elites(1), for entrepreneurs(1),  </v>
      </c>
      <c r="CH145" s="21" t="str">
        <f t="shared" si="216"/>
        <v xml:space="preserve">technologists(1,6.25), non-profits(1,6.25),  </v>
      </c>
      <c r="CI145" s="21" t="str">
        <f t="shared" si="473"/>
        <v xml:space="preserve">technologists(6.25),non-profits(6.25), </v>
      </c>
      <c r="CJ145" s="21" t="str">
        <f t="shared" si="471"/>
        <v xml:space="preserve"> </v>
      </c>
      <c r="CK145" s="21" t="str">
        <f t="shared" si="217"/>
        <v xml:space="preserve">suppliers(1,),  </v>
      </c>
      <c r="CL145" s="21" t="str">
        <f t="shared" si="472"/>
        <v xml:space="preserve"> </v>
      </c>
      <c r="CM145" s="21" t="str">
        <f t="shared" si="218"/>
        <v xml:space="preserve">reputation(1), negotiation(1),  </v>
      </c>
      <c r="CN145" s="21" t="str">
        <f t="shared" si="219"/>
        <v xml:space="preserve">efficiency(1,6.25),  </v>
      </c>
      <c r="CO145" s="21" t="str">
        <f t="shared" si="473"/>
        <v xml:space="preserve">efficiency(6.25), </v>
      </c>
      <c r="CP145" s="21" t="str">
        <f t="shared" si="471"/>
        <v xml:space="preserve"> </v>
      </c>
      <c r="CQ145" s="21" t="str">
        <f t="shared" si="220"/>
        <v xml:space="preserve">technologists(1,),  </v>
      </c>
      <c r="CR145" s="21" t="str">
        <f t="shared" si="472"/>
        <v xml:space="preserve"> </v>
      </c>
      <c r="CS145" s="21" t="str">
        <f t="shared" si="221"/>
        <v xml:space="preserve">network(1), portfolio(1), negotiation(1), web(1), infrastructrue(1), database(1), mobile apps(1), sensors(1), security(1), AI&amp; data analysis(1), mobile comm(1), VR&amp;AR(1), wood processing(1), metal processing(1), plastic processing(1), electronics(1), fabric(1),  </v>
      </c>
      <c r="CT145" s="21" t="str">
        <f t="shared" si="222"/>
        <v xml:space="preserve">efficiency(1,6.25),  </v>
      </c>
      <c r="CU145" s="21" t="str">
        <f t="shared" si="473"/>
        <v xml:space="preserve">efficiency(6.25), </v>
      </c>
      <c r="CV145" s="21" t="str">
        <f t="shared" si="471"/>
        <v xml:space="preserve"> </v>
      </c>
      <c r="CW145" s="21" t="str">
        <f t="shared" si="223"/>
        <v xml:space="preserve">local biz(1,),  </v>
      </c>
      <c r="CX145" s="21" t="str">
        <f t="shared" si="472"/>
        <v xml:space="preserve"> </v>
      </c>
      <c r="CY145" s="21" t="str">
        <f t="shared" si="224"/>
        <v xml:space="preserve">ease of access(1), reputation(1), portfolio(1), negotiation(1),  </v>
      </c>
      <c r="CZ145" s="21" t="str">
        <f t="shared" si="225"/>
        <v xml:space="preserve">non-profits(1,6.25),  </v>
      </c>
      <c r="DA145" s="21" t="str">
        <f t="shared" si="473"/>
        <v xml:space="preserve">non-profits(6.25), </v>
      </c>
      <c r="DB145" s="21" t="str">
        <f t="shared" si="471"/>
        <v xml:space="preserve"> </v>
      </c>
      <c r="DC145" s="21" t="str">
        <f t="shared" si="226"/>
        <v xml:space="preserve"> </v>
      </c>
      <c r="DD145" s="21" t="str">
        <f t="shared" si="472"/>
        <v xml:space="preserve"> </v>
      </c>
      <c r="DE145"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5" s="21" t="str">
        <f t="shared" si="228"/>
        <v xml:space="preserve">network(1,), local biz(1,6.25), biz group(1,6.25), investors(1,6.25), entrepreneurs(1,6.25),  </v>
      </c>
      <c r="DG145" s="21" t="str">
        <f t="shared" si="473"/>
        <v xml:space="preserve">local biz(6.25),biz group(6.25),investors(6.25),entrepreneurs(6.25), </v>
      </c>
      <c r="DH145" s="21" t="str">
        <f t="shared" si="471"/>
        <v xml:space="preserve">network 1
non-profits 1
reputation 1
social project 1
 </v>
      </c>
      <c r="DI145" s="21" t="str">
        <f t="shared" si="229"/>
        <v xml:space="preserve"> </v>
      </c>
      <c r="DJ145" s="21" t="str">
        <f t="shared" si="472"/>
        <v xml:space="preserve"> </v>
      </c>
      <c r="DK145" s="21" t="str">
        <f t="shared" si="230"/>
        <v xml:space="preserve">network(2), 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5" s="21" t="str">
        <f t="shared" si="231"/>
        <v xml:space="preserve">reputation(1,6.25),  </v>
      </c>
      <c r="DM145" s="21" t="str">
        <f t="shared" si="473"/>
        <v xml:space="preserve">reputation(6.25), </v>
      </c>
      <c r="DN145" s="21" t="str">
        <f t="shared" si="471"/>
        <v xml:space="preserve">network 1
local biz 1
reputation 1
biz project 1
 </v>
      </c>
      <c r="DO145" s="21" t="str">
        <f t="shared" si="232"/>
        <v xml:space="preserve"> </v>
      </c>
      <c r="DP145" s="21" t="str">
        <f t="shared" si="472"/>
        <v xml:space="preserve"> </v>
      </c>
      <c r="DQ145" s="21" t="str">
        <f t="shared" si="233"/>
        <v xml:space="preserve">network(2), 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5" s="21" t="str">
        <f t="shared" si="234"/>
        <v xml:space="preserve">reputation(1,6.25),  </v>
      </c>
      <c r="DS145" s="21" t="str">
        <f t="shared" si="473"/>
        <v xml:space="preserve">reputation(6.25), </v>
      </c>
      <c r="DT145" s="21" t="str">
        <f t="shared" si="471"/>
        <v xml:space="preserve">network 1
reputation 1
 </v>
      </c>
      <c r="DU145" s="21" t="str">
        <f t="shared" si="235"/>
        <v xml:space="preserve"> </v>
      </c>
      <c r="DV145" s="21" t="str">
        <f t="shared" si="472"/>
        <v xml:space="preserve"> </v>
      </c>
      <c r="DW145" s="21" t="str">
        <f t="shared" si="236"/>
        <v xml:space="preserve">network(2), local biz(1), biz group(1), govt(2), investors(1), media(2), entrepreneurs(1), technologists(1), non-profits(1), spaciousness(1), ease of access(1), reputation(2), efficiency(1), organizational rules and manuals(1), marketing(1), social media(1), for basic literacy(1),  </v>
      </c>
      <c r="DX145" s="21" t="str">
        <f t="shared" si="237"/>
        <v xml:space="preserve">reputation(1,6.25), for basic literacy(1,6.25),  </v>
      </c>
      <c r="DY145" s="21" t="str">
        <f t="shared" si="473"/>
        <v xml:space="preserve">reputation(6.25),for basic literacy(6.25), </v>
      </c>
      <c r="DZ145" s="21" t="str">
        <f t="shared" si="471"/>
        <v xml:space="preserve">network 1
reputation 1
 </v>
      </c>
      <c r="EA145" s="21" t="str">
        <f t="shared" si="238"/>
        <v xml:space="preserve"> </v>
      </c>
      <c r="EB145" s="21" t="str">
        <f t="shared" si="472"/>
        <v xml:space="preserve"> </v>
      </c>
      <c r="EC145" s="21" t="str">
        <f t="shared" si="239"/>
        <v xml:space="preserve">network(2), 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5" s="21" t="str">
        <f t="shared" si="240"/>
        <v xml:space="preserve">reputation(1,6.25), for basic literacy(1,6.25),  </v>
      </c>
      <c r="EE145" s="21" t="str">
        <f t="shared" si="473"/>
        <v xml:space="preserve">reputation(6.25),for basic literacy(6.25), </v>
      </c>
      <c r="EF145" s="21" t="str">
        <f t="shared" si="471"/>
        <v xml:space="preserve">technologists 1
reputation 1
 </v>
      </c>
      <c r="EG145" s="21" t="str">
        <f t="shared" si="241"/>
        <v xml:space="preserve">web(1,50), mobile apps(1,50), interaction(1,50),  </v>
      </c>
      <c r="EH145" s="21" t="str">
        <f t="shared" si="472"/>
        <v xml:space="preserve">web 50
mobile apps 50
interaction 50
 </v>
      </c>
      <c r="EI145" s="21" t="str">
        <f t="shared" si="242"/>
        <v xml:space="preserve">network(2), level of understanding(1), technologists(2), ease of access(1), reputation(2), infrastructrue(1), database(1), mobile comm(1), for entrepreneurs(1),  </v>
      </c>
      <c r="EJ145" s="21" t="str">
        <f t="shared" si="243"/>
        <v xml:space="preserve">technologists(1,12.5), infrastructrue(1,12.5), database(1,12.5), mobile comm(1,12.5), for entrepreneurs(1,6.25),  </v>
      </c>
      <c r="EK145" s="21" t="str">
        <f t="shared" si="473"/>
        <v xml:space="preserve">technologists(12.5),infrastructrue(12.5),database(12.5),mobile comm(12.5),for entrepreneurs(6.25), </v>
      </c>
      <c r="EL145" s="21" t="str">
        <f t="shared" si="474"/>
        <v xml:space="preserve">technologists 1
reputation 1
 </v>
      </c>
      <c r="EM145" s="21" t="str">
        <f t="shared" si="245"/>
        <v xml:space="preserve">sensors(1,50),  </v>
      </c>
      <c r="EN145" s="21" t="str">
        <f t="shared" si="475"/>
        <v xml:space="preserve">sensors 50
 </v>
      </c>
      <c r="EO145" s="21" t="str">
        <f t="shared" si="247"/>
        <v xml:space="preserve">network(2), level of understanding(1), technologists(2), ease of access(1), reputation(2), project management(2), infrastructrue(1), database(1), mobile comm(1), for entrepreneurs(1),  </v>
      </c>
      <c r="EP145" s="21" t="str">
        <f t="shared" si="248"/>
        <v xml:space="preserve">technologists(1,12.5), infrastructrue(1,12.5), database(1,12.5), mobile comm(1,12.5), electronics(1,6.25), for entrepreneurs(1,6.25),  </v>
      </c>
      <c r="EQ145" s="21" t="str">
        <f t="shared" si="476"/>
        <v xml:space="preserve">technologists(12.5),infrastructrue(12.5),database(12.5),mobile comm(12.5),electronics(6.25),for entrepreneurs(6.25), </v>
      </c>
      <c r="ER145" s="21" t="str">
        <f t="shared" si="474"/>
        <v xml:space="preserve">technologists 1
 </v>
      </c>
      <c r="ES145" s="21" t="str">
        <f t="shared" si="250"/>
        <v xml:space="preserve">AI&amp; data analysis(1,50),  </v>
      </c>
      <c r="ET145" s="21" t="str">
        <f t="shared" si="475"/>
        <v xml:space="preserve">AI&amp; data analysis 50
 </v>
      </c>
      <c r="EU145" s="21" t="str">
        <f t="shared" si="251"/>
        <v xml:space="preserve">network(2), level of understanding(1), technologists(2), ease of access(1), reputation(2), database(1), sensors(1), mobile comm(1), for entrepreneurs(1),  </v>
      </c>
      <c r="EV145" s="21" t="str">
        <f t="shared" si="252"/>
        <v xml:space="preserve">technologists(1,12.5), database(1,12.5), sensors(1,12.5), mobile comm(1,12.5), for entrepreneurs(1,6.25),  </v>
      </c>
      <c r="EW145" s="21" t="str">
        <f t="shared" si="476"/>
        <v xml:space="preserve">technologists(12.5),database(12.5),sensors(12.5),mobile comm(12.5),for entrepreneurs(6.25), </v>
      </c>
      <c r="EX145" s="21" t="str">
        <f t="shared" si="474"/>
        <v xml:space="preserve">technologists 1
 </v>
      </c>
      <c r="EY145" s="21" t="str">
        <f t="shared" si="253"/>
        <v xml:space="preserve">law(1,50), security(1,50), interaction(1,25),  </v>
      </c>
      <c r="EZ145" s="21" t="str">
        <f t="shared" si="475"/>
        <v xml:space="preserve">law 50
security 50
interaction 25
 </v>
      </c>
      <c r="FA145" s="21" t="str">
        <f t="shared" si="254"/>
        <v xml:space="preserve">network(2), level of understanding(1), technologists(2), ease of access(1), reputation(2), law(2), for entrepreneurs(1),  </v>
      </c>
      <c r="FB145" s="21" t="str">
        <f t="shared" si="255"/>
        <v xml:space="preserve">technologists(1,12.5), law(1,6.25), database(1,12.5), mobile apps(1,12.5), security(1,12.5), mobile comm(1,12.5), for entrepreneurs(1,6.25),  </v>
      </c>
      <c r="FC145" s="21" t="str">
        <f t="shared" si="476"/>
        <v xml:space="preserve">technologists(12.5),law(6.25),database(12.5),mobile apps(12.5),security(12.5),mobile comm(12.5),for entrepreneurs(6.25), </v>
      </c>
      <c r="FD145" s="21" t="str">
        <f t="shared" si="474"/>
        <v xml:space="preserve">technologists 1
 </v>
      </c>
      <c r="FE145" s="21" t="str">
        <f t="shared" si="256"/>
        <v xml:space="preserve">law(1,50), sensors(1,50), security(1,50),  </v>
      </c>
      <c r="FF145" s="21" t="str">
        <f t="shared" si="475"/>
        <v xml:space="preserve">law 50
sensors 50
security 50
 </v>
      </c>
      <c r="FG145" s="21" t="str">
        <f t="shared" si="257"/>
        <v xml:space="preserve">network(2), level of understanding(1), technologists(2), ease of access(1), reputation(2), law(2), project management(2), for entrepreneurs(1),  </v>
      </c>
      <c r="FH145" s="21" t="str">
        <f t="shared" si="258"/>
        <v xml:space="preserve">technologists(1,12.5), law(1,6.25), database(1,6.25), mobile apps(1,6.25), AI&amp; data analysis(1,6.25), mobile comm(1,6.25), for entrepreneurs(1,6.25),  </v>
      </c>
      <c r="FI145" s="21" t="str">
        <f t="shared" si="476"/>
        <v xml:space="preserve">technologists(12.5),law(6.25),database(6.25),mobile apps(6.25),AI&amp; data analysis(6.25),mobile comm(6.25),for entrepreneurs(6.25), </v>
      </c>
      <c r="FJ145" s="21" t="str">
        <f t="shared" si="474"/>
        <v xml:space="preserve">technologists 1
 </v>
      </c>
      <c r="FK145" s="21" t="str">
        <f t="shared" si="259"/>
        <v xml:space="preserve">wood processing(1,25), metal processing(1,25), plastic processing(1,25), fabric(1,25), safety(1,25), interaction(1,25),  </v>
      </c>
      <c r="FL145" s="21" t="str">
        <f t="shared" si="475"/>
        <v xml:space="preserve">project management 2
wood processing 25
metal processing 25
plastic processing 25
fabric 25
safety 25
interaction 25
 </v>
      </c>
      <c r="FM145" s="21" t="str">
        <f t="shared" si="260"/>
        <v xml:space="preserve">network(2), level of understanding(1), technologists(2), spaciousness(1), ease of access(1), reputation(2), for entrepreneurs(1),  </v>
      </c>
      <c r="FN145" s="21" t="str">
        <f t="shared" si="261"/>
        <v xml:space="preserve">technologists(1,12.5), for entrepreneurs(1,6.25),  </v>
      </c>
      <c r="FO145" s="21" t="str">
        <f t="shared" si="476"/>
        <v xml:space="preserve">technologists(12.5),for entrepreneurs(6.25), </v>
      </c>
      <c r="FP145" s="21" t="str">
        <f t="shared" si="474"/>
        <v xml:space="preserve">technologists 1
 </v>
      </c>
      <c r="FQ145" s="21" t="str">
        <f t="shared" si="262"/>
        <v xml:space="preserve">web(1,25), mobile apps(1,50), functions(1,25), interaction(1,25),  </v>
      </c>
      <c r="FR145" s="21" t="str">
        <f t="shared" si="475"/>
        <v xml:space="preserve">web 25
mobile apps 50
functions 25
interaction 25
 </v>
      </c>
      <c r="FS145" s="21" t="str">
        <f t="shared" si="263"/>
        <v xml:space="preserve">network(2), level of understanding(1), technologists(2), spaciousness(1), ease of access(1), reputation(2), for entrepreneurs(1),  </v>
      </c>
      <c r="FT145" s="21" t="str">
        <f t="shared" si="264"/>
        <v xml:space="preserve">technologists(1,12.5), for entrepreneurs(1,6.25),  </v>
      </c>
      <c r="FU145" s="21" t="str">
        <f t="shared" si="476"/>
        <v xml:space="preserve">technologists(12.5),for entrepreneurs(6.25), </v>
      </c>
      <c r="FV145" s="21" t="str">
        <f t="shared" si="474"/>
        <v xml:space="preserve">technologists 1
 </v>
      </c>
      <c r="FW145" s="21" t="str">
        <f t="shared" si="265"/>
        <v xml:space="preserve">mobile apps(1,50), sensors(1,50), wood processing(1,25), plastic processing(1,25), electronics(1,25), functions(1,25), interaction(1,25),  </v>
      </c>
      <c r="FX145" s="21" t="str">
        <f t="shared" si="475"/>
        <v xml:space="preserve">mobile apps 50
sensors 50
wood processing 25
plastic processing 25
electronics 25
functions 25
interaction 25
 </v>
      </c>
      <c r="FY145" s="21" t="str">
        <f t="shared" si="266"/>
        <v xml:space="preserve">network(2), level of understanding(1), technologists(2), spaciousness(1), ease of access(1), reputation(2), project management(2), for entrepreneurs(1),  </v>
      </c>
      <c r="FZ145" s="21" t="str">
        <f t="shared" si="267"/>
        <v xml:space="preserve">technologists(1,12.5), web(1,6.25), database(1,6.25), AI&amp; data analysis(1,6.25), mobile comm(1,6.25), for entrepreneurs(1,6.25),  </v>
      </c>
      <c r="GA145" s="21" t="str">
        <f t="shared" si="476"/>
        <v xml:space="preserve">technologists(12.5),web(6.25),database(6.25),AI&amp; data analysis(6.25),mobile comm(6.25),for entrepreneurs(6.25), </v>
      </c>
      <c r="GB145" s="21" t="str">
        <f t="shared" si="474"/>
        <v xml:space="preserve">technologists 1
 </v>
      </c>
      <c r="GC145" s="21" t="str">
        <f t="shared" si="268"/>
        <v xml:space="preserve">sensors(1,25), mobile comm(1,25), electronics(1,50), functions(1,25), safety(1,25),  </v>
      </c>
      <c r="GD145" s="21" t="str">
        <f t="shared" si="475"/>
        <v xml:space="preserve">sensors 25
mobile comm 25
electronics 50
functions 25
safety 25
 </v>
      </c>
      <c r="GE145" s="21" t="str">
        <f t="shared" si="269"/>
        <v xml:space="preserve">network(2), level of understanding(1), technologists(2), spaciousness(1), ease of access(1), reputation(2), project management(2), for entrepreneurs(1),  </v>
      </c>
      <c r="GF145" s="21" t="str">
        <f t="shared" si="270"/>
        <v xml:space="preserve">technologists(1,12.5), database(1,6.25), mobile apps(1,6.25), AI&amp; data analysis(1,6.25), plastic processing(1,6.25), interaction(1,6.25), for entrepreneurs(1,6.25),  </v>
      </c>
      <c r="GG145" s="21" t="str">
        <f t="shared" si="476"/>
        <v xml:space="preserve">technologists(12.5),database(6.25),mobile apps(6.25),AI&amp; data analysis(6.25),plastic processing(6.25),interaction(6.25),for entrepreneurs(6.25), </v>
      </c>
      <c r="GH145" s="21" t="str">
        <f t="shared" si="474"/>
        <v xml:space="preserve">technologists 1
 </v>
      </c>
      <c r="GI145" s="21" t="str">
        <f t="shared" si="271"/>
        <v xml:space="preserve">web(1,25), mobile apps(1,50), functions(1,25), interaction(1,25),  </v>
      </c>
      <c r="GJ145" s="21" t="str">
        <f t="shared" si="475"/>
        <v xml:space="preserve">web 25
mobile apps 50
functions 25
interaction 25
 </v>
      </c>
      <c r="GK145" s="21" t="str">
        <f t="shared" si="272"/>
        <v xml:space="preserve">network(2), level of understanding(1), technologists(2), spaciousness(1), ease of access(1), reputation(2), project management(2), for entrepreneurs(1),  </v>
      </c>
      <c r="GL145" s="21" t="str">
        <f t="shared" si="273"/>
        <v xml:space="preserve">technologists(1,12.5), for entrepreneurs(1,6.25),  </v>
      </c>
      <c r="GM145" s="21" t="str">
        <f t="shared" si="476"/>
        <v xml:space="preserve">technologists(12.5),for entrepreneurs(6.25), </v>
      </c>
      <c r="GN145" s="21" t="str">
        <f t="shared" si="474"/>
        <v xml:space="preserve">technologists 1
 </v>
      </c>
      <c r="GO145" s="21" t="str">
        <f t="shared" si="274"/>
        <v xml:space="preserve">web(1,25), mobile apps(1,25), VR&amp;AR(1,25), aesthetics(1,25), functions(1,25), interaction(1,50),  </v>
      </c>
      <c r="GP145" s="21" t="str">
        <f t="shared" si="475"/>
        <v xml:space="preserve">web 25
mobile apps 25
VR&amp;AR 25
aesthetics 25
functions 25
interaction 50
 </v>
      </c>
      <c r="GQ145" s="21" t="str">
        <f t="shared" si="275"/>
        <v xml:space="preserve">network(2), level of understanding(1), technologists(2), spaciousness(1), ease of access(1), reputation(2), project management(2), for entrepreneurs(1),  </v>
      </c>
      <c r="GR145" s="21" t="str">
        <f t="shared" si="276"/>
        <v xml:space="preserve">technologists(1,12.5), for entrepreneurs(1,6.25),  </v>
      </c>
      <c r="GS145" s="21" t="str">
        <f t="shared" si="476"/>
        <v xml:space="preserve">technologists(12.5),for entrepreneurs(6.25), </v>
      </c>
      <c r="GT145" s="21" t="str">
        <f t="shared" si="474"/>
        <v xml:space="preserve">ease of access 1
reputation 2
web 1
mobile apps 1
mobile comm 1
 </v>
      </c>
      <c r="GU145" s="21" t="str">
        <f t="shared" si="277"/>
        <v xml:space="preserve"> </v>
      </c>
      <c r="GV145" s="21" t="str">
        <f t="shared" si="475"/>
        <v xml:space="preserve"> </v>
      </c>
      <c r="GW145" s="21" t="str">
        <f t="shared" si="278"/>
        <v xml:space="preserve">network(2), 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5" s="21" t="str">
        <f t="shared" si="279"/>
        <v xml:space="preserve">media(1,6.25), entrepreneurs(1,6.25), technologists(1,6.25), project management(1,6.25), social media(1,6.25), web(1,6.25), mobile apps(1,6.25),  </v>
      </c>
      <c r="GY145" s="21" t="str">
        <f t="shared" si="476"/>
        <v xml:space="preserve">media(6.25),entrepreneurs(6.25),technologists(6.25),project management(6.25),social media(6.25),web(6.25),mobile apps(6.25), </v>
      </c>
      <c r="GZ145" s="21" t="str">
        <f t="shared" si="477"/>
        <v xml:space="preserve">network 1
govt 1
non-profits 1
reputation 2
portfolio 1
 </v>
      </c>
      <c r="HA145" s="21" t="str">
        <f t="shared" si="281"/>
        <v xml:space="preserve"> </v>
      </c>
      <c r="HB145" s="21" t="str">
        <f t="shared" si="478"/>
        <v xml:space="preserve"> </v>
      </c>
      <c r="HC145" s="21" t="str">
        <f t="shared" si="283"/>
        <v xml:space="preserve">network(2), govt(3), non-profits(3), reputation(4), portfolio(3), social media(2), web(2), mobile apps(2), sensors(2), AI&amp; data analysis(2), VR&amp;AR(2), plastic processing(2), electronics(2), aesthetics(2), interaction(2),  </v>
      </c>
      <c r="HD145" s="21" t="str">
        <f t="shared" si="284"/>
        <v xml:space="preserve">media(1,6.25), technologists(1,6.25), non-profits(1,6.25), reputation(1,6.25), start-up with customers(1,6.25), for basic literacy(1,6.25),  </v>
      </c>
      <c r="HE145" s="21" t="str">
        <f t="shared" si="479"/>
        <v xml:space="preserve">media(6.25),technologists(6.25),non-profits(6.25),reputation(6.25),start-up with customers(6.25),for basic literacy(6.25), </v>
      </c>
      <c r="HF145" s="21" t="str">
        <f t="shared" si="477"/>
        <v xml:space="preserve"> </v>
      </c>
      <c r="HG145" s="21" t="str">
        <f t="shared" si="286"/>
        <v xml:space="preserve"> </v>
      </c>
      <c r="HH145" s="21" t="str">
        <f t="shared" si="478"/>
        <v xml:space="preserve"> </v>
      </c>
      <c r="HI145" s="21" t="str">
        <f t="shared" si="287"/>
        <v xml:space="preserve">network(2), portfolio(3), marketing(2), team building(3), project management(2), mobile apps(3), sensors(2), plastic processing(2), electronics(2), aesthetics(2), functions(2), interaction(2),  </v>
      </c>
      <c r="HJ145" s="21" t="str">
        <f t="shared" si="288"/>
        <v xml:space="preserve">govt(1,6.25), media(1,6.25), non-profits(1,6.25), start-up with customers(1,6.25),  </v>
      </c>
      <c r="HK145" s="21" t="str">
        <f t="shared" si="479"/>
        <v xml:space="preserve">govt(6.25),media(6.25),non-profits(6.25),start-up with customers(6.25), </v>
      </c>
      <c r="HL145" s="21" t="str">
        <f t="shared" si="477"/>
        <v xml:space="preserve">local biz 1
entrepreneurs 1
non-profits 1
reputation 2
portfolio 2
 </v>
      </c>
      <c r="HM145" s="21" t="str">
        <f t="shared" si="289"/>
        <v xml:space="preserve"> </v>
      </c>
      <c r="HN145" s="21" t="str">
        <f t="shared" si="478"/>
        <v xml:space="preserve"> </v>
      </c>
      <c r="HO145" s="21" t="str">
        <f t="shared" si="290"/>
        <v xml:space="preserve">network(2), 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5" s="21" t="str">
        <f t="shared" si="291"/>
        <v xml:space="preserve">level of understanding(1,6.25), local biz(1,6.25), biz group(1,6.25), govt(1,6.25), investors(1,6.25), media(1,6.25), entrepreneurs(1,6.25), technologists(1,6.25), suppliers(1,6.25), non-profits(1,6.25), reputation(1,6.25),  </v>
      </c>
      <c r="HQ145" s="47" t="str">
        <f t="shared" si="479"/>
        <v xml:space="preserve">level of understanding(6.25),local biz(6.25),biz group(6.25),govt(6.25),investors(6.25),media(6.25),entrepreneurs(6.25),technologists(6.25),suppliers(6.25),non-profits(6.25),reputation(6.25), </v>
      </c>
      <c r="HR145" s="47" t="str">
        <f t="shared" ref="HR145:HW145" si="510">IF(HR43="",HR146,$C145&amp;"("&amp;HR43&amp;"),"&amp;HR146)</f>
        <v xml:space="preserve">reputation(2),portfolio(2),mobile apps(1),sensors(1),wood processing(1),aesthetics(1), </v>
      </c>
      <c r="HS145" s="47" t="str">
        <f t="shared" si="510"/>
        <v xml:space="preserve"> </v>
      </c>
      <c r="HT145" s="47" t="str">
        <f t="shared" si="510"/>
        <v xml:space="preserve"> </v>
      </c>
      <c r="HU145" s="47" t="str">
        <f t="shared" si="510"/>
        <v xml:space="preserve">network(2),level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5" s="47" t="str">
        <f t="shared" si="510"/>
        <v xml:space="preserve">local biz(1),biz group(1),govt(1),investors(1),media(1),entrepreneurs(1),technologists(1),suppliers(1),non-profits(1),reputation(1), </v>
      </c>
      <c r="HW145" s="47" t="str">
        <f t="shared" si="510"/>
        <v xml:space="preserve">local biz(6.25),biz group(6.25),govt(6.25),investors(6.25),media(6.25),entrepreneurs(6.25),technologists(12.5),suppliers(6.25),non-profits(6.25),reputation(6.25), </v>
      </c>
      <c r="HX145" s="47" t="str">
        <f t="shared" ref="HX145:IU145" si="511">IF(HX43="",HX146,$C145&amp;"("&amp;HX43&amp;"),"&amp;HX146)</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5" s="47" t="str">
        <f t="shared" si="511"/>
        <v xml:space="preserve">biz enhancement(1), </v>
      </c>
      <c r="HZ145" s="47" t="str">
        <f t="shared" si="511"/>
        <v xml:space="preserve">biz enhancement(100), </v>
      </c>
      <c r="IA145" s="47" t="str">
        <f t="shared" si="511"/>
        <v xml:space="preserve">network(2),ambition(2),knowledge(2),spaciousness(2),ease of access(3),efficiency(2),portfolio(4),finance(2),business model(2),marketing(3),team building(2),project management(2),social media(3),negotiation(3), </v>
      </c>
      <c r="IB145" s="47" t="str">
        <f t="shared" si="511"/>
        <v xml:space="preserve">level of understanding(1),ambition(1),local biz(1),biz group(1),govt(1),media(1),entrepreneurs(1),technologists(1),non-profits(1),reputation(1),team building(1),database(1),AI&amp; data analysis(1),electronics(1),functions(1), </v>
      </c>
      <c r="IC145" s="47" t="str">
        <f t="shared" si="511"/>
        <v xml:space="preserve">level of understanding(6.25),ambition(6.25),local biz(6.25),biz group(6.25),govt(6.25),media(6.25),entrepreneurs(6.25),technologists(6.25),non-profits(6.25),reputation(6.25),team building(6.25),database(6.25),AI&amp; data analysis(6.25),electronics(6.25),functions(6.25), </v>
      </c>
      <c r="ID145" s="47" t="str">
        <f t="shared" si="511"/>
        <v xml:space="preserve">technologists(2), </v>
      </c>
      <c r="IE145" s="47" t="str">
        <f t="shared" si="511"/>
        <v xml:space="preserve">web(1),mobile apps(1),security(1),AI&amp; data analysis(1), </v>
      </c>
      <c r="IF145" s="47" t="str">
        <f t="shared" si="511"/>
        <v xml:space="preserve">web(25),mobile apps(25),security(25),AI&amp; data analysis(25), </v>
      </c>
      <c r="IG145" s="47" t="str">
        <f t="shared" si="511"/>
        <v xml:space="preserve">network(2),entrepreneurs(3),technologists(4),spaciousness(2),ease of access(2),reputation(3),efficiency(2),portfolio(3),web(2),database(2),mobile apps(2),security(2),AI&amp; data analysis(2), </v>
      </c>
      <c r="IH145" s="47" t="str">
        <f t="shared" si="511"/>
        <v xml:space="preserve">technologists(1),web(1),database(1),mobile apps(1),security(1),AI&amp; data analysis(1), </v>
      </c>
      <c r="II145" s="47" t="str">
        <f t="shared" si="511"/>
        <v xml:space="preserve">technologists(6.25),web(6.25),database(6.25),mobile apps(6.25),security(6.25),AI&amp; data analysis(6.25), </v>
      </c>
      <c r="IJ145" s="47" t="str">
        <f t="shared" si="511"/>
        <v xml:space="preserve">technologists(2), </v>
      </c>
      <c r="IK145" s="47" t="str">
        <f t="shared" si="511"/>
        <v xml:space="preserve">wood processing(1),metal processing(1),functions(1),safety(1), </v>
      </c>
      <c r="IL145" s="47" t="str">
        <f t="shared" si="511"/>
        <v xml:space="preserve">wood processing(25),metal processing(25),functions(25),safety(25), </v>
      </c>
      <c r="IM145" s="47" t="str">
        <f t="shared" si="511"/>
        <v xml:space="preserve">network(2),entrepreneurs(3),technologists(4),spaciousness(2),ease of access(2),reputation(3),efficiency(2),portfolio(3),wood processing(2),metal processing(2),functions(2),safety(2), </v>
      </c>
      <c r="IN145" s="47" t="str">
        <f t="shared" si="511"/>
        <v xml:space="preserve">technologists(1),wood processing(1),metal processing(1),functions(1),safety(1),interaction(1), </v>
      </c>
      <c r="IO145" s="47" t="str">
        <f t="shared" si="511"/>
        <v xml:space="preserve">technologists(6.25),wood processing(6.25),metal processing(6.25),functions(6.25),safety(6.25),interaction(6.25), </v>
      </c>
      <c r="IP145" s="57" t="str">
        <f t="shared" si="511"/>
        <v xml:space="preserve">local biz(2),reputation(1), </v>
      </c>
      <c r="IQ145" s="47" t="str">
        <f t="shared" si="511"/>
        <v xml:space="preserve">local biz(1),marketing(1), </v>
      </c>
      <c r="IR145" s="47" t="str">
        <f t="shared" si="511"/>
        <v xml:space="preserve">local biz(25),marketing(25), </v>
      </c>
      <c r="IS145" s="47" t="str">
        <f t="shared" si="511"/>
        <v xml:space="preserve">network(2),level of understanding(3),local biz(3),biz group(2),govt(2),non-profits(2),reputation(3),efficiency(2),marketing(2), </v>
      </c>
      <c r="IT145" s="47" t="str">
        <f t="shared" si="511"/>
        <v xml:space="preserve">local biz(1),biz group(1),govt(1),non-profits(1),marketing(1), </v>
      </c>
      <c r="IU145" s="47" t="str">
        <f t="shared" si="511"/>
        <v xml:space="preserve">local biz(6.25),biz group(6.25),govt(6.25),non-profits(6.25),marketing(6.25), </v>
      </c>
      <c r="IV145" s="57" t="str">
        <f t="shared" ref="IV145:LG145" si="512">IF(IV43="",IV146,$C145&amp;"("&amp;IV43&amp;"),"&amp;IV146)</f>
        <v xml:space="preserve">local biz(2),reputation(1), </v>
      </c>
      <c r="IW145" s="47" t="str">
        <f t="shared" si="512"/>
        <v xml:space="preserve">local biz(1),marketing(1), </v>
      </c>
      <c r="IX145" s="47" t="str">
        <f t="shared" si="512"/>
        <v xml:space="preserve">local biz(25),marketing(25), </v>
      </c>
      <c r="IY145" s="47" t="str">
        <f t="shared" si="512"/>
        <v xml:space="preserve">network(2),level of understanding(3),local biz(3),biz group(2),govt(2),reputation(3),efficiency(2),marketing(2), </v>
      </c>
      <c r="IZ145" s="47" t="str">
        <f t="shared" si="512"/>
        <v xml:space="preserve">local biz(1),biz group(1),govt(1),marketing(1), </v>
      </c>
      <c r="JA145" s="47" t="str">
        <f t="shared" si="512"/>
        <v xml:space="preserve">local biz(6.25),biz group(6.25),govt(6.25),marketing(6.25), </v>
      </c>
      <c r="JB145" s="47" t="str">
        <f t="shared" si="512"/>
        <v xml:space="preserve"> </v>
      </c>
      <c r="JC145" s="47" t="str">
        <f t="shared" si="512"/>
        <v xml:space="preserve"> </v>
      </c>
      <c r="JD145" s="47" t="str">
        <f t="shared" si="512"/>
        <v xml:space="preserve"> </v>
      </c>
      <c r="JE145" s="47" t="str">
        <f t="shared" si="512"/>
        <v xml:space="preserve">network(2),level of understanding(2),technologists(2),spaciousness(1),ease of access(1),reputation(3),efficiency(2), </v>
      </c>
      <c r="JF145" s="47" t="str">
        <f t="shared" si="512"/>
        <v xml:space="preserve">web(1),infrastructrue(1),database(1),mobile apps(1),sensors(1),security(1),AI&amp; data analysis(1),mobile comm(1),VR&amp;AR(1),wood processing(1),metal processing(1),plastic processing(1),electronics(1),fabric(1),aesthetics(1),functions(1),safety(1),interaction(1), </v>
      </c>
      <c r="JG145" s="47" t="str">
        <f t="shared" si="512"/>
        <v xml:space="preserve">web(6.25),infrastructrue(6.25),database(6.25),mobile apps(6.25),sensors(6.25),security(6.25),AI&amp; data analysis(6.25),mobile comm(6.25),VR&amp;AR(6.25),wood processing(6.25),metal processing(6.25),plastic processing(6.25),electronics(6.25),fabric(6.25),aesthetics(6.25),functions(6.25),safety(6.25),interaction(6.25), </v>
      </c>
      <c r="JH145" s="47" t="str">
        <f t="shared" si="512"/>
        <v xml:space="preserve">local biz(1),non-profits(1),reputation(2), </v>
      </c>
      <c r="JI145" s="47" t="str">
        <f t="shared" si="512"/>
        <v xml:space="preserve"> </v>
      </c>
      <c r="JJ145" s="47" t="str">
        <f t="shared" si="512"/>
        <v xml:space="preserve"> </v>
      </c>
      <c r="JK145" s="47" t="str">
        <f t="shared" si="512"/>
        <v xml:space="preserve">network(2),ambition(2),local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5" s="47" t="str">
        <f t="shared" si="512"/>
        <v xml:space="preserve">non-profits(1), </v>
      </c>
      <c r="JM145" s="47" t="str">
        <f t="shared" si="512"/>
        <v xml:space="preserve">non-profits(6.25), </v>
      </c>
      <c r="JN145" s="47" t="str">
        <f t="shared" si="512"/>
        <v xml:space="preserve">network(1),local biz(1),investors(1),entrepreneurs(1),technologists(1),non-profits(1),reputation(2),portfolio(2), </v>
      </c>
      <c r="JO145" s="47" t="str">
        <f t="shared" si="512"/>
        <v xml:space="preserve"> </v>
      </c>
      <c r="JP145" s="47" t="str">
        <f t="shared" si="512"/>
        <v xml:space="preserve"> </v>
      </c>
      <c r="JQ145" s="47" t="str">
        <f t="shared" si="512"/>
        <v xml:space="preserve">network(2),level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5" s="47" t="str">
        <f t="shared" si="512"/>
        <v xml:space="preserve"> </v>
      </c>
      <c r="JS145" s="47" t="str">
        <f t="shared" si="512"/>
        <v xml:space="preserve"> </v>
      </c>
      <c r="JT145" s="47" t="str">
        <f t="shared" si="512"/>
        <v xml:space="preserve">network(2),local biz(2),biz group(1),govt(2),investors(2),entrepreneurs(2),technologists(2),non-profits(2),reputation(2),portfolio(3), </v>
      </c>
      <c r="JU145" s="47" t="str">
        <f t="shared" si="512"/>
        <v xml:space="preserve"> </v>
      </c>
      <c r="JV145" s="47" t="str">
        <f t="shared" si="512"/>
        <v xml:space="preserve"> </v>
      </c>
      <c r="JW145" s="47" t="str">
        <f t="shared" si="512"/>
        <v xml:space="preserve">network(3),level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5" s="47" t="str">
        <f t="shared" si="512"/>
        <v xml:space="preserve"> </v>
      </c>
      <c r="JY145" s="47" t="str">
        <f t="shared" si="512"/>
        <v xml:space="preserve"> </v>
      </c>
      <c r="JZ145" s="47" t="str">
        <f t="shared" si="512"/>
        <v xml:space="preserve">network(1),non-profits(1),reputation(2),social project(2), </v>
      </c>
      <c r="KA145" s="47" t="str">
        <f t="shared" si="512"/>
        <v xml:space="preserve">non-profits(1), </v>
      </c>
      <c r="KB145" s="47" t="str">
        <f t="shared" si="512"/>
        <v xml:space="preserve">non-profits(25), </v>
      </c>
      <c r="KC145" s="47" t="str">
        <f t="shared" si="512"/>
        <v xml:space="preserve">network(2),ambition(3),local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5" s="47" t="str">
        <f t="shared" si="512"/>
        <v xml:space="preserve">non-profits(1), </v>
      </c>
      <c r="KE145" s="47" t="str">
        <f t="shared" si="512"/>
        <v xml:space="preserve">non-profits(6.25), </v>
      </c>
      <c r="KF145" s="47" t="str">
        <f t="shared" si="512"/>
        <v xml:space="preserve"> </v>
      </c>
      <c r="KG145" s="47" t="str">
        <f t="shared" si="512"/>
        <v xml:space="preserve"> </v>
      </c>
      <c r="KH145" s="47" t="str">
        <f t="shared" si="512"/>
        <v xml:space="preserve"> </v>
      </c>
      <c r="KI145" s="47" t="str">
        <f t="shared" si="512"/>
        <v xml:space="preserve"> </v>
      </c>
      <c r="KJ145" s="47" t="str">
        <f t="shared" si="512"/>
        <v xml:space="preserve"> </v>
      </c>
      <c r="KK145" s="47" t="str">
        <f t="shared" si="512"/>
        <v xml:space="preserve"> </v>
      </c>
      <c r="KL145" s="57" t="str">
        <f t="shared" si="512"/>
        <v xml:space="preserve"> </v>
      </c>
      <c r="KM145" s="47" t="str">
        <f t="shared" si="512"/>
        <v xml:space="preserve"> </v>
      </c>
      <c r="KN145" s="47" t="str">
        <f t="shared" si="512"/>
        <v xml:space="preserve"> </v>
      </c>
      <c r="KO145" s="47" t="str">
        <f t="shared" si="512"/>
        <v xml:space="preserve"> </v>
      </c>
      <c r="KP145" s="47" t="str">
        <f t="shared" si="512"/>
        <v xml:space="preserve"> </v>
      </c>
      <c r="KQ145" s="47" t="str">
        <f t="shared" si="512"/>
        <v xml:space="preserve"> </v>
      </c>
      <c r="KR145" s="57" t="str">
        <f t="shared" si="512"/>
        <v xml:space="preserve"> </v>
      </c>
      <c r="KS145" s="47" t="str">
        <f t="shared" si="512"/>
        <v xml:space="preserve"> </v>
      </c>
      <c r="KT145" s="47" t="str">
        <f t="shared" si="512"/>
        <v xml:space="preserve"> </v>
      </c>
      <c r="KU145" s="47" t="str">
        <f t="shared" si="512"/>
        <v xml:space="preserve"> </v>
      </c>
      <c r="KV145" s="47" t="str">
        <f t="shared" si="512"/>
        <v xml:space="preserve"> </v>
      </c>
      <c r="KW145" s="47" t="str">
        <f t="shared" si="512"/>
        <v xml:space="preserve"> </v>
      </c>
      <c r="KX145" s="57" t="str">
        <f t="shared" si="512"/>
        <v xml:space="preserve"> </v>
      </c>
      <c r="KY145" s="47" t="str">
        <f t="shared" si="512"/>
        <v xml:space="preserve"> </v>
      </c>
      <c r="KZ145" s="47" t="str">
        <f t="shared" si="512"/>
        <v xml:space="preserve"> </v>
      </c>
      <c r="LA145" s="47" t="str">
        <f t="shared" si="512"/>
        <v xml:space="preserve"> </v>
      </c>
      <c r="LB145" s="47" t="str">
        <f t="shared" si="512"/>
        <v xml:space="preserve"> </v>
      </c>
      <c r="LC145" s="47" t="str">
        <f t="shared" si="512"/>
        <v xml:space="preserve"> </v>
      </c>
      <c r="LD145" s="57" t="str">
        <f t="shared" si="512"/>
        <v xml:space="preserve"> </v>
      </c>
      <c r="LE145" s="47" t="str">
        <f t="shared" si="512"/>
        <v xml:space="preserve"> </v>
      </c>
      <c r="LF145" s="47" t="str">
        <f t="shared" si="512"/>
        <v xml:space="preserve"> </v>
      </c>
      <c r="LG145" s="47" t="str">
        <f t="shared" si="512"/>
        <v xml:space="preserve"> </v>
      </c>
      <c r="LH145" s="47" t="str">
        <f t="shared" ref="LH145:NM145" si="513">IF(LH43="",LH146,$C145&amp;"("&amp;LH43&amp;"),"&amp;LH146)</f>
        <v xml:space="preserve"> </v>
      </c>
      <c r="LI145" s="47" t="str">
        <f t="shared" si="513"/>
        <v xml:space="preserve"> </v>
      </c>
      <c r="LJ145" s="57" t="str">
        <f t="shared" si="513"/>
        <v xml:space="preserve"> </v>
      </c>
      <c r="LK145" s="47" t="str">
        <f t="shared" si="513"/>
        <v xml:space="preserve"> </v>
      </c>
      <c r="LL145" s="47" t="str">
        <f t="shared" si="513"/>
        <v xml:space="preserve"> </v>
      </c>
      <c r="LM145" s="47" t="str">
        <f t="shared" si="513"/>
        <v xml:space="preserve"> </v>
      </c>
      <c r="LN145" s="47" t="str">
        <f t="shared" si="513"/>
        <v xml:space="preserve"> </v>
      </c>
      <c r="LO145" s="47" t="str">
        <f t="shared" si="513"/>
        <v xml:space="preserve"> </v>
      </c>
      <c r="LP145" s="57" t="str">
        <f t="shared" si="513"/>
        <v xml:space="preserve"> </v>
      </c>
      <c r="LQ145" s="47" t="str">
        <f t="shared" si="513"/>
        <v xml:space="preserve"> </v>
      </c>
      <c r="LR145" s="47" t="str">
        <f t="shared" si="513"/>
        <v xml:space="preserve"> </v>
      </c>
      <c r="LS145" s="47" t="str">
        <f t="shared" si="513"/>
        <v xml:space="preserve"> </v>
      </c>
      <c r="LT145" s="47" t="str">
        <f t="shared" si="513"/>
        <v xml:space="preserve"> </v>
      </c>
      <c r="LU145" s="47" t="str">
        <f t="shared" si="513"/>
        <v xml:space="preserve"> </v>
      </c>
      <c r="LV145" s="57" t="str">
        <f t="shared" si="513"/>
        <v xml:space="preserve"> </v>
      </c>
      <c r="LW145" s="47" t="str">
        <f t="shared" si="513"/>
        <v xml:space="preserve"> </v>
      </c>
      <c r="LX145" s="47" t="str">
        <f t="shared" si="513"/>
        <v xml:space="preserve"> </v>
      </c>
      <c r="LY145" s="47" t="str">
        <f t="shared" si="513"/>
        <v xml:space="preserve"> </v>
      </c>
      <c r="LZ145" s="47" t="str">
        <f t="shared" si="513"/>
        <v xml:space="preserve"> </v>
      </c>
      <c r="MA145" s="47" t="str">
        <f t="shared" si="513"/>
        <v xml:space="preserve"> </v>
      </c>
      <c r="MB145" s="57" t="str">
        <f t="shared" si="513"/>
        <v xml:space="preserve"> </v>
      </c>
      <c r="MC145" s="47" t="str">
        <f t="shared" si="513"/>
        <v xml:space="preserve"> </v>
      </c>
      <c r="MD145" s="47" t="str">
        <f t="shared" si="513"/>
        <v xml:space="preserve"> </v>
      </c>
      <c r="ME145" s="47" t="str">
        <f t="shared" si="513"/>
        <v xml:space="preserve"> </v>
      </c>
      <c r="MF145" s="47" t="str">
        <f t="shared" si="513"/>
        <v xml:space="preserve"> </v>
      </c>
      <c r="MG145" s="47" t="str">
        <f t="shared" si="513"/>
        <v xml:space="preserve"> </v>
      </c>
      <c r="MH145" s="57" t="str">
        <f t="shared" si="513"/>
        <v xml:space="preserve"> </v>
      </c>
      <c r="MI145" s="47" t="str">
        <f t="shared" si="513"/>
        <v xml:space="preserve"> </v>
      </c>
      <c r="MJ145" s="47" t="str">
        <f t="shared" si="513"/>
        <v xml:space="preserve"> </v>
      </c>
      <c r="MK145" s="47" t="str">
        <f t="shared" si="513"/>
        <v xml:space="preserve"> </v>
      </c>
      <c r="ML145" s="47" t="str">
        <f t="shared" si="513"/>
        <v xml:space="preserve"> </v>
      </c>
      <c r="MM145" s="47" t="str">
        <f t="shared" si="513"/>
        <v xml:space="preserve"> </v>
      </c>
      <c r="MN145" s="57" t="str">
        <f t="shared" si="513"/>
        <v xml:space="preserve"> </v>
      </c>
      <c r="MO145" s="47" t="str">
        <f t="shared" si="513"/>
        <v xml:space="preserve"> </v>
      </c>
      <c r="MP145" s="47" t="str">
        <f t="shared" si="513"/>
        <v xml:space="preserve"> </v>
      </c>
      <c r="MQ145" s="47" t="str">
        <f t="shared" si="513"/>
        <v xml:space="preserve"> </v>
      </c>
      <c r="MR145" s="47" t="str">
        <f t="shared" si="513"/>
        <v xml:space="preserve"> </v>
      </c>
      <c r="MS145" s="47" t="str">
        <f t="shared" si="513"/>
        <v xml:space="preserve"> </v>
      </c>
      <c r="MT145" s="57" t="str">
        <f t="shared" si="513"/>
        <v xml:space="preserve"> </v>
      </c>
      <c r="MU145" s="47" t="str">
        <f t="shared" si="513"/>
        <v xml:space="preserve"> </v>
      </c>
      <c r="MV145" s="47" t="str">
        <f t="shared" si="513"/>
        <v xml:space="preserve"> </v>
      </c>
      <c r="MW145" s="47" t="str">
        <f t="shared" si="513"/>
        <v xml:space="preserve"> </v>
      </c>
      <c r="MX145" s="47" t="str">
        <f t="shared" si="513"/>
        <v xml:space="preserve"> </v>
      </c>
      <c r="MY145" s="47" t="str">
        <f t="shared" si="513"/>
        <v xml:space="preserve"> </v>
      </c>
      <c r="MZ145" s="57" t="str">
        <f t="shared" si="513"/>
        <v xml:space="preserve"> </v>
      </c>
      <c r="NA145" s="47" t="str">
        <f t="shared" si="513"/>
        <v xml:space="preserve"> </v>
      </c>
      <c r="NB145" s="47" t="str">
        <f t="shared" si="513"/>
        <v xml:space="preserve"> </v>
      </c>
      <c r="NC145" s="47" t="str">
        <f t="shared" si="513"/>
        <v xml:space="preserve"> </v>
      </c>
      <c r="ND145" s="47" t="str">
        <f t="shared" si="513"/>
        <v xml:space="preserve"> </v>
      </c>
      <c r="NE145" s="47" t="str">
        <f t="shared" si="513"/>
        <v xml:space="preserve"> </v>
      </c>
      <c r="NF145" s="57" t="str">
        <f t="shared" si="513"/>
        <v xml:space="preserve"> </v>
      </c>
      <c r="NG145" s="47" t="str">
        <f t="shared" si="513"/>
        <v xml:space="preserve"> </v>
      </c>
      <c r="NH145" s="47" t="str">
        <f t="shared" si="513"/>
        <v xml:space="preserve"> </v>
      </c>
      <c r="NI145" s="47" t="str">
        <f t="shared" si="513"/>
        <v xml:space="preserve"> </v>
      </c>
      <c r="NJ145" s="47" t="str">
        <f t="shared" si="513"/>
        <v xml:space="preserve"> </v>
      </c>
      <c r="NK145" s="47" t="str">
        <f t="shared" si="513"/>
        <v xml:space="preserve"> </v>
      </c>
      <c r="NL145" s="57" t="str">
        <f t="shared" si="513"/>
        <v xml:space="preserve"> </v>
      </c>
      <c r="NM145" s="47" t="str">
        <f t="shared" si="513"/>
        <v xml:space="preserve"> </v>
      </c>
    </row>
    <row r="146" spans="3:377" ht="15.75" customHeight="1">
      <c r="C146" s="7" t="str">
        <f t="shared" si="296"/>
        <v>level of understanding</v>
      </c>
      <c r="D146" s="21" t="str">
        <f t="shared" si="169"/>
        <v xml:space="preserve"> </v>
      </c>
      <c r="E146" s="21" t="str">
        <f t="shared" si="297"/>
        <v xml:space="preserve"> </v>
      </c>
      <c r="F146" s="21" t="str">
        <f t="shared" si="170"/>
        <v xml:space="preserve"> </v>
      </c>
      <c r="G146" s="21" t="str">
        <f t="shared" si="298"/>
        <v xml:space="preserve">ease of access(1), reputation(2), social media(1),  </v>
      </c>
      <c r="H146" s="21" t="str">
        <f t="shared" si="299"/>
        <v xml:space="preserve"> </v>
      </c>
      <c r="I146" s="21" t="str">
        <f t="shared" ref="I146" si="514">IF(I44="",I147,$C146&amp;"("&amp;I44&amp;"),"&amp;I147)</f>
        <v xml:space="preserve"> </v>
      </c>
      <c r="J146" s="21" t="str">
        <f t="shared" si="468"/>
        <v xml:space="preserve">interaction 1
 </v>
      </c>
      <c r="K146" s="21" t="str">
        <f t="shared" si="173"/>
        <v xml:space="preserve">reputation(1,75),  </v>
      </c>
      <c r="L146" s="21" t="str">
        <f t="shared" si="469"/>
        <v xml:space="preserve">reputation 75
 </v>
      </c>
      <c r="M146" s="21" t="str">
        <f t="shared" si="175"/>
        <v xml:space="preserve">portfolio(1), social innovation(1), non-profit biz(1),  </v>
      </c>
      <c r="N146" s="21" t="str">
        <f t="shared" si="176"/>
        <v xml:space="preserve">non-profits(1,12.5), reputation(1,75), marketing(1,12.5),  </v>
      </c>
      <c r="O146" s="21" t="str">
        <f t="shared" si="470"/>
        <v xml:space="preserve">non-profits(12.5),reputation(75),marketing(12.5), </v>
      </c>
      <c r="P146" s="21" t="str">
        <f t="shared" si="468"/>
        <v xml:space="preserve">biz project 1
 </v>
      </c>
      <c r="Q146" s="21" t="str">
        <f t="shared" si="178"/>
        <v xml:space="preserve"> </v>
      </c>
      <c r="R146" s="21" t="str">
        <f t="shared" si="469"/>
        <v xml:space="preserve"> </v>
      </c>
      <c r="S146" s="21" t="str">
        <f t="shared" si="179"/>
        <v xml:space="preserve">portfolio(1), biz enhancement(1), business(1), start-up(1),  </v>
      </c>
      <c r="T146" s="21" t="str">
        <f t="shared" si="180"/>
        <v xml:space="preserve">local biz(1,6.25), investors(1,6.25), reputation(1,6.25),  </v>
      </c>
      <c r="U146" s="21" t="str">
        <f t="shared" si="470"/>
        <v xml:space="preserve">local biz(6.25),investors(6.25),reputation(6.25), </v>
      </c>
      <c r="V146" s="21" t="str">
        <f t="shared" si="468"/>
        <v xml:space="preserve"> </v>
      </c>
      <c r="W146" s="21" t="str">
        <f t="shared" si="181"/>
        <v xml:space="preserve">local biz(1,),  </v>
      </c>
      <c r="X146" s="21" t="str">
        <f t="shared" si="469"/>
        <v xml:space="preserve"> </v>
      </c>
      <c r="Y146" s="21" t="str">
        <f t="shared" si="182"/>
        <v xml:space="preserve">ease of access(1), reputation(1), portfolio(1), biz project(1), biz enhancement(1), job creation(1), business(1),  </v>
      </c>
      <c r="Z146" s="21" t="str">
        <f t="shared" si="183"/>
        <v xml:space="preserve">local biz(1,6.25),  </v>
      </c>
      <c r="AA146" s="21" t="str">
        <f t="shared" si="470"/>
        <v xml:space="preserve">local biz(6.25), </v>
      </c>
      <c r="AB146" s="21" t="str">
        <f t="shared" si="468"/>
        <v xml:space="preserve"> </v>
      </c>
      <c r="AC146" s="21" t="str">
        <f t="shared" si="184"/>
        <v xml:space="preserve">non-profits(1,100),  </v>
      </c>
      <c r="AD146" s="21" t="str">
        <f t="shared" si="469"/>
        <v xml:space="preserve">non-profits 100
 </v>
      </c>
      <c r="AE146" s="21" t="str">
        <f t="shared" si="185"/>
        <v xml:space="preserve">ease of access(1), reputation(1), portfolio(1), social project(1), social innovation(1), non-profit biz(1),  </v>
      </c>
      <c r="AF146" s="21" t="str">
        <f t="shared" si="186"/>
        <v xml:space="preserve">non-profits(1,6.25),  </v>
      </c>
      <c r="AG146" s="21" t="str">
        <f t="shared" si="470"/>
        <v xml:space="preserve">non-profits(6.25), </v>
      </c>
      <c r="AH146" s="21" t="str">
        <f t="shared" si="468"/>
        <v xml:space="preserve"> </v>
      </c>
      <c r="AI146" s="21" t="str">
        <f t="shared" si="187"/>
        <v xml:space="preserve">govt(1,),  </v>
      </c>
      <c r="AJ146" s="21" t="str">
        <f t="shared" si="469"/>
        <v xml:space="preserve"> </v>
      </c>
      <c r="AK146" s="21" t="str">
        <f t="shared" si="188"/>
        <v xml:space="preserve">govt(1), ease of access(1), reputation(2), portfolio(1), social project(1), social innovation(1), non-profit biz(1),  </v>
      </c>
      <c r="AL146" s="21" t="str">
        <f t="shared" si="189"/>
        <v xml:space="preserve">govt(1,6.25),  </v>
      </c>
      <c r="AM146" s="21" t="str">
        <f t="shared" si="470"/>
        <v xml:space="preserve">govt(6.25), </v>
      </c>
      <c r="AN146" s="21" t="str">
        <f t="shared" si="468"/>
        <v xml:space="preserve"> </v>
      </c>
      <c r="AO146" s="21" t="str">
        <f t="shared" si="190"/>
        <v xml:space="preserve">investors(1,6.25),  </v>
      </c>
      <c r="AP146" s="21" t="str">
        <f t="shared" si="469"/>
        <v xml:space="preserve">investors 6.25
 </v>
      </c>
      <c r="AQ146" s="21" t="str">
        <f t="shared" si="191"/>
        <v xml:space="preserve">investors(1), ease of access(1), reputation(1), portfolio(1), start-up(1), start-up with mvp(1), start-up with customers(1),  </v>
      </c>
      <c r="AR146" s="21" t="str">
        <f t="shared" si="192"/>
        <v xml:space="preserve"> </v>
      </c>
      <c r="AS146" s="21" t="str">
        <f t="shared" si="470"/>
        <v xml:space="preserve"> </v>
      </c>
      <c r="AT146" s="21" t="str">
        <f t="shared" si="468"/>
        <v xml:space="preserve">non-profits 2
reputation 1
portfolio 1
social project 1
 </v>
      </c>
      <c r="AU146" s="21" t="str">
        <f t="shared" si="193"/>
        <v xml:space="preserve"> </v>
      </c>
      <c r="AV146" s="21" t="str">
        <f t="shared" si="469"/>
        <v xml:space="preserve"> </v>
      </c>
      <c r="AW146" s="21" t="str">
        <f t="shared" si="194"/>
        <v xml:space="preserve">project management(2),  </v>
      </c>
      <c r="AX146" s="21" t="str">
        <f t="shared" si="195"/>
        <v xml:space="preserve">organizational rules and manuals(1,12.5), project management(1,12.5),  </v>
      </c>
      <c r="AY146" s="21" t="str">
        <f t="shared" si="470"/>
        <v xml:space="preserve">organizational rules and manuals(12.5),project management(12.5), </v>
      </c>
      <c r="AZ146" s="21" t="str">
        <f t="shared" si="468"/>
        <v xml:space="preserve">non-profits 1
 </v>
      </c>
      <c r="BA146" s="21" t="str">
        <f t="shared" si="196"/>
        <v xml:space="preserve"> </v>
      </c>
      <c r="BB146" s="21" t="str">
        <f t="shared" si="469"/>
        <v xml:space="preserve"> </v>
      </c>
      <c r="BC146" s="21" t="str">
        <f t="shared" si="197"/>
        <v xml:space="preserve"> </v>
      </c>
      <c r="BD146" s="21" t="str">
        <f t="shared" si="198"/>
        <v xml:space="preserve"> </v>
      </c>
      <c r="BE146" s="21" t="str">
        <f t="shared" si="470"/>
        <v xml:space="preserve"> </v>
      </c>
      <c r="BF146" s="21" t="str">
        <f t="shared" si="468"/>
        <v xml:space="preserve">local biz 2
entrepreneurs 1
reputation 1
portfolio 1
biz project 1
 </v>
      </c>
      <c r="BG146" s="21" t="str">
        <f t="shared" si="199"/>
        <v xml:space="preserve"> </v>
      </c>
      <c r="BH146" s="21" t="str">
        <f t="shared" si="469"/>
        <v xml:space="preserve"> </v>
      </c>
      <c r="BI146" s="21" t="str">
        <f t="shared" si="200"/>
        <v xml:space="preserve">project management(2),  </v>
      </c>
      <c r="BJ146" s="21" t="str">
        <f t="shared" si="201"/>
        <v xml:space="preserve">organizational rules and manuals(1,12.5), project management(1,12.5),  </v>
      </c>
      <c r="BK146" s="21" t="str">
        <f t="shared" si="470"/>
        <v xml:space="preserve">organizational rules and manuals(12.5),project management(12.5), </v>
      </c>
      <c r="BL146" s="21" t="str">
        <f t="shared" si="468"/>
        <v xml:space="preserve">local biz 1
reputation 1
portfolio 1
biz enhancement 1
 </v>
      </c>
      <c r="BM146" s="21" t="str">
        <f t="shared" si="202"/>
        <v xml:space="preserve"> </v>
      </c>
      <c r="BN146" s="21" t="str">
        <f t="shared" si="469"/>
        <v xml:space="preserve"> </v>
      </c>
      <c r="BO146" s="21" t="str">
        <f t="shared" si="203"/>
        <v xml:space="preserve"> </v>
      </c>
      <c r="BP146" s="21" t="str">
        <f t="shared" si="204"/>
        <v xml:space="preserve"> </v>
      </c>
      <c r="BQ146" s="21" t="str">
        <f t="shared" si="470"/>
        <v xml:space="preserve"> </v>
      </c>
      <c r="BR146" s="21" t="str">
        <f t="shared" si="468"/>
        <v xml:space="preserve"> </v>
      </c>
      <c r="BS146" s="21" t="str">
        <f t="shared" si="205"/>
        <v xml:space="preserve"> </v>
      </c>
      <c r="BT146" s="21" t="str">
        <f t="shared" si="469"/>
        <v xml:space="preserve"> </v>
      </c>
      <c r="BU146" s="21" t="str">
        <f t="shared" si="206"/>
        <v xml:space="preserve"> </v>
      </c>
      <c r="BV146" s="21" t="str">
        <f t="shared" si="207"/>
        <v xml:space="preserve"> </v>
      </c>
      <c r="BW146" s="21" t="str">
        <f t="shared" si="470"/>
        <v xml:space="preserve"> </v>
      </c>
      <c r="BX146" s="21" t="str">
        <f t="shared" si="471"/>
        <v xml:space="preserve"> </v>
      </c>
      <c r="BY146" s="21" t="str">
        <f t="shared" si="209"/>
        <v xml:space="preserve">efficiency(1,),  </v>
      </c>
      <c r="BZ146" s="21" t="str">
        <f t="shared" si="472"/>
        <v xml:space="preserve"> </v>
      </c>
      <c r="CA146" s="21" t="str">
        <f t="shared" si="211"/>
        <v xml:space="preserve">negotiation(1),  </v>
      </c>
      <c r="CB146" s="21" t="str">
        <f t="shared" si="212"/>
        <v xml:space="preserve">user rules and manuals(1,50), organizational rules and manuals(1,50),  </v>
      </c>
      <c r="CC146" s="21" t="str">
        <f t="shared" si="473"/>
        <v xml:space="preserve">user rules and manuals(50),organizational rules and manuals(50), </v>
      </c>
      <c r="CD146" s="21" t="str">
        <f t="shared" si="471"/>
        <v xml:space="preserve"> </v>
      </c>
      <c r="CE146" s="21" t="str">
        <f t="shared" si="214"/>
        <v xml:space="preserve">non-profits(1,),  </v>
      </c>
      <c r="CF146" s="21" t="str">
        <f t="shared" si="472"/>
        <v xml:space="preserve"> </v>
      </c>
      <c r="CG146" s="21" t="str">
        <f t="shared" si="215"/>
        <v xml:space="preserve">ease of access(1), portfolio(1), user rules and manuals(1), negotiation(1), social project(1), biz project(1), for basic literacy(1), for the elites(1), for entrepreneurs(1),  </v>
      </c>
      <c r="CH146" s="21" t="str">
        <f t="shared" si="216"/>
        <v xml:space="preserve">technologists(1,6.25), non-profits(1,6.25),  </v>
      </c>
      <c r="CI146" s="21" t="str">
        <f t="shared" si="473"/>
        <v xml:space="preserve">technologists(6.25),non-profits(6.25), </v>
      </c>
      <c r="CJ146" s="21" t="str">
        <f t="shared" si="471"/>
        <v xml:space="preserve"> </v>
      </c>
      <c r="CK146" s="21" t="str">
        <f t="shared" si="217"/>
        <v xml:space="preserve">suppliers(1,),  </v>
      </c>
      <c r="CL146" s="21" t="str">
        <f t="shared" si="472"/>
        <v xml:space="preserve"> </v>
      </c>
      <c r="CM146" s="21" t="str">
        <f t="shared" si="218"/>
        <v xml:space="preserve">reputation(1), negotiation(1),  </v>
      </c>
      <c r="CN146" s="21" t="str">
        <f t="shared" si="219"/>
        <v xml:space="preserve">efficiency(1,6.25),  </v>
      </c>
      <c r="CO146" s="21" t="str">
        <f t="shared" si="473"/>
        <v xml:space="preserve">efficiency(6.25), </v>
      </c>
      <c r="CP146" s="21" t="str">
        <f t="shared" si="471"/>
        <v xml:space="preserve"> </v>
      </c>
      <c r="CQ146" s="21" t="str">
        <f t="shared" si="220"/>
        <v xml:space="preserve">technologists(1,),  </v>
      </c>
      <c r="CR146" s="21" t="str">
        <f t="shared" si="472"/>
        <v xml:space="preserve"> </v>
      </c>
      <c r="CS146" s="21" t="str">
        <f t="shared" si="221"/>
        <v xml:space="preserve">portfolio(1), negotiation(1), web(1), infrastructrue(1), database(1), mobile apps(1), sensors(1), security(1), AI&amp; data analysis(1), mobile comm(1), VR&amp;AR(1), wood processing(1), metal processing(1), plastic processing(1), electronics(1), fabric(1),  </v>
      </c>
      <c r="CT146" s="21" t="str">
        <f t="shared" si="222"/>
        <v xml:space="preserve">efficiency(1,6.25),  </v>
      </c>
      <c r="CU146" s="21" t="str">
        <f t="shared" si="473"/>
        <v xml:space="preserve">efficiency(6.25), </v>
      </c>
      <c r="CV146" s="21" t="str">
        <f t="shared" si="471"/>
        <v xml:space="preserve"> </v>
      </c>
      <c r="CW146" s="21" t="str">
        <f t="shared" si="223"/>
        <v xml:space="preserve">local biz(1,),  </v>
      </c>
      <c r="CX146" s="21" t="str">
        <f t="shared" si="472"/>
        <v xml:space="preserve"> </v>
      </c>
      <c r="CY146" s="21" t="str">
        <f t="shared" si="224"/>
        <v xml:space="preserve">ease of access(1), reputation(1), portfolio(1), negotiation(1),  </v>
      </c>
      <c r="CZ146" s="21" t="str">
        <f t="shared" si="225"/>
        <v xml:space="preserve">non-profits(1,6.25),  </v>
      </c>
      <c r="DA146" s="21" t="str">
        <f t="shared" si="473"/>
        <v xml:space="preserve">non-profits(6.25), </v>
      </c>
      <c r="DB146" s="21" t="str">
        <f t="shared" si="471"/>
        <v xml:space="preserve"> </v>
      </c>
      <c r="DC146" s="21" t="str">
        <f t="shared" si="226"/>
        <v xml:space="preserve"> </v>
      </c>
      <c r="DD146" s="21" t="str">
        <f t="shared" si="472"/>
        <v xml:space="preserve"> </v>
      </c>
      <c r="DE146"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6" s="21" t="str">
        <f t="shared" si="228"/>
        <v xml:space="preserve">local biz(1,6.25), biz group(1,6.25), investors(1,6.25), entrepreneurs(1,6.25),  </v>
      </c>
      <c r="DG146" s="21" t="str">
        <f t="shared" si="473"/>
        <v xml:space="preserve">local biz(6.25),biz group(6.25),investors(6.25),entrepreneurs(6.25), </v>
      </c>
      <c r="DH146" s="21" t="str">
        <f t="shared" si="471"/>
        <v xml:space="preserve">non-profits 1
reputation 1
social project 1
 </v>
      </c>
      <c r="DI146" s="21" t="str">
        <f t="shared" si="229"/>
        <v xml:space="preserve"> </v>
      </c>
      <c r="DJ146" s="21" t="str">
        <f t="shared" si="472"/>
        <v xml:space="preserve"> </v>
      </c>
      <c r="DK146"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6" s="21" t="str">
        <f t="shared" si="231"/>
        <v xml:space="preserve">reputation(1,6.25),  </v>
      </c>
      <c r="DM146" s="21" t="str">
        <f t="shared" si="473"/>
        <v xml:space="preserve">reputation(6.25), </v>
      </c>
      <c r="DN146" s="21" t="str">
        <f t="shared" si="471"/>
        <v xml:space="preserve">local biz 1
reputation 1
biz project 1
 </v>
      </c>
      <c r="DO146" s="21" t="str">
        <f t="shared" si="232"/>
        <v xml:space="preserve"> </v>
      </c>
      <c r="DP146" s="21" t="str">
        <f t="shared" si="472"/>
        <v xml:space="preserve"> </v>
      </c>
      <c r="DQ146" s="21" t="str">
        <f t="shared" si="233"/>
        <v xml:space="preserve">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6" s="21" t="str">
        <f t="shared" si="234"/>
        <v xml:space="preserve">reputation(1,6.25),  </v>
      </c>
      <c r="DS146" s="21" t="str">
        <f t="shared" si="473"/>
        <v xml:space="preserve">reputation(6.25), </v>
      </c>
      <c r="DT146" s="21" t="str">
        <f t="shared" si="471"/>
        <v xml:space="preserve">reputation 1
 </v>
      </c>
      <c r="DU146" s="21" t="str">
        <f t="shared" si="235"/>
        <v xml:space="preserve"> </v>
      </c>
      <c r="DV146" s="21" t="str">
        <f t="shared" si="472"/>
        <v xml:space="preserve"> </v>
      </c>
      <c r="DW146" s="21" t="str">
        <f t="shared" si="236"/>
        <v xml:space="preserve">local biz(1), biz group(1), govt(2), investors(1), media(2), entrepreneurs(1), technologists(1), non-profits(1), spaciousness(1), ease of access(1), reputation(2), efficiency(1), organizational rules and manuals(1), marketing(1), social media(1), for basic literacy(1),  </v>
      </c>
      <c r="DX146" s="21" t="str">
        <f t="shared" si="237"/>
        <v xml:space="preserve">reputation(1,6.25), for basic literacy(1,6.25),  </v>
      </c>
      <c r="DY146" s="21" t="str">
        <f t="shared" si="473"/>
        <v xml:space="preserve">reputation(6.25),for basic literacy(6.25), </v>
      </c>
      <c r="DZ146" s="21" t="str">
        <f t="shared" si="471"/>
        <v xml:space="preserve">reputation 1
 </v>
      </c>
      <c r="EA146" s="21" t="str">
        <f t="shared" si="238"/>
        <v xml:space="preserve"> </v>
      </c>
      <c r="EB146" s="21" t="str">
        <f t="shared" si="472"/>
        <v xml:space="preserve"> </v>
      </c>
      <c r="EC146" s="21" t="str">
        <f t="shared" si="239"/>
        <v xml:space="preserve">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6" s="21" t="str">
        <f t="shared" si="240"/>
        <v xml:space="preserve">reputation(1,6.25), for basic literacy(1,6.25),  </v>
      </c>
      <c r="EE146" s="21" t="str">
        <f t="shared" si="473"/>
        <v xml:space="preserve">reputation(6.25),for basic literacy(6.25), </v>
      </c>
      <c r="EF146" s="21" t="str">
        <f t="shared" si="471"/>
        <v xml:space="preserve">technologists 1
reputation 1
 </v>
      </c>
      <c r="EG146" s="21" t="str">
        <f t="shared" si="241"/>
        <v xml:space="preserve">web(1,50), mobile apps(1,50), interaction(1,50),  </v>
      </c>
      <c r="EH146" s="21" t="str">
        <f t="shared" si="472"/>
        <v xml:space="preserve">web 50
mobile apps 50
interaction 50
 </v>
      </c>
      <c r="EI146" s="21" t="str">
        <f t="shared" si="242"/>
        <v xml:space="preserve">level of understanding(1), technologists(2), ease of access(1), reputation(2), infrastructrue(1), database(1), mobile comm(1), for entrepreneurs(1),  </v>
      </c>
      <c r="EJ146" s="21" t="str">
        <f t="shared" si="243"/>
        <v xml:space="preserve">technologists(1,12.5), infrastructrue(1,12.5), database(1,12.5), mobile comm(1,12.5), for entrepreneurs(1,6.25),  </v>
      </c>
      <c r="EK146" s="21" t="str">
        <f t="shared" si="473"/>
        <v xml:space="preserve">technologists(12.5),infrastructrue(12.5),database(12.5),mobile comm(12.5),for entrepreneurs(6.25), </v>
      </c>
      <c r="EL146" s="21" t="str">
        <f t="shared" si="474"/>
        <v xml:space="preserve">technologists 1
reputation 1
 </v>
      </c>
      <c r="EM146" s="21" t="str">
        <f t="shared" si="245"/>
        <v xml:space="preserve">sensors(1,50),  </v>
      </c>
      <c r="EN146" s="21" t="str">
        <f t="shared" si="475"/>
        <v xml:space="preserve">sensors 50
 </v>
      </c>
      <c r="EO146" s="21" t="str">
        <f t="shared" si="247"/>
        <v xml:space="preserve">level of understanding(1), technologists(2), ease of access(1), reputation(2), project management(2), infrastructrue(1), database(1), mobile comm(1), for entrepreneurs(1),  </v>
      </c>
      <c r="EP146" s="21" t="str">
        <f t="shared" si="248"/>
        <v xml:space="preserve">technologists(1,12.5), infrastructrue(1,12.5), database(1,12.5), mobile comm(1,12.5), electronics(1,6.25), for entrepreneurs(1,6.25),  </v>
      </c>
      <c r="EQ146" s="21" t="str">
        <f t="shared" si="476"/>
        <v xml:space="preserve">technologists(12.5),infrastructrue(12.5),database(12.5),mobile comm(12.5),electronics(6.25),for entrepreneurs(6.25), </v>
      </c>
      <c r="ER146" s="21" t="str">
        <f t="shared" si="474"/>
        <v xml:space="preserve">technologists 1
 </v>
      </c>
      <c r="ES146" s="21" t="str">
        <f t="shared" si="250"/>
        <v xml:space="preserve">AI&amp; data analysis(1,50),  </v>
      </c>
      <c r="ET146" s="21" t="str">
        <f t="shared" si="475"/>
        <v xml:space="preserve">AI&amp; data analysis 50
 </v>
      </c>
      <c r="EU146" s="21" t="str">
        <f t="shared" si="251"/>
        <v xml:space="preserve">level of understanding(1), technologists(2), ease of access(1), reputation(2), database(1), sensors(1), mobile comm(1), for entrepreneurs(1),  </v>
      </c>
      <c r="EV146" s="21" t="str">
        <f t="shared" si="252"/>
        <v xml:space="preserve">technologists(1,12.5), database(1,12.5), sensors(1,12.5), mobile comm(1,12.5), for entrepreneurs(1,6.25),  </v>
      </c>
      <c r="EW146" s="21" t="str">
        <f t="shared" si="476"/>
        <v xml:space="preserve">technologists(12.5),database(12.5),sensors(12.5),mobile comm(12.5),for entrepreneurs(6.25), </v>
      </c>
      <c r="EX146" s="21" t="str">
        <f t="shared" si="474"/>
        <v xml:space="preserve">technologists 1
 </v>
      </c>
      <c r="EY146" s="21" t="str">
        <f t="shared" si="253"/>
        <v xml:space="preserve">law(1,50), security(1,50), interaction(1,25),  </v>
      </c>
      <c r="EZ146" s="21" t="str">
        <f t="shared" si="475"/>
        <v xml:space="preserve">law 50
security 50
interaction 25
 </v>
      </c>
      <c r="FA146" s="21" t="str">
        <f t="shared" si="254"/>
        <v xml:space="preserve">level of understanding(1), technologists(2), ease of access(1), reputation(2), law(2), for entrepreneurs(1),  </v>
      </c>
      <c r="FB146" s="21" t="str">
        <f t="shared" si="255"/>
        <v xml:space="preserve">technologists(1,12.5), law(1,6.25), database(1,12.5), mobile apps(1,12.5), security(1,12.5), mobile comm(1,12.5), for entrepreneurs(1,6.25),  </v>
      </c>
      <c r="FC146" s="21" t="str">
        <f t="shared" si="476"/>
        <v xml:space="preserve">technologists(12.5),law(6.25),database(12.5),mobile apps(12.5),security(12.5),mobile comm(12.5),for entrepreneurs(6.25), </v>
      </c>
      <c r="FD146" s="21" t="str">
        <f t="shared" si="474"/>
        <v xml:space="preserve">technologists 1
 </v>
      </c>
      <c r="FE146" s="21" t="str">
        <f t="shared" si="256"/>
        <v xml:space="preserve">law(1,50), sensors(1,50), security(1,50),  </v>
      </c>
      <c r="FF146" s="21" t="str">
        <f t="shared" si="475"/>
        <v xml:space="preserve">law 50
sensors 50
security 50
 </v>
      </c>
      <c r="FG146" s="21" t="str">
        <f t="shared" si="257"/>
        <v xml:space="preserve">level of understanding(1), technologists(2), ease of access(1), reputation(2), law(2), project management(2), for entrepreneurs(1),  </v>
      </c>
      <c r="FH146" s="21" t="str">
        <f t="shared" si="258"/>
        <v xml:space="preserve">technologists(1,12.5), law(1,6.25), database(1,6.25), mobile apps(1,6.25), AI&amp; data analysis(1,6.25), mobile comm(1,6.25), for entrepreneurs(1,6.25),  </v>
      </c>
      <c r="FI146" s="21" t="str">
        <f t="shared" si="476"/>
        <v xml:space="preserve">technologists(12.5),law(6.25),database(6.25),mobile apps(6.25),AI&amp; data analysis(6.25),mobile comm(6.25),for entrepreneurs(6.25), </v>
      </c>
      <c r="FJ146" s="21" t="str">
        <f t="shared" si="474"/>
        <v xml:space="preserve">technologists 1
 </v>
      </c>
      <c r="FK146" s="21" t="str">
        <f t="shared" si="259"/>
        <v xml:space="preserve">wood processing(1,25), metal processing(1,25), plastic processing(1,25), fabric(1,25), safety(1,25), interaction(1,25),  </v>
      </c>
      <c r="FL146" s="21" t="str">
        <f t="shared" si="475"/>
        <v xml:space="preserve">project management 2
wood processing 25
metal processing 25
plastic processing 25
fabric 25
safety 25
interaction 25
 </v>
      </c>
      <c r="FM146" s="21" t="str">
        <f t="shared" si="260"/>
        <v xml:space="preserve">level of understanding(1), technologists(2), spaciousness(1), ease of access(1), reputation(2), for entrepreneurs(1),  </v>
      </c>
      <c r="FN146" s="21" t="str">
        <f t="shared" si="261"/>
        <v xml:space="preserve">technologists(1,12.5), for entrepreneurs(1,6.25),  </v>
      </c>
      <c r="FO146" s="21" t="str">
        <f t="shared" si="476"/>
        <v xml:space="preserve">technologists(12.5),for entrepreneurs(6.25), </v>
      </c>
      <c r="FP146" s="21" t="str">
        <f t="shared" si="474"/>
        <v xml:space="preserve">technologists 1
 </v>
      </c>
      <c r="FQ146" s="21" t="str">
        <f t="shared" si="262"/>
        <v xml:space="preserve">web(1,25), mobile apps(1,50), functions(1,25), interaction(1,25),  </v>
      </c>
      <c r="FR146" s="21" t="str">
        <f t="shared" si="475"/>
        <v xml:space="preserve">web 25
mobile apps 50
functions 25
interaction 25
 </v>
      </c>
      <c r="FS146" s="21" t="str">
        <f t="shared" si="263"/>
        <v xml:space="preserve">level of understanding(1), technologists(2), spaciousness(1), ease of access(1), reputation(2), for entrepreneurs(1),  </v>
      </c>
      <c r="FT146" s="21" t="str">
        <f t="shared" si="264"/>
        <v xml:space="preserve">technologists(1,12.5), for entrepreneurs(1,6.25),  </v>
      </c>
      <c r="FU146" s="21" t="str">
        <f t="shared" si="476"/>
        <v xml:space="preserve">technologists(12.5),for entrepreneurs(6.25), </v>
      </c>
      <c r="FV146" s="21" t="str">
        <f t="shared" si="474"/>
        <v xml:space="preserve">technologists 1
 </v>
      </c>
      <c r="FW146" s="21" t="str">
        <f t="shared" si="265"/>
        <v xml:space="preserve">mobile apps(1,50), sensors(1,50), wood processing(1,25), plastic processing(1,25), electronics(1,25), functions(1,25), interaction(1,25),  </v>
      </c>
      <c r="FX146" s="21" t="str">
        <f t="shared" si="475"/>
        <v xml:space="preserve">mobile apps 50
sensors 50
wood processing 25
plastic processing 25
electronics 25
functions 25
interaction 25
 </v>
      </c>
      <c r="FY146" s="21" t="str">
        <f t="shared" si="266"/>
        <v xml:space="preserve">level of understanding(1), technologists(2), spaciousness(1), ease of access(1), reputation(2), project management(2), for entrepreneurs(1),  </v>
      </c>
      <c r="FZ146" s="21" t="str">
        <f t="shared" si="267"/>
        <v xml:space="preserve">technologists(1,12.5), web(1,6.25), database(1,6.25), AI&amp; data analysis(1,6.25), mobile comm(1,6.25), for entrepreneurs(1,6.25),  </v>
      </c>
      <c r="GA146" s="21" t="str">
        <f t="shared" si="476"/>
        <v xml:space="preserve">technologists(12.5),web(6.25),database(6.25),AI&amp; data analysis(6.25),mobile comm(6.25),for entrepreneurs(6.25), </v>
      </c>
      <c r="GB146" s="21" t="str">
        <f t="shared" si="474"/>
        <v xml:space="preserve">technologists 1
 </v>
      </c>
      <c r="GC146" s="21" t="str">
        <f t="shared" si="268"/>
        <v xml:space="preserve">sensors(1,25), mobile comm(1,25), electronics(1,50), functions(1,25), safety(1,25),  </v>
      </c>
      <c r="GD146" s="21" t="str">
        <f t="shared" si="475"/>
        <v xml:space="preserve">sensors 25
mobile comm 25
electronics 50
functions 25
safety 25
 </v>
      </c>
      <c r="GE146" s="21" t="str">
        <f t="shared" si="269"/>
        <v xml:space="preserve">level of understanding(1), technologists(2), spaciousness(1), ease of access(1), reputation(2), project management(2), for entrepreneurs(1),  </v>
      </c>
      <c r="GF146" s="21" t="str">
        <f t="shared" si="270"/>
        <v xml:space="preserve">technologists(1,12.5), database(1,6.25), mobile apps(1,6.25), AI&amp; data analysis(1,6.25), plastic processing(1,6.25), interaction(1,6.25), for entrepreneurs(1,6.25),  </v>
      </c>
      <c r="GG146" s="21" t="str">
        <f t="shared" si="476"/>
        <v xml:space="preserve">technologists(12.5),database(6.25),mobile apps(6.25),AI&amp; data analysis(6.25),plastic processing(6.25),interaction(6.25),for entrepreneurs(6.25), </v>
      </c>
      <c r="GH146" s="21" t="str">
        <f t="shared" si="474"/>
        <v xml:space="preserve">technologists 1
 </v>
      </c>
      <c r="GI146" s="21" t="str">
        <f t="shared" si="271"/>
        <v xml:space="preserve">web(1,25), mobile apps(1,50), functions(1,25), interaction(1,25),  </v>
      </c>
      <c r="GJ146" s="21" t="str">
        <f t="shared" si="475"/>
        <v xml:space="preserve">web 25
mobile apps 50
functions 25
interaction 25
 </v>
      </c>
      <c r="GK146" s="21" t="str">
        <f t="shared" si="272"/>
        <v xml:space="preserve">level of understanding(1), technologists(2), spaciousness(1), ease of access(1), reputation(2), project management(2), for entrepreneurs(1),  </v>
      </c>
      <c r="GL146" s="21" t="str">
        <f t="shared" si="273"/>
        <v xml:space="preserve">technologists(1,12.5), for entrepreneurs(1,6.25),  </v>
      </c>
      <c r="GM146" s="21" t="str">
        <f t="shared" si="476"/>
        <v xml:space="preserve">technologists(12.5),for entrepreneurs(6.25), </v>
      </c>
      <c r="GN146" s="21" t="str">
        <f t="shared" si="474"/>
        <v xml:space="preserve">technologists 1
 </v>
      </c>
      <c r="GO146" s="21" t="str">
        <f t="shared" si="274"/>
        <v xml:space="preserve">web(1,25), mobile apps(1,25), VR&amp;AR(1,25), aesthetics(1,25), functions(1,25), interaction(1,50),  </v>
      </c>
      <c r="GP146" s="21" t="str">
        <f t="shared" si="475"/>
        <v xml:space="preserve">web 25
mobile apps 25
VR&amp;AR 25
aesthetics 25
functions 25
interaction 50
 </v>
      </c>
      <c r="GQ146" s="21" t="str">
        <f t="shared" si="275"/>
        <v xml:space="preserve">level of understanding(1), technologists(2), spaciousness(1), ease of access(1), reputation(2), project management(2), for entrepreneurs(1),  </v>
      </c>
      <c r="GR146" s="21" t="str">
        <f t="shared" si="276"/>
        <v xml:space="preserve">technologists(1,12.5), for entrepreneurs(1,6.25),  </v>
      </c>
      <c r="GS146" s="21" t="str">
        <f t="shared" si="476"/>
        <v xml:space="preserve">technologists(12.5),for entrepreneurs(6.25), </v>
      </c>
      <c r="GT146" s="21" t="str">
        <f t="shared" si="474"/>
        <v xml:space="preserve">ease of access 1
reputation 2
web 1
mobile apps 1
mobile comm 1
 </v>
      </c>
      <c r="GU146" s="21" t="str">
        <f t="shared" si="277"/>
        <v xml:space="preserve"> </v>
      </c>
      <c r="GV146" s="21" t="str">
        <f t="shared" si="475"/>
        <v xml:space="preserve"> </v>
      </c>
      <c r="GW146" s="21" t="str">
        <f t="shared" si="278"/>
        <v xml:space="preserve">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6" s="21" t="str">
        <f t="shared" si="279"/>
        <v xml:space="preserve">media(1,6.25), entrepreneurs(1,6.25), technologists(1,6.25), project management(1,6.25), social media(1,6.25), web(1,6.25), mobile apps(1,6.25),  </v>
      </c>
      <c r="GY146" s="21" t="str">
        <f t="shared" si="476"/>
        <v xml:space="preserve">media(6.25),entrepreneurs(6.25),technologists(6.25),project management(6.25),social media(6.25),web(6.25),mobile apps(6.25), </v>
      </c>
      <c r="GZ146" s="21" t="str">
        <f t="shared" si="477"/>
        <v xml:space="preserve">govt 1
non-profits 1
reputation 2
portfolio 1
 </v>
      </c>
      <c r="HA146" s="21" t="str">
        <f t="shared" si="281"/>
        <v xml:space="preserve"> </v>
      </c>
      <c r="HB146" s="21" t="str">
        <f t="shared" si="478"/>
        <v xml:space="preserve"> </v>
      </c>
      <c r="HC146" s="21" t="str">
        <f t="shared" si="283"/>
        <v xml:space="preserve">govt(3), non-profits(3), reputation(4), portfolio(3), social media(2), web(2), mobile apps(2), sensors(2), AI&amp; data analysis(2), VR&amp;AR(2), plastic processing(2), electronics(2), aesthetics(2), interaction(2),  </v>
      </c>
      <c r="HD146" s="21" t="str">
        <f t="shared" si="284"/>
        <v xml:space="preserve">media(1,6.25), technologists(1,6.25), non-profits(1,6.25), reputation(1,6.25), start-up with customers(1,6.25), for basic literacy(1,6.25),  </v>
      </c>
      <c r="HE146" s="21" t="str">
        <f t="shared" si="479"/>
        <v xml:space="preserve">media(6.25),technologists(6.25),non-profits(6.25),reputation(6.25),start-up with customers(6.25),for basic literacy(6.25), </v>
      </c>
      <c r="HF146" s="21" t="str">
        <f t="shared" si="477"/>
        <v xml:space="preserve"> </v>
      </c>
      <c r="HG146" s="21" t="str">
        <f t="shared" si="286"/>
        <v xml:space="preserve"> </v>
      </c>
      <c r="HH146" s="21" t="str">
        <f t="shared" si="478"/>
        <v xml:space="preserve"> </v>
      </c>
      <c r="HI146" s="21" t="str">
        <f t="shared" si="287"/>
        <v xml:space="preserve">portfolio(3), marketing(2), team building(3), project management(2), mobile apps(3), sensors(2), plastic processing(2), electronics(2), aesthetics(2), functions(2), interaction(2),  </v>
      </c>
      <c r="HJ146" s="21" t="str">
        <f t="shared" si="288"/>
        <v xml:space="preserve">govt(1,6.25), media(1,6.25), non-profits(1,6.25), start-up with customers(1,6.25),  </v>
      </c>
      <c r="HK146" s="21" t="str">
        <f t="shared" si="479"/>
        <v xml:space="preserve">govt(6.25),media(6.25),non-profits(6.25),start-up with customers(6.25), </v>
      </c>
      <c r="HL146" s="21" t="str">
        <f t="shared" si="477"/>
        <v xml:space="preserve">local biz 1
entrepreneurs 1
non-profits 1
reputation 2
portfolio 2
 </v>
      </c>
      <c r="HM146" s="21" t="str">
        <f t="shared" si="289"/>
        <v xml:space="preserve"> </v>
      </c>
      <c r="HN146" s="21" t="str">
        <f t="shared" si="478"/>
        <v xml:space="preserve"> </v>
      </c>
      <c r="HO146" s="21" t="str">
        <f t="shared" si="290"/>
        <v xml:space="preserve">level of understanding(2), local biz(3), biz group(2), investors(2), entrepreneurs(3), spaciousness(2), ease of access(2), reputation(3), efficiency(2), portfolio(4), finance(2), marketing(2), project management(2), social media(2), web(3), mobile apps(2), wood processing(3), plastic processing(3), electronics(3), aesthetics(2), interaction(2),  </v>
      </c>
      <c r="HP146" s="21" t="str">
        <f t="shared" si="291"/>
        <v xml:space="preserve">level of understanding(1,6.25), local biz(1,6.25), biz group(1,6.25), govt(1,6.25), investors(1,6.25), media(1,6.25), entrepreneurs(1,6.25), technologists(1,6.25), suppliers(1,6.25), non-profits(1,6.25), reputation(1,6.25),  </v>
      </c>
      <c r="HQ146" s="47" t="str">
        <f t="shared" si="479"/>
        <v xml:space="preserve">level of understanding(6.25),local biz(6.25),biz group(6.25),govt(6.25),investors(6.25),media(6.25),entrepreneurs(6.25),technologists(6.25),suppliers(6.25),non-profits(6.25),reputation(6.25), </v>
      </c>
      <c r="HR146" s="47" t="str">
        <f t="shared" ref="HR146:HW146" si="515">IF(HR44="",HR147,$C146&amp;"("&amp;HR44&amp;"),"&amp;HR147)</f>
        <v xml:space="preserve">reputation(2),portfolio(2),mobile apps(1),sensors(1),wood processing(1),aesthetics(1), </v>
      </c>
      <c r="HS146" s="47" t="str">
        <f t="shared" si="515"/>
        <v xml:space="preserve"> </v>
      </c>
      <c r="HT146" s="47" t="str">
        <f t="shared" si="515"/>
        <v xml:space="preserve"> </v>
      </c>
      <c r="HU146" s="47" t="str">
        <f t="shared" si="515"/>
        <v xml:space="preserve">level of understanding(2),local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6" s="47" t="str">
        <f t="shared" si="515"/>
        <v xml:space="preserve">local biz(1),biz group(1),govt(1),investors(1),media(1),entrepreneurs(1),technologists(1),suppliers(1),non-profits(1),reputation(1), </v>
      </c>
      <c r="HW146" s="47" t="str">
        <f t="shared" si="515"/>
        <v xml:space="preserve">local biz(6.25),biz group(6.25),govt(6.25),investors(6.25),media(6.25),entrepreneurs(6.25),technologists(12.5),suppliers(6.25),non-profits(6.25),reputation(6.25), </v>
      </c>
      <c r="HX146" s="47" t="str">
        <f t="shared" ref="HX146:IU146" si="516">IF(HX44="",HX147,$C146&amp;"("&amp;HX44&amp;"),"&amp;HX147)</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6" s="47" t="str">
        <f t="shared" si="516"/>
        <v xml:space="preserve">biz enhancement(1), </v>
      </c>
      <c r="HZ146" s="47" t="str">
        <f t="shared" si="516"/>
        <v xml:space="preserve">biz enhancement(100), </v>
      </c>
      <c r="IA146" s="47" t="str">
        <f t="shared" si="516"/>
        <v xml:space="preserve">ambition(2),knowledge(2),spaciousness(2),ease of access(3),efficiency(2),portfolio(4),finance(2),business model(2),marketing(3),team building(2),project management(2),social media(3),negotiation(3), </v>
      </c>
      <c r="IB146" s="47" t="str">
        <f t="shared" si="516"/>
        <v xml:space="preserve">level of understanding(1),ambition(1),local biz(1),biz group(1),govt(1),media(1),entrepreneurs(1),technologists(1),non-profits(1),reputation(1),team building(1),database(1),AI&amp; data analysis(1),electronics(1),functions(1), </v>
      </c>
      <c r="IC146" s="47" t="str">
        <f t="shared" si="516"/>
        <v xml:space="preserve">level of understanding(6.25),ambition(6.25),local biz(6.25),biz group(6.25),govt(6.25),media(6.25),entrepreneurs(6.25),technologists(6.25),non-profits(6.25),reputation(6.25),team building(6.25),database(6.25),AI&amp; data analysis(6.25),electronics(6.25),functions(6.25), </v>
      </c>
      <c r="ID146" s="47" t="str">
        <f t="shared" si="516"/>
        <v xml:space="preserve">technologists(2), </v>
      </c>
      <c r="IE146" s="47" t="str">
        <f t="shared" si="516"/>
        <v xml:space="preserve">web(1),mobile apps(1),security(1),AI&amp; data analysis(1), </v>
      </c>
      <c r="IF146" s="47" t="str">
        <f t="shared" si="516"/>
        <v xml:space="preserve">web(25),mobile apps(25),security(25),AI&amp; data analysis(25), </v>
      </c>
      <c r="IG146" s="47" t="str">
        <f t="shared" si="516"/>
        <v xml:space="preserve">entrepreneurs(3),technologists(4),spaciousness(2),ease of access(2),reputation(3),efficiency(2),portfolio(3),web(2),database(2),mobile apps(2),security(2),AI&amp; data analysis(2), </v>
      </c>
      <c r="IH146" s="47" t="str">
        <f t="shared" si="516"/>
        <v xml:space="preserve">technologists(1),web(1),database(1),mobile apps(1),security(1),AI&amp; data analysis(1), </v>
      </c>
      <c r="II146" s="47" t="str">
        <f t="shared" si="516"/>
        <v xml:space="preserve">technologists(6.25),web(6.25),database(6.25),mobile apps(6.25),security(6.25),AI&amp; data analysis(6.25), </v>
      </c>
      <c r="IJ146" s="47" t="str">
        <f t="shared" si="516"/>
        <v xml:space="preserve">technologists(2), </v>
      </c>
      <c r="IK146" s="47" t="str">
        <f t="shared" si="516"/>
        <v xml:space="preserve">wood processing(1),metal processing(1),functions(1),safety(1), </v>
      </c>
      <c r="IL146" s="47" t="str">
        <f t="shared" si="516"/>
        <v xml:space="preserve">wood processing(25),metal processing(25),functions(25),safety(25), </v>
      </c>
      <c r="IM146" s="47" t="str">
        <f t="shared" si="516"/>
        <v xml:space="preserve">entrepreneurs(3),technologists(4),spaciousness(2),ease of access(2),reputation(3),efficiency(2),portfolio(3),wood processing(2),metal processing(2),functions(2),safety(2), </v>
      </c>
      <c r="IN146" s="47" t="str">
        <f t="shared" si="516"/>
        <v xml:space="preserve">technologists(1),wood processing(1),metal processing(1),functions(1),safety(1),interaction(1), </v>
      </c>
      <c r="IO146" s="47" t="str">
        <f t="shared" si="516"/>
        <v xml:space="preserve">technologists(6.25),wood processing(6.25),metal processing(6.25),functions(6.25),safety(6.25),interaction(6.25), </v>
      </c>
      <c r="IP146" s="57" t="str">
        <f t="shared" si="516"/>
        <v xml:space="preserve">local biz(2),reputation(1), </v>
      </c>
      <c r="IQ146" s="47" t="str">
        <f t="shared" si="516"/>
        <v xml:space="preserve">local biz(1),marketing(1), </v>
      </c>
      <c r="IR146" s="47" t="str">
        <f t="shared" si="516"/>
        <v xml:space="preserve">local biz(25),marketing(25), </v>
      </c>
      <c r="IS146" s="47" t="str">
        <f t="shared" si="516"/>
        <v xml:space="preserve">level of understanding(3),local biz(3),biz group(2),govt(2),non-profits(2),reputation(3),efficiency(2),marketing(2), </v>
      </c>
      <c r="IT146" s="47" t="str">
        <f t="shared" si="516"/>
        <v xml:space="preserve">local biz(1),biz group(1),govt(1),non-profits(1),marketing(1), </v>
      </c>
      <c r="IU146" s="47" t="str">
        <f t="shared" si="516"/>
        <v xml:space="preserve">local biz(6.25),biz group(6.25),govt(6.25),non-profits(6.25),marketing(6.25), </v>
      </c>
      <c r="IV146" s="57" t="str">
        <f t="shared" ref="IV146:LG146" si="517">IF(IV44="",IV147,$C146&amp;"("&amp;IV44&amp;"),"&amp;IV147)</f>
        <v xml:space="preserve">local biz(2),reputation(1), </v>
      </c>
      <c r="IW146" s="47" t="str">
        <f t="shared" si="517"/>
        <v xml:space="preserve">local biz(1),marketing(1), </v>
      </c>
      <c r="IX146" s="47" t="str">
        <f t="shared" si="517"/>
        <v xml:space="preserve">local biz(25),marketing(25), </v>
      </c>
      <c r="IY146" s="47" t="str">
        <f t="shared" si="517"/>
        <v xml:space="preserve">level of understanding(3),local biz(3),biz group(2),govt(2),reputation(3),efficiency(2),marketing(2), </v>
      </c>
      <c r="IZ146" s="47" t="str">
        <f t="shared" si="517"/>
        <v xml:space="preserve">local biz(1),biz group(1),govt(1),marketing(1), </v>
      </c>
      <c r="JA146" s="47" t="str">
        <f t="shared" si="517"/>
        <v xml:space="preserve">local biz(6.25),biz group(6.25),govt(6.25),marketing(6.25), </v>
      </c>
      <c r="JB146" s="47" t="str">
        <f t="shared" si="517"/>
        <v xml:space="preserve"> </v>
      </c>
      <c r="JC146" s="47" t="str">
        <f t="shared" si="517"/>
        <v xml:space="preserve"> </v>
      </c>
      <c r="JD146" s="47" t="str">
        <f t="shared" si="517"/>
        <v xml:space="preserve"> </v>
      </c>
      <c r="JE146" s="47" t="str">
        <f t="shared" si="517"/>
        <v xml:space="preserve">level of understanding(2),technologists(2),spaciousness(1),ease of access(1),reputation(3),efficiency(2), </v>
      </c>
      <c r="JF146" s="47" t="str">
        <f t="shared" si="517"/>
        <v xml:space="preserve">web(1),infrastructrue(1),database(1),mobile apps(1),sensors(1),security(1),AI&amp; data analysis(1),mobile comm(1),VR&amp;AR(1),wood processing(1),metal processing(1),plastic processing(1),electronics(1),fabric(1),aesthetics(1),functions(1),safety(1),interaction(1), </v>
      </c>
      <c r="JG146" s="47" t="str">
        <f t="shared" si="517"/>
        <v xml:space="preserve">web(6.25),infrastructrue(6.25),database(6.25),mobile apps(6.25),sensors(6.25),security(6.25),AI&amp; data analysis(6.25),mobile comm(6.25),VR&amp;AR(6.25),wood processing(6.25),metal processing(6.25),plastic processing(6.25),electronics(6.25),fabric(6.25),aesthetics(6.25),functions(6.25),safety(6.25),interaction(6.25), </v>
      </c>
      <c r="JH146" s="47" t="str">
        <f t="shared" si="517"/>
        <v xml:space="preserve">local biz(1),non-profits(1),reputation(2), </v>
      </c>
      <c r="JI146" s="47" t="str">
        <f t="shared" si="517"/>
        <v xml:space="preserve"> </v>
      </c>
      <c r="JJ146" s="47" t="str">
        <f t="shared" si="517"/>
        <v xml:space="preserve"> </v>
      </c>
      <c r="JK146" s="47" t="str">
        <f t="shared" si="517"/>
        <v xml:space="preserve">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6" s="47" t="str">
        <f t="shared" si="517"/>
        <v xml:space="preserve">non-profits(1), </v>
      </c>
      <c r="JM146" s="47" t="str">
        <f t="shared" si="517"/>
        <v xml:space="preserve">non-profits(6.25), </v>
      </c>
      <c r="JN146" s="47" t="str">
        <f t="shared" si="517"/>
        <v xml:space="preserve">local biz(1),investors(1),entrepreneurs(1),technologists(1),non-profits(1),reputation(2),portfolio(2), </v>
      </c>
      <c r="JO146" s="47" t="str">
        <f t="shared" si="517"/>
        <v xml:space="preserve"> </v>
      </c>
      <c r="JP146" s="47" t="str">
        <f t="shared" si="517"/>
        <v xml:space="preserve"> </v>
      </c>
      <c r="JQ146" s="47" t="str">
        <f t="shared" si="517"/>
        <v xml:space="preserve">level of understanding(2),ambition(2),local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6" s="47" t="str">
        <f t="shared" si="517"/>
        <v xml:space="preserve"> </v>
      </c>
      <c r="JS146" s="47" t="str">
        <f t="shared" si="517"/>
        <v xml:space="preserve"> </v>
      </c>
      <c r="JT146" s="47" t="str">
        <f t="shared" si="517"/>
        <v xml:space="preserve">local biz(2),biz group(1),govt(2),investors(2),entrepreneurs(2),technologists(2),non-profits(2),reputation(2),portfolio(3), </v>
      </c>
      <c r="JU146" s="47" t="str">
        <f t="shared" si="517"/>
        <v xml:space="preserve"> </v>
      </c>
      <c r="JV146" s="47" t="str">
        <f t="shared" si="517"/>
        <v xml:space="preserve"> </v>
      </c>
      <c r="JW146" s="47" t="str">
        <f t="shared" si="517"/>
        <v xml:space="preserve">level of understanding(2),ambition(2),local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6" s="47" t="str">
        <f t="shared" si="517"/>
        <v xml:space="preserve"> </v>
      </c>
      <c r="JY146" s="47" t="str">
        <f t="shared" si="517"/>
        <v xml:space="preserve"> </v>
      </c>
      <c r="JZ146" s="47" t="str">
        <f t="shared" si="517"/>
        <v xml:space="preserve">non-profits(1),reputation(2),social project(2), </v>
      </c>
      <c r="KA146" s="47" t="str">
        <f t="shared" si="517"/>
        <v xml:space="preserve">non-profits(1), </v>
      </c>
      <c r="KB146" s="47" t="str">
        <f t="shared" si="517"/>
        <v xml:space="preserve">non-profits(25), </v>
      </c>
      <c r="KC146" s="47" t="str">
        <f t="shared" si="517"/>
        <v xml:space="preserve">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6" s="47" t="str">
        <f t="shared" si="517"/>
        <v xml:space="preserve">non-profits(1), </v>
      </c>
      <c r="KE146" s="47" t="str">
        <f t="shared" si="517"/>
        <v xml:space="preserve">non-profits(6.25), </v>
      </c>
      <c r="KF146" s="47" t="str">
        <f t="shared" si="517"/>
        <v xml:space="preserve"> </v>
      </c>
      <c r="KG146" s="47" t="str">
        <f t="shared" si="517"/>
        <v xml:space="preserve"> </v>
      </c>
      <c r="KH146" s="47" t="str">
        <f t="shared" si="517"/>
        <v xml:space="preserve"> </v>
      </c>
      <c r="KI146" s="47" t="str">
        <f t="shared" si="517"/>
        <v xml:space="preserve"> </v>
      </c>
      <c r="KJ146" s="47" t="str">
        <f t="shared" si="517"/>
        <v xml:space="preserve"> </v>
      </c>
      <c r="KK146" s="47" t="str">
        <f t="shared" si="517"/>
        <v xml:space="preserve"> </v>
      </c>
      <c r="KL146" s="57" t="str">
        <f t="shared" si="517"/>
        <v xml:space="preserve"> </v>
      </c>
      <c r="KM146" s="47" t="str">
        <f t="shared" si="517"/>
        <v xml:space="preserve"> </v>
      </c>
      <c r="KN146" s="47" t="str">
        <f t="shared" si="517"/>
        <v xml:space="preserve"> </v>
      </c>
      <c r="KO146" s="47" t="str">
        <f t="shared" si="517"/>
        <v xml:space="preserve"> </v>
      </c>
      <c r="KP146" s="47" t="str">
        <f t="shared" si="517"/>
        <v xml:space="preserve"> </v>
      </c>
      <c r="KQ146" s="47" t="str">
        <f t="shared" si="517"/>
        <v xml:space="preserve"> </v>
      </c>
      <c r="KR146" s="57" t="str">
        <f t="shared" si="517"/>
        <v xml:space="preserve"> </v>
      </c>
      <c r="KS146" s="47" t="str">
        <f t="shared" si="517"/>
        <v xml:space="preserve"> </v>
      </c>
      <c r="KT146" s="47" t="str">
        <f t="shared" si="517"/>
        <v xml:space="preserve"> </v>
      </c>
      <c r="KU146" s="47" t="str">
        <f t="shared" si="517"/>
        <v xml:space="preserve"> </v>
      </c>
      <c r="KV146" s="47" t="str">
        <f t="shared" si="517"/>
        <v xml:space="preserve"> </v>
      </c>
      <c r="KW146" s="47" t="str">
        <f t="shared" si="517"/>
        <v xml:space="preserve"> </v>
      </c>
      <c r="KX146" s="57" t="str">
        <f t="shared" si="517"/>
        <v xml:space="preserve"> </v>
      </c>
      <c r="KY146" s="47" t="str">
        <f t="shared" si="517"/>
        <v xml:space="preserve"> </v>
      </c>
      <c r="KZ146" s="47" t="str">
        <f t="shared" si="517"/>
        <v xml:space="preserve"> </v>
      </c>
      <c r="LA146" s="47" t="str">
        <f t="shared" si="517"/>
        <v xml:space="preserve"> </v>
      </c>
      <c r="LB146" s="47" t="str">
        <f t="shared" si="517"/>
        <v xml:space="preserve"> </v>
      </c>
      <c r="LC146" s="47" t="str">
        <f t="shared" si="517"/>
        <v xml:space="preserve"> </v>
      </c>
      <c r="LD146" s="57" t="str">
        <f t="shared" si="517"/>
        <v xml:space="preserve"> </v>
      </c>
      <c r="LE146" s="47" t="str">
        <f t="shared" si="517"/>
        <v xml:space="preserve"> </v>
      </c>
      <c r="LF146" s="47" t="str">
        <f t="shared" si="517"/>
        <v xml:space="preserve"> </v>
      </c>
      <c r="LG146" s="47" t="str">
        <f t="shared" si="517"/>
        <v xml:space="preserve"> </v>
      </c>
      <c r="LH146" s="47" t="str">
        <f t="shared" ref="LH146:NM146" si="518">IF(LH44="",LH147,$C146&amp;"("&amp;LH44&amp;"),"&amp;LH147)</f>
        <v xml:space="preserve"> </v>
      </c>
      <c r="LI146" s="47" t="str">
        <f t="shared" si="518"/>
        <v xml:space="preserve"> </v>
      </c>
      <c r="LJ146" s="57" t="str">
        <f t="shared" si="518"/>
        <v xml:space="preserve"> </v>
      </c>
      <c r="LK146" s="47" t="str">
        <f t="shared" si="518"/>
        <v xml:space="preserve"> </v>
      </c>
      <c r="LL146" s="47" t="str">
        <f t="shared" si="518"/>
        <v xml:space="preserve"> </v>
      </c>
      <c r="LM146" s="47" t="str">
        <f t="shared" si="518"/>
        <v xml:space="preserve"> </v>
      </c>
      <c r="LN146" s="47" t="str">
        <f t="shared" si="518"/>
        <v xml:space="preserve"> </v>
      </c>
      <c r="LO146" s="47" t="str">
        <f t="shared" si="518"/>
        <v xml:space="preserve"> </v>
      </c>
      <c r="LP146" s="57" t="str">
        <f t="shared" si="518"/>
        <v xml:space="preserve"> </v>
      </c>
      <c r="LQ146" s="47" t="str">
        <f t="shared" si="518"/>
        <v xml:space="preserve"> </v>
      </c>
      <c r="LR146" s="47" t="str">
        <f t="shared" si="518"/>
        <v xml:space="preserve"> </v>
      </c>
      <c r="LS146" s="47" t="str">
        <f t="shared" si="518"/>
        <v xml:space="preserve"> </v>
      </c>
      <c r="LT146" s="47" t="str">
        <f t="shared" si="518"/>
        <v xml:space="preserve"> </v>
      </c>
      <c r="LU146" s="47" t="str">
        <f t="shared" si="518"/>
        <v xml:space="preserve"> </v>
      </c>
      <c r="LV146" s="57" t="str">
        <f t="shared" si="518"/>
        <v xml:space="preserve"> </v>
      </c>
      <c r="LW146" s="47" t="str">
        <f t="shared" si="518"/>
        <v xml:space="preserve"> </v>
      </c>
      <c r="LX146" s="47" t="str">
        <f t="shared" si="518"/>
        <v xml:space="preserve"> </v>
      </c>
      <c r="LY146" s="47" t="str">
        <f t="shared" si="518"/>
        <v xml:space="preserve"> </v>
      </c>
      <c r="LZ146" s="47" t="str">
        <f t="shared" si="518"/>
        <v xml:space="preserve"> </v>
      </c>
      <c r="MA146" s="47" t="str">
        <f t="shared" si="518"/>
        <v xml:space="preserve"> </v>
      </c>
      <c r="MB146" s="57" t="str">
        <f t="shared" si="518"/>
        <v xml:space="preserve"> </v>
      </c>
      <c r="MC146" s="47" t="str">
        <f t="shared" si="518"/>
        <v xml:space="preserve"> </v>
      </c>
      <c r="MD146" s="47" t="str">
        <f t="shared" si="518"/>
        <v xml:space="preserve"> </v>
      </c>
      <c r="ME146" s="47" t="str">
        <f t="shared" si="518"/>
        <v xml:space="preserve"> </v>
      </c>
      <c r="MF146" s="47" t="str">
        <f t="shared" si="518"/>
        <v xml:space="preserve"> </v>
      </c>
      <c r="MG146" s="47" t="str">
        <f t="shared" si="518"/>
        <v xml:space="preserve"> </v>
      </c>
      <c r="MH146" s="57" t="str">
        <f t="shared" si="518"/>
        <v xml:space="preserve"> </v>
      </c>
      <c r="MI146" s="47" t="str">
        <f t="shared" si="518"/>
        <v xml:space="preserve"> </v>
      </c>
      <c r="MJ146" s="47" t="str">
        <f t="shared" si="518"/>
        <v xml:space="preserve"> </v>
      </c>
      <c r="MK146" s="47" t="str">
        <f t="shared" si="518"/>
        <v xml:space="preserve"> </v>
      </c>
      <c r="ML146" s="47" t="str">
        <f t="shared" si="518"/>
        <v xml:space="preserve"> </v>
      </c>
      <c r="MM146" s="47" t="str">
        <f t="shared" si="518"/>
        <v xml:space="preserve"> </v>
      </c>
      <c r="MN146" s="57" t="str">
        <f t="shared" si="518"/>
        <v xml:space="preserve"> </v>
      </c>
      <c r="MO146" s="47" t="str">
        <f t="shared" si="518"/>
        <v xml:space="preserve"> </v>
      </c>
      <c r="MP146" s="47" t="str">
        <f t="shared" si="518"/>
        <v xml:space="preserve"> </v>
      </c>
      <c r="MQ146" s="47" t="str">
        <f t="shared" si="518"/>
        <v xml:space="preserve"> </v>
      </c>
      <c r="MR146" s="47" t="str">
        <f t="shared" si="518"/>
        <v xml:space="preserve"> </v>
      </c>
      <c r="MS146" s="47" t="str">
        <f t="shared" si="518"/>
        <v xml:space="preserve"> </v>
      </c>
      <c r="MT146" s="57" t="str">
        <f t="shared" si="518"/>
        <v xml:space="preserve"> </v>
      </c>
      <c r="MU146" s="47" t="str">
        <f t="shared" si="518"/>
        <v xml:space="preserve"> </v>
      </c>
      <c r="MV146" s="47" t="str">
        <f t="shared" si="518"/>
        <v xml:space="preserve"> </v>
      </c>
      <c r="MW146" s="47" t="str">
        <f t="shared" si="518"/>
        <v xml:space="preserve"> </v>
      </c>
      <c r="MX146" s="47" t="str">
        <f t="shared" si="518"/>
        <v xml:space="preserve"> </v>
      </c>
      <c r="MY146" s="47" t="str">
        <f t="shared" si="518"/>
        <v xml:space="preserve"> </v>
      </c>
      <c r="MZ146" s="57" t="str">
        <f t="shared" si="518"/>
        <v xml:space="preserve"> </v>
      </c>
      <c r="NA146" s="47" t="str">
        <f t="shared" si="518"/>
        <v xml:space="preserve"> </v>
      </c>
      <c r="NB146" s="47" t="str">
        <f t="shared" si="518"/>
        <v xml:space="preserve"> </v>
      </c>
      <c r="NC146" s="47" t="str">
        <f t="shared" si="518"/>
        <v xml:space="preserve"> </v>
      </c>
      <c r="ND146" s="47" t="str">
        <f t="shared" si="518"/>
        <v xml:space="preserve"> </v>
      </c>
      <c r="NE146" s="47" t="str">
        <f t="shared" si="518"/>
        <v xml:space="preserve"> </v>
      </c>
      <c r="NF146" s="57" t="str">
        <f t="shared" si="518"/>
        <v xml:space="preserve"> </v>
      </c>
      <c r="NG146" s="47" t="str">
        <f t="shared" si="518"/>
        <v xml:space="preserve"> </v>
      </c>
      <c r="NH146" s="47" t="str">
        <f t="shared" si="518"/>
        <v xml:space="preserve"> </v>
      </c>
      <c r="NI146" s="47" t="str">
        <f t="shared" si="518"/>
        <v xml:space="preserve"> </v>
      </c>
      <c r="NJ146" s="47" t="str">
        <f t="shared" si="518"/>
        <v xml:space="preserve"> </v>
      </c>
      <c r="NK146" s="47" t="str">
        <f t="shared" si="518"/>
        <v xml:space="preserve"> </v>
      </c>
      <c r="NL146" s="57" t="str">
        <f t="shared" si="518"/>
        <v xml:space="preserve"> </v>
      </c>
      <c r="NM146" s="47" t="str">
        <f t="shared" si="518"/>
        <v xml:space="preserve"> </v>
      </c>
    </row>
    <row r="147" spans="3:377" ht="15.75" customHeight="1">
      <c r="C147" s="7" t="str">
        <f t="shared" si="296"/>
        <v>ambition</v>
      </c>
      <c r="D147" s="21" t="str">
        <f t="shared" si="169"/>
        <v xml:space="preserve"> </v>
      </c>
      <c r="E147" s="21" t="str">
        <f t="shared" si="297"/>
        <v xml:space="preserve"> </v>
      </c>
      <c r="F147" s="21" t="str">
        <f t="shared" si="170"/>
        <v xml:space="preserve"> </v>
      </c>
      <c r="G147" s="21" t="str">
        <f t="shared" si="298"/>
        <v xml:space="preserve">ease of access(1), reputation(2), social media(1),  </v>
      </c>
      <c r="H147" s="21" t="str">
        <f t="shared" si="299"/>
        <v xml:space="preserve"> </v>
      </c>
      <c r="I147" s="21" t="str">
        <f t="shared" ref="I147" si="519">IF(I45="",I148,$C147&amp;"("&amp;I45&amp;"),"&amp;I148)</f>
        <v xml:space="preserve"> </v>
      </c>
      <c r="J147" s="21" t="str">
        <f t="shared" si="468"/>
        <v xml:space="preserve">interaction 1
 </v>
      </c>
      <c r="K147" s="21" t="str">
        <f t="shared" si="173"/>
        <v xml:space="preserve">reputation(1,75),  </v>
      </c>
      <c r="L147" s="21" t="str">
        <f t="shared" si="469"/>
        <v xml:space="preserve">reputation 75
 </v>
      </c>
      <c r="M147" s="21" t="str">
        <f t="shared" si="175"/>
        <v xml:space="preserve">portfolio(1), social innovation(1), non-profit biz(1),  </v>
      </c>
      <c r="N147" s="21" t="str">
        <f t="shared" si="176"/>
        <v xml:space="preserve">non-profits(1,12.5), reputation(1,75), marketing(1,12.5),  </v>
      </c>
      <c r="O147" s="21" t="str">
        <f t="shared" si="470"/>
        <v xml:space="preserve">non-profits(12.5),reputation(75),marketing(12.5), </v>
      </c>
      <c r="P147" s="21" t="str">
        <f t="shared" si="468"/>
        <v xml:space="preserve">biz project 1
 </v>
      </c>
      <c r="Q147" s="21" t="str">
        <f t="shared" si="178"/>
        <v xml:space="preserve"> </v>
      </c>
      <c r="R147" s="21" t="str">
        <f t="shared" si="469"/>
        <v xml:space="preserve"> </v>
      </c>
      <c r="S147" s="21" t="str">
        <f t="shared" si="179"/>
        <v xml:space="preserve">portfolio(1), biz enhancement(1), business(1), start-up(1),  </v>
      </c>
      <c r="T147" s="21" t="str">
        <f t="shared" si="180"/>
        <v xml:space="preserve">local biz(1,6.25), investors(1,6.25), reputation(1,6.25),  </v>
      </c>
      <c r="U147" s="21" t="str">
        <f t="shared" si="470"/>
        <v xml:space="preserve">local biz(6.25),investors(6.25),reputation(6.25), </v>
      </c>
      <c r="V147" s="21" t="str">
        <f t="shared" si="468"/>
        <v xml:space="preserve"> </v>
      </c>
      <c r="W147" s="21" t="str">
        <f t="shared" si="181"/>
        <v xml:space="preserve">local biz(1,),  </v>
      </c>
      <c r="X147" s="21" t="str">
        <f t="shared" si="469"/>
        <v xml:space="preserve"> </v>
      </c>
      <c r="Y147" s="21" t="str">
        <f t="shared" si="182"/>
        <v xml:space="preserve">ease of access(1), reputation(1), portfolio(1), biz project(1), biz enhancement(1), job creation(1), business(1),  </v>
      </c>
      <c r="Z147" s="21" t="str">
        <f t="shared" si="183"/>
        <v xml:space="preserve">local biz(1,6.25),  </v>
      </c>
      <c r="AA147" s="21" t="str">
        <f t="shared" si="470"/>
        <v xml:space="preserve">local biz(6.25), </v>
      </c>
      <c r="AB147" s="21" t="str">
        <f t="shared" si="468"/>
        <v xml:space="preserve"> </v>
      </c>
      <c r="AC147" s="21" t="str">
        <f t="shared" si="184"/>
        <v xml:space="preserve">non-profits(1,100),  </v>
      </c>
      <c r="AD147" s="21" t="str">
        <f t="shared" si="469"/>
        <v xml:space="preserve">non-profits 100
 </v>
      </c>
      <c r="AE147" s="21" t="str">
        <f t="shared" si="185"/>
        <v xml:space="preserve">ease of access(1), reputation(1), portfolio(1), social project(1), social innovation(1), non-profit biz(1),  </v>
      </c>
      <c r="AF147" s="21" t="str">
        <f t="shared" si="186"/>
        <v xml:space="preserve">non-profits(1,6.25),  </v>
      </c>
      <c r="AG147" s="21" t="str">
        <f t="shared" si="470"/>
        <v xml:space="preserve">non-profits(6.25), </v>
      </c>
      <c r="AH147" s="21" t="str">
        <f t="shared" si="468"/>
        <v xml:space="preserve"> </v>
      </c>
      <c r="AI147" s="21" t="str">
        <f t="shared" si="187"/>
        <v xml:space="preserve">govt(1,),  </v>
      </c>
      <c r="AJ147" s="21" t="str">
        <f t="shared" si="469"/>
        <v xml:space="preserve"> </v>
      </c>
      <c r="AK147" s="21" t="str">
        <f t="shared" si="188"/>
        <v xml:space="preserve">govt(1), ease of access(1), reputation(2), portfolio(1), social project(1), social innovation(1), non-profit biz(1),  </v>
      </c>
      <c r="AL147" s="21" t="str">
        <f t="shared" si="189"/>
        <v xml:space="preserve">govt(1,6.25),  </v>
      </c>
      <c r="AM147" s="21" t="str">
        <f t="shared" si="470"/>
        <v xml:space="preserve">govt(6.25), </v>
      </c>
      <c r="AN147" s="21" t="str">
        <f t="shared" si="468"/>
        <v xml:space="preserve"> </v>
      </c>
      <c r="AO147" s="21" t="str">
        <f t="shared" si="190"/>
        <v xml:space="preserve">investors(1,6.25),  </v>
      </c>
      <c r="AP147" s="21" t="str">
        <f t="shared" si="469"/>
        <v xml:space="preserve">investors 6.25
 </v>
      </c>
      <c r="AQ147" s="21" t="str">
        <f t="shared" si="191"/>
        <v xml:space="preserve">investors(1), ease of access(1), reputation(1), portfolio(1), start-up(1), start-up with mvp(1), start-up with customers(1),  </v>
      </c>
      <c r="AR147" s="21" t="str">
        <f t="shared" si="192"/>
        <v xml:space="preserve"> </v>
      </c>
      <c r="AS147" s="21" t="str">
        <f t="shared" si="470"/>
        <v xml:space="preserve"> </v>
      </c>
      <c r="AT147" s="21" t="str">
        <f t="shared" si="468"/>
        <v xml:space="preserve">non-profits 2
reputation 1
portfolio 1
social project 1
 </v>
      </c>
      <c r="AU147" s="21" t="str">
        <f t="shared" si="193"/>
        <v xml:space="preserve"> </v>
      </c>
      <c r="AV147" s="21" t="str">
        <f t="shared" si="469"/>
        <v xml:space="preserve"> </v>
      </c>
      <c r="AW147" s="21" t="str">
        <f t="shared" si="194"/>
        <v xml:space="preserve">project management(2),  </v>
      </c>
      <c r="AX147" s="21" t="str">
        <f t="shared" si="195"/>
        <v xml:space="preserve">organizational rules and manuals(1,12.5), project management(1,12.5),  </v>
      </c>
      <c r="AY147" s="21" t="str">
        <f t="shared" si="470"/>
        <v xml:space="preserve">organizational rules and manuals(12.5),project management(12.5), </v>
      </c>
      <c r="AZ147" s="21" t="str">
        <f t="shared" si="468"/>
        <v xml:space="preserve">non-profits 1
 </v>
      </c>
      <c r="BA147" s="21" t="str">
        <f t="shared" si="196"/>
        <v xml:space="preserve"> </v>
      </c>
      <c r="BB147" s="21" t="str">
        <f t="shared" si="469"/>
        <v xml:space="preserve"> </v>
      </c>
      <c r="BC147" s="21" t="str">
        <f t="shared" si="197"/>
        <v xml:space="preserve"> </v>
      </c>
      <c r="BD147" s="21" t="str">
        <f t="shared" si="198"/>
        <v xml:space="preserve"> </v>
      </c>
      <c r="BE147" s="21" t="str">
        <f t="shared" si="470"/>
        <v xml:space="preserve"> </v>
      </c>
      <c r="BF147" s="21" t="str">
        <f t="shared" si="468"/>
        <v xml:space="preserve">local biz 2
entrepreneurs 1
reputation 1
portfolio 1
biz project 1
 </v>
      </c>
      <c r="BG147" s="21" t="str">
        <f t="shared" si="199"/>
        <v xml:space="preserve"> </v>
      </c>
      <c r="BH147" s="21" t="str">
        <f t="shared" si="469"/>
        <v xml:space="preserve"> </v>
      </c>
      <c r="BI147" s="21" t="str">
        <f t="shared" si="200"/>
        <v xml:space="preserve">project management(2),  </v>
      </c>
      <c r="BJ147" s="21" t="str">
        <f t="shared" si="201"/>
        <v xml:space="preserve">organizational rules and manuals(1,12.5), project management(1,12.5),  </v>
      </c>
      <c r="BK147" s="21" t="str">
        <f t="shared" si="470"/>
        <v xml:space="preserve">organizational rules and manuals(12.5),project management(12.5), </v>
      </c>
      <c r="BL147" s="21" t="str">
        <f t="shared" si="468"/>
        <v xml:space="preserve">local biz 1
reputation 1
portfolio 1
biz enhancement 1
 </v>
      </c>
      <c r="BM147" s="21" t="str">
        <f t="shared" si="202"/>
        <v xml:space="preserve"> </v>
      </c>
      <c r="BN147" s="21" t="str">
        <f t="shared" si="469"/>
        <v xml:space="preserve"> </v>
      </c>
      <c r="BO147" s="21" t="str">
        <f t="shared" si="203"/>
        <v xml:space="preserve"> </v>
      </c>
      <c r="BP147" s="21" t="str">
        <f t="shared" si="204"/>
        <v xml:space="preserve"> </v>
      </c>
      <c r="BQ147" s="21" t="str">
        <f t="shared" si="470"/>
        <v xml:space="preserve"> </v>
      </c>
      <c r="BR147" s="21" t="str">
        <f t="shared" si="468"/>
        <v xml:space="preserve"> </v>
      </c>
      <c r="BS147" s="21" t="str">
        <f t="shared" si="205"/>
        <v xml:space="preserve"> </v>
      </c>
      <c r="BT147" s="21" t="str">
        <f t="shared" si="469"/>
        <v xml:space="preserve"> </v>
      </c>
      <c r="BU147" s="21" t="str">
        <f t="shared" si="206"/>
        <v xml:space="preserve"> </v>
      </c>
      <c r="BV147" s="21" t="str">
        <f t="shared" si="207"/>
        <v xml:space="preserve"> </v>
      </c>
      <c r="BW147" s="21" t="str">
        <f t="shared" si="470"/>
        <v xml:space="preserve"> </v>
      </c>
      <c r="BX147" s="21" t="str">
        <f t="shared" si="471"/>
        <v xml:space="preserve"> </v>
      </c>
      <c r="BY147" s="21" t="str">
        <f t="shared" si="209"/>
        <v xml:space="preserve">efficiency(1,),  </v>
      </c>
      <c r="BZ147" s="21" t="str">
        <f t="shared" si="472"/>
        <v xml:space="preserve"> </v>
      </c>
      <c r="CA147" s="21" t="str">
        <f t="shared" si="211"/>
        <v xml:space="preserve">negotiation(1),  </v>
      </c>
      <c r="CB147" s="21" t="str">
        <f t="shared" si="212"/>
        <v xml:space="preserve">user rules and manuals(1,50), organizational rules and manuals(1,50),  </v>
      </c>
      <c r="CC147" s="21" t="str">
        <f t="shared" si="473"/>
        <v xml:space="preserve">user rules and manuals(50),organizational rules and manuals(50), </v>
      </c>
      <c r="CD147" s="21" t="str">
        <f t="shared" si="471"/>
        <v xml:space="preserve"> </v>
      </c>
      <c r="CE147" s="21" t="str">
        <f t="shared" si="214"/>
        <v xml:space="preserve">non-profits(1,),  </v>
      </c>
      <c r="CF147" s="21" t="str">
        <f t="shared" si="472"/>
        <v xml:space="preserve"> </v>
      </c>
      <c r="CG147" s="21" t="str">
        <f t="shared" si="215"/>
        <v xml:space="preserve">ease of access(1), portfolio(1), user rules and manuals(1), negotiation(1), social project(1), biz project(1), for basic literacy(1), for the elites(1), for entrepreneurs(1),  </v>
      </c>
      <c r="CH147" s="21" t="str">
        <f t="shared" si="216"/>
        <v xml:space="preserve">technologists(1,6.25), non-profits(1,6.25),  </v>
      </c>
      <c r="CI147" s="21" t="str">
        <f t="shared" si="473"/>
        <v xml:space="preserve">technologists(6.25),non-profits(6.25), </v>
      </c>
      <c r="CJ147" s="21" t="str">
        <f t="shared" si="471"/>
        <v xml:space="preserve"> </v>
      </c>
      <c r="CK147" s="21" t="str">
        <f t="shared" si="217"/>
        <v xml:space="preserve">suppliers(1,),  </v>
      </c>
      <c r="CL147" s="21" t="str">
        <f t="shared" si="472"/>
        <v xml:space="preserve"> </v>
      </c>
      <c r="CM147" s="21" t="str">
        <f t="shared" si="218"/>
        <v xml:space="preserve">reputation(1), negotiation(1),  </v>
      </c>
      <c r="CN147" s="21" t="str">
        <f t="shared" si="219"/>
        <v xml:space="preserve">efficiency(1,6.25),  </v>
      </c>
      <c r="CO147" s="21" t="str">
        <f t="shared" si="473"/>
        <v xml:space="preserve">efficiency(6.25), </v>
      </c>
      <c r="CP147" s="21" t="str">
        <f t="shared" si="471"/>
        <v xml:space="preserve"> </v>
      </c>
      <c r="CQ147" s="21" t="str">
        <f t="shared" si="220"/>
        <v xml:space="preserve">technologists(1,),  </v>
      </c>
      <c r="CR147" s="21" t="str">
        <f t="shared" si="472"/>
        <v xml:space="preserve"> </v>
      </c>
      <c r="CS147" s="21" t="str">
        <f t="shared" si="221"/>
        <v xml:space="preserve">portfolio(1), negotiation(1), web(1), infrastructrue(1), database(1), mobile apps(1), sensors(1), security(1), AI&amp; data analysis(1), mobile comm(1), VR&amp;AR(1), wood processing(1), metal processing(1), plastic processing(1), electronics(1), fabric(1),  </v>
      </c>
      <c r="CT147" s="21" t="str">
        <f t="shared" si="222"/>
        <v xml:space="preserve">efficiency(1,6.25),  </v>
      </c>
      <c r="CU147" s="21" t="str">
        <f t="shared" si="473"/>
        <v xml:space="preserve">efficiency(6.25), </v>
      </c>
      <c r="CV147" s="21" t="str">
        <f t="shared" si="471"/>
        <v xml:space="preserve"> </v>
      </c>
      <c r="CW147" s="21" t="str">
        <f t="shared" si="223"/>
        <v xml:space="preserve">local biz(1,),  </v>
      </c>
      <c r="CX147" s="21" t="str">
        <f t="shared" si="472"/>
        <v xml:space="preserve"> </v>
      </c>
      <c r="CY147" s="21" t="str">
        <f t="shared" si="224"/>
        <v xml:space="preserve">ease of access(1), reputation(1), portfolio(1), negotiation(1),  </v>
      </c>
      <c r="CZ147" s="21" t="str">
        <f t="shared" si="225"/>
        <v xml:space="preserve">non-profits(1,6.25),  </v>
      </c>
      <c r="DA147" s="21" t="str">
        <f t="shared" si="473"/>
        <v xml:space="preserve">non-profits(6.25), </v>
      </c>
      <c r="DB147" s="21" t="str">
        <f t="shared" si="471"/>
        <v xml:space="preserve"> </v>
      </c>
      <c r="DC147" s="21" t="str">
        <f t="shared" si="226"/>
        <v xml:space="preserve"> </v>
      </c>
      <c r="DD147" s="21" t="str">
        <f t="shared" si="472"/>
        <v xml:space="preserve"> </v>
      </c>
      <c r="DE147"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7" s="21" t="str">
        <f t="shared" si="228"/>
        <v xml:space="preserve">local biz(1,6.25), biz group(1,6.25), investors(1,6.25), entrepreneurs(1,6.25),  </v>
      </c>
      <c r="DG147" s="21" t="str">
        <f t="shared" si="473"/>
        <v xml:space="preserve">local biz(6.25),biz group(6.25),investors(6.25),entrepreneurs(6.25), </v>
      </c>
      <c r="DH147" s="21" t="str">
        <f t="shared" si="471"/>
        <v xml:space="preserve">non-profits 1
reputation 1
social project 1
 </v>
      </c>
      <c r="DI147" s="21" t="str">
        <f t="shared" si="229"/>
        <v xml:space="preserve"> </v>
      </c>
      <c r="DJ147" s="21" t="str">
        <f t="shared" si="472"/>
        <v xml:space="preserve"> </v>
      </c>
      <c r="DK147"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7" s="21" t="str">
        <f t="shared" si="231"/>
        <v xml:space="preserve">reputation(1,6.25),  </v>
      </c>
      <c r="DM147" s="21" t="str">
        <f t="shared" si="473"/>
        <v xml:space="preserve">reputation(6.25), </v>
      </c>
      <c r="DN147" s="21" t="str">
        <f t="shared" si="471"/>
        <v xml:space="preserve">local biz 1
reputation 1
biz project 1
 </v>
      </c>
      <c r="DO147" s="21" t="str">
        <f t="shared" si="232"/>
        <v xml:space="preserve"> </v>
      </c>
      <c r="DP147" s="21" t="str">
        <f t="shared" si="472"/>
        <v xml:space="preserve"> </v>
      </c>
      <c r="DQ147" s="21" t="str">
        <f t="shared" si="233"/>
        <v xml:space="preserve">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7" s="21" t="str">
        <f t="shared" si="234"/>
        <v xml:space="preserve">reputation(1,6.25),  </v>
      </c>
      <c r="DS147" s="21" t="str">
        <f t="shared" si="473"/>
        <v xml:space="preserve">reputation(6.25), </v>
      </c>
      <c r="DT147" s="21" t="str">
        <f t="shared" si="471"/>
        <v xml:space="preserve">reputation 1
 </v>
      </c>
      <c r="DU147" s="21" t="str">
        <f t="shared" si="235"/>
        <v xml:space="preserve"> </v>
      </c>
      <c r="DV147" s="21" t="str">
        <f t="shared" si="472"/>
        <v xml:space="preserve"> </v>
      </c>
      <c r="DW147" s="21" t="str">
        <f t="shared" si="236"/>
        <v xml:space="preserve">local biz(1), biz group(1), govt(2), investors(1), media(2), entrepreneurs(1), technologists(1), non-profits(1), spaciousness(1), ease of access(1), reputation(2), efficiency(1), organizational rules and manuals(1), marketing(1), social media(1), for basic literacy(1),  </v>
      </c>
      <c r="DX147" s="21" t="str">
        <f t="shared" si="237"/>
        <v xml:space="preserve">reputation(1,6.25), for basic literacy(1,6.25),  </v>
      </c>
      <c r="DY147" s="21" t="str">
        <f t="shared" si="473"/>
        <v xml:space="preserve">reputation(6.25),for basic literacy(6.25), </v>
      </c>
      <c r="DZ147" s="21" t="str">
        <f t="shared" si="471"/>
        <v xml:space="preserve">reputation 1
 </v>
      </c>
      <c r="EA147" s="21" t="str">
        <f t="shared" si="238"/>
        <v xml:space="preserve"> </v>
      </c>
      <c r="EB147" s="21" t="str">
        <f t="shared" si="472"/>
        <v xml:space="preserve"> </v>
      </c>
      <c r="EC147" s="21" t="str">
        <f t="shared" si="239"/>
        <v xml:space="preserve">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7" s="21" t="str">
        <f t="shared" si="240"/>
        <v xml:space="preserve">reputation(1,6.25), for basic literacy(1,6.25),  </v>
      </c>
      <c r="EE147" s="21" t="str">
        <f t="shared" si="473"/>
        <v xml:space="preserve">reputation(6.25),for basic literacy(6.25), </v>
      </c>
      <c r="EF147" s="21" t="str">
        <f t="shared" si="471"/>
        <v xml:space="preserve">technologists 1
reputation 1
 </v>
      </c>
      <c r="EG147" s="21" t="str">
        <f t="shared" si="241"/>
        <v xml:space="preserve">web(1,50), mobile apps(1,50), interaction(1,50),  </v>
      </c>
      <c r="EH147" s="21" t="str">
        <f t="shared" si="472"/>
        <v xml:space="preserve">web 50
mobile apps 50
interaction 50
 </v>
      </c>
      <c r="EI147" s="21" t="str">
        <f t="shared" si="242"/>
        <v xml:space="preserve">technologists(2), ease of access(1), reputation(2), infrastructrue(1), database(1), mobile comm(1), for entrepreneurs(1),  </v>
      </c>
      <c r="EJ147" s="21" t="str">
        <f t="shared" si="243"/>
        <v xml:space="preserve">technologists(1,12.5), infrastructrue(1,12.5), database(1,12.5), mobile comm(1,12.5), for entrepreneurs(1,6.25),  </v>
      </c>
      <c r="EK147" s="21" t="str">
        <f t="shared" si="473"/>
        <v xml:space="preserve">technologists(12.5),infrastructrue(12.5),database(12.5),mobile comm(12.5),for entrepreneurs(6.25), </v>
      </c>
      <c r="EL147" s="21" t="str">
        <f t="shared" si="474"/>
        <v xml:space="preserve">technologists 1
reputation 1
 </v>
      </c>
      <c r="EM147" s="21" t="str">
        <f t="shared" si="245"/>
        <v xml:space="preserve">sensors(1,50),  </v>
      </c>
      <c r="EN147" s="21" t="str">
        <f t="shared" si="475"/>
        <v xml:space="preserve">sensors 50
 </v>
      </c>
      <c r="EO147" s="21" t="str">
        <f t="shared" si="247"/>
        <v xml:space="preserve">technologists(2), ease of access(1), reputation(2), project management(2), infrastructrue(1), database(1), mobile comm(1), for entrepreneurs(1),  </v>
      </c>
      <c r="EP147" s="21" t="str">
        <f t="shared" si="248"/>
        <v xml:space="preserve">technologists(1,12.5), infrastructrue(1,12.5), database(1,12.5), mobile comm(1,12.5), electronics(1,6.25), for entrepreneurs(1,6.25),  </v>
      </c>
      <c r="EQ147" s="21" t="str">
        <f t="shared" si="476"/>
        <v xml:space="preserve">technologists(12.5),infrastructrue(12.5),database(12.5),mobile comm(12.5),electronics(6.25),for entrepreneurs(6.25), </v>
      </c>
      <c r="ER147" s="21" t="str">
        <f t="shared" si="474"/>
        <v xml:space="preserve">technologists 1
 </v>
      </c>
      <c r="ES147" s="21" t="str">
        <f t="shared" si="250"/>
        <v xml:space="preserve">AI&amp; data analysis(1,50),  </v>
      </c>
      <c r="ET147" s="21" t="str">
        <f t="shared" si="475"/>
        <v xml:space="preserve">AI&amp; data analysis 50
 </v>
      </c>
      <c r="EU147" s="21" t="str">
        <f t="shared" si="251"/>
        <v xml:space="preserve">technologists(2), ease of access(1), reputation(2), database(1), sensors(1), mobile comm(1), for entrepreneurs(1),  </v>
      </c>
      <c r="EV147" s="21" t="str">
        <f t="shared" si="252"/>
        <v xml:space="preserve">technologists(1,12.5), database(1,12.5), sensors(1,12.5), mobile comm(1,12.5), for entrepreneurs(1,6.25),  </v>
      </c>
      <c r="EW147" s="21" t="str">
        <f t="shared" si="476"/>
        <v xml:space="preserve">technologists(12.5),database(12.5),sensors(12.5),mobile comm(12.5),for entrepreneurs(6.25), </v>
      </c>
      <c r="EX147" s="21" t="str">
        <f t="shared" si="474"/>
        <v xml:space="preserve">technologists 1
 </v>
      </c>
      <c r="EY147" s="21" t="str">
        <f t="shared" si="253"/>
        <v xml:space="preserve">law(1,50), security(1,50), interaction(1,25),  </v>
      </c>
      <c r="EZ147" s="21" t="str">
        <f t="shared" si="475"/>
        <v xml:space="preserve">law 50
security 50
interaction 25
 </v>
      </c>
      <c r="FA147" s="21" t="str">
        <f t="shared" si="254"/>
        <v xml:space="preserve">technologists(2), ease of access(1), reputation(2), law(2), for entrepreneurs(1),  </v>
      </c>
      <c r="FB147" s="21" t="str">
        <f t="shared" si="255"/>
        <v xml:space="preserve">technologists(1,12.5), law(1,6.25), database(1,12.5), mobile apps(1,12.5), security(1,12.5), mobile comm(1,12.5), for entrepreneurs(1,6.25),  </v>
      </c>
      <c r="FC147" s="21" t="str">
        <f t="shared" si="476"/>
        <v xml:space="preserve">technologists(12.5),law(6.25),database(12.5),mobile apps(12.5),security(12.5),mobile comm(12.5),for entrepreneurs(6.25), </v>
      </c>
      <c r="FD147" s="21" t="str">
        <f t="shared" si="474"/>
        <v xml:space="preserve">technologists 1
 </v>
      </c>
      <c r="FE147" s="21" t="str">
        <f t="shared" si="256"/>
        <v xml:space="preserve">law(1,50), sensors(1,50), security(1,50),  </v>
      </c>
      <c r="FF147" s="21" t="str">
        <f t="shared" si="475"/>
        <v xml:space="preserve">law 50
sensors 50
security 50
 </v>
      </c>
      <c r="FG147" s="21" t="str">
        <f t="shared" si="257"/>
        <v xml:space="preserve">technologists(2), ease of access(1), reputation(2), law(2), project management(2), for entrepreneurs(1),  </v>
      </c>
      <c r="FH147" s="21" t="str">
        <f t="shared" si="258"/>
        <v xml:space="preserve">technologists(1,12.5), law(1,6.25), database(1,6.25), mobile apps(1,6.25), AI&amp; data analysis(1,6.25), mobile comm(1,6.25), for entrepreneurs(1,6.25),  </v>
      </c>
      <c r="FI147" s="21" t="str">
        <f t="shared" si="476"/>
        <v xml:space="preserve">technologists(12.5),law(6.25),database(6.25),mobile apps(6.25),AI&amp; data analysis(6.25),mobile comm(6.25),for entrepreneurs(6.25), </v>
      </c>
      <c r="FJ147" s="21" t="str">
        <f t="shared" si="474"/>
        <v xml:space="preserve">technologists 1
 </v>
      </c>
      <c r="FK147" s="21" t="str">
        <f t="shared" si="259"/>
        <v xml:space="preserve">wood processing(1,25), metal processing(1,25), plastic processing(1,25), fabric(1,25), safety(1,25), interaction(1,25),  </v>
      </c>
      <c r="FL147" s="21" t="str">
        <f t="shared" si="475"/>
        <v xml:space="preserve">project management 2
wood processing 25
metal processing 25
plastic processing 25
fabric 25
safety 25
interaction 25
 </v>
      </c>
      <c r="FM147" s="21" t="str">
        <f t="shared" si="260"/>
        <v xml:space="preserve">technologists(2), spaciousness(1), ease of access(1), reputation(2), for entrepreneurs(1),  </v>
      </c>
      <c r="FN147" s="21" t="str">
        <f t="shared" si="261"/>
        <v xml:space="preserve">technologists(1,12.5), for entrepreneurs(1,6.25),  </v>
      </c>
      <c r="FO147" s="21" t="str">
        <f t="shared" si="476"/>
        <v xml:space="preserve">technologists(12.5),for entrepreneurs(6.25), </v>
      </c>
      <c r="FP147" s="21" t="str">
        <f t="shared" si="474"/>
        <v xml:space="preserve">technologists 1
 </v>
      </c>
      <c r="FQ147" s="21" t="str">
        <f t="shared" si="262"/>
        <v xml:space="preserve">web(1,25), mobile apps(1,50), functions(1,25), interaction(1,25),  </v>
      </c>
      <c r="FR147" s="21" t="str">
        <f t="shared" si="475"/>
        <v xml:space="preserve">web 25
mobile apps 50
functions 25
interaction 25
 </v>
      </c>
      <c r="FS147" s="21" t="str">
        <f t="shared" si="263"/>
        <v xml:space="preserve">technologists(2), spaciousness(1), ease of access(1), reputation(2), for entrepreneurs(1),  </v>
      </c>
      <c r="FT147" s="21" t="str">
        <f t="shared" si="264"/>
        <v xml:space="preserve">technologists(1,12.5), for entrepreneurs(1,6.25),  </v>
      </c>
      <c r="FU147" s="21" t="str">
        <f t="shared" si="476"/>
        <v xml:space="preserve">technologists(12.5),for entrepreneurs(6.25), </v>
      </c>
      <c r="FV147" s="21" t="str">
        <f t="shared" si="474"/>
        <v xml:space="preserve">technologists 1
 </v>
      </c>
      <c r="FW147" s="21" t="str">
        <f t="shared" si="265"/>
        <v xml:space="preserve">mobile apps(1,50), sensors(1,50), wood processing(1,25), plastic processing(1,25), electronics(1,25), functions(1,25), interaction(1,25),  </v>
      </c>
      <c r="FX147" s="21" t="str">
        <f t="shared" si="475"/>
        <v xml:space="preserve">mobile apps 50
sensors 50
wood processing 25
plastic processing 25
electronics 25
functions 25
interaction 25
 </v>
      </c>
      <c r="FY147" s="21" t="str">
        <f t="shared" si="266"/>
        <v xml:space="preserve">technologists(2), spaciousness(1), ease of access(1), reputation(2), project management(2), for entrepreneurs(1),  </v>
      </c>
      <c r="FZ147" s="21" t="str">
        <f t="shared" si="267"/>
        <v xml:space="preserve">technologists(1,12.5), web(1,6.25), database(1,6.25), AI&amp; data analysis(1,6.25), mobile comm(1,6.25), for entrepreneurs(1,6.25),  </v>
      </c>
      <c r="GA147" s="21" t="str">
        <f t="shared" si="476"/>
        <v xml:space="preserve">technologists(12.5),web(6.25),database(6.25),AI&amp; data analysis(6.25),mobile comm(6.25),for entrepreneurs(6.25), </v>
      </c>
      <c r="GB147" s="21" t="str">
        <f t="shared" si="474"/>
        <v xml:space="preserve">technologists 1
 </v>
      </c>
      <c r="GC147" s="21" t="str">
        <f t="shared" si="268"/>
        <v xml:space="preserve">sensors(1,25), mobile comm(1,25), electronics(1,50), functions(1,25), safety(1,25),  </v>
      </c>
      <c r="GD147" s="21" t="str">
        <f t="shared" si="475"/>
        <v xml:space="preserve">sensors 25
mobile comm 25
electronics 50
functions 25
safety 25
 </v>
      </c>
      <c r="GE147" s="21" t="str">
        <f t="shared" si="269"/>
        <v xml:space="preserve">technologists(2), spaciousness(1), ease of access(1), reputation(2), project management(2), for entrepreneurs(1),  </v>
      </c>
      <c r="GF147" s="21" t="str">
        <f t="shared" si="270"/>
        <v xml:space="preserve">technologists(1,12.5), database(1,6.25), mobile apps(1,6.25), AI&amp; data analysis(1,6.25), plastic processing(1,6.25), interaction(1,6.25), for entrepreneurs(1,6.25),  </v>
      </c>
      <c r="GG147" s="21" t="str">
        <f t="shared" si="476"/>
        <v xml:space="preserve">technologists(12.5),database(6.25),mobile apps(6.25),AI&amp; data analysis(6.25),plastic processing(6.25),interaction(6.25),for entrepreneurs(6.25), </v>
      </c>
      <c r="GH147" s="21" t="str">
        <f t="shared" si="474"/>
        <v xml:space="preserve">technologists 1
 </v>
      </c>
      <c r="GI147" s="21" t="str">
        <f t="shared" si="271"/>
        <v xml:space="preserve">web(1,25), mobile apps(1,50), functions(1,25), interaction(1,25),  </v>
      </c>
      <c r="GJ147" s="21" t="str">
        <f t="shared" si="475"/>
        <v xml:space="preserve">web 25
mobile apps 50
functions 25
interaction 25
 </v>
      </c>
      <c r="GK147" s="21" t="str">
        <f t="shared" si="272"/>
        <v xml:space="preserve">technologists(2), spaciousness(1), ease of access(1), reputation(2), project management(2), for entrepreneurs(1),  </v>
      </c>
      <c r="GL147" s="21" t="str">
        <f t="shared" si="273"/>
        <v xml:space="preserve">technologists(1,12.5), for entrepreneurs(1,6.25),  </v>
      </c>
      <c r="GM147" s="21" t="str">
        <f t="shared" si="476"/>
        <v xml:space="preserve">technologists(12.5),for entrepreneurs(6.25), </v>
      </c>
      <c r="GN147" s="21" t="str">
        <f t="shared" si="474"/>
        <v xml:space="preserve">technologists 1
 </v>
      </c>
      <c r="GO147" s="21" t="str">
        <f t="shared" si="274"/>
        <v xml:space="preserve">web(1,25), mobile apps(1,25), VR&amp;AR(1,25), aesthetics(1,25), functions(1,25), interaction(1,50),  </v>
      </c>
      <c r="GP147" s="21" t="str">
        <f t="shared" si="475"/>
        <v xml:space="preserve">web 25
mobile apps 25
VR&amp;AR 25
aesthetics 25
functions 25
interaction 50
 </v>
      </c>
      <c r="GQ147" s="21" t="str">
        <f t="shared" si="275"/>
        <v xml:space="preserve">technologists(2), spaciousness(1), ease of access(1), reputation(2), project management(2), for entrepreneurs(1),  </v>
      </c>
      <c r="GR147" s="21" t="str">
        <f t="shared" si="276"/>
        <v xml:space="preserve">technologists(1,12.5), for entrepreneurs(1,6.25),  </v>
      </c>
      <c r="GS147" s="21" t="str">
        <f t="shared" si="476"/>
        <v xml:space="preserve">technologists(12.5),for entrepreneurs(6.25), </v>
      </c>
      <c r="GT147" s="21" t="str">
        <f t="shared" si="474"/>
        <v xml:space="preserve">ease of access 1
reputation 2
web 1
mobile apps 1
mobile comm 1
 </v>
      </c>
      <c r="GU147" s="21" t="str">
        <f t="shared" si="277"/>
        <v xml:space="preserve"> </v>
      </c>
      <c r="GV147" s="21" t="str">
        <f t="shared" si="475"/>
        <v xml:space="preserve"> </v>
      </c>
      <c r="GW147" s="21" t="str">
        <f t="shared" si="278"/>
        <v xml:space="preserve">ambition(1), 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7" s="21" t="str">
        <f t="shared" si="279"/>
        <v xml:space="preserve">media(1,6.25), entrepreneurs(1,6.25), technologists(1,6.25), project management(1,6.25), social media(1,6.25), web(1,6.25), mobile apps(1,6.25),  </v>
      </c>
      <c r="GY147" s="21" t="str">
        <f t="shared" si="476"/>
        <v xml:space="preserve">media(6.25),entrepreneurs(6.25),technologists(6.25),project management(6.25),social media(6.25),web(6.25),mobile apps(6.25), </v>
      </c>
      <c r="GZ147" s="21" t="str">
        <f t="shared" si="477"/>
        <v xml:space="preserve">govt 1
non-profits 1
reputation 2
portfolio 1
 </v>
      </c>
      <c r="HA147" s="21" t="str">
        <f t="shared" si="281"/>
        <v xml:space="preserve"> </v>
      </c>
      <c r="HB147" s="21" t="str">
        <f t="shared" si="478"/>
        <v xml:space="preserve"> </v>
      </c>
      <c r="HC147" s="21" t="str">
        <f t="shared" si="283"/>
        <v xml:space="preserve">govt(3), non-profits(3), reputation(4), portfolio(3), social media(2), web(2), mobile apps(2), sensors(2), AI&amp; data analysis(2), VR&amp;AR(2), plastic processing(2), electronics(2), aesthetics(2), interaction(2),  </v>
      </c>
      <c r="HD147" s="21" t="str">
        <f t="shared" si="284"/>
        <v xml:space="preserve">media(1,6.25), technologists(1,6.25), non-profits(1,6.25), reputation(1,6.25), start-up with customers(1,6.25), for basic literacy(1,6.25),  </v>
      </c>
      <c r="HE147" s="21" t="str">
        <f t="shared" si="479"/>
        <v xml:space="preserve">media(6.25),technologists(6.25),non-profits(6.25),reputation(6.25),start-up with customers(6.25),for basic literacy(6.25), </v>
      </c>
      <c r="HF147" s="21" t="str">
        <f t="shared" si="477"/>
        <v xml:space="preserve"> </v>
      </c>
      <c r="HG147" s="21" t="str">
        <f t="shared" si="286"/>
        <v xml:space="preserve"> </v>
      </c>
      <c r="HH147" s="21" t="str">
        <f t="shared" si="478"/>
        <v xml:space="preserve"> </v>
      </c>
      <c r="HI147" s="21" t="str">
        <f t="shared" si="287"/>
        <v xml:space="preserve">portfolio(3), marketing(2), team building(3), project management(2), mobile apps(3), sensors(2), plastic processing(2), electronics(2), aesthetics(2), functions(2), interaction(2),  </v>
      </c>
      <c r="HJ147" s="21" t="str">
        <f t="shared" si="288"/>
        <v xml:space="preserve">govt(1,6.25), media(1,6.25), non-profits(1,6.25), start-up with customers(1,6.25),  </v>
      </c>
      <c r="HK147" s="21" t="str">
        <f t="shared" si="479"/>
        <v xml:space="preserve">govt(6.25),media(6.25),non-profits(6.25),start-up with customers(6.25), </v>
      </c>
      <c r="HL147" s="21" t="str">
        <f t="shared" si="477"/>
        <v xml:space="preserve">local biz 1
entrepreneurs 1
non-profits 1
reputation 2
portfolio 2
 </v>
      </c>
      <c r="HM147" s="21" t="str">
        <f t="shared" si="289"/>
        <v xml:space="preserve"> </v>
      </c>
      <c r="HN147" s="21" t="str">
        <f t="shared" si="478"/>
        <v xml:space="preserve"> </v>
      </c>
      <c r="HO147" s="21" t="str">
        <f t="shared" si="290"/>
        <v xml:space="preserve">local biz(3), biz group(2), investors(2), entrepreneurs(3), spaciousness(2), ease of access(2), reputation(3), efficiency(2), portfolio(4), finance(2), marketing(2), project management(2), social media(2), web(3), mobile apps(2), wood processing(3), plastic processing(3), electronics(3), aesthetics(2), interaction(2),  </v>
      </c>
      <c r="HP147" s="21" t="str">
        <f t="shared" si="291"/>
        <v xml:space="preserve">local biz(1,6.25), biz group(1,6.25), govt(1,6.25), investors(1,6.25), media(1,6.25), entrepreneurs(1,6.25), technologists(1,6.25), suppliers(1,6.25), non-profits(1,6.25), reputation(1,6.25),  </v>
      </c>
      <c r="HQ147" s="47" t="str">
        <f t="shared" si="479"/>
        <v xml:space="preserve">local biz(6.25),biz group(6.25),govt(6.25),investors(6.25),media(6.25),entrepreneurs(6.25),technologists(6.25),suppliers(6.25),non-profits(6.25),reputation(6.25), </v>
      </c>
      <c r="HR147" s="47" t="str">
        <f t="shared" ref="HR147:HW147" si="520">IF(HR45="",HR148,$C147&amp;"("&amp;HR45&amp;"),"&amp;HR148)</f>
        <v xml:space="preserve">reputation(2),portfolio(2),mobile apps(1),sensors(1),wood processing(1),aesthetics(1), </v>
      </c>
      <c r="HS147" s="47" t="str">
        <f t="shared" si="520"/>
        <v xml:space="preserve"> </v>
      </c>
      <c r="HT147" s="47" t="str">
        <f t="shared" si="520"/>
        <v xml:space="preserve"> </v>
      </c>
      <c r="HU147" s="47" t="str">
        <f t="shared" si="520"/>
        <v xml:space="preserve">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7" s="47" t="str">
        <f t="shared" si="520"/>
        <v xml:space="preserve">local biz(1),biz group(1),govt(1),investors(1),media(1),entrepreneurs(1),technologists(1),suppliers(1),non-profits(1),reputation(1), </v>
      </c>
      <c r="HW147" s="47" t="str">
        <f t="shared" si="520"/>
        <v xml:space="preserve">local biz(6.25),biz group(6.25),govt(6.25),investors(6.25),media(6.25),entrepreneurs(6.25),technologists(12.5),suppliers(6.25),non-profits(6.25),reputation(6.25), </v>
      </c>
      <c r="HX147" s="47" t="str">
        <f t="shared" ref="HX147:IU147" si="521">IF(HX45="",HX148,$C147&amp;"("&amp;HX45&amp;"),"&amp;HX148)</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7" s="47" t="str">
        <f t="shared" si="521"/>
        <v xml:space="preserve">biz enhancement(1), </v>
      </c>
      <c r="HZ147" s="47" t="str">
        <f t="shared" si="521"/>
        <v xml:space="preserve">biz enhancement(100), </v>
      </c>
      <c r="IA147" s="47" t="str">
        <f t="shared" si="521"/>
        <v xml:space="preserve">ambition(2),knowledge(2),spaciousness(2),ease of access(3),efficiency(2),portfolio(4),finance(2),business model(2),marketing(3),team building(2),project management(2),social media(3),negotiation(3), </v>
      </c>
      <c r="IB147" s="47" t="str">
        <f t="shared" si="521"/>
        <v xml:space="preserve">ambition(1),local biz(1),biz group(1),govt(1),media(1),entrepreneurs(1),technologists(1),non-profits(1),reputation(1),team building(1),database(1),AI&amp; data analysis(1),electronics(1),functions(1), </v>
      </c>
      <c r="IC147" s="47" t="str">
        <f t="shared" si="521"/>
        <v xml:space="preserve">ambition(6.25),local biz(6.25),biz group(6.25),govt(6.25),media(6.25),entrepreneurs(6.25),technologists(6.25),non-profits(6.25),reputation(6.25),team building(6.25),database(6.25),AI&amp; data analysis(6.25),electronics(6.25),functions(6.25), </v>
      </c>
      <c r="ID147" s="47" t="str">
        <f t="shared" si="521"/>
        <v xml:space="preserve">technologists(2), </v>
      </c>
      <c r="IE147" s="47" t="str">
        <f t="shared" si="521"/>
        <v xml:space="preserve">web(1),mobile apps(1),security(1),AI&amp; data analysis(1), </v>
      </c>
      <c r="IF147" s="47" t="str">
        <f t="shared" si="521"/>
        <v xml:space="preserve">web(25),mobile apps(25),security(25),AI&amp; data analysis(25), </v>
      </c>
      <c r="IG147" s="47" t="str">
        <f t="shared" si="521"/>
        <v xml:space="preserve">entrepreneurs(3),technologists(4),spaciousness(2),ease of access(2),reputation(3),efficiency(2),portfolio(3),web(2),database(2),mobile apps(2),security(2),AI&amp; data analysis(2), </v>
      </c>
      <c r="IH147" s="47" t="str">
        <f t="shared" si="521"/>
        <v xml:space="preserve">technologists(1),web(1),database(1),mobile apps(1),security(1),AI&amp; data analysis(1), </v>
      </c>
      <c r="II147" s="47" t="str">
        <f t="shared" si="521"/>
        <v xml:space="preserve">technologists(6.25),web(6.25),database(6.25),mobile apps(6.25),security(6.25),AI&amp; data analysis(6.25), </v>
      </c>
      <c r="IJ147" s="47" t="str">
        <f t="shared" si="521"/>
        <v xml:space="preserve">technologists(2), </v>
      </c>
      <c r="IK147" s="47" t="str">
        <f t="shared" si="521"/>
        <v xml:space="preserve">wood processing(1),metal processing(1),functions(1),safety(1), </v>
      </c>
      <c r="IL147" s="47" t="str">
        <f t="shared" si="521"/>
        <v xml:space="preserve">wood processing(25),metal processing(25),functions(25),safety(25), </v>
      </c>
      <c r="IM147" s="47" t="str">
        <f t="shared" si="521"/>
        <v xml:space="preserve">entrepreneurs(3),technologists(4),spaciousness(2),ease of access(2),reputation(3),efficiency(2),portfolio(3),wood processing(2),metal processing(2),functions(2),safety(2), </v>
      </c>
      <c r="IN147" s="47" t="str">
        <f t="shared" si="521"/>
        <v xml:space="preserve">technologists(1),wood processing(1),metal processing(1),functions(1),safety(1),interaction(1), </v>
      </c>
      <c r="IO147" s="47" t="str">
        <f t="shared" si="521"/>
        <v xml:space="preserve">technologists(6.25),wood processing(6.25),metal processing(6.25),functions(6.25),safety(6.25),interaction(6.25), </v>
      </c>
      <c r="IP147" s="57" t="str">
        <f t="shared" si="521"/>
        <v xml:space="preserve">local biz(2),reputation(1), </v>
      </c>
      <c r="IQ147" s="47" t="str">
        <f t="shared" si="521"/>
        <v xml:space="preserve">local biz(1),marketing(1), </v>
      </c>
      <c r="IR147" s="47" t="str">
        <f t="shared" si="521"/>
        <v xml:space="preserve">local biz(25),marketing(25), </v>
      </c>
      <c r="IS147" s="47" t="str">
        <f t="shared" si="521"/>
        <v xml:space="preserve">local biz(3),biz group(2),govt(2),non-profits(2),reputation(3),efficiency(2),marketing(2), </v>
      </c>
      <c r="IT147" s="47" t="str">
        <f t="shared" si="521"/>
        <v xml:space="preserve">local biz(1),biz group(1),govt(1),non-profits(1),marketing(1), </v>
      </c>
      <c r="IU147" s="47" t="str">
        <f t="shared" si="521"/>
        <v xml:space="preserve">local biz(6.25),biz group(6.25),govt(6.25),non-profits(6.25),marketing(6.25), </v>
      </c>
      <c r="IV147" s="57" t="str">
        <f t="shared" ref="IV147:LG147" si="522">IF(IV45="",IV148,$C147&amp;"("&amp;IV45&amp;"),"&amp;IV148)</f>
        <v xml:space="preserve">local biz(2),reputation(1), </v>
      </c>
      <c r="IW147" s="47" t="str">
        <f t="shared" si="522"/>
        <v xml:space="preserve">local biz(1),marketing(1), </v>
      </c>
      <c r="IX147" s="47" t="str">
        <f t="shared" si="522"/>
        <v xml:space="preserve">local biz(25),marketing(25), </v>
      </c>
      <c r="IY147" s="47" t="str">
        <f t="shared" si="522"/>
        <v xml:space="preserve">local biz(3),biz group(2),govt(2),reputation(3),efficiency(2),marketing(2), </v>
      </c>
      <c r="IZ147" s="47" t="str">
        <f t="shared" si="522"/>
        <v xml:space="preserve">local biz(1),biz group(1),govt(1),marketing(1), </v>
      </c>
      <c r="JA147" s="47" t="str">
        <f t="shared" si="522"/>
        <v xml:space="preserve">local biz(6.25),biz group(6.25),govt(6.25),marketing(6.25), </v>
      </c>
      <c r="JB147" s="47" t="str">
        <f t="shared" si="522"/>
        <v xml:space="preserve"> </v>
      </c>
      <c r="JC147" s="47" t="str">
        <f t="shared" si="522"/>
        <v xml:space="preserve"> </v>
      </c>
      <c r="JD147" s="47" t="str">
        <f t="shared" si="522"/>
        <v xml:space="preserve"> </v>
      </c>
      <c r="JE147" s="47" t="str">
        <f t="shared" si="522"/>
        <v xml:space="preserve">technologists(2),spaciousness(1),ease of access(1),reputation(3),efficiency(2), </v>
      </c>
      <c r="JF147" s="47" t="str">
        <f t="shared" si="522"/>
        <v xml:space="preserve">web(1),infrastructrue(1),database(1),mobile apps(1),sensors(1),security(1),AI&amp; data analysis(1),mobile comm(1),VR&amp;AR(1),wood processing(1),metal processing(1),plastic processing(1),electronics(1),fabric(1),aesthetics(1),functions(1),safety(1),interaction(1), </v>
      </c>
      <c r="JG147" s="47" t="str">
        <f t="shared" si="522"/>
        <v xml:space="preserve">web(6.25),infrastructrue(6.25),database(6.25),mobile apps(6.25),sensors(6.25),security(6.25),AI&amp; data analysis(6.25),mobile comm(6.25),VR&amp;AR(6.25),wood processing(6.25),metal processing(6.25),plastic processing(6.25),electronics(6.25),fabric(6.25),aesthetics(6.25),functions(6.25),safety(6.25),interaction(6.25), </v>
      </c>
      <c r="JH147" s="47" t="str">
        <f t="shared" si="522"/>
        <v xml:space="preserve">local biz(1),non-profits(1),reputation(2), </v>
      </c>
      <c r="JI147" s="47" t="str">
        <f t="shared" si="522"/>
        <v xml:space="preserve"> </v>
      </c>
      <c r="JJ147" s="47" t="str">
        <f t="shared" si="522"/>
        <v xml:space="preserve"> </v>
      </c>
      <c r="JK147" s="47" t="str">
        <f t="shared" si="522"/>
        <v xml:space="preserve">ambition(2),local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7" s="47" t="str">
        <f t="shared" si="522"/>
        <v xml:space="preserve">non-profits(1), </v>
      </c>
      <c r="JM147" s="47" t="str">
        <f t="shared" si="522"/>
        <v xml:space="preserve">non-profits(6.25), </v>
      </c>
      <c r="JN147" s="47" t="str">
        <f t="shared" si="522"/>
        <v xml:space="preserve">local biz(1),investors(1),entrepreneurs(1),technologists(1),non-profits(1),reputation(2),portfolio(2), </v>
      </c>
      <c r="JO147" s="47" t="str">
        <f t="shared" si="522"/>
        <v xml:space="preserve"> </v>
      </c>
      <c r="JP147" s="47" t="str">
        <f t="shared" si="522"/>
        <v xml:space="preserve"> </v>
      </c>
      <c r="JQ147" s="47" t="str">
        <f t="shared" si="522"/>
        <v xml:space="preserve">ambition(2),local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7" s="47" t="str">
        <f t="shared" si="522"/>
        <v xml:space="preserve"> </v>
      </c>
      <c r="JS147" s="47" t="str">
        <f t="shared" si="522"/>
        <v xml:space="preserve"> </v>
      </c>
      <c r="JT147" s="47" t="str">
        <f t="shared" si="522"/>
        <v xml:space="preserve">local biz(2),biz group(1),govt(2),investors(2),entrepreneurs(2),technologists(2),non-profits(2),reputation(2),portfolio(3), </v>
      </c>
      <c r="JU147" s="47" t="str">
        <f t="shared" si="522"/>
        <v xml:space="preserve"> </v>
      </c>
      <c r="JV147" s="47" t="str">
        <f t="shared" si="522"/>
        <v xml:space="preserve"> </v>
      </c>
      <c r="JW147" s="47" t="str">
        <f t="shared" si="522"/>
        <v xml:space="preserve">ambition(2),local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7" s="47" t="str">
        <f t="shared" si="522"/>
        <v xml:space="preserve"> </v>
      </c>
      <c r="JY147" s="47" t="str">
        <f t="shared" si="522"/>
        <v xml:space="preserve"> </v>
      </c>
      <c r="JZ147" s="47" t="str">
        <f t="shared" si="522"/>
        <v xml:space="preserve">non-profits(1),reputation(2),social project(2), </v>
      </c>
      <c r="KA147" s="47" t="str">
        <f t="shared" si="522"/>
        <v xml:space="preserve">non-profits(1), </v>
      </c>
      <c r="KB147" s="47" t="str">
        <f t="shared" si="522"/>
        <v xml:space="preserve">non-profits(25), </v>
      </c>
      <c r="KC147" s="47" t="str">
        <f t="shared" si="522"/>
        <v xml:space="preserve">ambition(3),local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7" s="47" t="str">
        <f t="shared" si="522"/>
        <v xml:space="preserve">non-profits(1), </v>
      </c>
      <c r="KE147" s="47" t="str">
        <f t="shared" si="522"/>
        <v xml:space="preserve">non-profits(6.25), </v>
      </c>
      <c r="KF147" s="47" t="str">
        <f t="shared" si="522"/>
        <v xml:space="preserve"> </v>
      </c>
      <c r="KG147" s="47" t="str">
        <f t="shared" si="522"/>
        <v xml:space="preserve"> </v>
      </c>
      <c r="KH147" s="47" t="str">
        <f t="shared" si="522"/>
        <v xml:space="preserve"> </v>
      </c>
      <c r="KI147" s="47" t="str">
        <f t="shared" si="522"/>
        <v xml:space="preserve"> </v>
      </c>
      <c r="KJ147" s="47" t="str">
        <f t="shared" si="522"/>
        <v xml:space="preserve"> </v>
      </c>
      <c r="KK147" s="47" t="str">
        <f t="shared" si="522"/>
        <v xml:space="preserve"> </v>
      </c>
      <c r="KL147" s="57" t="str">
        <f t="shared" si="522"/>
        <v xml:space="preserve"> </v>
      </c>
      <c r="KM147" s="47" t="str">
        <f t="shared" si="522"/>
        <v xml:space="preserve"> </v>
      </c>
      <c r="KN147" s="47" t="str">
        <f t="shared" si="522"/>
        <v xml:space="preserve"> </v>
      </c>
      <c r="KO147" s="47" t="str">
        <f t="shared" si="522"/>
        <v xml:space="preserve"> </v>
      </c>
      <c r="KP147" s="47" t="str">
        <f t="shared" si="522"/>
        <v xml:space="preserve"> </v>
      </c>
      <c r="KQ147" s="47" t="str">
        <f t="shared" si="522"/>
        <v xml:space="preserve"> </v>
      </c>
      <c r="KR147" s="57" t="str">
        <f t="shared" si="522"/>
        <v xml:space="preserve"> </v>
      </c>
      <c r="KS147" s="47" t="str">
        <f t="shared" si="522"/>
        <v xml:space="preserve"> </v>
      </c>
      <c r="KT147" s="47" t="str">
        <f t="shared" si="522"/>
        <v xml:space="preserve"> </v>
      </c>
      <c r="KU147" s="47" t="str">
        <f t="shared" si="522"/>
        <v xml:space="preserve"> </v>
      </c>
      <c r="KV147" s="47" t="str">
        <f t="shared" si="522"/>
        <v xml:space="preserve"> </v>
      </c>
      <c r="KW147" s="47" t="str">
        <f t="shared" si="522"/>
        <v xml:space="preserve"> </v>
      </c>
      <c r="KX147" s="57" t="str">
        <f t="shared" si="522"/>
        <v xml:space="preserve"> </v>
      </c>
      <c r="KY147" s="47" t="str">
        <f t="shared" si="522"/>
        <v xml:space="preserve"> </v>
      </c>
      <c r="KZ147" s="47" t="str">
        <f t="shared" si="522"/>
        <v xml:space="preserve"> </v>
      </c>
      <c r="LA147" s="47" t="str">
        <f t="shared" si="522"/>
        <v xml:space="preserve"> </v>
      </c>
      <c r="LB147" s="47" t="str">
        <f t="shared" si="522"/>
        <v xml:space="preserve"> </v>
      </c>
      <c r="LC147" s="47" t="str">
        <f t="shared" si="522"/>
        <v xml:space="preserve"> </v>
      </c>
      <c r="LD147" s="57" t="str">
        <f t="shared" si="522"/>
        <v xml:space="preserve"> </v>
      </c>
      <c r="LE147" s="47" t="str">
        <f t="shared" si="522"/>
        <v xml:space="preserve"> </v>
      </c>
      <c r="LF147" s="47" t="str">
        <f t="shared" si="522"/>
        <v xml:space="preserve"> </v>
      </c>
      <c r="LG147" s="47" t="str">
        <f t="shared" si="522"/>
        <v xml:space="preserve"> </v>
      </c>
      <c r="LH147" s="47" t="str">
        <f t="shared" ref="LH147:NM147" si="523">IF(LH45="",LH148,$C147&amp;"("&amp;LH45&amp;"),"&amp;LH148)</f>
        <v xml:space="preserve"> </v>
      </c>
      <c r="LI147" s="47" t="str">
        <f t="shared" si="523"/>
        <v xml:space="preserve"> </v>
      </c>
      <c r="LJ147" s="57" t="str">
        <f t="shared" si="523"/>
        <v xml:space="preserve"> </v>
      </c>
      <c r="LK147" s="47" t="str">
        <f t="shared" si="523"/>
        <v xml:space="preserve"> </v>
      </c>
      <c r="LL147" s="47" t="str">
        <f t="shared" si="523"/>
        <v xml:space="preserve"> </v>
      </c>
      <c r="LM147" s="47" t="str">
        <f t="shared" si="523"/>
        <v xml:space="preserve"> </v>
      </c>
      <c r="LN147" s="47" t="str">
        <f t="shared" si="523"/>
        <v xml:space="preserve"> </v>
      </c>
      <c r="LO147" s="47" t="str">
        <f t="shared" si="523"/>
        <v xml:space="preserve"> </v>
      </c>
      <c r="LP147" s="57" t="str">
        <f t="shared" si="523"/>
        <v xml:space="preserve"> </v>
      </c>
      <c r="LQ147" s="47" t="str">
        <f t="shared" si="523"/>
        <v xml:space="preserve"> </v>
      </c>
      <c r="LR147" s="47" t="str">
        <f t="shared" si="523"/>
        <v xml:space="preserve"> </v>
      </c>
      <c r="LS147" s="47" t="str">
        <f t="shared" si="523"/>
        <v xml:space="preserve"> </v>
      </c>
      <c r="LT147" s="47" t="str">
        <f t="shared" si="523"/>
        <v xml:space="preserve"> </v>
      </c>
      <c r="LU147" s="47" t="str">
        <f t="shared" si="523"/>
        <v xml:space="preserve"> </v>
      </c>
      <c r="LV147" s="57" t="str">
        <f t="shared" si="523"/>
        <v xml:space="preserve"> </v>
      </c>
      <c r="LW147" s="47" t="str">
        <f t="shared" si="523"/>
        <v xml:space="preserve"> </v>
      </c>
      <c r="LX147" s="47" t="str">
        <f t="shared" si="523"/>
        <v xml:space="preserve"> </v>
      </c>
      <c r="LY147" s="47" t="str">
        <f t="shared" si="523"/>
        <v xml:space="preserve"> </v>
      </c>
      <c r="LZ147" s="47" t="str">
        <f t="shared" si="523"/>
        <v xml:space="preserve"> </v>
      </c>
      <c r="MA147" s="47" t="str">
        <f t="shared" si="523"/>
        <v xml:space="preserve"> </v>
      </c>
      <c r="MB147" s="57" t="str">
        <f t="shared" si="523"/>
        <v xml:space="preserve"> </v>
      </c>
      <c r="MC147" s="47" t="str">
        <f t="shared" si="523"/>
        <v xml:space="preserve"> </v>
      </c>
      <c r="MD147" s="47" t="str">
        <f t="shared" si="523"/>
        <v xml:space="preserve"> </v>
      </c>
      <c r="ME147" s="47" t="str">
        <f t="shared" si="523"/>
        <v xml:space="preserve"> </v>
      </c>
      <c r="MF147" s="47" t="str">
        <f t="shared" si="523"/>
        <v xml:space="preserve"> </v>
      </c>
      <c r="MG147" s="47" t="str">
        <f t="shared" si="523"/>
        <v xml:space="preserve"> </v>
      </c>
      <c r="MH147" s="57" t="str">
        <f t="shared" si="523"/>
        <v xml:space="preserve"> </v>
      </c>
      <c r="MI147" s="47" t="str">
        <f t="shared" si="523"/>
        <v xml:space="preserve"> </v>
      </c>
      <c r="MJ147" s="47" t="str">
        <f t="shared" si="523"/>
        <v xml:space="preserve"> </v>
      </c>
      <c r="MK147" s="47" t="str">
        <f t="shared" si="523"/>
        <v xml:space="preserve"> </v>
      </c>
      <c r="ML147" s="47" t="str">
        <f t="shared" si="523"/>
        <v xml:space="preserve"> </v>
      </c>
      <c r="MM147" s="47" t="str">
        <f t="shared" si="523"/>
        <v xml:space="preserve"> </v>
      </c>
      <c r="MN147" s="57" t="str">
        <f t="shared" si="523"/>
        <v xml:space="preserve"> </v>
      </c>
      <c r="MO147" s="47" t="str">
        <f t="shared" si="523"/>
        <v xml:space="preserve"> </v>
      </c>
      <c r="MP147" s="47" t="str">
        <f t="shared" si="523"/>
        <v xml:space="preserve"> </v>
      </c>
      <c r="MQ147" s="47" t="str">
        <f t="shared" si="523"/>
        <v xml:space="preserve"> </v>
      </c>
      <c r="MR147" s="47" t="str">
        <f t="shared" si="523"/>
        <v xml:space="preserve"> </v>
      </c>
      <c r="MS147" s="47" t="str">
        <f t="shared" si="523"/>
        <v xml:space="preserve"> </v>
      </c>
      <c r="MT147" s="57" t="str">
        <f t="shared" si="523"/>
        <v xml:space="preserve"> </v>
      </c>
      <c r="MU147" s="47" t="str">
        <f t="shared" si="523"/>
        <v xml:space="preserve"> </v>
      </c>
      <c r="MV147" s="47" t="str">
        <f t="shared" si="523"/>
        <v xml:space="preserve"> </v>
      </c>
      <c r="MW147" s="47" t="str">
        <f t="shared" si="523"/>
        <v xml:space="preserve"> </v>
      </c>
      <c r="MX147" s="47" t="str">
        <f t="shared" si="523"/>
        <v xml:space="preserve"> </v>
      </c>
      <c r="MY147" s="47" t="str">
        <f t="shared" si="523"/>
        <v xml:space="preserve"> </v>
      </c>
      <c r="MZ147" s="57" t="str">
        <f t="shared" si="523"/>
        <v xml:space="preserve"> </v>
      </c>
      <c r="NA147" s="47" t="str">
        <f t="shared" si="523"/>
        <v xml:space="preserve"> </v>
      </c>
      <c r="NB147" s="47" t="str">
        <f t="shared" si="523"/>
        <v xml:space="preserve"> </v>
      </c>
      <c r="NC147" s="47" t="str">
        <f t="shared" si="523"/>
        <v xml:space="preserve"> </v>
      </c>
      <c r="ND147" s="47" t="str">
        <f t="shared" si="523"/>
        <v xml:space="preserve"> </v>
      </c>
      <c r="NE147" s="47" t="str">
        <f t="shared" si="523"/>
        <v xml:space="preserve"> </v>
      </c>
      <c r="NF147" s="57" t="str">
        <f t="shared" si="523"/>
        <v xml:space="preserve"> </v>
      </c>
      <c r="NG147" s="47" t="str">
        <f t="shared" si="523"/>
        <v xml:space="preserve"> </v>
      </c>
      <c r="NH147" s="47" t="str">
        <f t="shared" si="523"/>
        <v xml:space="preserve"> </v>
      </c>
      <c r="NI147" s="47" t="str">
        <f t="shared" si="523"/>
        <v xml:space="preserve"> </v>
      </c>
      <c r="NJ147" s="47" t="str">
        <f t="shared" si="523"/>
        <v xml:space="preserve"> </v>
      </c>
      <c r="NK147" s="47" t="str">
        <f t="shared" si="523"/>
        <v xml:space="preserve"> </v>
      </c>
      <c r="NL147" s="57" t="str">
        <f t="shared" si="523"/>
        <v xml:space="preserve"> </v>
      </c>
      <c r="NM147" s="47" t="str">
        <f t="shared" si="523"/>
        <v xml:space="preserve"> </v>
      </c>
    </row>
    <row r="148" spans="3:377" ht="15.75" customHeight="1">
      <c r="C148" s="7" t="str">
        <f t="shared" si="296"/>
        <v>knowledge</v>
      </c>
      <c r="D148" s="21" t="str">
        <f t="shared" si="169"/>
        <v xml:space="preserve"> </v>
      </c>
      <c r="E148" s="21" t="str">
        <f t="shared" si="297"/>
        <v xml:space="preserve"> </v>
      </c>
      <c r="F148" s="21" t="str">
        <f t="shared" si="170"/>
        <v xml:space="preserve"> </v>
      </c>
      <c r="G148" s="21" t="str">
        <f t="shared" si="298"/>
        <v xml:space="preserve">ease of access(1), reputation(2), social media(1),  </v>
      </c>
      <c r="H148" s="21" t="str">
        <f t="shared" si="299"/>
        <v xml:space="preserve"> </v>
      </c>
      <c r="I148" s="21" t="str">
        <f t="shared" ref="I148" si="524">IF(I46="",I149,$C148&amp;"("&amp;I46&amp;"),"&amp;I149)</f>
        <v xml:space="preserve"> </v>
      </c>
      <c r="J148" s="21" t="str">
        <f t="shared" si="468"/>
        <v xml:space="preserve">interaction 1
 </v>
      </c>
      <c r="K148" s="21" t="str">
        <f t="shared" si="173"/>
        <v xml:space="preserve">reputation(1,75),  </v>
      </c>
      <c r="L148" s="21" t="str">
        <f t="shared" si="469"/>
        <v xml:space="preserve">reputation 75
 </v>
      </c>
      <c r="M148" s="21" t="str">
        <f t="shared" si="175"/>
        <v xml:space="preserve">portfolio(1), social innovation(1), non-profit biz(1),  </v>
      </c>
      <c r="N148" s="21" t="str">
        <f t="shared" si="176"/>
        <v xml:space="preserve">non-profits(1,12.5), reputation(1,75), marketing(1,12.5),  </v>
      </c>
      <c r="O148" s="21" t="str">
        <f t="shared" si="470"/>
        <v xml:space="preserve">non-profits(12.5),reputation(75),marketing(12.5), </v>
      </c>
      <c r="P148" s="21" t="str">
        <f t="shared" si="468"/>
        <v xml:space="preserve">biz project 1
 </v>
      </c>
      <c r="Q148" s="21" t="str">
        <f t="shared" si="178"/>
        <v xml:space="preserve"> </v>
      </c>
      <c r="R148" s="21" t="str">
        <f t="shared" si="469"/>
        <v xml:space="preserve"> </v>
      </c>
      <c r="S148" s="21" t="str">
        <f t="shared" si="179"/>
        <v xml:space="preserve">portfolio(1), biz enhancement(1), business(1), start-up(1),  </v>
      </c>
      <c r="T148" s="21" t="str">
        <f t="shared" si="180"/>
        <v xml:space="preserve">local biz(1,6.25), investors(1,6.25), reputation(1,6.25),  </v>
      </c>
      <c r="U148" s="21" t="str">
        <f t="shared" si="470"/>
        <v xml:space="preserve">local biz(6.25),investors(6.25),reputation(6.25), </v>
      </c>
      <c r="V148" s="21" t="str">
        <f t="shared" si="468"/>
        <v xml:space="preserve"> </v>
      </c>
      <c r="W148" s="21" t="str">
        <f t="shared" si="181"/>
        <v xml:space="preserve">local biz(1,),  </v>
      </c>
      <c r="X148" s="21" t="str">
        <f t="shared" si="469"/>
        <v xml:space="preserve"> </v>
      </c>
      <c r="Y148" s="21" t="str">
        <f t="shared" si="182"/>
        <v xml:space="preserve">ease of access(1), reputation(1), portfolio(1), biz project(1), biz enhancement(1), job creation(1), business(1),  </v>
      </c>
      <c r="Z148" s="21" t="str">
        <f t="shared" si="183"/>
        <v xml:space="preserve">local biz(1,6.25),  </v>
      </c>
      <c r="AA148" s="21" t="str">
        <f t="shared" si="470"/>
        <v xml:space="preserve">local biz(6.25), </v>
      </c>
      <c r="AB148" s="21" t="str">
        <f t="shared" si="468"/>
        <v xml:space="preserve"> </v>
      </c>
      <c r="AC148" s="21" t="str">
        <f t="shared" si="184"/>
        <v xml:space="preserve">non-profits(1,100),  </v>
      </c>
      <c r="AD148" s="21" t="str">
        <f t="shared" si="469"/>
        <v xml:space="preserve">non-profits 100
 </v>
      </c>
      <c r="AE148" s="21" t="str">
        <f t="shared" si="185"/>
        <v xml:space="preserve">ease of access(1), reputation(1), portfolio(1), social project(1), social innovation(1), non-profit biz(1),  </v>
      </c>
      <c r="AF148" s="21" t="str">
        <f t="shared" si="186"/>
        <v xml:space="preserve">non-profits(1,6.25),  </v>
      </c>
      <c r="AG148" s="21" t="str">
        <f t="shared" si="470"/>
        <v xml:space="preserve">non-profits(6.25), </v>
      </c>
      <c r="AH148" s="21" t="str">
        <f t="shared" si="468"/>
        <v xml:space="preserve"> </v>
      </c>
      <c r="AI148" s="21" t="str">
        <f t="shared" si="187"/>
        <v xml:space="preserve">govt(1,),  </v>
      </c>
      <c r="AJ148" s="21" t="str">
        <f t="shared" si="469"/>
        <v xml:space="preserve"> </v>
      </c>
      <c r="AK148" s="21" t="str">
        <f t="shared" si="188"/>
        <v xml:space="preserve">govt(1), ease of access(1), reputation(2), portfolio(1), social project(1), social innovation(1), non-profit biz(1),  </v>
      </c>
      <c r="AL148" s="21" t="str">
        <f t="shared" si="189"/>
        <v xml:space="preserve">govt(1,6.25),  </v>
      </c>
      <c r="AM148" s="21" t="str">
        <f t="shared" si="470"/>
        <v xml:space="preserve">govt(6.25), </v>
      </c>
      <c r="AN148" s="21" t="str">
        <f t="shared" si="468"/>
        <v xml:space="preserve"> </v>
      </c>
      <c r="AO148" s="21" t="str">
        <f t="shared" si="190"/>
        <v xml:space="preserve">investors(1,6.25),  </v>
      </c>
      <c r="AP148" s="21" t="str">
        <f t="shared" si="469"/>
        <v xml:space="preserve">investors 6.25
 </v>
      </c>
      <c r="AQ148" s="21" t="str">
        <f t="shared" si="191"/>
        <v xml:space="preserve">investors(1), ease of access(1), reputation(1), portfolio(1), start-up(1), start-up with mvp(1), start-up with customers(1),  </v>
      </c>
      <c r="AR148" s="21" t="str">
        <f t="shared" si="192"/>
        <v xml:space="preserve"> </v>
      </c>
      <c r="AS148" s="21" t="str">
        <f t="shared" si="470"/>
        <v xml:space="preserve"> </v>
      </c>
      <c r="AT148" s="21" t="str">
        <f t="shared" si="468"/>
        <v xml:space="preserve">non-profits 2
reputation 1
portfolio 1
social project 1
 </v>
      </c>
      <c r="AU148" s="21" t="str">
        <f t="shared" si="193"/>
        <v xml:space="preserve"> </v>
      </c>
      <c r="AV148" s="21" t="str">
        <f t="shared" si="469"/>
        <v xml:space="preserve"> </v>
      </c>
      <c r="AW148" s="21" t="str">
        <f t="shared" si="194"/>
        <v xml:space="preserve">project management(2),  </v>
      </c>
      <c r="AX148" s="21" t="str">
        <f t="shared" si="195"/>
        <v xml:space="preserve">organizational rules and manuals(1,12.5), project management(1,12.5),  </v>
      </c>
      <c r="AY148" s="21" t="str">
        <f t="shared" si="470"/>
        <v xml:space="preserve">organizational rules and manuals(12.5),project management(12.5), </v>
      </c>
      <c r="AZ148" s="21" t="str">
        <f t="shared" si="468"/>
        <v xml:space="preserve">non-profits 1
 </v>
      </c>
      <c r="BA148" s="21" t="str">
        <f t="shared" si="196"/>
        <v xml:space="preserve"> </v>
      </c>
      <c r="BB148" s="21" t="str">
        <f t="shared" si="469"/>
        <v xml:space="preserve"> </v>
      </c>
      <c r="BC148" s="21" t="str">
        <f t="shared" si="197"/>
        <v xml:space="preserve"> </v>
      </c>
      <c r="BD148" s="21" t="str">
        <f t="shared" si="198"/>
        <v xml:space="preserve"> </v>
      </c>
      <c r="BE148" s="21" t="str">
        <f t="shared" si="470"/>
        <v xml:space="preserve"> </v>
      </c>
      <c r="BF148" s="21" t="str">
        <f t="shared" si="468"/>
        <v xml:space="preserve">local biz 2
entrepreneurs 1
reputation 1
portfolio 1
biz project 1
 </v>
      </c>
      <c r="BG148" s="21" t="str">
        <f t="shared" si="199"/>
        <v xml:space="preserve"> </v>
      </c>
      <c r="BH148" s="21" t="str">
        <f t="shared" si="469"/>
        <v xml:space="preserve"> </v>
      </c>
      <c r="BI148" s="21" t="str">
        <f t="shared" si="200"/>
        <v xml:space="preserve">project management(2),  </v>
      </c>
      <c r="BJ148" s="21" t="str">
        <f t="shared" si="201"/>
        <v xml:space="preserve">organizational rules and manuals(1,12.5), project management(1,12.5),  </v>
      </c>
      <c r="BK148" s="21" t="str">
        <f t="shared" si="470"/>
        <v xml:space="preserve">organizational rules and manuals(12.5),project management(12.5), </v>
      </c>
      <c r="BL148" s="21" t="str">
        <f t="shared" si="468"/>
        <v xml:space="preserve">local biz 1
reputation 1
portfolio 1
biz enhancement 1
 </v>
      </c>
      <c r="BM148" s="21" t="str">
        <f t="shared" si="202"/>
        <v xml:space="preserve"> </v>
      </c>
      <c r="BN148" s="21" t="str">
        <f t="shared" si="469"/>
        <v xml:space="preserve"> </v>
      </c>
      <c r="BO148" s="21" t="str">
        <f t="shared" si="203"/>
        <v xml:space="preserve"> </v>
      </c>
      <c r="BP148" s="21" t="str">
        <f t="shared" si="204"/>
        <v xml:space="preserve"> </v>
      </c>
      <c r="BQ148" s="21" t="str">
        <f t="shared" si="470"/>
        <v xml:space="preserve"> </v>
      </c>
      <c r="BR148" s="21" t="str">
        <f t="shared" si="468"/>
        <v xml:space="preserve"> </v>
      </c>
      <c r="BS148" s="21" t="str">
        <f t="shared" si="205"/>
        <v xml:space="preserve"> </v>
      </c>
      <c r="BT148" s="21" t="str">
        <f t="shared" si="469"/>
        <v xml:space="preserve"> </v>
      </c>
      <c r="BU148" s="21" t="str">
        <f t="shared" si="206"/>
        <v xml:space="preserve"> </v>
      </c>
      <c r="BV148" s="21" t="str">
        <f t="shared" si="207"/>
        <v xml:space="preserve"> </v>
      </c>
      <c r="BW148" s="21" t="str">
        <f t="shared" si="470"/>
        <v xml:space="preserve"> </v>
      </c>
      <c r="BX148" s="21" t="str">
        <f t="shared" si="471"/>
        <v xml:space="preserve"> </v>
      </c>
      <c r="BY148" s="21" t="str">
        <f t="shared" si="209"/>
        <v xml:space="preserve">efficiency(1,),  </v>
      </c>
      <c r="BZ148" s="21" t="str">
        <f t="shared" si="472"/>
        <v xml:space="preserve"> </v>
      </c>
      <c r="CA148" s="21" t="str">
        <f t="shared" si="211"/>
        <v xml:space="preserve">negotiation(1),  </v>
      </c>
      <c r="CB148" s="21" t="str">
        <f t="shared" si="212"/>
        <v xml:space="preserve">user rules and manuals(1,50), organizational rules and manuals(1,50),  </v>
      </c>
      <c r="CC148" s="21" t="str">
        <f t="shared" si="473"/>
        <v xml:space="preserve">user rules and manuals(50),organizational rules and manuals(50), </v>
      </c>
      <c r="CD148" s="21" t="str">
        <f t="shared" si="471"/>
        <v xml:space="preserve"> </v>
      </c>
      <c r="CE148" s="21" t="str">
        <f t="shared" si="214"/>
        <v xml:space="preserve">non-profits(1,),  </v>
      </c>
      <c r="CF148" s="21" t="str">
        <f t="shared" si="472"/>
        <v xml:space="preserve"> </v>
      </c>
      <c r="CG148" s="21" t="str">
        <f t="shared" si="215"/>
        <v xml:space="preserve">ease of access(1), portfolio(1), user rules and manuals(1), negotiation(1), social project(1), biz project(1), for basic literacy(1), for the elites(1), for entrepreneurs(1),  </v>
      </c>
      <c r="CH148" s="21" t="str">
        <f t="shared" si="216"/>
        <v xml:space="preserve">technologists(1,6.25), non-profits(1,6.25),  </v>
      </c>
      <c r="CI148" s="21" t="str">
        <f t="shared" si="473"/>
        <v xml:space="preserve">technologists(6.25),non-profits(6.25), </v>
      </c>
      <c r="CJ148" s="21" t="str">
        <f t="shared" si="471"/>
        <v xml:space="preserve"> </v>
      </c>
      <c r="CK148" s="21" t="str">
        <f t="shared" si="217"/>
        <v xml:space="preserve">suppliers(1,),  </v>
      </c>
      <c r="CL148" s="21" t="str">
        <f t="shared" si="472"/>
        <v xml:space="preserve"> </v>
      </c>
      <c r="CM148" s="21" t="str">
        <f t="shared" si="218"/>
        <v xml:space="preserve">reputation(1), negotiation(1),  </v>
      </c>
      <c r="CN148" s="21" t="str">
        <f t="shared" si="219"/>
        <v xml:space="preserve">efficiency(1,6.25),  </v>
      </c>
      <c r="CO148" s="21" t="str">
        <f t="shared" si="473"/>
        <v xml:space="preserve">efficiency(6.25), </v>
      </c>
      <c r="CP148" s="21" t="str">
        <f t="shared" si="471"/>
        <v xml:space="preserve"> </v>
      </c>
      <c r="CQ148" s="21" t="str">
        <f t="shared" si="220"/>
        <v xml:space="preserve">technologists(1,),  </v>
      </c>
      <c r="CR148" s="21" t="str">
        <f t="shared" si="472"/>
        <v xml:space="preserve"> </v>
      </c>
      <c r="CS148" s="21" t="str">
        <f t="shared" si="221"/>
        <v xml:space="preserve">portfolio(1), negotiation(1), web(1), infrastructrue(1), database(1), mobile apps(1), sensors(1), security(1), AI&amp; data analysis(1), mobile comm(1), VR&amp;AR(1), wood processing(1), metal processing(1), plastic processing(1), electronics(1), fabric(1),  </v>
      </c>
      <c r="CT148" s="21" t="str">
        <f t="shared" si="222"/>
        <v xml:space="preserve">efficiency(1,6.25),  </v>
      </c>
      <c r="CU148" s="21" t="str">
        <f t="shared" si="473"/>
        <v xml:space="preserve">efficiency(6.25), </v>
      </c>
      <c r="CV148" s="21" t="str">
        <f t="shared" si="471"/>
        <v xml:space="preserve"> </v>
      </c>
      <c r="CW148" s="21" t="str">
        <f t="shared" si="223"/>
        <v xml:space="preserve">local biz(1,),  </v>
      </c>
      <c r="CX148" s="21" t="str">
        <f t="shared" si="472"/>
        <v xml:space="preserve"> </v>
      </c>
      <c r="CY148" s="21" t="str">
        <f t="shared" si="224"/>
        <v xml:space="preserve">ease of access(1), reputation(1), portfolio(1), negotiation(1),  </v>
      </c>
      <c r="CZ148" s="21" t="str">
        <f t="shared" si="225"/>
        <v xml:space="preserve">non-profits(1,6.25),  </v>
      </c>
      <c r="DA148" s="21" t="str">
        <f t="shared" si="473"/>
        <v xml:space="preserve">non-profits(6.25), </v>
      </c>
      <c r="DB148" s="21" t="str">
        <f t="shared" si="471"/>
        <v xml:space="preserve"> </v>
      </c>
      <c r="DC148" s="21" t="str">
        <f t="shared" si="226"/>
        <v xml:space="preserve"> </v>
      </c>
      <c r="DD148" s="21" t="str">
        <f t="shared" si="472"/>
        <v xml:space="preserve"> </v>
      </c>
      <c r="DE148"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8" s="21" t="str">
        <f t="shared" si="228"/>
        <v xml:space="preserve">local biz(1,6.25), biz group(1,6.25), investors(1,6.25), entrepreneurs(1,6.25),  </v>
      </c>
      <c r="DG148" s="21" t="str">
        <f t="shared" si="473"/>
        <v xml:space="preserve">local biz(6.25),biz group(6.25),investors(6.25),entrepreneurs(6.25), </v>
      </c>
      <c r="DH148" s="21" t="str">
        <f t="shared" si="471"/>
        <v xml:space="preserve">non-profits 1
reputation 1
social project 1
 </v>
      </c>
      <c r="DI148" s="21" t="str">
        <f t="shared" si="229"/>
        <v xml:space="preserve"> </v>
      </c>
      <c r="DJ148" s="21" t="str">
        <f t="shared" si="472"/>
        <v xml:space="preserve"> </v>
      </c>
      <c r="DK148"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8" s="21" t="str">
        <f t="shared" si="231"/>
        <v xml:space="preserve">reputation(1,6.25),  </v>
      </c>
      <c r="DM148" s="21" t="str">
        <f t="shared" si="473"/>
        <v xml:space="preserve">reputation(6.25), </v>
      </c>
      <c r="DN148" s="21" t="str">
        <f t="shared" si="471"/>
        <v xml:space="preserve">local biz 1
reputation 1
biz project 1
 </v>
      </c>
      <c r="DO148" s="21" t="str">
        <f t="shared" si="232"/>
        <v xml:space="preserve"> </v>
      </c>
      <c r="DP148" s="21" t="str">
        <f t="shared" si="472"/>
        <v xml:space="preserve"> </v>
      </c>
      <c r="DQ148" s="21" t="str">
        <f t="shared" si="233"/>
        <v xml:space="preserve">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8" s="21" t="str">
        <f t="shared" si="234"/>
        <v xml:space="preserve">reputation(1,6.25),  </v>
      </c>
      <c r="DS148" s="21" t="str">
        <f t="shared" si="473"/>
        <v xml:space="preserve">reputation(6.25), </v>
      </c>
      <c r="DT148" s="21" t="str">
        <f t="shared" si="471"/>
        <v xml:space="preserve">reputation 1
 </v>
      </c>
      <c r="DU148" s="21" t="str">
        <f t="shared" si="235"/>
        <v xml:space="preserve"> </v>
      </c>
      <c r="DV148" s="21" t="str">
        <f t="shared" si="472"/>
        <v xml:space="preserve"> </v>
      </c>
      <c r="DW148" s="21" t="str">
        <f t="shared" si="236"/>
        <v xml:space="preserve">local biz(1), biz group(1), govt(2), investors(1), media(2), entrepreneurs(1), technologists(1), non-profits(1), spaciousness(1), ease of access(1), reputation(2), efficiency(1), organizational rules and manuals(1), marketing(1), social media(1), for basic literacy(1),  </v>
      </c>
      <c r="DX148" s="21" t="str">
        <f t="shared" si="237"/>
        <v xml:space="preserve">reputation(1,6.25), for basic literacy(1,6.25),  </v>
      </c>
      <c r="DY148" s="21" t="str">
        <f t="shared" si="473"/>
        <v xml:space="preserve">reputation(6.25),for basic literacy(6.25), </v>
      </c>
      <c r="DZ148" s="21" t="str">
        <f t="shared" si="471"/>
        <v xml:space="preserve">reputation 1
 </v>
      </c>
      <c r="EA148" s="21" t="str">
        <f t="shared" si="238"/>
        <v xml:space="preserve"> </v>
      </c>
      <c r="EB148" s="21" t="str">
        <f t="shared" si="472"/>
        <v xml:space="preserve"> </v>
      </c>
      <c r="EC148" s="21" t="str">
        <f t="shared" si="239"/>
        <v xml:space="preserve">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8" s="21" t="str">
        <f t="shared" si="240"/>
        <v xml:space="preserve">reputation(1,6.25), for basic literacy(1,6.25),  </v>
      </c>
      <c r="EE148" s="21" t="str">
        <f t="shared" si="473"/>
        <v xml:space="preserve">reputation(6.25),for basic literacy(6.25), </v>
      </c>
      <c r="EF148" s="21" t="str">
        <f t="shared" si="471"/>
        <v xml:space="preserve">technologists 1
reputation 1
 </v>
      </c>
      <c r="EG148" s="21" t="str">
        <f t="shared" si="241"/>
        <v xml:space="preserve">web(1,50), mobile apps(1,50), interaction(1,50),  </v>
      </c>
      <c r="EH148" s="21" t="str">
        <f t="shared" si="472"/>
        <v xml:space="preserve">web 50
mobile apps 50
interaction 50
 </v>
      </c>
      <c r="EI148" s="21" t="str">
        <f t="shared" si="242"/>
        <v xml:space="preserve">technologists(2), ease of access(1), reputation(2), infrastructrue(1), database(1), mobile comm(1), for entrepreneurs(1),  </v>
      </c>
      <c r="EJ148" s="21" t="str">
        <f t="shared" si="243"/>
        <v xml:space="preserve">technologists(1,12.5), infrastructrue(1,12.5), database(1,12.5), mobile comm(1,12.5), for entrepreneurs(1,6.25),  </v>
      </c>
      <c r="EK148" s="21" t="str">
        <f t="shared" si="473"/>
        <v xml:space="preserve">technologists(12.5),infrastructrue(12.5),database(12.5),mobile comm(12.5),for entrepreneurs(6.25), </v>
      </c>
      <c r="EL148" s="21" t="str">
        <f t="shared" si="474"/>
        <v xml:space="preserve">technologists 1
reputation 1
 </v>
      </c>
      <c r="EM148" s="21" t="str">
        <f t="shared" si="245"/>
        <v xml:space="preserve">sensors(1,50),  </v>
      </c>
      <c r="EN148" s="21" t="str">
        <f t="shared" si="475"/>
        <v xml:space="preserve">sensors 50
 </v>
      </c>
      <c r="EO148" s="21" t="str">
        <f t="shared" si="247"/>
        <v xml:space="preserve">technologists(2), ease of access(1), reputation(2), project management(2), infrastructrue(1), database(1), mobile comm(1), for entrepreneurs(1),  </v>
      </c>
      <c r="EP148" s="21" t="str">
        <f t="shared" si="248"/>
        <v xml:space="preserve">technologists(1,12.5), infrastructrue(1,12.5), database(1,12.5), mobile comm(1,12.5), electronics(1,6.25), for entrepreneurs(1,6.25),  </v>
      </c>
      <c r="EQ148" s="21" t="str">
        <f t="shared" si="476"/>
        <v xml:space="preserve">technologists(12.5),infrastructrue(12.5),database(12.5),mobile comm(12.5),electronics(6.25),for entrepreneurs(6.25), </v>
      </c>
      <c r="ER148" s="21" t="str">
        <f t="shared" si="474"/>
        <v xml:space="preserve">technologists 1
 </v>
      </c>
      <c r="ES148" s="21" t="str">
        <f t="shared" si="250"/>
        <v xml:space="preserve">AI&amp; data analysis(1,50),  </v>
      </c>
      <c r="ET148" s="21" t="str">
        <f t="shared" si="475"/>
        <v xml:space="preserve">AI&amp; data analysis 50
 </v>
      </c>
      <c r="EU148" s="21" t="str">
        <f t="shared" si="251"/>
        <v xml:space="preserve">technologists(2), ease of access(1), reputation(2), database(1), sensors(1), mobile comm(1), for entrepreneurs(1),  </v>
      </c>
      <c r="EV148" s="21" t="str">
        <f t="shared" si="252"/>
        <v xml:space="preserve">technologists(1,12.5), database(1,12.5), sensors(1,12.5), mobile comm(1,12.5), for entrepreneurs(1,6.25),  </v>
      </c>
      <c r="EW148" s="21" t="str">
        <f t="shared" si="476"/>
        <v xml:space="preserve">technologists(12.5),database(12.5),sensors(12.5),mobile comm(12.5),for entrepreneurs(6.25), </v>
      </c>
      <c r="EX148" s="21" t="str">
        <f t="shared" si="474"/>
        <v xml:space="preserve">technologists 1
 </v>
      </c>
      <c r="EY148" s="21" t="str">
        <f t="shared" si="253"/>
        <v xml:space="preserve">law(1,50), security(1,50), interaction(1,25),  </v>
      </c>
      <c r="EZ148" s="21" t="str">
        <f t="shared" si="475"/>
        <v xml:space="preserve">law 50
security 50
interaction 25
 </v>
      </c>
      <c r="FA148" s="21" t="str">
        <f t="shared" si="254"/>
        <v xml:space="preserve">technologists(2), ease of access(1), reputation(2), law(2), for entrepreneurs(1),  </v>
      </c>
      <c r="FB148" s="21" t="str">
        <f t="shared" si="255"/>
        <v xml:space="preserve">technologists(1,12.5), law(1,6.25), database(1,12.5), mobile apps(1,12.5), security(1,12.5), mobile comm(1,12.5), for entrepreneurs(1,6.25),  </v>
      </c>
      <c r="FC148" s="21" t="str">
        <f t="shared" si="476"/>
        <v xml:space="preserve">technologists(12.5),law(6.25),database(12.5),mobile apps(12.5),security(12.5),mobile comm(12.5),for entrepreneurs(6.25), </v>
      </c>
      <c r="FD148" s="21" t="str">
        <f t="shared" si="474"/>
        <v xml:space="preserve">technologists 1
 </v>
      </c>
      <c r="FE148" s="21" t="str">
        <f t="shared" si="256"/>
        <v xml:space="preserve">law(1,50), sensors(1,50), security(1,50),  </v>
      </c>
      <c r="FF148" s="21" t="str">
        <f t="shared" si="475"/>
        <v xml:space="preserve">law 50
sensors 50
security 50
 </v>
      </c>
      <c r="FG148" s="21" t="str">
        <f t="shared" si="257"/>
        <v xml:space="preserve">technologists(2), ease of access(1), reputation(2), law(2), project management(2), for entrepreneurs(1),  </v>
      </c>
      <c r="FH148" s="21" t="str">
        <f t="shared" si="258"/>
        <v xml:space="preserve">technologists(1,12.5), law(1,6.25), database(1,6.25), mobile apps(1,6.25), AI&amp; data analysis(1,6.25), mobile comm(1,6.25), for entrepreneurs(1,6.25),  </v>
      </c>
      <c r="FI148" s="21" t="str">
        <f t="shared" si="476"/>
        <v xml:space="preserve">technologists(12.5),law(6.25),database(6.25),mobile apps(6.25),AI&amp; data analysis(6.25),mobile comm(6.25),for entrepreneurs(6.25), </v>
      </c>
      <c r="FJ148" s="21" t="str">
        <f t="shared" si="474"/>
        <v xml:space="preserve">technologists 1
 </v>
      </c>
      <c r="FK148" s="21" t="str">
        <f t="shared" si="259"/>
        <v xml:space="preserve">wood processing(1,25), metal processing(1,25), plastic processing(1,25), fabric(1,25), safety(1,25), interaction(1,25),  </v>
      </c>
      <c r="FL148" s="21" t="str">
        <f t="shared" si="475"/>
        <v xml:space="preserve">project management 2
wood processing 25
metal processing 25
plastic processing 25
fabric 25
safety 25
interaction 25
 </v>
      </c>
      <c r="FM148" s="21" t="str">
        <f t="shared" si="260"/>
        <v xml:space="preserve">technologists(2), spaciousness(1), ease of access(1), reputation(2), for entrepreneurs(1),  </v>
      </c>
      <c r="FN148" s="21" t="str">
        <f t="shared" si="261"/>
        <v xml:space="preserve">technologists(1,12.5), for entrepreneurs(1,6.25),  </v>
      </c>
      <c r="FO148" s="21" t="str">
        <f t="shared" si="476"/>
        <v xml:space="preserve">technologists(12.5),for entrepreneurs(6.25), </v>
      </c>
      <c r="FP148" s="21" t="str">
        <f t="shared" si="474"/>
        <v xml:space="preserve">technologists 1
 </v>
      </c>
      <c r="FQ148" s="21" t="str">
        <f t="shared" si="262"/>
        <v xml:space="preserve">web(1,25), mobile apps(1,50), functions(1,25), interaction(1,25),  </v>
      </c>
      <c r="FR148" s="21" t="str">
        <f t="shared" si="475"/>
        <v xml:space="preserve">web 25
mobile apps 50
functions 25
interaction 25
 </v>
      </c>
      <c r="FS148" s="21" t="str">
        <f t="shared" si="263"/>
        <v xml:space="preserve">technologists(2), spaciousness(1), ease of access(1), reputation(2), for entrepreneurs(1),  </v>
      </c>
      <c r="FT148" s="21" t="str">
        <f t="shared" si="264"/>
        <v xml:space="preserve">technologists(1,12.5), for entrepreneurs(1,6.25),  </v>
      </c>
      <c r="FU148" s="21" t="str">
        <f t="shared" si="476"/>
        <v xml:space="preserve">technologists(12.5),for entrepreneurs(6.25), </v>
      </c>
      <c r="FV148" s="21" t="str">
        <f t="shared" si="474"/>
        <v xml:space="preserve">technologists 1
 </v>
      </c>
      <c r="FW148" s="21" t="str">
        <f t="shared" si="265"/>
        <v xml:space="preserve">mobile apps(1,50), sensors(1,50), wood processing(1,25), plastic processing(1,25), electronics(1,25), functions(1,25), interaction(1,25),  </v>
      </c>
      <c r="FX148" s="21" t="str">
        <f t="shared" si="475"/>
        <v xml:space="preserve">mobile apps 50
sensors 50
wood processing 25
plastic processing 25
electronics 25
functions 25
interaction 25
 </v>
      </c>
      <c r="FY148" s="21" t="str">
        <f t="shared" si="266"/>
        <v xml:space="preserve">technologists(2), spaciousness(1), ease of access(1), reputation(2), project management(2), for entrepreneurs(1),  </v>
      </c>
      <c r="FZ148" s="21" t="str">
        <f t="shared" si="267"/>
        <v xml:space="preserve">technologists(1,12.5), web(1,6.25), database(1,6.25), AI&amp; data analysis(1,6.25), mobile comm(1,6.25), for entrepreneurs(1,6.25),  </v>
      </c>
      <c r="GA148" s="21" t="str">
        <f t="shared" si="476"/>
        <v xml:space="preserve">technologists(12.5),web(6.25),database(6.25),AI&amp; data analysis(6.25),mobile comm(6.25),for entrepreneurs(6.25), </v>
      </c>
      <c r="GB148" s="21" t="str">
        <f t="shared" si="474"/>
        <v xml:space="preserve">technologists 1
 </v>
      </c>
      <c r="GC148" s="21" t="str">
        <f t="shared" si="268"/>
        <v xml:space="preserve">sensors(1,25), mobile comm(1,25), electronics(1,50), functions(1,25), safety(1,25),  </v>
      </c>
      <c r="GD148" s="21" t="str">
        <f t="shared" si="475"/>
        <v xml:space="preserve">sensors 25
mobile comm 25
electronics 50
functions 25
safety 25
 </v>
      </c>
      <c r="GE148" s="21" t="str">
        <f t="shared" si="269"/>
        <v xml:space="preserve">technologists(2), spaciousness(1), ease of access(1), reputation(2), project management(2), for entrepreneurs(1),  </v>
      </c>
      <c r="GF148" s="21" t="str">
        <f t="shared" si="270"/>
        <v xml:space="preserve">technologists(1,12.5), database(1,6.25), mobile apps(1,6.25), AI&amp; data analysis(1,6.25), plastic processing(1,6.25), interaction(1,6.25), for entrepreneurs(1,6.25),  </v>
      </c>
      <c r="GG148" s="21" t="str">
        <f t="shared" si="476"/>
        <v xml:space="preserve">technologists(12.5),database(6.25),mobile apps(6.25),AI&amp; data analysis(6.25),plastic processing(6.25),interaction(6.25),for entrepreneurs(6.25), </v>
      </c>
      <c r="GH148" s="21" t="str">
        <f t="shared" si="474"/>
        <v xml:space="preserve">technologists 1
 </v>
      </c>
      <c r="GI148" s="21" t="str">
        <f t="shared" si="271"/>
        <v xml:space="preserve">web(1,25), mobile apps(1,50), functions(1,25), interaction(1,25),  </v>
      </c>
      <c r="GJ148" s="21" t="str">
        <f t="shared" si="475"/>
        <v xml:space="preserve">web 25
mobile apps 50
functions 25
interaction 25
 </v>
      </c>
      <c r="GK148" s="21" t="str">
        <f t="shared" si="272"/>
        <v xml:space="preserve">technologists(2), spaciousness(1), ease of access(1), reputation(2), project management(2), for entrepreneurs(1),  </v>
      </c>
      <c r="GL148" s="21" t="str">
        <f t="shared" si="273"/>
        <v xml:space="preserve">technologists(1,12.5), for entrepreneurs(1,6.25),  </v>
      </c>
      <c r="GM148" s="21" t="str">
        <f t="shared" si="476"/>
        <v xml:space="preserve">technologists(12.5),for entrepreneurs(6.25), </v>
      </c>
      <c r="GN148" s="21" t="str">
        <f t="shared" si="474"/>
        <v xml:space="preserve">technologists 1
 </v>
      </c>
      <c r="GO148" s="21" t="str">
        <f t="shared" si="274"/>
        <v xml:space="preserve">web(1,25), mobile apps(1,25), VR&amp;AR(1,25), aesthetics(1,25), functions(1,25), interaction(1,50),  </v>
      </c>
      <c r="GP148" s="21" t="str">
        <f t="shared" si="475"/>
        <v xml:space="preserve">web 25
mobile apps 25
VR&amp;AR 25
aesthetics 25
functions 25
interaction 50
 </v>
      </c>
      <c r="GQ148" s="21" t="str">
        <f t="shared" si="275"/>
        <v xml:space="preserve">technologists(2), spaciousness(1), ease of access(1), reputation(2), project management(2), for entrepreneurs(1),  </v>
      </c>
      <c r="GR148" s="21" t="str">
        <f t="shared" si="276"/>
        <v xml:space="preserve">technologists(1,12.5), for entrepreneurs(1,6.25),  </v>
      </c>
      <c r="GS148" s="21" t="str">
        <f t="shared" si="476"/>
        <v xml:space="preserve">technologists(12.5),for entrepreneurs(6.25), </v>
      </c>
      <c r="GT148" s="21" t="str">
        <f t="shared" si="474"/>
        <v xml:space="preserve">ease of access 1
reputation 2
web 1
mobile apps 1
mobile comm 1
 </v>
      </c>
      <c r="GU148" s="21" t="str">
        <f t="shared" si="277"/>
        <v xml:space="preserve"> </v>
      </c>
      <c r="GV148" s="21" t="str">
        <f t="shared" si="475"/>
        <v xml:space="preserve"> </v>
      </c>
      <c r="GW148" s="21" t="str">
        <f t="shared" si="278"/>
        <v xml:space="preserve">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8" s="21" t="str">
        <f t="shared" si="279"/>
        <v xml:space="preserve">media(1,6.25), entrepreneurs(1,6.25), technologists(1,6.25), project management(1,6.25), social media(1,6.25), web(1,6.25), mobile apps(1,6.25),  </v>
      </c>
      <c r="GY148" s="21" t="str">
        <f t="shared" si="476"/>
        <v xml:space="preserve">media(6.25),entrepreneurs(6.25),technologists(6.25),project management(6.25),social media(6.25),web(6.25),mobile apps(6.25), </v>
      </c>
      <c r="GZ148" s="21" t="str">
        <f t="shared" si="477"/>
        <v xml:space="preserve">govt 1
non-profits 1
reputation 2
portfolio 1
 </v>
      </c>
      <c r="HA148" s="21" t="str">
        <f t="shared" si="281"/>
        <v xml:space="preserve"> </v>
      </c>
      <c r="HB148" s="21" t="str">
        <f t="shared" si="478"/>
        <v xml:space="preserve"> </v>
      </c>
      <c r="HC148" s="21" t="str">
        <f t="shared" si="283"/>
        <v xml:space="preserve">govt(3), non-profits(3), reputation(4), portfolio(3), social media(2), web(2), mobile apps(2), sensors(2), AI&amp; data analysis(2), VR&amp;AR(2), plastic processing(2), electronics(2), aesthetics(2), interaction(2),  </v>
      </c>
      <c r="HD148" s="21" t="str">
        <f t="shared" si="284"/>
        <v xml:space="preserve">media(1,6.25), technologists(1,6.25), non-profits(1,6.25), reputation(1,6.25), start-up with customers(1,6.25), for basic literacy(1,6.25),  </v>
      </c>
      <c r="HE148" s="21" t="str">
        <f t="shared" si="479"/>
        <v xml:space="preserve">media(6.25),technologists(6.25),non-profits(6.25),reputation(6.25),start-up with customers(6.25),for basic literacy(6.25), </v>
      </c>
      <c r="HF148" s="21" t="str">
        <f t="shared" si="477"/>
        <v xml:space="preserve"> </v>
      </c>
      <c r="HG148" s="21" t="str">
        <f t="shared" si="286"/>
        <v xml:space="preserve"> </v>
      </c>
      <c r="HH148" s="21" t="str">
        <f t="shared" si="478"/>
        <v xml:space="preserve"> </v>
      </c>
      <c r="HI148" s="21" t="str">
        <f t="shared" si="287"/>
        <v xml:space="preserve">portfolio(3), marketing(2), team building(3), project management(2), mobile apps(3), sensors(2), plastic processing(2), electronics(2), aesthetics(2), functions(2), interaction(2),  </v>
      </c>
      <c r="HJ148" s="21" t="str">
        <f t="shared" si="288"/>
        <v xml:space="preserve">govt(1,6.25), media(1,6.25), non-profits(1,6.25), start-up with customers(1,6.25),  </v>
      </c>
      <c r="HK148" s="21" t="str">
        <f t="shared" si="479"/>
        <v xml:space="preserve">govt(6.25),media(6.25),non-profits(6.25),start-up with customers(6.25), </v>
      </c>
      <c r="HL148" s="21" t="str">
        <f t="shared" si="477"/>
        <v xml:space="preserve">local biz 1
entrepreneurs 1
non-profits 1
reputation 2
portfolio 2
 </v>
      </c>
      <c r="HM148" s="21" t="str">
        <f t="shared" si="289"/>
        <v xml:space="preserve"> </v>
      </c>
      <c r="HN148" s="21" t="str">
        <f t="shared" si="478"/>
        <v xml:space="preserve"> </v>
      </c>
      <c r="HO148" s="21" t="str">
        <f t="shared" si="290"/>
        <v xml:space="preserve">local biz(3), biz group(2), investors(2), entrepreneurs(3), spaciousness(2), ease of access(2), reputation(3), efficiency(2), portfolio(4), finance(2), marketing(2), project management(2), social media(2), web(3), mobile apps(2), wood processing(3), plastic processing(3), electronics(3), aesthetics(2), interaction(2),  </v>
      </c>
      <c r="HP148" s="21" t="str">
        <f t="shared" si="291"/>
        <v xml:space="preserve">local biz(1,6.25), biz group(1,6.25), govt(1,6.25), investors(1,6.25), media(1,6.25), entrepreneurs(1,6.25), technologists(1,6.25), suppliers(1,6.25), non-profits(1,6.25), reputation(1,6.25),  </v>
      </c>
      <c r="HQ148" s="47" t="str">
        <f t="shared" si="479"/>
        <v xml:space="preserve">local biz(6.25),biz group(6.25),govt(6.25),investors(6.25),media(6.25),entrepreneurs(6.25),technologists(6.25),suppliers(6.25),non-profits(6.25),reputation(6.25), </v>
      </c>
      <c r="HR148" s="47" t="str">
        <f t="shared" ref="HR148:HW148" si="525">IF(HR46="",HR149,$C148&amp;"("&amp;HR46&amp;"),"&amp;HR149)</f>
        <v xml:space="preserve">reputation(2),portfolio(2),mobile apps(1),sensors(1),wood processing(1),aesthetics(1), </v>
      </c>
      <c r="HS148" s="47" t="str">
        <f t="shared" si="525"/>
        <v xml:space="preserve"> </v>
      </c>
      <c r="HT148" s="47" t="str">
        <f t="shared" si="525"/>
        <v xml:space="preserve"> </v>
      </c>
      <c r="HU148" s="47" t="str">
        <f t="shared" si="525"/>
        <v xml:space="preserve">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8" s="47" t="str">
        <f t="shared" si="525"/>
        <v xml:space="preserve">local biz(1),biz group(1),govt(1),investors(1),media(1),entrepreneurs(1),technologists(1),suppliers(1),non-profits(1),reputation(1), </v>
      </c>
      <c r="HW148" s="47" t="str">
        <f t="shared" si="525"/>
        <v xml:space="preserve">local biz(6.25),biz group(6.25),govt(6.25),investors(6.25),media(6.25),entrepreneurs(6.25),technologists(12.5),suppliers(6.25),non-profits(6.25),reputation(6.25), </v>
      </c>
      <c r="HX148" s="47" t="str">
        <f t="shared" ref="HX148:IU148" si="526">IF(HX46="",HX149,$C148&amp;"("&amp;HX46&amp;"),"&amp;HX149)</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8" s="47" t="str">
        <f t="shared" si="526"/>
        <v xml:space="preserve">biz enhancement(1), </v>
      </c>
      <c r="HZ148" s="47" t="str">
        <f t="shared" si="526"/>
        <v xml:space="preserve">biz enhancement(100), </v>
      </c>
      <c r="IA148" s="47" t="str">
        <f t="shared" si="526"/>
        <v xml:space="preserve">knowledge(2),spaciousness(2),ease of access(3),efficiency(2),portfolio(4),finance(2),business model(2),marketing(3),team building(2),project management(2),social media(3),negotiation(3), </v>
      </c>
      <c r="IB148" s="47" t="str">
        <f t="shared" si="526"/>
        <v xml:space="preserve">local biz(1),biz group(1),govt(1),media(1),entrepreneurs(1),technologists(1),non-profits(1),reputation(1),team building(1),database(1),AI&amp; data analysis(1),electronics(1),functions(1), </v>
      </c>
      <c r="IC148" s="47" t="str">
        <f t="shared" si="526"/>
        <v xml:space="preserve">local biz(6.25),biz group(6.25),govt(6.25),media(6.25),entrepreneurs(6.25),technologists(6.25),non-profits(6.25),reputation(6.25),team building(6.25),database(6.25),AI&amp; data analysis(6.25),electronics(6.25),functions(6.25), </v>
      </c>
      <c r="ID148" s="47" t="str">
        <f t="shared" si="526"/>
        <v xml:space="preserve">technologists(2), </v>
      </c>
      <c r="IE148" s="47" t="str">
        <f t="shared" si="526"/>
        <v xml:space="preserve">web(1),mobile apps(1),security(1),AI&amp; data analysis(1), </v>
      </c>
      <c r="IF148" s="47" t="str">
        <f t="shared" si="526"/>
        <v xml:space="preserve">web(25),mobile apps(25),security(25),AI&amp; data analysis(25), </v>
      </c>
      <c r="IG148" s="47" t="str">
        <f t="shared" si="526"/>
        <v xml:space="preserve">entrepreneurs(3),technologists(4),spaciousness(2),ease of access(2),reputation(3),efficiency(2),portfolio(3),web(2),database(2),mobile apps(2),security(2),AI&amp; data analysis(2), </v>
      </c>
      <c r="IH148" s="47" t="str">
        <f t="shared" si="526"/>
        <v xml:space="preserve">technologists(1),web(1),database(1),mobile apps(1),security(1),AI&amp; data analysis(1), </v>
      </c>
      <c r="II148" s="47" t="str">
        <f t="shared" si="526"/>
        <v xml:space="preserve">technologists(6.25),web(6.25),database(6.25),mobile apps(6.25),security(6.25),AI&amp; data analysis(6.25), </v>
      </c>
      <c r="IJ148" s="47" t="str">
        <f t="shared" si="526"/>
        <v xml:space="preserve">technologists(2), </v>
      </c>
      <c r="IK148" s="47" t="str">
        <f t="shared" si="526"/>
        <v xml:space="preserve">wood processing(1),metal processing(1),functions(1),safety(1), </v>
      </c>
      <c r="IL148" s="47" t="str">
        <f t="shared" si="526"/>
        <v xml:space="preserve">wood processing(25),metal processing(25),functions(25),safety(25), </v>
      </c>
      <c r="IM148" s="47" t="str">
        <f t="shared" si="526"/>
        <v xml:space="preserve">entrepreneurs(3),technologists(4),spaciousness(2),ease of access(2),reputation(3),efficiency(2),portfolio(3),wood processing(2),metal processing(2),functions(2),safety(2), </v>
      </c>
      <c r="IN148" s="47" t="str">
        <f t="shared" si="526"/>
        <v xml:space="preserve">technologists(1),wood processing(1),metal processing(1),functions(1),safety(1),interaction(1), </v>
      </c>
      <c r="IO148" s="47" t="str">
        <f t="shared" si="526"/>
        <v xml:space="preserve">technologists(6.25),wood processing(6.25),metal processing(6.25),functions(6.25),safety(6.25),interaction(6.25), </v>
      </c>
      <c r="IP148" s="57" t="str">
        <f t="shared" si="526"/>
        <v xml:space="preserve">local biz(2),reputation(1), </v>
      </c>
      <c r="IQ148" s="47" t="str">
        <f t="shared" si="526"/>
        <v xml:space="preserve">local biz(1),marketing(1), </v>
      </c>
      <c r="IR148" s="47" t="str">
        <f t="shared" si="526"/>
        <v xml:space="preserve">local biz(25),marketing(25), </v>
      </c>
      <c r="IS148" s="47" t="str">
        <f t="shared" si="526"/>
        <v xml:space="preserve">local biz(3),biz group(2),govt(2),non-profits(2),reputation(3),efficiency(2),marketing(2), </v>
      </c>
      <c r="IT148" s="47" t="str">
        <f t="shared" si="526"/>
        <v xml:space="preserve">local biz(1),biz group(1),govt(1),non-profits(1),marketing(1), </v>
      </c>
      <c r="IU148" s="47" t="str">
        <f t="shared" si="526"/>
        <v xml:space="preserve">local biz(6.25),biz group(6.25),govt(6.25),non-profits(6.25),marketing(6.25), </v>
      </c>
      <c r="IV148" s="57" t="str">
        <f t="shared" ref="IV148:LG148" si="527">IF(IV46="",IV149,$C148&amp;"("&amp;IV46&amp;"),"&amp;IV149)</f>
        <v xml:space="preserve">local biz(2),reputation(1), </v>
      </c>
      <c r="IW148" s="47" t="str">
        <f t="shared" si="527"/>
        <v xml:space="preserve">local biz(1),marketing(1), </v>
      </c>
      <c r="IX148" s="47" t="str">
        <f t="shared" si="527"/>
        <v xml:space="preserve">local biz(25),marketing(25), </v>
      </c>
      <c r="IY148" s="47" t="str">
        <f t="shared" si="527"/>
        <v xml:space="preserve">local biz(3),biz group(2),govt(2),reputation(3),efficiency(2),marketing(2), </v>
      </c>
      <c r="IZ148" s="47" t="str">
        <f t="shared" si="527"/>
        <v xml:space="preserve">local biz(1),biz group(1),govt(1),marketing(1), </v>
      </c>
      <c r="JA148" s="47" t="str">
        <f t="shared" si="527"/>
        <v xml:space="preserve">local biz(6.25),biz group(6.25),govt(6.25),marketing(6.25), </v>
      </c>
      <c r="JB148" s="47" t="str">
        <f t="shared" si="527"/>
        <v xml:space="preserve"> </v>
      </c>
      <c r="JC148" s="47" t="str">
        <f t="shared" si="527"/>
        <v xml:space="preserve"> </v>
      </c>
      <c r="JD148" s="47" t="str">
        <f t="shared" si="527"/>
        <v xml:space="preserve"> </v>
      </c>
      <c r="JE148" s="47" t="str">
        <f t="shared" si="527"/>
        <v xml:space="preserve">technologists(2),spaciousness(1),ease of access(1),reputation(3),efficiency(2), </v>
      </c>
      <c r="JF148" s="47" t="str">
        <f t="shared" si="527"/>
        <v xml:space="preserve">web(1),infrastructrue(1),database(1),mobile apps(1),sensors(1),security(1),AI&amp; data analysis(1),mobile comm(1),VR&amp;AR(1),wood processing(1),metal processing(1),plastic processing(1),electronics(1),fabric(1),aesthetics(1),functions(1),safety(1),interaction(1), </v>
      </c>
      <c r="JG148" s="47" t="str">
        <f t="shared" si="527"/>
        <v xml:space="preserve">web(6.25),infrastructrue(6.25),database(6.25),mobile apps(6.25),sensors(6.25),security(6.25),AI&amp; data analysis(6.25),mobile comm(6.25),VR&amp;AR(6.25),wood processing(6.25),metal processing(6.25),plastic processing(6.25),electronics(6.25),fabric(6.25),aesthetics(6.25),functions(6.25),safety(6.25),interaction(6.25), </v>
      </c>
      <c r="JH148" s="47" t="str">
        <f t="shared" si="527"/>
        <v xml:space="preserve">local biz(1),non-profits(1),reputation(2), </v>
      </c>
      <c r="JI148" s="47" t="str">
        <f t="shared" si="527"/>
        <v xml:space="preserve"> </v>
      </c>
      <c r="JJ148" s="47" t="str">
        <f t="shared" si="527"/>
        <v xml:space="preserve"> </v>
      </c>
      <c r="JK148" s="47" t="str">
        <f t="shared" si="527"/>
        <v xml:space="preserve">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8" s="47" t="str">
        <f t="shared" si="527"/>
        <v xml:space="preserve">non-profits(1), </v>
      </c>
      <c r="JM148" s="47" t="str">
        <f t="shared" si="527"/>
        <v xml:space="preserve">non-profits(6.25), </v>
      </c>
      <c r="JN148" s="47" t="str">
        <f t="shared" si="527"/>
        <v xml:space="preserve">local biz(1),investors(1),entrepreneurs(1),technologists(1),non-profits(1),reputation(2),portfolio(2), </v>
      </c>
      <c r="JO148" s="47" t="str">
        <f t="shared" si="527"/>
        <v xml:space="preserve"> </v>
      </c>
      <c r="JP148" s="47" t="str">
        <f t="shared" si="527"/>
        <v xml:space="preserve"> </v>
      </c>
      <c r="JQ148" s="47" t="str">
        <f t="shared" si="527"/>
        <v xml:space="preserve">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8" s="47" t="str">
        <f t="shared" si="527"/>
        <v xml:space="preserve"> </v>
      </c>
      <c r="JS148" s="47" t="str">
        <f t="shared" si="527"/>
        <v xml:space="preserve"> </v>
      </c>
      <c r="JT148" s="47" t="str">
        <f t="shared" si="527"/>
        <v xml:space="preserve">local biz(2),biz group(1),govt(2),investors(2),entrepreneurs(2),technologists(2),non-profits(2),reputation(2),portfolio(3), </v>
      </c>
      <c r="JU148" s="47" t="str">
        <f t="shared" si="527"/>
        <v xml:space="preserve"> </v>
      </c>
      <c r="JV148" s="47" t="str">
        <f t="shared" si="527"/>
        <v xml:space="preserve"> </v>
      </c>
      <c r="JW148" s="47" t="str">
        <f t="shared" si="527"/>
        <v xml:space="preserve">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8" s="47" t="str">
        <f t="shared" si="527"/>
        <v xml:space="preserve"> </v>
      </c>
      <c r="JY148" s="47" t="str">
        <f t="shared" si="527"/>
        <v xml:space="preserve"> </v>
      </c>
      <c r="JZ148" s="47" t="str">
        <f t="shared" si="527"/>
        <v xml:space="preserve">non-profits(1),reputation(2),social project(2), </v>
      </c>
      <c r="KA148" s="47" t="str">
        <f t="shared" si="527"/>
        <v xml:space="preserve">non-profits(1), </v>
      </c>
      <c r="KB148" s="47" t="str">
        <f t="shared" si="527"/>
        <v xml:space="preserve">non-profits(25), </v>
      </c>
      <c r="KC148" s="47" t="str">
        <f t="shared" si="527"/>
        <v xml:space="preserve">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8" s="47" t="str">
        <f t="shared" si="527"/>
        <v xml:space="preserve">non-profits(1), </v>
      </c>
      <c r="KE148" s="47" t="str">
        <f t="shared" si="527"/>
        <v xml:space="preserve">non-profits(6.25), </v>
      </c>
      <c r="KF148" s="47" t="str">
        <f t="shared" si="527"/>
        <v xml:space="preserve"> </v>
      </c>
      <c r="KG148" s="47" t="str">
        <f t="shared" si="527"/>
        <v xml:space="preserve"> </v>
      </c>
      <c r="KH148" s="47" t="str">
        <f t="shared" si="527"/>
        <v xml:space="preserve"> </v>
      </c>
      <c r="KI148" s="47" t="str">
        <f t="shared" si="527"/>
        <v xml:space="preserve"> </v>
      </c>
      <c r="KJ148" s="47" t="str">
        <f t="shared" si="527"/>
        <v xml:space="preserve"> </v>
      </c>
      <c r="KK148" s="47" t="str">
        <f t="shared" si="527"/>
        <v xml:space="preserve"> </v>
      </c>
      <c r="KL148" s="57" t="str">
        <f t="shared" si="527"/>
        <v xml:space="preserve"> </v>
      </c>
      <c r="KM148" s="47" t="str">
        <f t="shared" si="527"/>
        <v xml:space="preserve"> </v>
      </c>
      <c r="KN148" s="47" t="str">
        <f t="shared" si="527"/>
        <v xml:space="preserve"> </v>
      </c>
      <c r="KO148" s="47" t="str">
        <f t="shared" si="527"/>
        <v xml:space="preserve"> </v>
      </c>
      <c r="KP148" s="47" t="str">
        <f t="shared" si="527"/>
        <v xml:space="preserve"> </v>
      </c>
      <c r="KQ148" s="47" t="str">
        <f t="shared" si="527"/>
        <v xml:space="preserve"> </v>
      </c>
      <c r="KR148" s="57" t="str">
        <f t="shared" si="527"/>
        <v xml:space="preserve"> </v>
      </c>
      <c r="KS148" s="47" t="str">
        <f t="shared" si="527"/>
        <v xml:space="preserve"> </v>
      </c>
      <c r="KT148" s="47" t="str">
        <f t="shared" si="527"/>
        <v xml:space="preserve"> </v>
      </c>
      <c r="KU148" s="47" t="str">
        <f t="shared" si="527"/>
        <v xml:space="preserve"> </v>
      </c>
      <c r="KV148" s="47" t="str">
        <f t="shared" si="527"/>
        <v xml:space="preserve"> </v>
      </c>
      <c r="KW148" s="47" t="str">
        <f t="shared" si="527"/>
        <v xml:space="preserve"> </v>
      </c>
      <c r="KX148" s="57" t="str">
        <f t="shared" si="527"/>
        <v xml:space="preserve"> </v>
      </c>
      <c r="KY148" s="47" t="str">
        <f t="shared" si="527"/>
        <v xml:space="preserve"> </v>
      </c>
      <c r="KZ148" s="47" t="str">
        <f t="shared" si="527"/>
        <v xml:space="preserve"> </v>
      </c>
      <c r="LA148" s="47" t="str">
        <f t="shared" si="527"/>
        <v xml:space="preserve"> </v>
      </c>
      <c r="LB148" s="47" t="str">
        <f t="shared" si="527"/>
        <v xml:space="preserve"> </v>
      </c>
      <c r="LC148" s="47" t="str">
        <f t="shared" si="527"/>
        <v xml:space="preserve"> </v>
      </c>
      <c r="LD148" s="57" t="str">
        <f t="shared" si="527"/>
        <v xml:space="preserve"> </v>
      </c>
      <c r="LE148" s="47" t="str">
        <f t="shared" si="527"/>
        <v xml:space="preserve"> </v>
      </c>
      <c r="LF148" s="47" t="str">
        <f t="shared" si="527"/>
        <v xml:space="preserve"> </v>
      </c>
      <c r="LG148" s="47" t="str">
        <f t="shared" si="527"/>
        <v xml:space="preserve"> </v>
      </c>
      <c r="LH148" s="47" t="str">
        <f t="shared" ref="LH148:NM148" si="528">IF(LH46="",LH149,$C148&amp;"("&amp;LH46&amp;"),"&amp;LH149)</f>
        <v xml:space="preserve"> </v>
      </c>
      <c r="LI148" s="47" t="str">
        <f t="shared" si="528"/>
        <v xml:space="preserve"> </v>
      </c>
      <c r="LJ148" s="57" t="str">
        <f t="shared" si="528"/>
        <v xml:space="preserve"> </v>
      </c>
      <c r="LK148" s="47" t="str">
        <f t="shared" si="528"/>
        <v xml:space="preserve"> </v>
      </c>
      <c r="LL148" s="47" t="str">
        <f t="shared" si="528"/>
        <v xml:space="preserve"> </v>
      </c>
      <c r="LM148" s="47" t="str">
        <f t="shared" si="528"/>
        <v xml:space="preserve"> </v>
      </c>
      <c r="LN148" s="47" t="str">
        <f t="shared" si="528"/>
        <v xml:space="preserve"> </v>
      </c>
      <c r="LO148" s="47" t="str">
        <f t="shared" si="528"/>
        <v xml:space="preserve"> </v>
      </c>
      <c r="LP148" s="57" t="str">
        <f t="shared" si="528"/>
        <v xml:space="preserve"> </v>
      </c>
      <c r="LQ148" s="47" t="str">
        <f t="shared" si="528"/>
        <v xml:space="preserve"> </v>
      </c>
      <c r="LR148" s="47" t="str">
        <f t="shared" si="528"/>
        <v xml:space="preserve"> </v>
      </c>
      <c r="LS148" s="47" t="str">
        <f t="shared" si="528"/>
        <v xml:space="preserve"> </v>
      </c>
      <c r="LT148" s="47" t="str">
        <f t="shared" si="528"/>
        <v xml:space="preserve"> </v>
      </c>
      <c r="LU148" s="47" t="str">
        <f t="shared" si="528"/>
        <v xml:space="preserve"> </v>
      </c>
      <c r="LV148" s="57" t="str">
        <f t="shared" si="528"/>
        <v xml:space="preserve"> </v>
      </c>
      <c r="LW148" s="47" t="str">
        <f t="shared" si="528"/>
        <v xml:space="preserve"> </v>
      </c>
      <c r="LX148" s="47" t="str">
        <f t="shared" si="528"/>
        <v xml:space="preserve"> </v>
      </c>
      <c r="LY148" s="47" t="str">
        <f t="shared" si="528"/>
        <v xml:space="preserve"> </v>
      </c>
      <c r="LZ148" s="47" t="str">
        <f t="shared" si="528"/>
        <v xml:space="preserve"> </v>
      </c>
      <c r="MA148" s="47" t="str">
        <f t="shared" si="528"/>
        <v xml:space="preserve"> </v>
      </c>
      <c r="MB148" s="57" t="str">
        <f t="shared" si="528"/>
        <v xml:space="preserve"> </v>
      </c>
      <c r="MC148" s="47" t="str">
        <f t="shared" si="528"/>
        <v xml:space="preserve"> </v>
      </c>
      <c r="MD148" s="47" t="str">
        <f t="shared" si="528"/>
        <v xml:space="preserve"> </v>
      </c>
      <c r="ME148" s="47" t="str">
        <f t="shared" si="528"/>
        <v xml:space="preserve"> </v>
      </c>
      <c r="MF148" s="47" t="str">
        <f t="shared" si="528"/>
        <v xml:space="preserve"> </v>
      </c>
      <c r="MG148" s="47" t="str">
        <f t="shared" si="528"/>
        <v xml:space="preserve"> </v>
      </c>
      <c r="MH148" s="57" t="str">
        <f t="shared" si="528"/>
        <v xml:space="preserve"> </v>
      </c>
      <c r="MI148" s="47" t="str">
        <f t="shared" si="528"/>
        <v xml:space="preserve"> </v>
      </c>
      <c r="MJ148" s="47" t="str">
        <f t="shared" si="528"/>
        <v xml:space="preserve"> </v>
      </c>
      <c r="MK148" s="47" t="str">
        <f t="shared" si="528"/>
        <v xml:space="preserve"> </v>
      </c>
      <c r="ML148" s="47" t="str">
        <f t="shared" si="528"/>
        <v xml:space="preserve"> </v>
      </c>
      <c r="MM148" s="47" t="str">
        <f t="shared" si="528"/>
        <v xml:space="preserve"> </v>
      </c>
      <c r="MN148" s="57" t="str">
        <f t="shared" si="528"/>
        <v xml:space="preserve"> </v>
      </c>
      <c r="MO148" s="47" t="str">
        <f t="shared" si="528"/>
        <v xml:space="preserve"> </v>
      </c>
      <c r="MP148" s="47" t="str">
        <f t="shared" si="528"/>
        <v xml:space="preserve"> </v>
      </c>
      <c r="MQ148" s="47" t="str">
        <f t="shared" si="528"/>
        <v xml:space="preserve"> </v>
      </c>
      <c r="MR148" s="47" t="str">
        <f t="shared" si="528"/>
        <v xml:space="preserve"> </v>
      </c>
      <c r="MS148" s="47" t="str">
        <f t="shared" si="528"/>
        <v xml:space="preserve"> </v>
      </c>
      <c r="MT148" s="57" t="str">
        <f t="shared" si="528"/>
        <v xml:space="preserve"> </v>
      </c>
      <c r="MU148" s="47" t="str">
        <f t="shared" si="528"/>
        <v xml:space="preserve"> </v>
      </c>
      <c r="MV148" s="47" t="str">
        <f t="shared" si="528"/>
        <v xml:space="preserve"> </v>
      </c>
      <c r="MW148" s="47" t="str">
        <f t="shared" si="528"/>
        <v xml:space="preserve"> </v>
      </c>
      <c r="MX148" s="47" t="str">
        <f t="shared" si="528"/>
        <v xml:space="preserve"> </v>
      </c>
      <c r="MY148" s="47" t="str">
        <f t="shared" si="528"/>
        <v xml:space="preserve"> </v>
      </c>
      <c r="MZ148" s="57" t="str">
        <f t="shared" si="528"/>
        <v xml:space="preserve"> </v>
      </c>
      <c r="NA148" s="47" t="str">
        <f t="shared" si="528"/>
        <v xml:space="preserve"> </v>
      </c>
      <c r="NB148" s="47" t="str">
        <f t="shared" si="528"/>
        <v xml:space="preserve"> </v>
      </c>
      <c r="NC148" s="47" t="str">
        <f t="shared" si="528"/>
        <v xml:space="preserve"> </v>
      </c>
      <c r="ND148" s="47" t="str">
        <f t="shared" si="528"/>
        <v xml:space="preserve"> </v>
      </c>
      <c r="NE148" s="47" t="str">
        <f t="shared" si="528"/>
        <v xml:space="preserve"> </v>
      </c>
      <c r="NF148" s="57" t="str">
        <f t="shared" si="528"/>
        <v xml:space="preserve"> </v>
      </c>
      <c r="NG148" s="47" t="str">
        <f t="shared" si="528"/>
        <v xml:space="preserve"> </v>
      </c>
      <c r="NH148" s="47" t="str">
        <f t="shared" si="528"/>
        <v xml:space="preserve"> </v>
      </c>
      <c r="NI148" s="47" t="str">
        <f t="shared" si="528"/>
        <v xml:space="preserve"> </v>
      </c>
      <c r="NJ148" s="47" t="str">
        <f t="shared" si="528"/>
        <v xml:space="preserve"> </v>
      </c>
      <c r="NK148" s="47" t="str">
        <f t="shared" si="528"/>
        <v xml:space="preserve"> </v>
      </c>
      <c r="NL148" s="57" t="str">
        <f t="shared" si="528"/>
        <v xml:space="preserve"> </v>
      </c>
      <c r="NM148" s="47" t="str">
        <f t="shared" si="528"/>
        <v xml:space="preserve"> </v>
      </c>
    </row>
    <row r="149" spans="3:377" ht="15.75" customHeight="1">
      <c r="C149" s="7" t="str">
        <f t="shared" si="296"/>
        <v>local biz</v>
      </c>
      <c r="D149" s="21" t="str">
        <f t="shared" si="169"/>
        <v xml:space="preserve"> </v>
      </c>
      <c r="E149" s="21" t="str">
        <f t="shared" si="297"/>
        <v xml:space="preserve"> </v>
      </c>
      <c r="F149" s="21" t="str">
        <f t="shared" si="170"/>
        <v xml:space="preserve"> </v>
      </c>
      <c r="G149" s="21" t="str">
        <f t="shared" si="298"/>
        <v xml:space="preserve">ease of access(1), reputation(2), social media(1),  </v>
      </c>
      <c r="H149" s="21" t="str">
        <f t="shared" si="299"/>
        <v xml:space="preserve"> </v>
      </c>
      <c r="I149" s="21" t="str">
        <f t="shared" ref="I149" si="529">IF(I47="",I150,$C149&amp;"("&amp;I47&amp;"),"&amp;I150)</f>
        <v xml:space="preserve"> </v>
      </c>
      <c r="J149" s="21" t="str">
        <f t="shared" si="468"/>
        <v xml:space="preserve">interaction 1
 </v>
      </c>
      <c r="K149" s="21" t="str">
        <f t="shared" si="173"/>
        <v xml:space="preserve">reputation(1,75),  </v>
      </c>
      <c r="L149" s="21" t="str">
        <f t="shared" si="469"/>
        <v xml:space="preserve">reputation 75
 </v>
      </c>
      <c r="M149" s="21" t="str">
        <f t="shared" si="175"/>
        <v xml:space="preserve">portfolio(1), social innovation(1), non-profit biz(1),  </v>
      </c>
      <c r="N149" s="21" t="str">
        <f t="shared" si="176"/>
        <v xml:space="preserve">non-profits(1,12.5), reputation(1,75), marketing(1,12.5),  </v>
      </c>
      <c r="O149" s="21" t="str">
        <f t="shared" si="470"/>
        <v xml:space="preserve">non-profits(12.5),reputation(75),marketing(12.5), </v>
      </c>
      <c r="P149" s="21" t="str">
        <f t="shared" si="468"/>
        <v xml:space="preserve">biz project 1
 </v>
      </c>
      <c r="Q149" s="21" t="str">
        <f t="shared" si="178"/>
        <v xml:space="preserve"> </v>
      </c>
      <c r="R149" s="21" t="str">
        <f t="shared" si="469"/>
        <v xml:space="preserve"> </v>
      </c>
      <c r="S149" s="21" t="str">
        <f t="shared" si="179"/>
        <v xml:space="preserve">portfolio(1), biz enhancement(1), business(1), start-up(1),  </v>
      </c>
      <c r="T149" s="21" t="str">
        <f t="shared" si="180"/>
        <v xml:space="preserve">local biz(1,6.25), investors(1,6.25), reputation(1,6.25),  </v>
      </c>
      <c r="U149" s="21" t="str">
        <f t="shared" si="470"/>
        <v xml:space="preserve">local biz(6.25),investors(6.25),reputation(6.25), </v>
      </c>
      <c r="V149" s="21" t="str">
        <f t="shared" si="468"/>
        <v xml:space="preserve"> </v>
      </c>
      <c r="W149" s="21" t="str">
        <f t="shared" si="181"/>
        <v xml:space="preserve">local biz(1,),  </v>
      </c>
      <c r="X149" s="21" t="str">
        <f t="shared" si="469"/>
        <v xml:space="preserve"> </v>
      </c>
      <c r="Y149" s="21" t="str">
        <f t="shared" si="182"/>
        <v xml:space="preserve">ease of access(1), reputation(1), portfolio(1), biz project(1), biz enhancement(1), job creation(1), business(1),  </v>
      </c>
      <c r="Z149" s="21" t="str">
        <f t="shared" si="183"/>
        <v xml:space="preserve">local biz(1,6.25),  </v>
      </c>
      <c r="AA149" s="21" t="str">
        <f t="shared" si="470"/>
        <v xml:space="preserve">local biz(6.25), </v>
      </c>
      <c r="AB149" s="21" t="str">
        <f t="shared" si="468"/>
        <v xml:space="preserve"> </v>
      </c>
      <c r="AC149" s="21" t="str">
        <f t="shared" si="184"/>
        <v xml:space="preserve">non-profits(1,100),  </v>
      </c>
      <c r="AD149" s="21" t="str">
        <f t="shared" si="469"/>
        <v xml:space="preserve">non-profits 100
 </v>
      </c>
      <c r="AE149" s="21" t="str">
        <f t="shared" si="185"/>
        <v xml:space="preserve">ease of access(1), reputation(1), portfolio(1), social project(1), social innovation(1), non-profit biz(1),  </v>
      </c>
      <c r="AF149" s="21" t="str">
        <f t="shared" si="186"/>
        <v xml:space="preserve">non-profits(1,6.25),  </v>
      </c>
      <c r="AG149" s="21" t="str">
        <f t="shared" si="470"/>
        <v xml:space="preserve">non-profits(6.25), </v>
      </c>
      <c r="AH149" s="21" t="str">
        <f t="shared" si="468"/>
        <v xml:space="preserve"> </v>
      </c>
      <c r="AI149" s="21" t="str">
        <f t="shared" si="187"/>
        <v xml:space="preserve">govt(1,),  </v>
      </c>
      <c r="AJ149" s="21" t="str">
        <f t="shared" si="469"/>
        <v xml:space="preserve"> </v>
      </c>
      <c r="AK149" s="21" t="str">
        <f t="shared" si="188"/>
        <v xml:space="preserve">govt(1), ease of access(1), reputation(2), portfolio(1), social project(1), social innovation(1), non-profit biz(1),  </v>
      </c>
      <c r="AL149" s="21" t="str">
        <f t="shared" si="189"/>
        <v xml:space="preserve">govt(1,6.25),  </v>
      </c>
      <c r="AM149" s="21" t="str">
        <f t="shared" si="470"/>
        <v xml:space="preserve">govt(6.25), </v>
      </c>
      <c r="AN149" s="21" t="str">
        <f t="shared" si="468"/>
        <v xml:space="preserve"> </v>
      </c>
      <c r="AO149" s="21" t="str">
        <f t="shared" si="190"/>
        <v xml:space="preserve">investors(1,6.25),  </v>
      </c>
      <c r="AP149" s="21" t="str">
        <f t="shared" si="469"/>
        <v xml:space="preserve">investors 6.25
 </v>
      </c>
      <c r="AQ149" s="21" t="str">
        <f t="shared" si="191"/>
        <v xml:space="preserve">investors(1), ease of access(1), reputation(1), portfolio(1), start-up(1), start-up with mvp(1), start-up with customers(1),  </v>
      </c>
      <c r="AR149" s="21" t="str">
        <f t="shared" si="192"/>
        <v xml:space="preserve"> </v>
      </c>
      <c r="AS149" s="21" t="str">
        <f t="shared" si="470"/>
        <v xml:space="preserve"> </v>
      </c>
      <c r="AT149" s="21" t="str">
        <f t="shared" si="468"/>
        <v xml:space="preserve">non-profits 2
reputation 1
portfolio 1
social project 1
 </v>
      </c>
      <c r="AU149" s="21" t="str">
        <f t="shared" si="193"/>
        <v xml:space="preserve"> </v>
      </c>
      <c r="AV149" s="21" t="str">
        <f t="shared" si="469"/>
        <v xml:space="preserve"> </v>
      </c>
      <c r="AW149" s="21" t="str">
        <f t="shared" si="194"/>
        <v xml:space="preserve">project management(2),  </v>
      </c>
      <c r="AX149" s="21" t="str">
        <f t="shared" si="195"/>
        <v xml:space="preserve">organizational rules and manuals(1,12.5), project management(1,12.5),  </v>
      </c>
      <c r="AY149" s="21" t="str">
        <f t="shared" si="470"/>
        <v xml:space="preserve">organizational rules and manuals(12.5),project management(12.5), </v>
      </c>
      <c r="AZ149" s="21" t="str">
        <f t="shared" si="468"/>
        <v xml:space="preserve">non-profits 1
 </v>
      </c>
      <c r="BA149" s="21" t="str">
        <f t="shared" si="196"/>
        <v xml:space="preserve"> </v>
      </c>
      <c r="BB149" s="21" t="str">
        <f t="shared" si="469"/>
        <v xml:space="preserve"> </v>
      </c>
      <c r="BC149" s="21" t="str">
        <f t="shared" si="197"/>
        <v xml:space="preserve"> </v>
      </c>
      <c r="BD149" s="21" t="str">
        <f t="shared" si="198"/>
        <v xml:space="preserve"> </v>
      </c>
      <c r="BE149" s="21" t="str">
        <f t="shared" si="470"/>
        <v xml:space="preserve"> </v>
      </c>
      <c r="BF149" s="21" t="str">
        <f t="shared" si="468"/>
        <v xml:space="preserve">local biz 2
entrepreneurs 1
reputation 1
portfolio 1
biz project 1
 </v>
      </c>
      <c r="BG149" s="21" t="str">
        <f t="shared" si="199"/>
        <v xml:space="preserve"> </v>
      </c>
      <c r="BH149" s="21" t="str">
        <f t="shared" si="469"/>
        <v xml:space="preserve"> </v>
      </c>
      <c r="BI149" s="21" t="str">
        <f t="shared" si="200"/>
        <v xml:space="preserve">project management(2),  </v>
      </c>
      <c r="BJ149" s="21" t="str">
        <f t="shared" si="201"/>
        <v xml:space="preserve">organizational rules and manuals(1,12.5), project management(1,12.5),  </v>
      </c>
      <c r="BK149" s="21" t="str">
        <f t="shared" si="470"/>
        <v xml:space="preserve">organizational rules and manuals(12.5),project management(12.5), </v>
      </c>
      <c r="BL149" s="21" t="str">
        <f t="shared" si="468"/>
        <v xml:space="preserve">local biz 1
reputation 1
portfolio 1
biz enhancement 1
 </v>
      </c>
      <c r="BM149" s="21" t="str">
        <f t="shared" si="202"/>
        <v xml:space="preserve"> </v>
      </c>
      <c r="BN149" s="21" t="str">
        <f t="shared" si="469"/>
        <v xml:space="preserve"> </v>
      </c>
      <c r="BO149" s="21" t="str">
        <f t="shared" si="203"/>
        <v xml:space="preserve"> </v>
      </c>
      <c r="BP149" s="21" t="str">
        <f t="shared" si="204"/>
        <v xml:space="preserve"> </v>
      </c>
      <c r="BQ149" s="21" t="str">
        <f t="shared" si="470"/>
        <v xml:space="preserve"> </v>
      </c>
      <c r="BR149" s="21" t="str">
        <f t="shared" si="468"/>
        <v xml:space="preserve"> </v>
      </c>
      <c r="BS149" s="21" t="str">
        <f t="shared" si="205"/>
        <v xml:space="preserve"> </v>
      </c>
      <c r="BT149" s="21" t="str">
        <f t="shared" si="469"/>
        <v xml:space="preserve"> </v>
      </c>
      <c r="BU149" s="21" t="str">
        <f t="shared" si="206"/>
        <v xml:space="preserve"> </v>
      </c>
      <c r="BV149" s="21" t="str">
        <f t="shared" si="207"/>
        <v xml:space="preserve"> </v>
      </c>
      <c r="BW149" s="21" t="str">
        <f t="shared" si="470"/>
        <v xml:space="preserve"> </v>
      </c>
      <c r="BX149" s="21" t="str">
        <f t="shared" si="471"/>
        <v xml:space="preserve"> </v>
      </c>
      <c r="BY149" s="21" t="str">
        <f t="shared" si="209"/>
        <v xml:space="preserve">efficiency(1,),  </v>
      </c>
      <c r="BZ149" s="21" t="str">
        <f t="shared" si="472"/>
        <v xml:space="preserve"> </v>
      </c>
      <c r="CA149" s="21" t="str">
        <f t="shared" si="211"/>
        <v xml:space="preserve">negotiation(1),  </v>
      </c>
      <c r="CB149" s="21" t="str">
        <f t="shared" si="212"/>
        <v xml:space="preserve">user rules and manuals(1,50), organizational rules and manuals(1,50),  </v>
      </c>
      <c r="CC149" s="21" t="str">
        <f t="shared" si="473"/>
        <v xml:space="preserve">user rules and manuals(50),organizational rules and manuals(50), </v>
      </c>
      <c r="CD149" s="21" t="str">
        <f t="shared" si="471"/>
        <v xml:space="preserve"> </v>
      </c>
      <c r="CE149" s="21" t="str">
        <f t="shared" si="214"/>
        <v xml:space="preserve">non-profits(1,),  </v>
      </c>
      <c r="CF149" s="21" t="str">
        <f t="shared" si="472"/>
        <v xml:space="preserve"> </v>
      </c>
      <c r="CG149" s="21" t="str">
        <f t="shared" si="215"/>
        <v xml:space="preserve">ease of access(1), portfolio(1), user rules and manuals(1), negotiation(1), social project(1), biz project(1), for basic literacy(1), for the elites(1), for entrepreneurs(1),  </v>
      </c>
      <c r="CH149" s="21" t="str">
        <f t="shared" si="216"/>
        <v xml:space="preserve">technologists(1,6.25), non-profits(1,6.25),  </v>
      </c>
      <c r="CI149" s="21" t="str">
        <f t="shared" si="473"/>
        <v xml:space="preserve">technologists(6.25),non-profits(6.25), </v>
      </c>
      <c r="CJ149" s="21" t="str">
        <f t="shared" si="471"/>
        <v xml:space="preserve"> </v>
      </c>
      <c r="CK149" s="21" t="str">
        <f t="shared" si="217"/>
        <v xml:space="preserve">suppliers(1,),  </v>
      </c>
      <c r="CL149" s="21" t="str">
        <f t="shared" si="472"/>
        <v xml:space="preserve"> </v>
      </c>
      <c r="CM149" s="21" t="str">
        <f t="shared" si="218"/>
        <v xml:space="preserve">reputation(1), negotiation(1),  </v>
      </c>
      <c r="CN149" s="21" t="str">
        <f t="shared" si="219"/>
        <v xml:space="preserve">efficiency(1,6.25),  </v>
      </c>
      <c r="CO149" s="21" t="str">
        <f t="shared" si="473"/>
        <v xml:space="preserve">efficiency(6.25), </v>
      </c>
      <c r="CP149" s="21" t="str">
        <f t="shared" si="471"/>
        <v xml:space="preserve"> </v>
      </c>
      <c r="CQ149" s="21" t="str">
        <f t="shared" si="220"/>
        <v xml:space="preserve">technologists(1,),  </v>
      </c>
      <c r="CR149" s="21" t="str">
        <f t="shared" si="472"/>
        <v xml:space="preserve"> </v>
      </c>
      <c r="CS149" s="21" t="str">
        <f t="shared" si="221"/>
        <v xml:space="preserve">portfolio(1), negotiation(1), web(1), infrastructrue(1), database(1), mobile apps(1), sensors(1), security(1), AI&amp; data analysis(1), mobile comm(1), VR&amp;AR(1), wood processing(1), metal processing(1), plastic processing(1), electronics(1), fabric(1),  </v>
      </c>
      <c r="CT149" s="21" t="str">
        <f t="shared" si="222"/>
        <v xml:space="preserve">efficiency(1,6.25),  </v>
      </c>
      <c r="CU149" s="21" t="str">
        <f t="shared" si="473"/>
        <v xml:space="preserve">efficiency(6.25), </v>
      </c>
      <c r="CV149" s="21" t="str">
        <f t="shared" si="471"/>
        <v xml:space="preserve"> </v>
      </c>
      <c r="CW149" s="21" t="str">
        <f t="shared" si="223"/>
        <v xml:space="preserve">local biz(1,),  </v>
      </c>
      <c r="CX149" s="21" t="str">
        <f t="shared" si="472"/>
        <v xml:space="preserve"> </v>
      </c>
      <c r="CY149" s="21" t="str">
        <f t="shared" si="224"/>
        <v xml:space="preserve">ease of access(1), reputation(1), portfolio(1), negotiation(1),  </v>
      </c>
      <c r="CZ149" s="21" t="str">
        <f t="shared" si="225"/>
        <v xml:space="preserve">non-profits(1,6.25),  </v>
      </c>
      <c r="DA149" s="21" t="str">
        <f t="shared" si="473"/>
        <v xml:space="preserve">non-profits(6.25), </v>
      </c>
      <c r="DB149" s="21" t="str">
        <f t="shared" si="471"/>
        <v xml:space="preserve"> </v>
      </c>
      <c r="DC149" s="21" t="str">
        <f t="shared" si="226"/>
        <v xml:space="preserve"> </v>
      </c>
      <c r="DD149" s="21" t="str">
        <f t="shared" si="472"/>
        <v xml:space="preserve"> </v>
      </c>
      <c r="DE149"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49" s="21" t="str">
        <f t="shared" si="228"/>
        <v xml:space="preserve">local biz(1,6.25), biz group(1,6.25), investors(1,6.25), entrepreneurs(1,6.25),  </v>
      </c>
      <c r="DG149" s="21" t="str">
        <f t="shared" si="473"/>
        <v xml:space="preserve">local biz(6.25),biz group(6.25),investors(6.25),entrepreneurs(6.25), </v>
      </c>
      <c r="DH149" s="21" t="str">
        <f t="shared" si="471"/>
        <v xml:space="preserve">non-profits 1
reputation 1
social project 1
 </v>
      </c>
      <c r="DI149" s="21" t="str">
        <f t="shared" si="229"/>
        <v xml:space="preserve"> </v>
      </c>
      <c r="DJ149" s="21" t="str">
        <f t="shared" si="472"/>
        <v xml:space="preserve"> </v>
      </c>
      <c r="DK149"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49" s="21" t="str">
        <f t="shared" si="231"/>
        <v xml:space="preserve">reputation(1,6.25),  </v>
      </c>
      <c r="DM149" s="21" t="str">
        <f t="shared" si="473"/>
        <v xml:space="preserve">reputation(6.25), </v>
      </c>
      <c r="DN149" s="21" t="str">
        <f t="shared" si="471"/>
        <v xml:space="preserve">local biz 1
reputation 1
biz project 1
 </v>
      </c>
      <c r="DO149" s="21" t="str">
        <f t="shared" si="232"/>
        <v xml:space="preserve"> </v>
      </c>
      <c r="DP149" s="21" t="str">
        <f t="shared" si="472"/>
        <v xml:space="preserve"> </v>
      </c>
      <c r="DQ149" s="21" t="str">
        <f t="shared" si="233"/>
        <v xml:space="preserve">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49" s="21" t="str">
        <f t="shared" si="234"/>
        <v xml:space="preserve">reputation(1,6.25),  </v>
      </c>
      <c r="DS149" s="21" t="str">
        <f t="shared" si="473"/>
        <v xml:space="preserve">reputation(6.25), </v>
      </c>
      <c r="DT149" s="21" t="str">
        <f t="shared" si="471"/>
        <v xml:space="preserve">reputation 1
 </v>
      </c>
      <c r="DU149" s="21" t="str">
        <f t="shared" si="235"/>
        <v xml:space="preserve"> </v>
      </c>
      <c r="DV149" s="21" t="str">
        <f t="shared" si="472"/>
        <v xml:space="preserve"> </v>
      </c>
      <c r="DW149" s="21" t="str">
        <f t="shared" si="236"/>
        <v xml:space="preserve">local biz(1), biz group(1), govt(2), investors(1), media(2), entrepreneurs(1), technologists(1), non-profits(1), spaciousness(1), ease of access(1), reputation(2), efficiency(1), organizational rules and manuals(1), marketing(1), social media(1), for basic literacy(1),  </v>
      </c>
      <c r="DX149" s="21" t="str">
        <f t="shared" si="237"/>
        <v xml:space="preserve">reputation(1,6.25), for basic literacy(1,6.25),  </v>
      </c>
      <c r="DY149" s="21" t="str">
        <f t="shared" si="473"/>
        <v xml:space="preserve">reputation(6.25),for basic literacy(6.25), </v>
      </c>
      <c r="DZ149" s="21" t="str">
        <f t="shared" si="471"/>
        <v xml:space="preserve">reputation 1
 </v>
      </c>
      <c r="EA149" s="21" t="str">
        <f t="shared" si="238"/>
        <v xml:space="preserve"> </v>
      </c>
      <c r="EB149" s="21" t="str">
        <f t="shared" si="472"/>
        <v xml:space="preserve"> </v>
      </c>
      <c r="EC149" s="21" t="str">
        <f t="shared" si="239"/>
        <v xml:space="preserve">local biz(2), 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49" s="21" t="str">
        <f t="shared" si="240"/>
        <v xml:space="preserve">reputation(1,6.25), for basic literacy(1,6.25),  </v>
      </c>
      <c r="EE149" s="21" t="str">
        <f t="shared" si="473"/>
        <v xml:space="preserve">reputation(6.25),for basic literacy(6.25), </v>
      </c>
      <c r="EF149" s="21" t="str">
        <f t="shared" si="471"/>
        <v xml:space="preserve">technologists 1
reputation 1
 </v>
      </c>
      <c r="EG149" s="21" t="str">
        <f t="shared" si="241"/>
        <v xml:space="preserve">web(1,50), mobile apps(1,50), interaction(1,50),  </v>
      </c>
      <c r="EH149" s="21" t="str">
        <f t="shared" si="472"/>
        <v xml:space="preserve">web 50
mobile apps 50
interaction 50
 </v>
      </c>
      <c r="EI149" s="21" t="str">
        <f t="shared" si="242"/>
        <v xml:space="preserve">technologists(2), ease of access(1), reputation(2), infrastructrue(1), database(1), mobile comm(1), for entrepreneurs(1),  </v>
      </c>
      <c r="EJ149" s="21" t="str">
        <f t="shared" si="243"/>
        <v xml:space="preserve">technologists(1,12.5), infrastructrue(1,12.5), database(1,12.5), mobile comm(1,12.5), for entrepreneurs(1,6.25),  </v>
      </c>
      <c r="EK149" s="21" t="str">
        <f t="shared" si="473"/>
        <v xml:space="preserve">technologists(12.5),infrastructrue(12.5),database(12.5),mobile comm(12.5),for entrepreneurs(6.25), </v>
      </c>
      <c r="EL149" s="21" t="str">
        <f t="shared" si="474"/>
        <v xml:space="preserve">technologists 1
reputation 1
 </v>
      </c>
      <c r="EM149" s="21" t="str">
        <f t="shared" si="245"/>
        <v xml:space="preserve">sensors(1,50),  </v>
      </c>
      <c r="EN149" s="21" t="str">
        <f t="shared" si="475"/>
        <v xml:space="preserve">sensors 50
 </v>
      </c>
      <c r="EO149" s="21" t="str">
        <f t="shared" si="247"/>
        <v xml:space="preserve">technologists(2), ease of access(1), reputation(2), project management(2), infrastructrue(1), database(1), mobile comm(1), for entrepreneurs(1),  </v>
      </c>
      <c r="EP149" s="21" t="str">
        <f t="shared" si="248"/>
        <v xml:space="preserve">technologists(1,12.5), infrastructrue(1,12.5), database(1,12.5), mobile comm(1,12.5), electronics(1,6.25), for entrepreneurs(1,6.25),  </v>
      </c>
      <c r="EQ149" s="21" t="str">
        <f t="shared" si="476"/>
        <v xml:space="preserve">technologists(12.5),infrastructrue(12.5),database(12.5),mobile comm(12.5),electronics(6.25),for entrepreneurs(6.25), </v>
      </c>
      <c r="ER149" s="21" t="str">
        <f t="shared" si="474"/>
        <v xml:space="preserve">technologists 1
 </v>
      </c>
      <c r="ES149" s="21" t="str">
        <f t="shared" si="250"/>
        <v xml:space="preserve">AI&amp; data analysis(1,50),  </v>
      </c>
      <c r="ET149" s="21" t="str">
        <f t="shared" si="475"/>
        <v xml:space="preserve">AI&amp; data analysis 50
 </v>
      </c>
      <c r="EU149" s="21" t="str">
        <f t="shared" si="251"/>
        <v xml:space="preserve">technologists(2), ease of access(1), reputation(2), database(1), sensors(1), mobile comm(1), for entrepreneurs(1),  </v>
      </c>
      <c r="EV149" s="21" t="str">
        <f t="shared" si="252"/>
        <v xml:space="preserve">technologists(1,12.5), database(1,12.5), sensors(1,12.5), mobile comm(1,12.5), for entrepreneurs(1,6.25),  </v>
      </c>
      <c r="EW149" s="21" t="str">
        <f t="shared" si="476"/>
        <v xml:space="preserve">technologists(12.5),database(12.5),sensors(12.5),mobile comm(12.5),for entrepreneurs(6.25), </v>
      </c>
      <c r="EX149" s="21" t="str">
        <f t="shared" si="474"/>
        <v xml:space="preserve">technologists 1
 </v>
      </c>
      <c r="EY149" s="21" t="str">
        <f t="shared" si="253"/>
        <v xml:space="preserve">law(1,50), security(1,50), interaction(1,25),  </v>
      </c>
      <c r="EZ149" s="21" t="str">
        <f t="shared" si="475"/>
        <v xml:space="preserve">law 50
security 50
interaction 25
 </v>
      </c>
      <c r="FA149" s="21" t="str">
        <f t="shared" si="254"/>
        <v xml:space="preserve">technologists(2), ease of access(1), reputation(2), law(2), for entrepreneurs(1),  </v>
      </c>
      <c r="FB149" s="21" t="str">
        <f t="shared" si="255"/>
        <v xml:space="preserve">technologists(1,12.5), law(1,6.25), database(1,12.5), mobile apps(1,12.5), security(1,12.5), mobile comm(1,12.5), for entrepreneurs(1,6.25),  </v>
      </c>
      <c r="FC149" s="21" t="str">
        <f t="shared" si="476"/>
        <v xml:space="preserve">technologists(12.5),law(6.25),database(12.5),mobile apps(12.5),security(12.5),mobile comm(12.5),for entrepreneurs(6.25), </v>
      </c>
      <c r="FD149" s="21" t="str">
        <f t="shared" si="474"/>
        <v xml:space="preserve">technologists 1
 </v>
      </c>
      <c r="FE149" s="21" t="str">
        <f t="shared" si="256"/>
        <v xml:space="preserve">law(1,50), sensors(1,50), security(1,50),  </v>
      </c>
      <c r="FF149" s="21" t="str">
        <f t="shared" si="475"/>
        <v xml:space="preserve">law 50
sensors 50
security 50
 </v>
      </c>
      <c r="FG149" s="21" t="str">
        <f t="shared" si="257"/>
        <v xml:space="preserve">technologists(2), ease of access(1), reputation(2), law(2), project management(2), for entrepreneurs(1),  </v>
      </c>
      <c r="FH149" s="21" t="str">
        <f t="shared" si="258"/>
        <v xml:space="preserve">technologists(1,12.5), law(1,6.25), database(1,6.25), mobile apps(1,6.25), AI&amp; data analysis(1,6.25), mobile comm(1,6.25), for entrepreneurs(1,6.25),  </v>
      </c>
      <c r="FI149" s="21" t="str">
        <f t="shared" si="476"/>
        <v xml:space="preserve">technologists(12.5),law(6.25),database(6.25),mobile apps(6.25),AI&amp; data analysis(6.25),mobile comm(6.25),for entrepreneurs(6.25), </v>
      </c>
      <c r="FJ149" s="21" t="str">
        <f t="shared" si="474"/>
        <v xml:space="preserve">technologists 1
 </v>
      </c>
      <c r="FK149" s="21" t="str">
        <f t="shared" si="259"/>
        <v xml:space="preserve">wood processing(1,25), metal processing(1,25), plastic processing(1,25), fabric(1,25), safety(1,25), interaction(1,25),  </v>
      </c>
      <c r="FL149" s="21" t="str">
        <f t="shared" si="475"/>
        <v xml:space="preserve">project management 2
wood processing 25
metal processing 25
plastic processing 25
fabric 25
safety 25
interaction 25
 </v>
      </c>
      <c r="FM149" s="21" t="str">
        <f t="shared" si="260"/>
        <v xml:space="preserve">technologists(2), spaciousness(1), ease of access(1), reputation(2), for entrepreneurs(1),  </v>
      </c>
      <c r="FN149" s="21" t="str">
        <f t="shared" si="261"/>
        <v xml:space="preserve">technologists(1,12.5), for entrepreneurs(1,6.25),  </v>
      </c>
      <c r="FO149" s="21" t="str">
        <f t="shared" si="476"/>
        <v xml:space="preserve">technologists(12.5),for entrepreneurs(6.25), </v>
      </c>
      <c r="FP149" s="21" t="str">
        <f t="shared" si="474"/>
        <v xml:space="preserve">technologists 1
 </v>
      </c>
      <c r="FQ149" s="21" t="str">
        <f t="shared" si="262"/>
        <v xml:space="preserve">web(1,25), mobile apps(1,50), functions(1,25), interaction(1,25),  </v>
      </c>
      <c r="FR149" s="21" t="str">
        <f t="shared" si="475"/>
        <v xml:space="preserve">web 25
mobile apps 50
functions 25
interaction 25
 </v>
      </c>
      <c r="FS149" s="21" t="str">
        <f t="shared" si="263"/>
        <v xml:space="preserve">technologists(2), spaciousness(1), ease of access(1), reputation(2), for entrepreneurs(1),  </v>
      </c>
      <c r="FT149" s="21" t="str">
        <f t="shared" si="264"/>
        <v xml:space="preserve">technologists(1,12.5), for entrepreneurs(1,6.25),  </v>
      </c>
      <c r="FU149" s="21" t="str">
        <f t="shared" si="476"/>
        <v xml:space="preserve">technologists(12.5),for entrepreneurs(6.25), </v>
      </c>
      <c r="FV149" s="21" t="str">
        <f t="shared" si="474"/>
        <v xml:space="preserve">technologists 1
 </v>
      </c>
      <c r="FW149" s="21" t="str">
        <f t="shared" si="265"/>
        <v xml:space="preserve">mobile apps(1,50), sensors(1,50), wood processing(1,25), plastic processing(1,25), electronics(1,25), functions(1,25), interaction(1,25),  </v>
      </c>
      <c r="FX149" s="21" t="str">
        <f t="shared" si="475"/>
        <v xml:space="preserve">mobile apps 50
sensors 50
wood processing 25
plastic processing 25
electronics 25
functions 25
interaction 25
 </v>
      </c>
      <c r="FY149" s="21" t="str">
        <f t="shared" si="266"/>
        <v xml:space="preserve">technologists(2), spaciousness(1), ease of access(1), reputation(2), project management(2), for entrepreneurs(1),  </v>
      </c>
      <c r="FZ149" s="21" t="str">
        <f t="shared" si="267"/>
        <v xml:space="preserve">technologists(1,12.5), web(1,6.25), database(1,6.25), AI&amp; data analysis(1,6.25), mobile comm(1,6.25), for entrepreneurs(1,6.25),  </v>
      </c>
      <c r="GA149" s="21" t="str">
        <f t="shared" si="476"/>
        <v xml:space="preserve">technologists(12.5),web(6.25),database(6.25),AI&amp; data analysis(6.25),mobile comm(6.25),for entrepreneurs(6.25), </v>
      </c>
      <c r="GB149" s="21" t="str">
        <f t="shared" si="474"/>
        <v xml:space="preserve">technologists 1
 </v>
      </c>
      <c r="GC149" s="21" t="str">
        <f t="shared" si="268"/>
        <v xml:space="preserve">sensors(1,25), mobile comm(1,25), electronics(1,50), functions(1,25), safety(1,25),  </v>
      </c>
      <c r="GD149" s="21" t="str">
        <f t="shared" si="475"/>
        <v xml:space="preserve">sensors 25
mobile comm 25
electronics 50
functions 25
safety 25
 </v>
      </c>
      <c r="GE149" s="21" t="str">
        <f t="shared" si="269"/>
        <v xml:space="preserve">technologists(2), spaciousness(1), ease of access(1), reputation(2), project management(2), for entrepreneurs(1),  </v>
      </c>
      <c r="GF149" s="21" t="str">
        <f t="shared" si="270"/>
        <v xml:space="preserve">technologists(1,12.5), database(1,6.25), mobile apps(1,6.25), AI&amp; data analysis(1,6.25), plastic processing(1,6.25), interaction(1,6.25), for entrepreneurs(1,6.25),  </v>
      </c>
      <c r="GG149" s="21" t="str">
        <f t="shared" si="476"/>
        <v xml:space="preserve">technologists(12.5),database(6.25),mobile apps(6.25),AI&amp; data analysis(6.25),plastic processing(6.25),interaction(6.25),for entrepreneurs(6.25), </v>
      </c>
      <c r="GH149" s="21" t="str">
        <f t="shared" si="474"/>
        <v xml:space="preserve">technologists 1
 </v>
      </c>
      <c r="GI149" s="21" t="str">
        <f t="shared" si="271"/>
        <v xml:space="preserve">web(1,25), mobile apps(1,50), functions(1,25), interaction(1,25),  </v>
      </c>
      <c r="GJ149" s="21" t="str">
        <f t="shared" si="475"/>
        <v xml:space="preserve">web 25
mobile apps 50
functions 25
interaction 25
 </v>
      </c>
      <c r="GK149" s="21" t="str">
        <f t="shared" si="272"/>
        <v xml:space="preserve">technologists(2), spaciousness(1), ease of access(1), reputation(2), project management(2), for entrepreneurs(1),  </v>
      </c>
      <c r="GL149" s="21" t="str">
        <f t="shared" si="273"/>
        <v xml:space="preserve">technologists(1,12.5), for entrepreneurs(1,6.25),  </v>
      </c>
      <c r="GM149" s="21" t="str">
        <f t="shared" si="476"/>
        <v xml:space="preserve">technologists(12.5),for entrepreneurs(6.25), </v>
      </c>
      <c r="GN149" s="21" t="str">
        <f t="shared" si="474"/>
        <v xml:space="preserve">technologists 1
 </v>
      </c>
      <c r="GO149" s="21" t="str">
        <f t="shared" si="274"/>
        <v xml:space="preserve">web(1,25), mobile apps(1,25), VR&amp;AR(1,25), aesthetics(1,25), functions(1,25), interaction(1,50),  </v>
      </c>
      <c r="GP149" s="21" t="str">
        <f t="shared" si="475"/>
        <v xml:space="preserve">web 25
mobile apps 25
VR&amp;AR 25
aesthetics 25
functions 25
interaction 50
 </v>
      </c>
      <c r="GQ149" s="21" t="str">
        <f t="shared" si="275"/>
        <v xml:space="preserve">technologists(2), spaciousness(1), ease of access(1), reputation(2), project management(2), for entrepreneurs(1),  </v>
      </c>
      <c r="GR149" s="21" t="str">
        <f t="shared" si="276"/>
        <v xml:space="preserve">technologists(1,12.5), for entrepreneurs(1,6.25),  </v>
      </c>
      <c r="GS149" s="21" t="str">
        <f t="shared" si="476"/>
        <v xml:space="preserve">technologists(12.5),for entrepreneurs(6.25), </v>
      </c>
      <c r="GT149" s="21" t="str">
        <f t="shared" si="474"/>
        <v xml:space="preserve">ease of access 1
reputation 2
web 1
mobile apps 1
mobile comm 1
 </v>
      </c>
      <c r="GU149" s="21" t="str">
        <f t="shared" si="277"/>
        <v xml:space="preserve"> </v>
      </c>
      <c r="GV149" s="21" t="str">
        <f t="shared" si="475"/>
        <v xml:space="preserve"> </v>
      </c>
      <c r="GW149" s="21" t="str">
        <f t="shared" si="278"/>
        <v xml:space="preserve">local biz(2), 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49" s="21" t="str">
        <f t="shared" si="279"/>
        <v xml:space="preserve">media(1,6.25), entrepreneurs(1,6.25), technologists(1,6.25), project management(1,6.25), social media(1,6.25), web(1,6.25), mobile apps(1,6.25),  </v>
      </c>
      <c r="GY149" s="21" t="str">
        <f t="shared" si="476"/>
        <v xml:space="preserve">media(6.25),entrepreneurs(6.25),technologists(6.25),project management(6.25),social media(6.25),web(6.25),mobile apps(6.25), </v>
      </c>
      <c r="GZ149" s="21" t="str">
        <f t="shared" si="477"/>
        <v xml:space="preserve">govt 1
non-profits 1
reputation 2
portfolio 1
 </v>
      </c>
      <c r="HA149" s="21" t="str">
        <f t="shared" si="281"/>
        <v xml:space="preserve"> </v>
      </c>
      <c r="HB149" s="21" t="str">
        <f t="shared" si="478"/>
        <v xml:space="preserve"> </v>
      </c>
      <c r="HC149" s="21" t="str">
        <f t="shared" si="283"/>
        <v xml:space="preserve">govt(3), non-profits(3), reputation(4), portfolio(3), social media(2), web(2), mobile apps(2), sensors(2), AI&amp; data analysis(2), VR&amp;AR(2), plastic processing(2), electronics(2), aesthetics(2), interaction(2),  </v>
      </c>
      <c r="HD149" s="21" t="str">
        <f t="shared" si="284"/>
        <v xml:space="preserve">media(1,6.25), technologists(1,6.25), non-profits(1,6.25), reputation(1,6.25), start-up with customers(1,6.25), for basic literacy(1,6.25),  </v>
      </c>
      <c r="HE149" s="21" t="str">
        <f t="shared" si="479"/>
        <v xml:space="preserve">media(6.25),technologists(6.25),non-profits(6.25),reputation(6.25),start-up with customers(6.25),for basic literacy(6.25), </v>
      </c>
      <c r="HF149" s="21" t="str">
        <f t="shared" si="477"/>
        <v xml:space="preserve"> </v>
      </c>
      <c r="HG149" s="21" t="str">
        <f t="shared" si="286"/>
        <v xml:space="preserve"> </v>
      </c>
      <c r="HH149" s="21" t="str">
        <f t="shared" si="478"/>
        <v xml:space="preserve"> </v>
      </c>
      <c r="HI149" s="21" t="str">
        <f t="shared" si="287"/>
        <v xml:space="preserve">portfolio(3), marketing(2), team building(3), project management(2), mobile apps(3), sensors(2), plastic processing(2), electronics(2), aesthetics(2), functions(2), interaction(2),  </v>
      </c>
      <c r="HJ149" s="21" t="str">
        <f t="shared" si="288"/>
        <v xml:space="preserve">govt(1,6.25), media(1,6.25), non-profits(1,6.25), start-up with customers(1,6.25),  </v>
      </c>
      <c r="HK149" s="21" t="str">
        <f t="shared" si="479"/>
        <v xml:space="preserve">govt(6.25),media(6.25),non-profits(6.25),start-up with customers(6.25), </v>
      </c>
      <c r="HL149" s="21" t="str">
        <f t="shared" si="477"/>
        <v xml:space="preserve">local biz 1
entrepreneurs 1
non-profits 1
reputation 2
portfolio 2
 </v>
      </c>
      <c r="HM149" s="21" t="str">
        <f t="shared" si="289"/>
        <v xml:space="preserve"> </v>
      </c>
      <c r="HN149" s="21" t="str">
        <f t="shared" si="478"/>
        <v xml:space="preserve"> </v>
      </c>
      <c r="HO149" s="21" t="str">
        <f t="shared" si="290"/>
        <v xml:space="preserve">local biz(3), biz group(2), investors(2), entrepreneurs(3), spaciousness(2), ease of access(2), reputation(3), efficiency(2), portfolio(4), finance(2), marketing(2), project management(2), social media(2), web(3), mobile apps(2), wood processing(3), plastic processing(3), electronics(3), aesthetics(2), interaction(2),  </v>
      </c>
      <c r="HP149" s="21" t="str">
        <f t="shared" si="291"/>
        <v xml:space="preserve">local biz(1,6.25), biz group(1,6.25), govt(1,6.25), investors(1,6.25), media(1,6.25), entrepreneurs(1,6.25), technologists(1,6.25), suppliers(1,6.25), non-profits(1,6.25), reputation(1,6.25),  </v>
      </c>
      <c r="HQ149" s="47" t="str">
        <f t="shared" si="479"/>
        <v xml:space="preserve">local biz(6.25),biz group(6.25),govt(6.25),investors(6.25),media(6.25),entrepreneurs(6.25),technologists(6.25),suppliers(6.25),non-profits(6.25),reputation(6.25), </v>
      </c>
      <c r="HR149" s="47" t="str">
        <f t="shared" ref="HR149:HW149" si="530">IF(HR47="",HR150,$C149&amp;"("&amp;HR47&amp;"),"&amp;HR150)</f>
        <v xml:space="preserve">reputation(2),portfolio(2),mobile apps(1),sensors(1),wood processing(1),aesthetics(1), </v>
      </c>
      <c r="HS149" s="47" t="str">
        <f t="shared" si="530"/>
        <v xml:space="preserve"> </v>
      </c>
      <c r="HT149" s="47" t="str">
        <f t="shared" si="530"/>
        <v xml:space="preserve"> </v>
      </c>
      <c r="HU149" s="47" t="str">
        <f t="shared" si="530"/>
        <v xml:space="preserve">local biz(2),biz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49" s="47" t="str">
        <f t="shared" si="530"/>
        <v xml:space="preserve">local biz(1),biz group(1),govt(1),investors(1),media(1),entrepreneurs(1),technologists(1),suppliers(1),non-profits(1),reputation(1), </v>
      </c>
      <c r="HW149" s="47" t="str">
        <f t="shared" si="530"/>
        <v xml:space="preserve">local biz(6.25),biz group(6.25),govt(6.25),investors(6.25),media(6.25),entrepreneurs(6.25),technologists(12.5),suppliers(6.25),non-profits(6.25),reputation(6.25), </v>
      </c>
      <c r="HX149" s="47" t="str">
        <f t="shared" ref="HX149:IU149" si="531">IF(HX47="",HX150,$C149&amp;"("&amp;HX47&amp;"),"&amp;HX150)</f>
        <v xml:space="preserve">local biz(2),govt(2),media(2),entrepreneurs(2),technologists(3),non-profits(3),reputation(3),portfolio(2),web(1),infrastructrue(1),database(2),mobile apps(1),sensors(1),AI&amp; data analysis(2),VR&amp;AR(1),wood processing(1),metal processing(1),plastic processing(1),electronics(1),aesthetics(1),functions(1),interaction(1), </v>
      </c>
      <c r="HY149" s="47" t="str">
        <f t="shared" si="531"/>
        <v xml:space="preserve">biz enhancement(1), </v>
      </c>
      <c r="HZ149" s="47" t="str">
        <f t="shared" si="531"/>
        <v xml:space="preserve">biz enhancement(100), </v>
      </c>
      <c r="IA149" s="47" t="str">
        <f t="shared" si="531"/>
        <v xml:space="preserve">spaciousness(2),ease of access(3),efficiency(2),portfolio(4),finance(2),business model(2),marketing(3),team building(2),project management(2),social media(3),negotiation(3), </v>
      </c>
      <c r="IB149" s="47" t="str">
        <f t="shared" si="531"/>
        <v xml:space="preserve">local biz(1),biz group(1),govt(1),media(1),entrepreneurs(1),technologists(1),non-profits(1),reputation(1),team building(1),database(1),AI&amp; data analysis(1),electronics(1),functions(1), </v>
      </c>
      <c r="IC149" s="47" t="str">
        <f t="shared" si="531"/>
        <v xml:space="preserve">local biz(6.25),biz group(6.25),govt(6.25),media(6.25),entrepreneurs(6.25),technologists(6.25),non-profits(6.25),reputation(6.25),team building(6.25),database(6.25),AI&amp; data analysis(6.25),electronics(6.25),functions(6.25), </v>
      </c>
      <c r="ID149" s="47" t="str">
        <f t="shared" si="531"/>
        <v xml:space="preserve">technologists(2), </v>
      </c>
      <c r="IE149" s="47" t="str">
        <f t="shared" si="531"/>
        <v xml:space="preserve">web(1),mobile apps(1),security(1),AI&amp; data analysis(1), </v>
      </c>
      <c r="IF149" s="47" t="str">
        <f t="shared" si="531"/>
        <v xml:space="preserve">web(25),mobile apps(25),security(25),AI&amp; data analysis(25), </v>
      </c>
      <c r="IG149" s="47" t="str">
        <f t="shared" si="531"/>
        <v xml:space="preserve">entrepreneurs(3),technologists(4),spaciousness(2),ease of access(2),reputation(3),efficiency(2),portfolio(3),web(2),database(2),mobile apps(2),security(2),AI&amp; data analysis(2), </v>
      </c>
      <c r="IH149" s="47" t="str">
        <f t="shared" si="531"/>
        <v xml:space="preserve">technologists(1),web(1),database(1),mobile apps(1),security(1),AI&amp; data analysis(1), </v>
      </c>
      <c r="II149" s="47" t="str">
        <f t="shared" si="531"/>
        <v xml:space="preserve">technologists(6.25),web(6.25),database(6.25),mobile apps(6.25),security(6.25),AI&amp; data analysis(6.25), </v>
      </c>
      <c r="IJ149" s="47" t="str">
        <f t="shared" si="531"/>
        <v xml:space="preserve">technologists(2), </v>
      </c>
      <c r="IK149" s="47" t="str">
        <f t="shared" si="531"/>
        <v xml:space="preserve">wood processing(1),metal processing(1),functions(1),safety(1), </v>
      </c>
      <c r="IL149" s="47" t="str">
        <f t="shared" si="531"/>
        <v xml:space="preserve">wood processing(25),metal processing(25),functions(25),safety(25), </v>
      </c>
      <c r="IM149" s="47" t="str">
        <f t="shared" si="531"/>
        <v xml:space="preserve">entrepreneurs(3),technologists(4),spaciousness(2),ease of access(2),reputation(3),efficiency(2),portfolio(3),wood processing(2),metal processing(2),functions(2),safety(2), </v>
      </c>
      <c r="IN149" s="47" t="str">
        <f t="shared" si="531"/>
        <v xml:space="preserve">technologists(1),wood processing(1),metal processing(1),functions(1),safety(1),interaction(1), </v>
      </c>
      <c r="IO149" s="47" t="str">
        <f t="shared" si="531"/>
        <v xml:space="preserve">technologists(6.25),wood processing(6.25),metal processing(6.25),functions(6.25),safety(6.25),interaction(6.25), </v>
      </c>
      <c r="IP149" s="57" t="str">
        <f t="shared" si="531"/>
        <v xml:space="preserve">local biz(2),reputation(1), </v>
      </c>
      <c r="IQ149" s="47" t="str">
        <f t="shared" si="531"/>
        <v xml:space="preserve">local biz(1),marketing(1), </v>
      </c>
      <c r="IR149" s="47" t="str">
        <f t="shared" si="531"/>
        <v xml:space="preserve">local biz(25),marketing(25), </v>
      </c>
      <c r="IS149" s="47" t="str">
        <f t="shared" si="531"/>
        <v xml:space="preserve">local biz(3),biz group(2),govt(2),non-profits(2),reputation(3),efficiency(2),marketing(2), </v>
      </c>
      <c r="IT149" s="47" t="str">
        <f t="shared" si="531"/>
        <v xml:space="preserve">local biz(1),biz group(1),govt(1),non-profits(1),marketing(1), </v>
      </c>
      <c r="IU149" s="47" t="str">
        <f t="shared" si="531"/>
        <v xml:space="preserve">local biz(6.25),biz group(6.25),govt(6.25),non-profits(6.25),marketing(6.25), </v>
      </c>
      <c r="IV149" s="57" t="str">
        <f t="shared" ref="IV149:LG149" si="532">IF(IV47="",IV150,$C149&amp;"("&amp;IV47&amp;"),"&amp;IV150)</f>
        <v xml:space="preserve">local biz(2),reputation(1), </v>
      </c>
      <c r="IW149" s="47" t="str">
        <f t="shared" si="532"/>
        <v xml:space="preserve">local biz(1),marketing(1), </v>
      </c>
      <c r="IX149" s="47" t="str">
        <f t="shared" si="532"/>
        <v xml:space="preserve">local biz(25),marketing(25), </v>
      </c>
      <c r="IY149" s="47" t="str">
        <f t="shared" si="532"/>
        <v xml:space="preserve">local biz(3),biz group(2),govt(2),reputation(3),efficiency(2),marketing(2), </v>
      </c>
      <c r="IZ149" s="47" t="str">
        <f t="shared" si="532"/>
        <v xml:space="preserve">local biz(1),biz group(1),govt(1),marketing(1), </v>
      </c>
      <c r="JA149" s="47" t="str">
        <f t="shared" si="532"/>
        <v xml:space="preserve">local biz(6.25),biz group(6.25),govt(6.25),marketing(6.25), </v>
      </c>
      <c r="JB149" s="47" t="str">
        <f t="shared" si="532"/>
        <v xml:space="preserve"> </v>
      </c>
      <c r="JC149" s="47" t="str">
        <f t="shared" si="532"/>
        <v xml:space="preserve"> </v>
      </c>
      <c r="JD149" s="47" t="str">
        <f t="shared" si="532"/>
        <v xml:space="preserve"> </v>
      </c>
      <c r="JE149" s="47" t="str">
        <f t="shared" si="532"/>
        <v xml:space="preserve">technologists(2),spaciousness(1),ease of access(1),reputation(3),efficiency(2), </v>
      </c>
      <c r="JF149" s="47" t="str">
        <f t="shared" si="532"/>
        <v xml:space="preserve">web(1),infrastructrue(1),database(1),mobile apps(1),sensors(1),security(1),AI&amp; data analysis(1),mobile comm(1),VR&amp;AR(1),wood processing(1),metal processing(1),plastic processing(1),electronics(1),fabric(1),aesthetics(1),functions(1),safety(1),interaction(1), </v>
      </c>
      <c r="JG149" s="47" t="str">
        <f t="shared" si="532"/>
        <v xml:space="preserve">web(6.25),infrastructrue(6.25),database(6.25),mobile apps(6.25),sensors(6.25),security(6.25),AI&amp; data analysis(6.25),mobile comm(6.25),VR&amp;AR(6.25),wood processing(6.25),metal processing(6.25),plastic processing(6.25),electronics(6.25),fabric(6.25),aesthetics(6.25),functions(6.25),safety(6.25),interaction(6.25), </v>
      </c>
      <c r="JH149" s="47" t="str">
        <f t="shared" si="532"/>
        <v xml:space="preserve">local biz(1),non-profits(1),reputation(2), </v>
      </c>
      <c r="JI149" s="47" t="str">
        <f t="shared" si="532"/>
        <v xml:space="preserve"> </v>
      </c>
      <c r="JJ149" s="47" t="str">
        <f t="shared" si="532"/>
        <v xml:space="preserve"> </v>
      </c>
      <c r="JK149" s="47" t="str">
        <f t="shared" si="532"/>
        <v xml:space="preserve">local biz(2),biz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49" s="47" t="str">
        <f t="shared" si="532"/>
        <v xml:space="preserve">non-profits(1), </v>
      </c>
      <c r="JM149" s="47" t="str">
        <f t="shared" si="532"/>
        <v xml:space="preserve">non-profits(6.25), </v>
      </c>
      <c r="JN149" s="47" t="str">
        <f t="shared" si="532"/>
        <v xml:space="preserve">local biz(1),investors(1),entrepreneurs(1),technologists(1),non-profits(1),reputation(2),portfolio(2), </v>
      </c>
      <c r="JO149" s="47" t="str">
        <f t="shared" si="532"/>
        <v xml:space="preserve"> </v>
      </c>
      <c r="JP149" s="47" t="str">
        <f t="shared" si="532"/>
        <v xml:space="preserve"> </v>
      </c>
      <c r="JQ149" s="47" t="str">
        <f t="shared" si="532"/>
        <v xml:space="preserve">local biz(2),biz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49" s="47" t="str">
        <f t="shared" si="532"/>
        <v xml:space="preserve"> </v>
      </c>
      <c r="JS149" s="47" t="str">
        <f t="shared" si="532"/>
        <v xml:space="preserve"> </v>
      </c>
      <c r="JT149" s="47" t="str">
        <f t="shared" si="532"/>
        <v xml:space="preserve">local biz(2),biz group(1),govt(2),investors(2),entrepreneurs(2),technologists(2),non-profits(2),reputation(2),portfolio(3), </v>
      </c>
      <c r="JU149" s="47" t="str">
        <f t="shared" si="532"/>
        <v xml:space="preserve"> </v>
      </c>
      <c r="JV149" s="47" t="str">
        <f t="shared" si="532"/>
        <v xml:space="preserve"> </v>
      </c>
      <c r="JW149" s="47" t="str">
        <f t="shared" si="532"/>
        <v xml:space="preserve">local biz(3),biz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49" s="47" t="str">
        <f t="shared" si="532"/>
        <v xml:space="preserve"> </v>
      </c>
      <c r="JY149" s="47" t="str">
        <f t="shared" si="532"/>
        <v xml:space="preserve"> </v>
      </c>
      <c r="JZ149" s="47" t="str">
        <f t="shared" si="532"/>
        <v xml:space="preserve">non-profits(1),reputation(2),social project(2), </v>
      </c>
      <c r="KA149" s="47" t="str">
        <f t="shared" si="532"/>
        <v xml:space="preserve">non-profits(1), </v>
      </c>
      <c r="KB149" s="47" t="str">
        <f t="shared" si="532"/>
        <v xml:space="preserve">non-profits(25), </v>
      </c>
      <c r="KC149" s="47" t="str">
        <f t="shared" si="532"/>
        <v xml:space="preserve">local biz(3),biz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49" s="47" t="str">
        <f t="shared" si="532"/>
        <v xml:space="preserve">non-profits(1), </v>
      </c>
      <c r="KE149" s="47" t="str">
        <f t="shared" si="532"/>
        <v xml:space="preserve">non-profits(6.25), </v>
      </c>
      <c r="KF149" s="47" t="str">
        <f t="shared" si="532"/>
        <v xml:space="preserve"> </v>
      </c>
      <c r="KG149" s="47" t="str">
        <f t="shared" si="532"/>
        <v xml:space="preserve"> </v>
      </c>
      <c r="KH149" s="47" t="str">
        <f t="shared" si="532"/>
        <v xml:space="preserve"> </v>
      </c>
      <c r="KI149" s="47" t="str">
        <f t="shared" si="532"/>
        <v xml:space="preserve"> </v>
      </c>
      <c r="KJ149" s="47" t="str">
        <f t="shared" si="532"/>
        <v xml:space="preserve"> </v>
      </c>
      <c r="KK149" s="47" t="str">
        <f t="shared" si="532"/>
        <v xml:space="preserve"> </v>
      </c>
      <c r="KL149" s="57" t="str">
        <f t="shared" si="532"/>
        <v xml:space="preserve"> </v>
      </c>
      <c r="KM149" s="47" t="str">
        <f t="shared" si="532"/>
        <v xml:space="preserve"> </v>
      </c>
      <c r="KN149" s="47" t="str">
        <f t="shared" si="532"/>
        <v xml:space="preserve"> </v>
      </c>
      <c r="KO149" s="47" t="str">
        <f t="shared" si="532"/>
        <v xml:space="preserve"> </v>
      </c>
      <c r="KP149" s="47" t="str">
        <f t="shared" si="532"/>
        <v xml:space="preserve"> </v>
      </c>
      <c r="KQ149" s="47" t="str">
        <f t="shared" si="532"/>
        <v xml:space="preserve"> </v>
      </c>
      <c r="KR149" s="57" t="str">
        <f t="shared" si="532"/>
        <v xml:space="preserve"> </v>
      </c>
      <c r="KS149" s="47" t="str">
        <f t="shared" si="532"/>
        <v xml:space="preserve"> </v>
      </c>
      <c r="KT149" s="47" t="str">
        <f t="shared" si="532"/>
        <v xml:space="preserve"> </v>
      </c>
      <c r="KU149" s="47" t="str">
        <f t="shared" si="532"/>
        <v xml:space="preserve"> </v>
      </c>
      <c r="KV149" s="47" t="str">
        <f t="shared" si="532"/>
        <v xml:space="preserve"> </v>
      </c>
      <c r="KW149" s="47" t="str">
        <f t="shared" si="532"/>
        <v xml:space="preserve"> </v>
      </c>
      <c r="KX149" s="57" t="str">
        <f t="shared" si="532"/>
        <v xml:space="preserve"> </v>
      </c>
      <c r="KY149" s="47" t="str">
        <f t="shared" si="532"/>
        <v xml:space="preserve"> </v>
      </c>
      <c r="KZ149" s="47" t="str">
        <f t="shared" si="532"/>
        <v xml:space="preserve"> </v>
      </c>
      <c r="LA149" s="47" t="str">
        <f t="shared" si="532"/>
        <v xml:space="preserve"> </v>
      </c>
      <c r="LB149" s="47" t="str">
        <f t="shared" si="532"/>
        <v xml:space="preserve"> </v>
      </c>
      <c r="LC149" s="47" t="str">
        <f t="shared" si="532"/>
        <v xml:space="preserve"> </v>
      </c>
      <c r="LD149" s="57" t="str">
        <f t="shared" si="532"/>
        <v xml:space="preserve"> </v>
      </c>
      <c r="LE149" s="47" t="str">
        <f t="shared" si="532"/>
        <v xml:space="preserve"> </v>
      </c>
      <c r="LF149" s="47" t="str">
        <f t="shared" si="532"/>
        <v xml:space="preserve"> </v>
      </c>
      <c r="LG149" s="47" t="str">
        <f t="shared" si="532"/>
        <v xml:space="preserve"> </v>
      </c>
      <c r="LH149" s="47" t="str">
        <f t="shared" ref="LH149:NM149" si="533">IF(LH47="",LH150,$C149&amp;"("&amp;LH47&amp;"),"&amp;LH150)</f>
        <v xml:space="preserve"> </v>
      </c>
      <c r="LI149" s="47" t="str">
        <f t="shared" si="533"/>
        <v xml:space="preserve"> </v>
      </c>
      <c r="LJ149" s="57" t="str">
        <f t="shared" si="533"/>
        <v xml:space="preserve"> </v>
      </c>
      <c r="LK149" s="47" t="str">
        <f t="shared" si="533"/>
        <v xml:space="preserve"> </v>
      </c>
      <c r="LL149" s="47" t="str">
        <f t="shared" si="533"/>
        <v xml:space="preserve"> </v>
      </c>
      <c r="LM149" s="47" t="str">
        <f t="shared" si="533"/>
        <v xml:space="preserve"> </v>
      </c>
      <c r="LN149" s="47" t="str">
        <f t="shared" si="533"/>
        <v xml:space="preserve"> </v>
      </c>
      <c r="LO149" s="47" t="str">
        <f t="shared" si="533"/>
        <v xml:space="preserve"> </v>
      </c>
      <c r="LP149" s="57" t="str">
        <f t="shared" si="533"/>
        <v xml:space="preserve"> </v>
      </c>
      <c r="LQ149" s="47" t="str">
        <f t="shared" si="533"/>
        <v xml:space="preserve"> </v>
      </c>
      <c r="LR149" s="47" t="str">
        <f t="shared" si="533"/>
        <v xml:space="preserve"> </v>
      </c>
      <c r="LS149" s="47" t="str">
        <f t="shared" si="533"/>
        <v xml:space="preserve"> </v>
      </c>
      <c r="LT149" s="47" t="str">
        <f t="shared" si="533"/>
        <v xml:space="preserve"> </v>
      </c>
      <c r="LU149" s="47" t="str">
        <f t="shared" si="533"/>
        <v xml:space="preserve"> </v>
      </c>
      <c r="LV149" s="57" t="str">
        <f t="shared" si="533"/>
        <v xml:space="preserve"> </v>
      </c>
      <c r="LW149" s="47" t="str">
        <f t="shared" si="533"/>
        <v xml:space="preserve"> </v>
      </c>
      <c r="LX149" s="47" t="str">
        <f t="shared" si="533"/>
        <v xml:space="preserve"> </v>
      </c>
      <c r="LY149" s="47" t="str">
        <f t="shared" si="533"/>
        <v xml:space="preserve"> </v>
      </c>
      <c r="LZ149" s="47" t="str">
        <f t="shared" si="533"/>
        <v xml:space="preserve"> </v>
      </c>
      <c r="MA149" s="47" t="str">
        <f t="shared" si="533"/>
        <v xml:space="preserve"> </v>
      </c>
      <c r="MB149" s="57" t="str">
        <f t="shared" si="533"/>
        <v xml:space="preserve"> </v>
      </c>
      <c r="MC149" s="47" t="str">
        <f t="shared" si="533"/>
        <v xml:space="preserve"> </v>
      </c>
      <c r="MD149" s="47" t="str">
        <f t="shared" si="533"/>
        <v xml:space="preserve"> </v>
      </c>
      <c r="ME149" s="47" t="str">
        <f t="shared" si="533"/>
        <v xml:space="preserve"> </v>
      </c>
      <c r="MF149" s="47" t="str">
        <f t="shared" si="533"/>
        <v xml:space="preserve"> </v>
      </c>
      <c r="MG149" s="47" t="str">
        <f t="shared" si="533"/>
        <v xml:space="preserve"> </v>
      </c>
      <c r="MH149" s="57" t="str">
        <f t="shared" si="533"/>
        <v xml:space="preserve"> </v>
      </c>
      <c r="MI149" s="47" t="str">
        <f t="shared" si="533"/>
        <v xml:space="preserve"> </v>
      </c>
      <c r="MJ149" s="47" t="str">
        <f t="shared" si="533"/>
        <v xml:space="preserve"> </v>
      </c>
      <c r="MK149" s="47" t="str">
        <f t="shared" si="533"/>
        <v xml:space="preserve"> </v>
      </c>
      <c r="ML149" s="47" t="str">
        <f t="shared" si="533"/>
        <v xml:space="preserve"> </v>
      </c>
      <c r="MM149" s="47" t="str">
        <f t="shared" si="533"/>
        <v xml:space="preserve"> </v>
      </c>
      <c r="MN149" s="57" t="str">
        <f t="shared" si="533"/>
        <v xml:space="preserve"> </v>
      </c>
      <c r="MO149" s="47" t="str">
        <f t="shared" si="533"/>
        <v xml:space="preserve"> </v>
      </c>
      <c r="MP149" s="47" t="str">
        <f t="shared" si="533"/>
        <v xml:space="preserve"> </v>
      </c>
      <c r="MQ149" s="47" t="str">
        <f t="shared" si="533"/>
        <v xml:space="preserve"> </v>
      </c>
      <c r="MR149" s="47" t="str">
        <f t="shared" si="533"/>
        <v xml:space="preserve"> </v>
      </c>
      <c r="MS149" s="47" t="str">
        <f t="shared" si="533"/>
        <v xml:space="preserve"> </v>
      </c>
      <c r="MT149" s="57" t="str">
        <f t="shared" si="533"/>
        <v xml:space="preserve"> </v>
      </c>
      <c r="MU149" s="47" t="str">
        <f t="shared" si="533"/>
        <v xml:space="preserve"> </v>
      </c>
      <c r="MV149" s="47" t="str">
        <f t="shared" si="533"/>
        <v xml:space="preserve"> </v>
      </c>
      <c r="MW149" s="47" t="str">
        <f t="shared" si="533"/>
        <v xml:space="preserve"> </v>
      </c>
      <c r="MX149" s="47" t="str">
        <f t="shared" si="533"/>
        <v xml:space="preserve"> </v>
      </c>
      <c r="MY149" s="47" t="str">
        <f t="shared" si="533"/>
        <v xml:space="preserve"> </v>
      </c>
      <c r="MZ149" s="57" t="str">
        <f t="shared" si="533"/>
        <v xml:space="preserve"> </v>
      </c>
      <c r="NA149" s="47" t="str">
        <f t="shared" si="533"/>
        <v xml:space="preserve"> </v>
      </c>
      <c r="NB149" s="47" t="str">
        <f t="shared" si="533"/>
        <v xml:space="preserve"> </v>
      </c>
      <c r="NC149" s="47" t="str">
        <f t="shared" si="533"/>
        <v xml:space="preserve"> </v>
      </c>
      <c r="ND149" s="47" t="str">
        <f t="shared" si="533"/>
        <v xml:space="preserve"> </v>
      </c>
      <c r="NE149" s="47" t="str">
        <f t="shared" si="533"/>
        <v xml:space="preserve"> </v>
      </c>
      <c r="NF149" s="57" t="str">
        <f t="shared" si="533"/>
        <v xml:space="preserve"> </v>
      </c>
      <c r="NG149" s="47" t="str">
        <f t="shared" si="533"/>
        <v xml:space="preserve"> </v>
      </c>
      <c r="NH149" s="47" t="str">
        <f t="shared" si="533"/>
        <v xml:space="preserve"> </v>
      </c>
      <c r="NI149" s="47" t="str">
        <f t="shared" si="533"/>
        <v xml:space="preserve"> </v>
      </c>
      <c r="NJ149" s="47" t="str">
        <f t="shared" si="533"/>
        <v xml:space="preserve"> </v>
      </c>
      <c r="NK149" s="47" t="str">
        <f t="shared" si="533"/>
        <v xml:space="preserve"> </v>
      </c>
      <c r="NL149" s="57" t="str">
        <f t="shared" si="533"/>
        <v xml:space="preserve"> </v>
      </c>
      <c r="NM149" s="47" t="str">
        <f t="shared" si="533"/>
        <v xml:space="preserve"> </v>
      </c>
    </row>
    <row r="150" spans="3:377" ht="15.75" customHeight="1">
      <c r="C150" s="7" t="str">
        <f t="shared" si="296"/>
        <v>biz group</v>
      </c>
      <c r="D150" s="21" t="str">
        <f t="shared" si="169"/>
        <v xml:space="preserve"> </v>
      </c>
      <c r="E150" s="21" t="str">
        <f t="shared" si="297"/>
        <v xml:space="preserve"> </v>
      </c>
      <c r="F150" s="21" t="str">
        <f t="shared" si="170"/>
        <v xml:space="preserve"> </v>
      </c>
      <c r="G150" s="21" t="str">
        <f t="shared" si="298"/>
        <v xml:space="preserve">ease of access(1), reputation(2), social media(1),  </v>
      </c>
      <c r="H150" s="21" t="str">
        <f t="shared" si="299"/>
        <v xml:space="preserve"> </v>
      </c>
      <c r="I150" s="21" t="str">
        <f t="shared" ref="I150" si="534">IF(I48="",I151,$C150&amp;"("&amp;I48&amp;"),"&amp;I151)</f>
        <v xml:space="preserve"> </v>
      </c>
      <c r="J150" s="21" t="str">
        <f t="shared" si="468"/>
        <v xml:space="preserve">interaction 1
 </v>
      </c>
      <c r="K150" s="21" t="str">
        <f t="shared" si="173"/>
        <v xml:space="preserve">reputation(1,75),  </v>
      </c>
      <c r="L150" s="21" t="str">
        <f t="shared" si="469"/>
        <v xml:space="preserve">reputation 75
 </v>
      </c>
      <c r="M150" s="21" t="str">
        <f t="shared" si="175"/>
        <v xml:space="preserve">portfolio(1), social innovation(1), non-profit biz(1),  </v>
      </c>
      <c r="N150" s="21" t="str">
        <f t="shared" si="176"/>
        <v xml:space="preserve">non-profits(1,12.5), reputation(1,75), marketing(1,12.5),  </v>
      </c>
      <c r="O150" s="21" t="str">
        <f t="shared" si="470"/>
        <v xml:space="preserve">non-profits(12.5),reputation(75),marketing(12.5), </v>
      </c>
      <c r="P150" s="21" t="str">
        <f t="shared" si="468"/>
        <v xml:space="preserve">biz project 1
 </v>
      </c>
      <c r="Q150" s="21" t="str">
        <f t="shared" si="178"/>
        <v xml:space="preserve"> </v>
      </c>
      <c r="R150" s="21" t="str">
        <f t="shared" si="469"/>
        <v xml:space="preserve"> </v>
      </c>
      <c r="S150" s="21" t="str">
        <f t="shared" si="179"/>
        <v xml:space="preserve">portfolio(1), biz enhancement(1), business(1), start-up(1),  </v>
      </c>
      <c r="T150" s="21" t="str">
        <f t="shared" si="180"/>
        <v xml:space="preserve">investors(1,6.25), reputation(1,6.25),  </v>
      </c>
      <c r="U150" s="21" t="str">
        <f t="shared" si="470"/>
        <v xml:space="preserve">investors(6.25),reputation(6.25), </v>
      </c>
      <c r="V150" s="21" t="str">
        <f t="shared" si="468"/>
        <v xml:space="preserve"> </v>
      </c>
      <c r="W150" s="21" t="str">
        <f t="shared" si="181"/>
        <v xml:space="preserve"> </v>
      </c>
      <c r="X150" s="21" t="str">
        <f t="shared" si="469"/>
        <v xml:space="preserve"> </v>
      </c>
      <c r="Y150" s="21" t="str">
        <f t="shared" si="182"/>
        <v xml:space="preserve">ease of access(1), reputation(1), portfolio(1), biz project(1), biz enhancement(1), job creation(1), business(1),  </v>
      </c>
      <c r="Z150" s="21" t="str">
        <f t="shared" si="183"/>
        <v xml:space="preserve"> </v>
      </c>
      <c r="AA150" s="21" t="str">
        <f t="shared" si="470"/>
        <v xml:space="preserve"> </v>
      </c>
      <c r="AB150" s="21" t="str">
        <f t="shared" si="468"/>
        <v xml:space="preserve"> </v>
      </c>
      <c r="AC150" s="21" t="str">
        <f t="shared" si="184"/>
        <v xml:space="preserve">non-profits(1,100),  </v>
      </c>
      <c r="AD150" s="21" t="str">
        <f t="shared" si="469"/>
        <v xml:space="preserve">non-profits 100
 </v>
      </c>
      <c r="AE150" s="21" t="str">
        <f t="shared" si="185"/>
        <v xml:space="preserve">ease of access(1), reputation(1), portfolio(1), social project(1), social innovation(1), non-profit biz(1),  </v>
      </c>
      <c r="AF150" s="21" t="str">
        <f t="shared" si="186"/>
        <v xml:space="preserve">non-profits(1,6.25),  </v>
      </c>
      <c r="AG150" s="21" t="str">
        <f t="shared" si="470"/>
        <v xml:space="preserve">non-profits(6.25), </v>
      </c>
      <c r="AH150" s="21" t="str">
        <f t="shared" si="468"/>
        <v xml:space="preserve"> </v>
      </c>
      <c r="AI150" s="21" t="str">
        <f t="shared" si="187"/>
        <v xml:space="preserve">govt(1,),  </v>
      </c>
      <c r="AJ150" s="21" t="str">
        <f t="shared" si="469"/>
        <v xml:space="preserve"> </v>
      </c>
      <c r="AK150" s="21" t="str">
        <f t="shared" si="188"/>
        <v xml:space="preserve">govt(1), ease of access(1), reputation(2), portfolio(1), social project(1), social innovation(1), non-profit biz(1),  </v>
      </c>
      <c r="AL150" s="21" t="str">
        <f t="shared" si="189"/>
        <v xml:space="preserve">govt(1,6.25),  </v>
      </c>
      <c r="AM150" s="21" t="str">
        <f t="shared" si="470"/>
        <v xml:space="preserve">govt(6.25), </v>
      </c>
      <c r="AN150" s="21" t="str">
        <f t="shared" si="468"/>
        <v xml:space="preserve"> </v>
      </c>
      <c r="AO150" s="21" t="str">
        <f t="shared" si="190"/>
        <v xml:space="preserve">investors(1,6.25),  </v>
      </c>
      <c r="AP150" s="21" t="str">
        <f t="shared" si="469"/>
        <v xml:space="preserve">investors 6.25
 </v>
      </c>
      <c r="AQ150" s="21" t="str">
        <f t="shared" si="191"/>
        <v xml:space="preserve">investors(1), ease of access(1), reputation(1), portfolio(1), start-up(1), start-up with mvp(1), start-up with customers(1),  </v>
      </c>
      <c r="AR150" s="21" t="str">
        <f t="shared" si="192"/>
        <v xml:space="preserve"> </v>
      </c>
      <c r="AS150" s="21" t="str">
        <f t="shared" si="470"/>
        <v xml:space="preserve"> </v>
      </c>
      <c r="AT150" s="21" t="str">
        <f t="shared" si="468"/>
        <v xml:space="preserve">non-profits 2
reputation 1
portfolio 1
social project 1
 </v>
      </c>
      <c r="AU150" s="21" t="str">
        <f t="shared" si="193"/>
        <v xml:space="preserve"> </v>
      </c>
      <c r="AV150" s="21" t="str">
        <f t="shared" si="469"/>
        <v xml:space="preserve"> </v>
      </c>
      <c r="AW150" s="21" t="str">
        <f t="shared" si="194"/>
        <v xml:space="preserve">project management(2),  </v>
      </c>
      <c r="AX150" s="21" t="str">
        <f t="shared" si="195"/>
        <v xml:space="preserve">organizational rules and manuals(1,12.5), project management(1,12.5),  </v>
      </c>
      <c r="AY150" s="21" t="str">
        <f t="shared" si="470"/>
        <v xml:space="preserve">organizational rules and manuals(12.5),project management(12.5), </v>
      </c>
      <c r="AZ150" s="21" t="str">
        <f t="shared" si="468"/>
        <v xml:space="preserve">non-profits 1
 </v>
      </c>
      <c r="BA150" s="21" t="str">
        <f t="shared" si="196"/>
        <v xml:space="preserve"> </v>
      </c>
      <c r="BB150" s="21" t="str">
        <f t="shared" si="469"/>
        <v xml:space="preserve"> </v>
      </c>
      <c r="BC150" s="21" t="str">
        <f t="shared" si="197"/>
        <v xml:space="preserve"> </v>
      </c>
      <c r="BD150" s="21" t="str">
        <f t="shared" si="198"/>
        <v xml:space="preserve"> </v>
      </c>
      <c r="BE150" s="21" t="str">
        <f t="shared" si="470"/>
        <v xml:space="preserve"> </v>
      </c>
      <c r="BF150" s="21" t="str">
        <f t="shared" si="468"/>
        <v xml:space="preserve">entrepreneurs 1
reputation 1
portfolio 1
biz project 1
 </v>
      </c>
      <c r="BG150" s="21" t="str">
        <f t="shared" si="199"/>
        <v xml:space="preserve"> </v>
      </c>
      <c r="BH150" s="21" t="str">
        <f t="shared" si="469"/>
        <v xml:space="preserve"> </v>
      </c>
      <c r="BI150" s="21" t="str">
        <f t="shared" si="200"/>
        <v xml:space="preserve">project management(2),  </v>
      </c>
      <c r="BJ150" s="21" t="str">
        <f t="shared" si="201"/>
        <v xml:space="preserve">organizational rules and manuals(1,12.5), project management(1,12.5),  </v>
      </c>
      <c r="BK150" s="21" t="str">
        <f t="shared" si="470"/>
        <v xml:space="preserve">organizational rules and manuals(12.5),project management(12.5), </v>
      </c>
      <c r="BL150" s="21" t="str">
        <f t="shared" si="468"/>
        <v xml:space="preserve">reputation 1
portfolio 1
biz enhancement 1
 </v>
      </c>
      <c r="BM150" s="21" t="str">
        <f t="shared" si="202"/>
        <v xml:space="preserve"> </v>
      </c>
      <c r="BN150" s="21" t="str">
        <f t="shared" si="469"/>
        <v xml:space="preserve"> </v>
      </c>
      <c r="BO150" s="21" t="str">
        <f t="shared" si="203"/>
        <v xml:space="preserve"> </v>
      </c>
      <c r="BP150" s="21" t="str">
        <f t="shared" si="204"/>
        <v xml:space="preserve"> </v>
      </c>
      <c r="BQ150" s="21" t="str">
        <f t="shared" si="470"/>
        <v xml:space="preserve"> </v>
      </c>
      <c r="BR150" s="21" t="str">
        <f t="shared" si="468"/>
        <v xml:space="preserve"> </v>
      </c>
      <c r="BS150" s="21" t="str">
        <f t="shared" si="205"/>
        <v xml:space="preserve"> </v>
      </c>
      <c r="BT150" s="21" t="str">
        <f t="shared" si="469"/>
        <v xml:space="preserve"> </v>
      </c>
      <c r="BU150" s="21" t="str">
        <f t="shared" si="206"/>
        <v xml:space="preserve"> </v>
      </c>
      <c r="BV150" s="21" t="str">
        <f t="shared" si="207"/>
        <v xml:space="preserve"> </v>
      </c>
      <c r="BW150" s="21" t="str">
        <f t="shared" si="470"/>
        <v xml:space="preserve"> </v>
      </c>
      <c r="BX150" s="21" t="str">
        <f t="shared" si="471"/>
        <v xml:space="preserve"> </v>
      </c>
      <c r="BY150" s="21" t="str">
        <f t="shared" si="209"/>
        <v xml:space="preserve">efficiency(1,),  </v>
      </c>
      <c r="BZ150" s="21" t="str">
        <f t="shared" si="472"/>
        <v xml:space="preserve"> </v>
      </c>
      <c r="CA150" s="21" t="str">
        <f t="shared" si="211"/>
        <v xml:space="preserve">negotiation(1),  </v>
      </c>
      <c r="CB150" s="21" t="str">
        <f t="shared" si="212"/>
        <v xml:space="preserve">user rules and manuals(1,50), organizational rules and manuals(1,50),  </v>
      </c>
      <c r="CC150" s="21" t="str">
        <f t="shared" si="473"/>
        <v xml:space="preserve">user rules and manuals(50),organizational rules and manuals(50), </v>
      </c>
      <c r="CD150" s="21" t="str">
        <f t="shared" si="471"/>
        <v xml:space="preserve"> </v>
      </c>
      <c r="CE150" s="21" t="str">
        <f t="shared" si="214"/>
        <v xml:space="preserve">non-profits(1,),  </v>
      </c>
      <c r="CF150" s="21" t="str">
        <f t="shared" si="472"/>
        <v xml:space="preserve"> </v>
      </c>
      <c r="CG150" s="21" t="str">
        <f t="shared" si="215"/>
        <v xml:space="preserve">ease of access(1), portfolio(1), user rules and manuals(1), negotiation(1), social project(1), biz project(1), for basic literacy(1), for the elites(1), for entrepreneurs(1),  </v>
      </c>
      <c r="CH150" s="21" t="str">
        <f t="shared" si="216"/>
        <v xml:space="preserve">technologists(1,6.25), non-profits(1,6.25),  </v>
      </c>
      <c r="CI150" s="21" t="str">
        <f t="shared" si="473"/>
        <v xml:space="preserve">technologists(6.25),non-profits(6.25), </v>
      </c>
      <c r="CJ150" s="21" t="str">
        <f t="shared" si="471"/>
        <v xml:space="preserve"> </v>
      </c>
      <c r="CK150" s="21" t="str">
        <f t="shared" si="217"/>
        <v xml:space="preserve">suppliers(1,),  </v>
      </c>
      <c r="CL150" s="21" t="str">
        <f t="shared" si="472"/>
        <v xml:space="preserve"> </v>
      </c>
      <c r="CM150" s="21" t="str">
        <f t="shared" si="218"/>
        <v xml:space="preserve">reputation(1), negotiation(1),  </v>
      </c>
      <c r="CN150" s="21" t="str">
        <f t="shared" si="219"/>
        <v xml:space="preserve">efficiency(1,6.25),  </v>
      </c>
      <c r="CO150" s="21" t="str">
        <f t="shared" si="473"/>
        <v xml:space="preserve">efficiency(6.25), </v>
      </c>
      <c r="CP150" s="21" t="str">
        <f t="shared" si="471"/>
        <v xml:space="preserve"> </v>
      </c>
      <c r="CQ150" s="21" t="str">
        <f t="shared" si="220"/>
        <v xml:space="preserve">technologists(1,),  </v>
      </c>
      <c r="CR150" s="21" t="str">
        <f t="shared" si="472"/>
        <v xml:space="preserve"> </v>
      </c>
      <c r="CS150" s="21" t="str">
        <f t="shared" si="221"/>
        <v xml:space="preserve">portfolio(1), negotiation(1), web(1), infrastructrue(1), database(1), mobile apps(1), sensors(1), security(1), AI&amp; data analysis(1), mobile comm(1), VR&amp;AR(1), wood processing(1), metal processing(1), plastic processing(1), electronics(1), fabric(1),  </v>
      </c>
      <c r="CT150" s="21" t="str">
        <f t="shared" si="222"/>
        <v xml:space="preserve">efficiency(1,6.25),  </v>
      </c>
      <c r="CU150" s="21" t="str">
        <f t="shared" si="473"/>
        <v xml:space="preserve">efficiency(6.25), </v>
      </c>
      <c r="CV150" s="21" t="str">
        <f t="shared" si="471"/>
        <v xml:space="preserve"> </v>
      </c>
      <c r="CW150" s="21" t="str">
        <f t="shared" si="223"/>
        <v xml:space="preserve"> </v>
      </c>
      <c r="CX150" s="21" t="str">
        <f t="shared" si="472"/>
        <v xml:space="preserve"> </v>
      </c>
      <c r="CY150" s="21" t="str">
        <f t="shared" si="224"/>
        <v xml:space="preserve">ease of access(1), reputation(1), portfolio(1), negotiation(1),  </v>
      </c>
      <c r="CZ150" s="21" t="str">
        <f t="shared" si="225"/>
        <v xml:space="preserve">non-profits(1,6.25),  </v>
      </c>
      <c r="DA150" s="21" t="str">
        <f t="shared" si="473"/>
        <v xml:space="preserve">non-profits(6.25), </v>
      </c>
      <c r="DB150" s="21" t="str">
        <f t="shared" si="471"/>
        <v xml:space="preserve"> </v>
      </c>
      <c r="DC150" s="21" t="str">
        <f t="shared" si="226"/>
        <v xml:space="preserve"> </v>
      </c>
      <c r="DD150" s="21" t="str">
        <f t="shared" si="472"/>
        <v xml:space="preserve"> </v>
      </c>
      <c r="DE150"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0" s="21" t="str">
        <f t="shared" si="228"/>
        <v xml:space="preserve">biz group(1,6.25), investors(1,6.25), entrepreneurs(1,6.25),  </v>
      </c>
      <c r="DG150" s="21" t="str">
        <f t="shared" si="473"/>
        <v xml:space="preserve">biz group(6.25),investors(6.25),entrepreneurs(6.25), </v>
      </c>
      <c r="DH150" s="21" t="str">
        <f t="shared" si="471"/>
        <v xml:space="preserve">non-profits 1
reputation 1
social project 1
 </v>
      </c>
      <c r="DI150" s="21" t="str">
        <f t="shared" si="229"/>
        <v xml:space="preserve"> </v>
      </c>
      <c r="DJ150" s="21" t="str">
        <f t="shared" si="472"/>
        <v xml:space="preserve"> </v>
      </c>
      <c r="DK150"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0" s="21" t="str">
        <f t="shared" si="231"/>
        <v xml:space="preserve">reputation(1,6.25),  </v>
      </c>
      <c r="DM150" s="21" t="str">
        <f t="shared" si="473"/>
        <v xml:space="preserve">reputation(6.25), </v>
      </c>
      <c r="DN150" s="21" t="str">
        <f t="shared" si="471"/>
        <v xml:space="preserve">reputation 1
biz project 1
 </v>
      </c>
      <c r="DO150" s="21" t="str">
        <f t="shared" si="232"/>
        <v xml:space="preserve"> </v>
      </c>
      <c r="DP150" s="21" t="str">
        <f t="shared" si="472"/>
        <v xml:space="preserve"> </v>
      </c>
      <c r="DQ150" s="21" t="str">
        <f t="shared" si="233"/>
        <v xml:space="preserve">biz group(1), 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0" s="21" t="str">
        <f t="shared" si="234"/>
        <v xml:space="preserve">reputation(1,6.25),  </v>
      </c>
      <c r="DS150" s="21" t="str">
        <f t="shared" si="473"/>
        <v xml:space="preserve">reputation(6.25), </v>
      </c>
      <c r="DT150" s="21" t="str">
        <f t="shared" si="471"/>
        <v xml:space="preserve">reputation 1
 </v>
      </c>
      <c r="DU150" s="21" t="str">
        <f t="shared" si="235"/>
        <v xml:space="preserve"> </v>
      </c>
      <c r="DV150" s="21" t="str">
        <f t="shared" si="472"/>
        <v xml:space="preserve"> </v>
      </c>
      <c r="DW150" s="21" t="str">
        <f t="shared" si="236"/>
        <v xml:space="preserve">biz group(1), govt(2), investors(1), media(2), entrepreneurs(1), technologists(1), non-profits(1), spaciousness(1), ease of access(1), reputation(2), efficiency(1), organizational rules and manuals(1), marketing(1), social media(1), for basic literacy(1),  </v>
      </c>
      <c r="DX150" s="21" t="str">
        <f t="shared" si="237"/>
        <v xml:space="preserve">reputation(1,6.25), for basic literacy(1,6.25),  </v>
      </c>
      <c r="DY150" s="21" t="str">
        <f t="shared" si="473"/>
        <v xml:space="preserve">reputation(6.25),for basic literacy(6.25), </v>
      </c>
      <c r="DZ150" s="21" t="str">
        <f t="shared" si="471"/>
        <v xml:space="preserve">reputation 1
 </v>
      </c>
      <c r="EA150" s="21" t="str">
        <f t="shared" si="238"/>
        <v xml:space="preserve"> </v>
      </c>
      <c r="EB150" s="21" t="str">
        <f t="shared" si="472"/>
        <v xml:space="preserve"> </v>
      </c>
      <c r="EC150" s="21" t="str">
        <f t="shared" si="239"/>
        <v xml:space="preserve">biz group(1), 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0" s="21" t="str">
        <f t="shared" si="240"/>
        <v xml:space="preserve">reputation(1,6.25), for basic literacy(1,6.25),  </v>
      </c>
      <c r="EE150" s="21" t="str">
        <f t="shared" si="473"/>
        <v xml:space="preserve">reputation(6.25),for basic literacy(6.25), </v>
      </c>
      <c r="EF150" s="21" t="str">
        <f t="shared" si="471"/>
        <v xml:space="preserve">technologists 1
reputation 1
 </v>
      </c>
      <c r="EG150" s="21" t="str">
        <f t="shared" si="241"/>
        <v xml:space="preserve">web(1,50), mobile apps(1,50), interaction(1,50),  </v>
      </c>
      <c r="EH150" s="21" t="str">
        <f t="shared" si="472"/>
        <v xml:space="preserve">web 50
mobile apps 50
interaction 50
 </v>
      </c>
      <c r="EI150" s="21" t="str">
        <f t="shared" si="242"/>
        <v xml:space="preserve">technologists(2), ease of access(1), reputation(2), infrastructrue(1), database(1), mobile comm(1), for entrepreneurs(1),  </v>
      </c>
      <c r="EJ150" s="21" t="str">
        <f t="shared" si="243"/>
        <v xml:space="preserve">technologists(1,12.5), infrastructrue(1,12.5), database(1,12.5), mobile comm(1,12.5), for entrepreneurs(1,6.25),  </v>
      </c>
      <c r="EK150" s="21" t="str">
        <f t="shared" si="473"/>
        <v xml:space="preserve">technologists(12.5),infrastructrue(12.5),database(12.5),mobile comm(12.5),for entrepreneurs(6.25), </v>
      </c>
      <c r="EL150" s="21" t="str">
        <f t="shared" si="474"/>
        <v xml:space="preserve">technologists 1
reputation 1
 </v>
      </c>
      <c r="EM150" s="21" t="str">
        <f t="shared" si="245"/>
        <v xml:space="preserve">sensors(1,50),  </v>
      </c>
      <c r="EN150" s="21" t="str">
        <f t="shared" si="475"/>
        <v xml:space="preserve">sensors 50
 </v>
      </c>
      <c r="EO150" s="21" t="str">
        <f t="shared" si="247"/>
        <v xml:space="preserve">technologists(2), ease of access(1), reputation(2), project management(2), infrastructrue(1), database(1), mobile comm(1), for entrepreneurs(1),  </v>
      </c>
      <c r="EP150" s="21" t="str">
        <f t="shared" si="248"/>
        <v xml:space="preserve">technologists(1,12.5), infrastructrue(1,12.5), database(1,12.5), mobile comm(1,12.5), electronics(1,6.25), for entrepreneurs(1,6.25),  </v>
      </c>
      <c r="EQ150" s="21" t="str">
        <f t="shared" si="476"/>
        <v xml:space="preserve">technologists(12.5),infrastructrue(12.5),database(12.5),mobile comm(12.5),electronics(6.25),for entrepreneurs(6.25), </v>
      </c>
      <c r="ER150" s="21" t="str">
        <f t="shared" si="474"/>
        <v xml:space="preserve">technologists 1
 </v>
      </c>
      <c r="ES150" s="21" t="str">
        <f t="shared" si="250"/>
        <v xml:space="preserve">AI&amp; data analysis(1,50),  </v>
      </c>
      <c r="ET150" s="21" t="str">
        <f t="shared" si="475"/>
        <v xml:space="preserve">AI&amp; data analysis 50
 </v>
      </c>
      <c r="EU150" s="21" t="str">
        <f t="shared" si="251"/>
        <v xml:space="preserve">technologists(2), ease of access(1), reputation(2), database(1), sensors(1), mobile comm(1), for entrepreneurs(1),  </v>
      </c>
      <c r="EV150" s="21" t="str">
        <f t="shared" si="252"/>
        <v xml:space="preserve">technologists(1,12.5), database(1,12.5), sensors(1,12.5), mobile comm(1,12.5), for entrepreneurs(1,6.25),  </v>
      </c>
      <c r="EW150" s="21" t="str">
        <f t="shared" si="476"/>
        <v xml:space="preserve">technologists(12.5),database(12.5),sensors(12.5),mobile comm(12.5),for entrepreneurs(6.25), </v>
      </c>
      <c r="EX150" s="21" t="str">
        <f t="shared" si="474"/>
        <v xml:space="preserve">technologists 1
 </v>
      </c>
      <c r="EY150" s="21" t="str">
        <f t="shared" si="253"/>
        <v xml:space="preserve">law(1,50), security(1,50), interaction(1,25),  </v>
      </c>
      <c r="EZ150" s="21" t="str">
        <f t="shared" si="475"/>
        <v xml:space="preserve">law 50
security 50
interaction 25
 </v>
      </c>
      <c r="FA150" s="21" t="str">
        <f t="shared" si="254"/>
        <v xml:space="preserve">technologists(2), ease of access(1), reputation(2), law(2), for entrepreneurs(1),  </v>
      </c>
      <c r="FB150" s="21" t="str">
        <f t="shared" si="255"/>
        <v xml:space="preserve">technologists(1,12.5), law(1,6.25), database(1,12.5), mobile apps(1,12.5), security(1,12.5), mobile comm(1,12.5), for entrepreneurs(1,6.25),  </v>
      </c>
      <c r="FC150" s="21" t="str">
        <f t="shared" si="476"/>
        <v xml:space="preserve">technologists(12.5),law(6.25),database(12.5),mobile apps(12.5),security(12.5),mobile comm(12.5),for entrepreneurs(6.25), </v>
      </c>
      <c r="FD150" s="21" t="str">
        <f t="shared" si="474"/>
        <v xml:space="preserve">technologists 1
 </v>
      </c>
      <c r="FE150" s="21" t="str">
        <f t="shared" si="256"/>
        <v xml:space="preserve">law(1,50), sensors(1,50), security(1,50),  </v>
      </c>
      <c r="FF150" s="21" t="str">
        <f t="shared" si="475"/>
        <v xml:space="preserve">law 50
sensors 50
security 50
 </v>
      </c>
      <c r="FG150" s="21" t="str">
        <f t="shared" si="257"/>
        <v xml:space="preserve">technologists(2), ease of access(1), reputation(2), law(2), project management(2), for entrepreneurs(1),  </v>
      </c>
      <c r="FH150" s="21" t="str">
        <f t="shared" si="258"/>
        <v xml:space="preserve">technologists(1,12.5), law(1,6.25), database(1,6.25), mobile apps(1,6.25), AI&amp; data analysis(1,6.25), mobile comm(1,6.25), for entrepreneurs(1,6.25),  </v>
      </c>
      <c r="FI150" s="21" t="str">
        <f t="shared" si="476"/>
        <v xml:space="preserve">technologists(12.5),law(6.25),database(6.25),mobile apps(6.25),AI&amp; data analysis(6.25),mobile comm(6.25),for entrepreneurs(6.25), </v>
      </c>
      <c r="FJ150" s="21" t="str">
        <f t="shared" si="474"/>
        <v xml:space="preserve">technologists 1
 </v>
      </c>
      <c r="FK150" s="21" t="str">
        <f t="shared" si="259"/>
        <v xml:space="preserve">wood processing(1,25), metal processing(1,25), plastic processing(1,25), fabric(1,25), safety(1,25), interaction(1,25),  </v>
      </c>
      <c r="FL150" s="21" t="str">
        <f t="shared" si="475"/>
        <v xml:space="preserve">project management 2
wood processing 25
metal processing 25
plastic processing 25
fabric 25
safety 25
interaction 25
 </v>
      </c>
      <c r="FM150" s="21" t="str">
        <f t="shared" si="260"/>
        <v xml:space="preserve">technologists(2), spaciousness(1), ease of access(1), reputation(2), for entrepreneurs(1),  </v>
      </c>
      <c r="FN150" s="21" t="str">
        <f t="shared" si="261"/>
        <v xml:space="preserve">technologists(1,12.5), for entrepreneurs(1,6.25),  </v>
      </c>
      <c r="FO150" s="21" t="str">
        <f t="shared" si="476"/>
        <v xml:space="preserve">technologists(12.5),for entrepreneurs(6.25), </v>
      </c>
      <c r="FP150" s="21" t="str">
        <f t="shared" si="474"/>
        <v xml:space="preserve">technologists 1
 </v>
      </c>
      <c r="FQ150" s="21" t="str">
        <f t="shared" si="262"/>
        <v xml:space="preserve">web(1,25), mobile apps(1,50), functions(1,25), interaction(1,25),  </v>
      </c>
      <c r="FR150" s="21" t="str">
        <f t="shared" si="475"/>
        <v xml:space="preserve">web 25
mobile apps 50
functions 25
interaction 25
 </v>
      </c>
      <c r="FS150" s="21" t="str">
        <f t="shared" si="263"/>
        <v xml:space="preserve">technologists(2), spaciousness(1), ease of access(1), reputation(2), for entrepreneurs(1),  </v>
      </c>
      <c r="FT150" s="21" t="str">
        <f t="shared" si="264"/>
        <v xml:space="preserve">technologists(1,12.5), for entrepreneurs(1,6.25),  </v>
      </c>
      <c r="FU150" s="21" t="str">
        <f t="shared" si="476"/>
        <v xml:space="preserve">technologists(12.5),for entrepreneurs(6.25), </v>
      </c>
      <c r="FV150" s="21" t="str">
        <f t="shared" si="474"/>
        <v xml:space="preserve">technologists 1
 </v>
      </c>
      <c r="FW150" s="21" t="str">
        <f t="shared" si="265"/>
        <v xml:space="preserve">mobile apps(1,50), sensors(1,50), wood processing(1,25), plastic processing(1,25), electronics(1,25), functions(1,25), interaction(1,25),  </v>
      </c>
      <c r="FX150" s="21" t="str">
        <f t="shared" si="475"/>
        <v xml:space="preserve">mobile apps 50
sensors 50
wood processing 25
plastic processing 25
electronics 25
functions 25
interaction 25
 </v>
      </c>
      <c r="FY150" s="21" t="str">
        <f t="shared" si="266"/>
        <v xml:space="preserve">technologists(2), spaciousness(1), ease of access(1), reputation(2), project management(2), for entrepreneurs(1),  </v>
      </c>
      <c r="FZ150" s="21" t="str">
        <f t="shared" si="267"/>
        <v xml:space="preserve">technologists(1,12.5), web(1,6.25), database(1,6.25), AI&amp; data analysis(1,6.25), mobile comm(1,6.25), for entrepreneurs(1,6.25),  </v>
      </c>
      <c r="GA150" s="21" t="str">
        <f t="shared" si="476"/>
        <v xml:space="preserve">technologists(12.5),web(6.25),database(6.25),AI&amp; data analysis(6.25),mobile comm(6.25),for entrepreneurs(6.25), </v>
      </c>
      <c r="GB150" s="21" t="str">
        <f t="shared" si="474"/>
        <v xml:space="preserve">technologists 1
 </v>
      </c>
      <c r="GC150" s="21" t="str">
        <f t="shared" si="268"/>
        <v xml:space="preserve">sensors(1,25), mobile comm(1,25), electronics(1,50), functions(1,25), safety(1,25),  </v>
      </c>
      <c r="GD150" s="21" t="str">
        <f t="shared" si="475"/>
        <v xml:space="preserve">sensors 25
mobile comm 25
electronics 50
functions 25
safety 25
 </v>
      </c>
      <c r="GE150" s="21" t="str">
        <f t="shared" si="269"/>
        <v xml:space="preserve">technologists(2), spaciousness(1), ease of access(1), reputation(2), project management(2), for entrepreneurs(1),  </v>
      </c>
      <c r="GF150" s="21" t="str">
        <f t="shared" si="270"/>
        <v xml:space="preserve">technologists(1,12.5), database(1,6.25), mobile apps(1,6.25), AI&amp; data analysis(1,6.25), plastic processing(1,6.25), interaction(1,6.25), for entrepreneurs(1,6.25),  </v>
      </c>
      <c r="GG150" s="21" t="str">
        <f t="shared" si="476"/>
        <v xml:space="preserve">technologists(12.5),database(6.25),mobile apps(6.25),AI&amp; data analysis(6.25),plastic processing(6.25),interaction(6.25),for entrepreneurs(6.25), </v>
      </c>
      <c r="GH150" s="21" t="str">
        <f t="shared" si="474"/>
        <v xml:space="preserve">technologists 1
 </v>
      </c>
      <c r="GI150" s="21" t="str">
        <f t="shared" si="271"/>
        <v xml:space="preserve">web(1,25), mobile apps(1,50), functions(1,25), interaction(1,25),  </v>
      </c>
      <c r="GJ150" s="21" t="str">
        <f t="shared" si="475"/>
        <v xml:space="preserve">web 25
mobile apps 50
functions 25
interaction 25
 </v>
      </c>
      <c r="GK150" s="21" t="str">
        <f t="shared" si="272"/>
        <v xml:space="preserve">technologists(2), spaciousness(1), ease of access(1), reputation(2), project management(2), for entrepreneurs(1),  </v>
      </c>
      <c r="GL150" s="21" t="str">
        <f t="shared" si="273"/>
        <v xml:space="preserve">technologists(1,12.5), for entrepreneurs(1,6.25),  </v>
      </c>
      <c r="GM150" s="21" t="str">
        <f t="shared" si="476"/>
        <v xml:space="preserve">technologists(12.5),for entrepreneurs(6.25), </v>
      </c>
      <c r="GN150" s="21" t="str">
        <f t="shared" si="474"/>
        <v xml:space="preserve">technologists 1
 </v>
      </c>
      <c r="GO150" s="21" t="str">
        <f t="shared" si="274"/>
        <v xml:space="preserve">web(1,25), mobile apps(1,25), VR&amp;AR(1,25), aesthetics(1,25), functions(1,25), interaction(1,50),  </v>
      </c>
      <c r="GP150" s="21" t="str">
        <f t="shared" si="475"/>
        <v xml:space="preserve">web 25
mobile apps 25
VR&amp;AR 25
aesthetics 25
functions 25
interaction 50
 </v>
      </c>
      <c r="GQ150" s="21" t="str">
        <f t="shared" si="275"/>
        <v xml:space="preserve">technologists(2), spaciousness(1), ease of access(1), reputation(2), project management(2), for entrepreneurs(1),  </v>
      </c>
      <c r="GR150" s="21" t="str">
        <f t="shared" si="276"/>
        <v xml:space="preserve">technologists(1,12.5), for entrepreneurs(1,6.25),  </v>
      </c>
      <c r="GS150" s="21" t="str">
        <f t="shared" si="476"/>
        <v xml:space="preserve">technologists(12.5),for entrepreneurs(6.25), </v>
      </c>
      <c r="GT150" s="21" t="str">
        <f t="shared" si="474"/>
        <v xml:space="preserve">ease of access 1
reputation 2
web 1
mobile apps 1
mobile comm 1
 </v>
      </c>
      <c r="GU150" s="21" t="str">
        <f t="shared" si="277"/>
        <v xml:space="preserve"> </v>
      </c>
      <c r="GV150" s="21" t="str">
        <f t="shared" si="475"/>
        <v xml:space="preserve"> </v>
      </c>
      <c r="GW150" s="21" t="str">
        <f t="shared" si="278"/>
        <v xml:space="preserve">biz group(1), 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0" s="21" t="str">
        <f t="shared" si="279"/>
        <v xml:space="preserve">media(1,6.25), entrepreneurs(1,6.25), technologists(1,6.25), project management(1,6.25), social media(1,6.25), web(1,6.25), mobile apps(1,6.25),  </v>
      </c>
      <c r="GY150" s="21" t="str">
        <f t="shared" si="476"/>
        <v xml:space="preserve">media(6.25),entrepreneurs(6.25),technologists(6.25),project management(6.25),social media(6.25),web(6.25),mobile apps(6.25), </v>
      </c>
      <c r="GZ150" s="21" t="str">
        <f t="shared" si="477"/>
        <v xml:space="preserve">govt 1
non-profits 1
reputation 2
portfolio 1
 </v>
      </c>
      <c r="HA150" s="21" t="str">
        <f t="shared" si="281"/>
        <v xml:space="preserve"> </v>
      </c>
      <c r="HB150" s="21" t="str">
        <f t="shared" si="478"/>
        <v xml:space="preserve"> </v>
      </c>
      <c r="HC150" s="21" t="str">
        <f t="shared" si="283"/>
        <v xml:space="preserve">govt(3), non-profits(3), reputation(4), portfolio(3), social media(2), web(2), mobile apps(2), sensors(2), AI&amp; data analysis(2), VR&amp;AR(2), plastic processing(2), electronics(2), aesthetics(2), interaction(2),  </v>
      </c>
      <c r="HD150" s="21" t="str">
        <f t="shared" si="284"/>
        <v xml:space="preserve">media(1,6.25), technologists(1,6.25), non-profits(1,6.25), reputation(1,6.25), start-up with customers(1,6.25), for basic literacy(1,6.25),  </v>
      </c>
      <c r="HE150" s="21" t="str">
        <f t="shared" si="479"/>
        <v xml:space="preserve">media(6.25),technologists(6.25),non-profits(6.25),reputation(6.25),start-up with customers(6.25),for basic literacy(6.25), </v>
      </c>
      <c r="HF150" s="21" t="str">
        <f t="shared" si="477"/>
        <v xml:space="preserve"> </v>
      </c>
      <c r="HG150" s="21" t="str">
        <f t="shared" si="286"/>
        <v xml:space="preserve"> </v>
      </c>
      <c r="HH150" s="21" t="str">
        <f t="shared" si="478"/>
        <v xml:space="preserve"> </v>
      </c>
      <c r="HI150" s="21" t="str">
        <f t="shared" si="287"/>
        <v xml:space="preserve">portfolio(3), marketing(2), team building(3), project management(2), mobile apps(3), sensors(2), plastic processing(2), electronics(2), aesthetics(2), functions(2), interaction(2),  </v>
      </c>
      <c r="HJ150" s="21" t="str">
        <f t="shared" si="288"/>
        <v xml:space="preserve">govt(1,6.25), media(1,6.25), non-profits(1,6.25), start-up with customers(1,6.25),  </v>
      </c>
      <c r="HK150" s="21" t="str">
        <f t="shared" si="479"/>
        <v xml:space="preserve">govt(6.25),media(6.25),non-profits(6.25),start-up with customers(6.25), </v>
      </c>
      <c r="HL150" s="21" t="str">
        <f t="shared" si="477"/>
        <v xml:space="preserve">entrepreneurs 1
non-profits 1
reputation 2
portfolio 2
 </v>
      </c>
      <c r="HM150" s="21" t="str">
        <f t="shared" si="289"/>
        <v xml:space="preserve"> </v>
      </c>
      <c r="HN150" s="21" t="str">
        <f t="shared" si="478"/>
        <v xml:space="preserve"> </v>
      </c>
      <c r="HO150" s="21" t="str">
        <f t="shared" si="290"/>
        <v xml:space="preserve">biz group(2), investors(2), entrepreneurs(3), spaciousness(2), ease of access(2), reputation(3), efficiency(2), portfolio(4), finance(2), marketing(2), project management(2), social media(2), web(3), mobile apps(2), wood processing(3), plastic processing(3), electronics(3), aesthetics(2), interaction(2),  </v>
      </c>
      <c r="HP150" s="21" t="str">
        <f t="shared" si="291"/>
        <v xml:space="preserve">biz group(1,6.25), govt(1,6.25), investors(1,6.25), media(1,6.25), entrepreneurs(1,6.25), technologists(1,6.25), suppliers(1,6.25), non-profits(1,6.25), reputation(1,6.25),  </v>
      </c>
      <c r="HQ150" s="47" t="str">
        <f t="shared" si="479"/>
        <v xml:space="preserve">biz group(6.25),govt(6.25),investors(6.25),media(6.25),entrepreneurs(6.25),technologists(6.25),suppliers(6.25),non-profits(6.25),reputation(6.25), </v>
      </c>
      <c r="HR150" s="47" t="str">
        <f t="shared" ref="HR150:HW150" si="535">IF(HR48="",HR151,$C150&amp;"("&amp;HR48&amp;"),"&amp;HR151)</f>
        <v xml:space="preserve">reputation(2),portfolio(2),mobile apps(1),sensors(1),wood processing(1),aesthetics(1), </v>
      </c>
      <c r="HS150" s="47" t="str">
        <f t="shared" si="535"/>
        <v xml:space="preserve"> </v>
      </c>
      <c r="HT150" s="47" t="str">
        <f t="shared" si="535"/>
        <v xml:space="preserve"> </v>
      </c>
      <c r="HU150" s="47" t="str">
        <f t="shared" si="535"/>
        <v xml:space="preserve">biz group(1),media(2),entrepreneurs(2),technologists(2),non-profits(2),reputation(3),efficiency(2),portfolio(3),project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0" s="47" t="str">
        <f t="shared" si="535"/>
        <v xml:space="preserve">biz group(1),govt(1),investors(1),media(1),entrepreneurs(1),technologists(1),suppliers(1),non-profits(1),reputation(1), </v>
      </c>
      <c r="HW150" s="47" t="str">
        <f t="shared" si="535"/>
        <v xml:space="preserve">biz group(6.25),govt(6.25),investors(6.25),media(6.25),entrepreneurs(6.25),technologists(12.5),suppliers(6.25),non-profits(6.25),reputation(6.25), </v>
      </c>
      <c r="HX150" s="47" t="str">
        <f t="shared" ref="HX150:IU150" si="536">IF(HX48="",HX151,$C150&amp;"("&amp;HX48&amp;"),"&amp;HX151)</f>
        <v xml:space="preserve">govt(2),media(2),entrepreneurs(2),technologists(3),non-profits(3),reputation(3),portfolio(2),web(1),infrastructrue(1),database(2),mobile apps(1),sensors(1),AI&amp; data analysis(2),VR&amp;AR(1),wood processing(1),metal processing(1),plastic processing(1),electronics(1),aesthetics(1),functions(1),interaction(1), </v>
      </c>
      <c r="HY150" s="47" t="str">
        <f t="shared" si="536"/>
        <v xml:space="preserve">biz enhancement(1), </v>
      </c>
      <c r="HZ150" s="47" t="str">
        <f t="shared" si="536"/>
        <v xml:space="preserve">biz enhancement(100), </v>
      </c>
      <c r="IA150" s="47" t="str">
        <f t="shared" si="536"/>
        <v xml:space="preserve">spaciousness(2),ease of access(3),efficiency(2),portfolio(4),finance(2),business model(2),marketing(3),team building(2),project management(2),social media(3),negotiation(3), </v>
      </c>
      <c r="IB150" s="47" t="str">
        <f t="shared" si="536"/>
        <v xml:space="preserve">biz group(1),govt(1),media(1),entrepreneurs(1),technologists(1),non-profits(1),reputation(1),team building(1),database(1),AI&amp; data analysis(1),electronics(1),functions(1), </v>
      </c>
      <c r="IC150" s="47" t="str">
        <f t="shared" si="536"/>
        <v xml:space="preserve">biz group(6.25),govt(6.25),media(6.25),entrepreneurs(6.25),technologists(6.25),non-profits(6.25),reputation(6.25),team building(6.25),database(6.25),AI&amp; data analysis(6.25),electronics(6.25),functions(6.25), </v>
      </c>
      <c r="ID150" s="47" t="str">
        <f t="shared" si="536"/>
        <v xml:space="preserve">technologists(2), </v>
      </c>
      <c r="IE150" s="47" t="str">
        <f t="shared" si="536"/>
        <v xml:space="preserve">web(1),mobile apps(1),security(1),AI&amp; data analysis(1), </v>
      </c>
      <c r="IF150" s="47" t="str">
        <f t="shared" si="536"/>
        <v xml:space="preserve">web(25),mobile apps(25),security(25),AI&amp; data analysis(25), </v>
      </c>
      <c r="IG150" s="47" t="str">
        <f t="shared" si="536"/>
        <v xml:space="preserve">entrepreneurs(3),technologists(4),spaciousness(2),ease of access(2),reputation(3),efficiency(2),portfolio(3),web(2),database(2),mobile apps(2),security(2),AI&amp; data analysis(2), </v>
      </c>
      <c r="IH150" s="47" t="str">
        <f t="shared" si="536"/>
        <v xml:space="preserve">technologists(1),web(1),database(1),mobile apps(1),security(1),AI&amp; data analysis(1), </v>
      </c>
      <c r="II150" s="47" t="str">
        <f t="shared" si="536"/>
        <v xml:space="preserve">technologists(6.25),web(6.25),database(6.25),mobile apps(6.25),security(6.25),AI&amp; data analysis(6.25), </v>
      </c>
      <c r="IJ150" s="47" t="str">
        <f t="shared" si="536"/>
        <v xml:space="preserve">technologists(2), </v>
      </c>
      <c r="IK150" s="47" t="str">
        <f t="shared" si="536"/>
        <v xml:space="preserve">wood processing(1),metal processing(1),functions(1),safety(1), </v>
      </c>
      <c r="IL150" s="47" t="str">
        <f t="shared" si="536"/>
        <v xml:space="preserve">wood processing(25),metal processing(25),functions(25),safety(25), </v>
      </c>
      <c r="IM150" s="47" t="str">
        <f t="shared" si="536"/>
        <v xml:space="preserve">entrepreneurs(3),technologists(4),spaciousness(2),ease of access(2),reputation(3),efficiency(2),portfolio(3),wood processing(2),metal processing(2),functions(2),safety(2), </v>
      </c>
      <c r="IN150" s="47" t="str">
        <f t="shared" si="536"/>
        <v xml:space="preserve">technologists(1),wood processing(1),metal processing(1),functions(1),safety(1),interaction(1), </v>
      </c>
      <c r="IO150" s="47" t="str">
        <f t="shared" si="536"/>
        <v xml:space="preserve">technologists(6.25),wood processing(6.25),metal processing(6.25),functions(6.25),safety(6.25),interaction(6.25), </v>
      </c>
      <c r="IP150" s="57" t="str">
        <f t="shared" si="536"/>
        <v xml:space="preserve">reputation(1), </v>
      </c>
      <c r="IQ150" s="47" t="str">
        <f t="shared" si="536"/>
        <v xml:space="preserve">marketing(1), </v>
      </c>
      <c r="IR150" s="47" t="str">
        <f t="shared" si="536"/>
        <v xml:space="preserve">marketing(25), </v>
      </c>
      <c r="IS150" s="47" t="str">
        <f t="shared" si="536"/>
        <v xml:space="preserve">biz group(2),govt(2),non-profits(2),reputation(3),efficiency(2),marketing(2), </v>
      </c>
      <c r="IT150" s="47" t="str">
        <f t="shared" si="536"/>
        <v xml:space="preserve">biz group(1),govt(1),non-profits(1),marketing(1), </v>
      </c>
      <c r="IU150" s="47" t="str">
        <f t="shared" si="536"/>
        <v xml:space="preserve">biz group(6.25),govt(6.25),non-profits(6.25),marketing(6.25), </v>
      </c>
      <c r="IV150" s="57" t="str">
        <f t="shared" ref="IV150:LG150" si="537">IF(IV48="",IV151,$C150&amp;"("&amp;IV48&amp;"),"&amp;IV151)</f>
        <v xml:space="preserve">reputation(1), </v>
      </c>
      <c r="IW150" s="47" t="str">
        <f t="shared" si="537"/>
        <v xml:space="preserve">marketing(1), </v>
      </c>
      <c r="IX150" s="47" t="str">
        <f t="shared" si="537"/>
        <v xml:space="preserve">marketing(25), </v>
      </c>
      <c r="IY150" s="47" t="str">
        <f t="shared" si="537"/>
        <v xml:space="preserve">biz group(2),govt(2),reputation(3),efficiency(2),marketing(2), </v>
      </c>
      <c r="IZ150" s="47" t="str">
        <f t="shared" si="537"/>
        <v xml:space="preserve">biz group(1),govt(1),marketing(1), </v>
      </c>
      <c r="JA150" s="47" t="str">
        <f t="shared" si="537"/>
        <v xml:space="preserve">biz group(6.25),govt(6.25),marketing(6.25), </v>
      </c>
      <c r="JB150" s="47" t="str">
        <f t="shared" si="537"/>
        <v xml:space="preserve"> </v>
      </c>
      <c r="JC150" s="47" t="str">
        <f t="shared" si="537"/>
        <v xml:space="preserve"> </v>
      </c>
      <c r="JD150" s="47" t="str">
        <f t="shared" si="537"/>
        <v xml:space="preserve"> </v>
      </c>
      <c r="JE150" s="47" t="str">
        <f t="shared" si="537"/>
        <v xml:space="preserve">technologists(2),spaciousness(1),ease of access(1),reputation(3),efficiency(2), </v>
      </c>
      <c r="JF150" s="47" t="str">
        <f t="shared" si="537"/>
        <v xml:space="preserve">web(1),infrastructrue(1),database(1),mobile apps(1),sensors(1),security(1),AI&amp; data analysis(1),mobile comm(1),VR&amp;AR(1),wood processing(1),metal processing(1),plastic processing(1),electronics(1),fabric(1),aesthetics(1),functions(1),safety(1),interaction(1), </v>
      </c>
      <c r="JG150" s="47" t="str">
        <f t="shared" si="537"/>
        <v xml:space="preserve">web(6.25),infrastructrue(6.25),database(6.25),mobile apps(6.25),sensors(6.25),security(6.25),AI&amp; data analysis(6.25),mobile comm(6.25),VR&amp;AR(6.25),wood processing(6.25),metal processing(6.25),plastic processing(6.25),electronics(6.25),fabric(6.25),aesthetics(6.25),functions(6.25),safety(6.25),interaction(6.25), </v>
      </c>
      <c r="JH150" s="47" t="str">
        <f t="shared" si="537"/>
        <v xml:space="preserve">non-profits(1),reputation(2), </v>
      </c>
      <c r="JI150" s="47" t="str">
        <f t="shared" si="537"/>
        <v xml:space="preserve"> </v>
      </c>
      <c r="JJ150" s="47" t="str">
        <f t="shared" si="537"/>
        <v xml:space="preserve"> </v>
      </c>
      <c r="JK150" s="47" t="str">
        <f t="shared" si="537"/>
        <v xml:space="preserve">biz group(1),investors(2),entrepreneurs(2),technologists(2),suppliers(2),non-profits(1),reputation(3),portfolio(2),social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0" s="47" t="str">
        <f t="shared" si="537"/>
        <v xml:space="preserve">non-profits(1), </v>
      </c>
      <c r="JM150" s="47" t="str">
        <f t="shared" si="537"/>
        <v xml:space="preserve">non-profits(6.25), </v>
      </c>
      <c r="JN150" s="47" t="str">
        <f t="shared" si="537"/>
        <v xml:space="preserve">investors(1),entrepreneurs(1),technologists(1),non-profits(1),reputation(2),portfolio(2), </v>
      </c>
      <c r="JO150" s="47" t="str">
        <f t="shared" si="537"/>
        <v xml:space="preserve"> </v>
      </c>
      <c r="JP150" s="47" t="str">
        <f t="shared" si="537"/>
        <v xml:space="preserve"> </v>
      </c>
      <c r="JQ150" s="47" t="str">
        <f t="shared" si="537"/>
        <v xml:space="preserve">biz group(2),investors(2),entrepreneurs(2),technologists(2),non-profits(2),ease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0" s="47" t="str">
        <f t="shared" si="537"/>
        <v xml:space="preserve"> </v>
      </c>
      <c r="JS150" s="47" t="str">
        <f t="shared" si="537"/>
        <v xml:space="preserve"> </v>
      </c>
      <c r="JT150" s="47" t="str">
        <f t="shared" si="537"/>
        <v xml:space="preserve">biz group(1),govt(2),investors(2),entrepreneurs(2),technologists(2),non-profits(2),reputation(2),portfolio(3), </v>
      </c>
      <c r="JU150" s="47" t="str">
        <f t="shared" si="537"/>
        <v xml:space="preserve"> </v>
      </c>
      <c r="JV150" s="47" t="str">
        <f t="shared" si="537"/>
        <v xml:space="preserve"> </v>
      </c>
      <c r="JW150" s="47" t="str">
        <f t="shared" si="537"/>
        <v xml:space="preserve">biz group(2),govt(3),investors(3),entrepreneurs(3),technologists(3),non-profits(3),reputation(3),efficiency(2),portfolio(4),law(1),finance(1),marketing(1),team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0" s="47" t="str">
        <f t="shared" si="537"/>
        <v xml:space="preserve"> </v>
      </c>
      <c r="JY150" s="47" t="str">
        <f t="shared" si="537"/>
        <v xml:space="preserve"> </v>
      </c>
      <c r="JZ150" s="47" t="str">
        <f t="shared" si="537"/>
        <v xml:space="preserve">non-profits(1),reputation(2),social project(2), </v>
      </c>
      <c r="KA150" s="47" t="str">
        <f t="shared" si="537"/>
        <v xml:space="preserve">non-profits(1), </v>
      </c>
      <c r="KB150" s="47" t="str">
        <f t="shared" si="537"/>
        <v xml:space="preserve">non-profits(25), </v>
      </c>
      <c r="KC150" s="47" t="str">
        <f t="shared" si="537"/>
        <v xml:space="preserve">biz group(2),govt(2),investors(2),entrepreneurs(2),technologists(2),non-profits(3),reputation(3),portfolio(1),marketing(1),web(1),mobile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0" s="47" t="str">
        <f t="shared" si="537"/>
        <v xml:space="preserve">non-profits(1), </v>
      </c>
      <c r="KE150" s="47" t="str">
        <f t="shared" si="537"/>
        <v xml:space="preserve">non-profits(6.25), </v>
      </c>
      <c r="KF150" s="47" t="str">
        <f t="shared" si="537"/>
        <v xml:space="preserve"> </v>
      </c>
      <c r="KG150" s="47" t="str">
        <f t="shared" si="537"/>
        <v xml:space="preserve"> </v>
      </c>
      <c r="KH150" s="47" t="str">
        <f t="shared" si="537"/>
        <v xml:space="preserve"> </v>
      </c>
      <c r="KI150" s="47" t="str">
        <f t="shared" si="537"/>
        <v xml:space="preserve"> </v>
      </c>
      <c r="KJ150" s="47" t="str">
        <f t="shared" si="537"/>
        <v xml:space="preserve"> </v>
      </c>
      <c r="KK150" s="47" t="str">
        <f t="shared" si="537"/>
        <v xml:space="preserve"> </v>
      </c>
      <c r="KL150" s="57" t="str">
        <f t="shared" si="537"/>
        <v xml:space="preserve"> </v>
      </c>
      <c r="KM150" s="47" t="str">
        <f t="shared" si="537"/>
        <v xml:space="preserve"> </v>
      </c>
      <c r="KN150" s="47" t="str">
        <f t="shared" si="537"/>
        <v xml:space="preserve"> </v>
      </c>
      <c r="KO150" s="47" t="str">
        <f t="shared" si="537"/>
        <v xml:space="preserve"> </v>
      </c>
      <c r="KP150" s="47" t="str">
        <f t="shared" si="537"/>
        <v xml:space="preserve"> </v>
      </c>
      <c r="KQ150" s="47" t="str">
        <f t="shared" si="537"/>
        <v xml:space="preserve"> </v>
      </c>
      <c r="KR150" s="57" t="str">
        <f t="shared" si="537"/>
        <v xml:space="preserve"> </v>
      </c>
      <c r="KS150" s="47" t="str">
        <f t="shared" si="537"/>
        <v xml:space="preserve"> </v>
      </c>
      <c r="KT150" s="47" t="str">
        <f t="shared" si="537"/>
        <v xml:space="preserve"> </v>
      </c>
      <c r="KU150" s="47" t="str">
        <f t="shared" si="537"/>
        <v xml:space="preserve"> </v>
      </c>
      <c r="KV150" s="47" t="str">
        <f t="shared" si="537"/>
        <v xml:space="preserve"> </v>
      </c>
      <c r="KW150" s="47" t="str">
        <f t="shared" si="537"/>
        <v xml:space="preserve"> </v>
      </c>
      <c r="KX150" s="57" t="str">
        <f t="shared" si="537"/>
        <v xml:space="preserve"> </v>
      </c>
      <c r="KY150" s="47" t="str">
        <f t="shared" si="537"/>
        <v xml:space="preserve"> </v>
      </c>
      <c r="KZ150" s="47" t="str">
        <f t="shared" si="537"/>
        <v xml:space="preserve"> </v>
      </c>
      <c r="LA150" s="47" t="str">
        <f t="shared" si="537"/>
        <v xml:space="preserve"> </v>
      </c>
      <c r="LB150" s="47" t="str">
        <f t="shared" si="537"/>
        <v xml:space="preserve"> </v>
      </c>
      <c r="LC150" s="47" t="str">
        <f t="shared" si="537"/>
        <v xml:space="preserve"> </v>
      </c>
      <c r="LD150" s="57" t="str">
        <f t="shared" si="537"/>
        <v xml:space="preserve"> </v>
      </c>
      <c r="LE150" s="47" t="str">
        <f t="shared" si="537"/>
        <v xml:space="preserve"> </v>
      </c>
      <c r="LF150" s="47" t="str">
        <f t="shared" si="537"/>
        <v xml:space="preserve"> </v>
      </c>
      <c r="LG150" s="47" t="str">
        <f t="shared" si="537"/>
        <v xml:space="preserve"> </v>
      </c>
      <c r="LH150" s="47" t="str">
        <f t="shared" ref="LH150:NM150" si="538">IF(LH48="",LH151,$C150&amp;"("&amp;LH48&amp;"),"&amp;LH151)</f>
        <v xml:space="preserve"> </v>
      </c>
      <c r="LI150" s="47" t="str">
        <f t="shared" si="538"/>
        <v xml:space="preserve"> </v>
      </c>
      <c r="LJ150" s="57" t="str">
        <f t="shared" si="538"/>
        <v xml:space="preserve"> </v>
      </c>
      <c r="LK150" s="47" t="str">
        <f t="shared" si="538"/>
        <v xml:space="preserve"> </v>
      </c>
      <c r="LL150" s="47" t="str">
        <f t="shared" si="538"/>
        <v xml:space="preserve"> </v>
      </c>
      <c r="LM150" s="47" t="str">
        <f t="shared" si="538"/>
        <v xml:space="preserve"> </v>
      </c>
      <c r="LN150" s="47" t="str">
        <f t="shared" si="538"/>
        <v xml:space="preserve"> </v>
      </c>
      <c r="LO150" s="47" t="str">
        <f t="shared" si="538"/>
        <v xml:space="preserve"> </v>
      </c>
      <c r="LP150" s="57" t="str">
        <f t="shared" si="538"/>
        <v xml:space="preserve"> </v>
      </c>
      <c r="LQ150" s="47" t="str">
        <f t="shared" si="538"/>
        <v xml:space="preserve"> </v>
      </c>
      <c r="LR150" s="47" t="str">
        <f t="shared" si="538"/>
        <v xml:space="preserve"> </v>
      </c>
      <c r="LS150" s="47" t="str">
        <f t="shared" si="538"/>
        <v xml:space="preserve"> </v>
      </c>
      <c r="LT150" s="47" t="str">
        <f t="shared" si="538"/>
        <v xml:space="preserve"> </v>
      </c>
      <c r="LU150" s="47" t="str">
        <f t="shared" si="538"/>
        <v xml:space="preserve"> </v>
      </c>
      <c r="LV150" s="57" t="str">
        <f t="shared" si="538"/>
        <v xml:space="preserve"> </v>
      </c>
      <c r="LW150" s="47" t="str">
        <f t="shared" si="538"/>
        <v xml:space="preserve"> </v>
      </c>
      <c r="LX150" s="47" t="str">
        <f t="shared" si="538"/>
        <v xml:space="preserve"> </v>
      </c>
      <c r="LY150" s="47" t="str">
        <f t="shared" si="538"/>
        <v xml:space="preserve"> </v>
      </c>
      <c r="LZ150" s="47" t="str">
        <f t="shared" si="538"/>
        <v xml:space="preserve"> </v>
      </c>
      <c r="MA150" s="47" t="str">
        <f t="shared" si="538"/>
        <v xml:space="preserve"> </v>
      </c>
      <c r="MB150" s="57" t="str">
        <f t="shared" si="538"/>
        <v xml:space="preserve"> </v>
      </c>
      <c r="MC150" s="47" t="str">
        <f t="shared" si="538"/>
        <v xml:space="preserve"> </v>
      </c>
      <c r="MD150" s="47" t="str">
        <f t="shared" si="538"/>
        <v xml:space="preserve"> </v>
      </c>
      <c r="ME150" s="47" t="str">
        <f t="shared" si="538"/>
        <v xml:space="preserve"> </v>
      </c>
      <c r="MF150" s="47" t="str">
        <f t="shared" si="538"/>
        <v xml:space="preserve"> </v>
      </c>
      <c r="MG150" s="47" t="str">
        <f t="shared" si="538"/>
        <v xml:space="preserve"> </v>
      </c>
      <c r="MH150" s="57" t="str">
        <f t="shared" si="538"/>
        <v xml:space="preserve"> </v>
      </c>
      <c r="MI150" s="47" t="str">
        <f t="shared" si="538"/>
        <v xml:space="preserve"> </v>
      </c>
      <c r="MJ150" s="47" t="str">
        <f t="shared" si="538"/>
        <v xml:space="preserve"> </v>
      </c>
      <c r="MK150" s="47" t="str">
        <f t="shared" si="538"/>
        <v xml:space="preserve"> </v>
      </c>
      <c r="ML150" s="47" t="str">
        <f t="shared" si="538"/>
        <v xml:space="preserve"> </v>
      </c>
      <c r="MM150" s="47" t="str">
        <f t="shared" si="538"/>
        <v xml:space="preserve"> </v>
      </c>
      <c r="MN150" s="57" t="str">
        <f t="shared" si="538"/>
        <v xml:space="preserve"> </v>
      </c>
      <c r="MO150" s="47" t="str">
        <f t="shared" si="538"/>
        <v xml:space="preserve"> </v>
      </c>
      <c r="MP150" s="47" t="str">
        <f t="shared" si="538"/>
        <v xml:space="preserve"> </v>
      </c>
      <c r="MQ150" s="47" t="str">
        <f t="shared" si="538"/>
        <v xml:space="preserve"> </v>
      </c>
      <c r="MR150" s="47" t="str">
        <f t="shared" si="538"/>
        <v xml:space="preserve"> </v>
      </c>
      <c r="MS150" s="47" t="str">
        <f t="shared" si="538"/>
        <v xml:space="preserve"> </v>
      </c>
      <c r="MT150" s="57" t="str">
        <f t="shared" si="538"/>
        <v xml:space="preserve"> </v>
      </c>
      <c r="MU150" s="47" t="str">
        <f t="shared" si="538"/>
        <v xml:space="preserve"> </v>
      </c>
      <c r="MV150" s="47" t="str">
        <f t="shared" si="538"/>
        <v xml:space="preserve"> </v>
      </c>
      <c r="MW150" s="47" t="str">
        <f t="shared" si="538"/>
        <v xml:space="preserve"> </v>
      </c>
      <c r="MX150" s="47" t="str">
        <f t="shared" si="538"/>
        <v xml:space="preserve"> </v>
      </c>
      <c r="MY150" s="47" t="str">
        <f t="shared" si="538"/>
        <v xml:space="preserve"> </v>
      </c>
      <c r="MZ150" s="57" t="str">
        <f t="shared" si="538"/>
        <v xml:space="preserve"> </v>
      </c>
      <c r="NA150" s="47" t="str">
        <f t="shared" si="538"/>
        <v xml:space="preserve"> </v>
      </c>
      <c r="NB150" s="47" t="str">
        <f t="shared" si="538"/>
        <v xml:space="preserve"> </v>
      </c>
      <c r="NC150" s="47" t="str">
        <f t="shared" si="538"/>
        <v xml:space="preserve"> </v>
      </c>
      <c r="ND150" s="47" t="str">
        <f t="shared" si="538"/>
        <v xml:space="preserve"> </v>
      </c>
      <c r="NE150" s="47" t="str">
        <f t="shared" si="538"/>
        <v xml:space="preserve"> </v>
      </c>
      <c r="NF150" s="57" t="str">
        <f t="shared" si="538"/>
        <v xml:space="preserve"> </v>
      </c>
      <c r="NG150" s="47" t="str">
        <f t="shared" si="538"/>
        <v xml:space="preserve"> </v>
      </c>
      <c r="NH150" s="47" t="str">
        <f t="shared" si="538"/>
        <v xml:space="preserve"> </v>
      </c>
      <c r="NI150" s="47" t="str">
        <f t="shared" si="538"/>
        <v xml:space="preserve"> </v>
      </c>
      <c r="NJ150" s="47" t="str">
        <f t="shared" si="538"/>
        <v xml:space="preserve"> </v>
      </c>
      <c r="NK150" s="47" t="str">
        <f t="shared" si="538"/>
        <v xml:space="preserve"> </v>
      </c>
      <c r="NL150" s="57" t="str">
        <f t="shared" si="538"/>
        <v xml:space="preserve"> </v>
      </c>
      <c r="NM150" s="47" t="str">
        <f t="shared" si="538"/>
        <v xml:space="preserve"> </v>
      </c>
    </row>
    <row r="151" spans="3:377" ht="15.75" customHeight="1">
      <c r="C151" s="7" t="str">
        <f t="shared" si="296"/>
        <v>govt</v>
      </c>
      <c r="D151" s="21" t="str">
        <f t="shared" si="169"/>
        <v xml:space="preserve"> </v>
      </c>
      <c r="E151" s="21" t="str">
        <f t="shared" si="297"/>
        <v xml:space="preserve"> </v>
      </c>
      <c r="F151" s="21" t="str">
        <f t="shared" si="170"/>
        <v xml:space="preserve"> </v>
      </c>
      <c r="G151" s="21" t="str">
        <f t="shared" si="298"/>
        <v xml:space="preserve">ease of access(1), reputation(2), social media(1),  </v>
      </c>
      <c r="H151" s="21" t="str">
        <f t="shared" si="299"/>
        <v xml:space="preserve"> </v>
      </c>
      <c r="I151" s="21" t="str">
        <f t="shared" ref="I151" si="539">IF(I49="",I152,$C151&amp;"("&amp;I49&amp;"),"&amp;I152)</f>
        <v xml:space="preserve"> </v>
      </c>
      <c r="J151" s="21" t="str">
        <f t="shared" si="468"/>
        <v xml:space="preserve">interaction 1
 </v>
      </c>
      <c r="K151" s="21" t="str">
        <f t="shared" si="173"/>
        <v xml:space="preserve">reputation(1,75),  </v>
      </c>
      <c r="L151" s="21" t="str">
        <f t="shared" si="469"/>
        <v xml:space="preserve">reputation 75
 </v>
      </c>
      <c r="M151" s="21" t="str">
        <f t="shared" si="175"/>
        <v xml:space="preserve">portfolio(1), social innovation(1), non-profit biz(1),  </v>
      </c>
      <c r="N151" s="21" t="str">
        <f t="shared" si="176"/>
        <v xml:space="preserve">non-profits(1,12.5), reputation(1,75), marketing(1,12.5),  </v>
      </c>
      <c r="O151" s="21" t="str">
        <f t="shared" si="470"/>
        <v xml:space="preserve">non-profits(12.5),reputation(75),marketing(12.5), </v>
      </c>
      <c r="P151" s="21" t="str">
        <f t="shared" si="468"/>
        <v xml:space="preserve">biz project 1
 </v>
      </c>
      <c r="Q151" s="21" t="str">
        <f t="shared" si="178"/>
        <v xml:space="preserve"> </v>
      </c>
      <c r="R151" s="21" t="str">
        <f t="shared" si="469"/>
        <v xml:space="preserve"> </v>
      </c>
      <c r="S151" s="21" t="str">
        <f t="shared" si="179"/>
        <v xml:space="preserve">portfolio(1), biz enhancement(1), business(1), start-up(1),  </v>
      </c>
      <c r="T151" s="21" t="str">
        <f t="shared" si="180"/>
        <v xml:space="preserve">investors(1,6.25), reputation(1,6.25),  </v>
      </c>
      <c r="U151" s="21" t="str">
        <f t="shared" si="470"/>
        <v xml:space="preserve">investors(6.25),reputation(6.25), </v>
      </c>
      <c r="V151" s="21" t="str">
        <f t="shared" si="468"/>
        <v xml:space="preserve"> </v>
      </c>
      <c r="W151" s="21" t="str">
        <f t="shared" si="181"/>
        <v xml:space="preserve"> </v>
      </c>
      <c r="X151" s="21" t="str">
        <f t="shared" si="469"/>
        <v xml:space="preserve"> </v>
      </c>
      <c r="Y151" s="21" t="str">
        <f t="shared" si="182"/>
        <v xml:space="preserve">ease of access(1), reputation(1), portfolio(1), biz project(1), biz enhancement(1), job creation(1), business(1),  </v>
      </c>
      <c r="Z151" s="21" t="str">
        <f t="shared" si="183"/>
        <v xml:space="preserve"> </v>
      </c>
      <c r="AA151" s="21" t="str">
        <f t="shared" si="470"/>
        <v xml:space="preserve"> </v>
      </c>
      <c r="AB151" s="21" t="str">
        <f t="shared" si="468"/>
        <v xml:space="preserve"> </v>
      </c>
      <c r="AC151" s="21" t="str">
        <f t="shared" si="184"/>
        <v xml:space="preserve">non-profits(1,100),  </v>
      </c>
      <c r="AD151" s="21" t="str">
        <f t="shared" si="469"/>
        <v xml:space="preserve">non-profits 100
 </v>
      </c>
      <c r="AE151" s="21" t="str">
        <f t="shared" si="185"/>
        <v xml:space="preserve">ease of access(1), reputation(1), portfolio(1), social project(1), social innovation(1), non-profit biz(1),  </v>
      </c>
      <c r="AF151" s="21" t="str">
        <f t="shared" si="186"/>
        <v xml:space="preserve">non-profits(1,6.25),  </v>
      </c>
      <c r="AG151" s="21" t="str">
        <f t="shared" si="470"/>
        <v xml:space="preserve">non-profits(6.25), </v>
      </c>
      <c r="AH151" s="21" t="str">
        <f t="shared" si="468"/>
        <v xml:space="preserve"> </v>
      </c>
      <c r="AI151" s="21" t="str">
        <f t="shared" si="187"/>
        <v xml:space="preserve">govt(1,),  </v>
      </c>
      <c r="AJ151" s="21" t="str">
        <f t="shared" si="469"/>
        <v xml:space="preserve"> </v>
      </c>
      <c r="AK151" s="21" t="str">
        <f t="shared" si="188"/>
        <v xml:space="preserve">govt(1), ease of access(1), reputation(2), portfolio(1), social project(1), social innovation(1), non-profit biz(1),  </v>
      </c>
      <c r="AL151" s="21" t="str">
        <f t="shared" si="189"/>
        <v xml:space="preserve">govt(1,6.25),  </v>
      </c>
      <c r="AM151" s="21" t="str">
        <f t="shared" si="470"/>
        <v xml:space="preserve">govt(6.25), </v>
      </c>
      <c r="AN151" s="21" t="str">
        <f t="shared" si="468"/>
        <v xml:space="preserve"> </v>
      </c>
      <c r="AO151" s="21" t="str">
        <f t="shared" si="190"/>
        <v xml:space="preserve">investors(1,6.25),  </v>
      </c>
      <c r="AP151" s="21" t="str">
        <f t="shared" si="469"/>
        <v xml:space="preserve">investors 6.25
 </v>
      </c>
      <c r="AQ151" s="21" t="str">
        <f t="shared" si="191"/>
        <v xml:space="preserve">investors(1), ease of access(1), reputation(1), portfolio(1), start-up(1), start-up with mvp(1), start-up with customers(1),  </v>
      </c>
      <c r="AR151" s="21" t="str">
        <f t="shared" si="192"/>
        <v xml:space="preserve"> </v>
      </c>
      <c r="AS151" s="21" t="str">
        <f t="shared" si="470"/>
        <v xml:space="preserve"> </v>
      </c>
      <c r="AT151" s="21" t="str">
        <f t="shared" si="468"/>
        <v xml:space="preserve">non-profits 2
reputation 1
portfolio 1
social project 1
 </v>
      </c>
      <c r="AU151" s="21" t="str">
        <f t="shared" si="193"/>
        <v xml:space="preserve"> </v>
      </c>
      <c r="AV151" s="21" t="str">
        <f t="shared" si="469"/>
        <v xml:space="preserve"> </v>
      </c>
      <c r="AW151" s="21" t="str">
        <f t="shared" si="194"/>
        <v xml:space="preserve">project management(2),  </v>
      </c>
      <c r="AX151" s="21" t="str">
        <f t="shared" si="195"/>
        <v xml:space="preserve">organizational rules and manuals(1,12.5), project management(1,12.5),  </v>
      </c>
      <c r="AY151" s="21" t="str">
        <f t="shared" si="470"/>
        <v xml:space="preserve">organizational rules and manuals(12.5),project management(12.5), </v>
      </c>
      <c r="AZ151" s="21" t="str">
        <f t="shared" si="468"/>
        <v xml:space="preserve">non-profits 1
 </v>
      </c>
      <c r="BA151" s="21" t="str">
        <f t="shared" si="196"/>
        <v xml:space="preserve"> </v>
      </c>
      <c r="BB151" s="21" t="str">
        <f t="shared" si="469"/>
        <v xml:space="preserve"> </v>
      </c>
      <c r="BC151" s="21" t="str">
        <f t="shared" si="197"/>
        <v xml:space="preserve"> </v>
      </c>
      <c r="BD151" s="21" t="str">
        <f t="shared" si="198"/>
        <v xml:space="preserve"> </v>
      </c>
      <c r="BE151" s="21" t="str">
        <f t="shared" si="470"/>
        <v xml:space="preserve"> </v>
      </c>
      <c r="BF151" s="21" t="str">
        <f t="shared" si="468"/>
        <v xml:space="preserve">entrepreneurs 1
reputation 1
portfolio 1
biz project 1
 </v>
      </c>
      <c r="BG151" s="21" t="str">
        <f t="shared" si="199"/>
        <v xml:space="preserve"> </v>
      </c>
      <c r="BH151" s="21" t="str">
        <f t="shared" si="469"/>
        <v xml:space="preserve"> </v>
      </c>
      <c r="BI151" s="21" t="str">
        <f t="shared" si="200"/>
        <v xml:space="preserve">project management(2),  </v>
      </c>
      <c r="BJ151" s="21" t="str">
        <f t="shared" si="201"/>
        <v xml:space="preserve">organizational rules and manuals(1,12.5), project management(1,12.5),  </v>
      </c>
      <c r="BK151" s="21" t="str">
        <f t="shared" si="470"/>
        <v xml:space="preserve">organizational rules and manuals(12.5),project management(12.5), </v>
      </c>
      <c r="BL151" s="21" t="str">
        <f t="shared" si="468"/>
        <v xml:space="preserve">reputation 1
portfolio 1
biz enhancement 1
 </v>
      </c>
      <c r="BM151" s="21" t="str">
        <f t="shared" si="202"/>
        <v xml:space="preserve"> </v>
      </c>
      <c r="BN151" s="21" t="str">
        <f t="shared" si="469"/>
        <v xml:space="preserve"> </v>
      </c>
      <c r="BO151" s="21" t="str">
        <f t="shared" si="203"/>
        <v xml:space="preserve"> </v>
      </c>
      <c r="BP151" s="21" t="str">
        <f t="shared" si="204"/>
        <v xml:space="preserve"> </v>
      </c>
      <c r="BQ151" s="21" t="str">
        <f t="shared" si="470"/>
        <v xml:space="preserve"> </v>
      </c>
      <c r="BR151" s="21" t="str">
        <f t="shared" si="468"/>
        <v xml:space="preserve"> </v>
      </c>
      <c r="BS151" s="21" t="str">
        <f t="shared" si="205"/>
        <v xml:space="preserve"> </v>
      </c>
      <c r="BT151" s="21" t="str">
        <f t="shared" si="469"/>
        <v xml:space="preserve"> </v>
      </c>
      <c r="BU151" s="21" t="str">
        <f t="shared" si="206"/>
        <v xml:space="preserve"> </v>
      </c>
      <c r="BV151" s="21" t="str">
        <f t="shared" si="207"/>
        <v xml:space="preserve"> </v>
      </c>
      <c r="BW151" s="21" t="str">
        <f t="shared" si="470"/>
        <v xml:space="preserve"> </v>
      </c>
      <c r="BX151" s="21" t="str">
        <f t="shared" si="471"/>
        <v xml:space="preserve"> </v>
      </c>
      <c r="BY151" s="21" t="str">
        <f t="shared" si="209"/>
        <v xml:space="preserve">efficiency(1,),  </v>
      </c>
      <c r="BZ151" s="21" t="str">
        <f t="shared" si="472"/>
        <v xml:space="preserve"> </v>
      </c>
      <c r="CA151" s="21" t="str">
        <f t="shared" si="211"/>
        <v xml:space="preserve">negotiation(1),  </v>
      </c>
      <c r="CB151" s="21" t="str">
        <f t="shared" si="212"/>
        <v xml:space="preserve">user rules and manuals(1,50), organizational rules and manuals(1,50),  </v>
      </c>
      <c r="CC151" s="21" t="str">
        <f t="shared" si="473"/>
        <v xml:space="preserve">user rules and manuals(50),organizational rules and manuals(50), </v>
      </c>
      <c r="CD151" s="21" t="str">
        <f t="shared" si="471"/>
        <v xml:space="preserve"> </v>
      </c>
      <c r="CE151" s="21" t="str">
        <f t="shared" si="214"/>
        <v xml:space="preserve">non-profits(1,),  </v>
      </c>
      <c r="CF151" s="21" t="str">
        <f t="shared" si="472"/>
        <v xml:space="preserve"> </v>
      </c>
      <c r="CG151" s="21" t="str">
        <f t="shared" si="215"/>
        <v xml:space="preserve">ease of access(1), portfolio(1), user rules and manuals(1), negotiation(1), social project(1), biz project(1), for basic literacy(1), for the elites(1), for entrepreneurs(1),  </v>
      </c>
      <c r="CH151" s="21" t="str">
        <f t="shared" si="216"/>
        <v xml:space="preserve">technologists(1,6.25), non-profits(1,6.25),  </v>
      </c>
      <c r="CI151" s="21" t="str">
        <f t="shared" si="473"/>
        <v xml:space="preserve">technologists(6.25),non-profits(6.25), </v>
      </c>
      <c r="CJ151" s="21" t="str">
        <f t="shared" si="471"/>
        <v xml:space="preserve"> </v>
      </c>
      <c r="CK151" s="21" t="str">
        <f t="shared" si="217"/>
        <v xml:space="preserve">suppliers(1,),  </v>
      </c>
      <c r="CL151" s="21" t="str">
        <f t="shared" si="472"/>
        <v xml:space="preserve"> </v>
      </c>
      <c r="CM151" s="21" t="str">
        <f t="shared" si="218"/>
        <v xml:space="preserve">reputation(1), negotiation(1),  </v>
      </c>
      <c r="CN151" s="21" t="str">
        <f t="shared" si="219"/>
        <v xml:space="preserve">efficiency(1,6.25),  </v>
      </c>
      <c r="CO151" s="21" t="str">
        <f t="shared" si="473"/>
        <v xml:space="preserve">efficiency(6.25), </v>
      </c>
      <c r="CP151" s="21" t="str">
        <f t="shared" si="471"/>
        <v xml:space="preserve"> </v>
      </c>
      <c r="CQ151" s="21" t="str">
        <f t="shared" si="220"/>
        <v xml:space="preserve">technologists(1,),  </v>
      </c>
      <c r="CR151" s="21" t="str">
        <f t="shared" si="472"/>
        <v xml:space="preserve"> </v>
      </c>
      <c r="CS151" s="21" t="str">
        <f t="shared" si="221"/>
        <v xml:space="preserve">portfolio(1), negotiation(1), web(1), infrastructrue(1), database(1), mobile apps(1), sensors(1), security(1), AI&amp; data analysis(1), mobile comm(1), VR&amp;AR(1), wood processing(1), metal processing(1), plastic processing(1), electronics(1), fabric(1),  </v>
      </c>
      <c r="CT151" s="21" t="str">
        <f t="shared" si="222"/>
        <v xml:space="preserve">efficiency(1,6.25),  </v>
      </c>
      <c r="CU151" s="21" t="str">
        <f t="shared" si="473"/>
        <v xml:space="preserve">efficiency(6.25), </v>
      </c>
      <c r="CV151" s="21" t="str">
        <f t="shared" si="471"/>
        <v xml:space="preserve"> </v>
      </c>
      <c r="CW151" s="21" t="str">
        <f t="shared" si="223"/>
        <v xml:space="preserve"> </v>
      </c>
      <c r="CX151" s="21" t="str">
        <f t="shared" si="472"/>
        <v xml:space="preserve"> </v>
      </c>
      <c r="CY151" s="21" t="str">
        <f t="shared" si="224"/>
        <v xml:space="preserve">ease of access(1), reputation(1), portfolio(1), negotiation(1),  </v>
      </c>
      <c r="CZ151" s="21" t="str">
        <f t="shared" si="225"/>
        <v xml:space="preserve">non-profits(1,6.25),  </v>
      </c>
      <c r="DA151" s="21" t="str">
        <f t="shared" si="473"/>
        <v xml:space="preserve">non-profits(6.25), </v>
      </c>
      <c r="DB151" s="21" t="str">
        <f t="shared" si="471"/>
        <v xml:space="preserve"> </v>
      </c>
      <c r="DC151" s="21" t="str">
        <f t="shared" si="226"/>
        <v xml:space="preserve"> </v>
      </c>
      <c r="DD151" s="21" t="str">
        <f t="shared" si="472"/>
        <v xml:space="preserve"> </v>
      </c>
      <c r="DE151"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1" s="21" t="str">
        <f t="shared" si="228"/>
        <v xml:space="preserve">investors(1,6.25), entrepreneurs(1,6.25),  </v>
      </c>
      <c r="DG151" s="21" t="str">
        <f t="shared" si="473"/>
        <v xml:space="preserve">investors(6.25),entrepreneurs(6.25), </v>
      </c>
      <c r="DH151" s="21" t="str">
        <f t="shared" si="471"/>
        <v xml:space="preserve">non-profits 1
reputation 1
social project 1
 </v>
      </c>
      <c r="DI151" s="21" t="str">
        <f t="shared" si="229"/>
        <v xml:space="preserve"> </v>
      </c>
      <c r="DJ151" s="21" t="str">
        <f t="shared" si="472"/>
        <v xml:space="preserve"> </v>
      </c>
      <c r="DK151"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1" s="21" t="str">
        <f t="shared" si="231"/>
        <v xml:space="preserve">reputation(1,6.25),  </v>
      </c>
      <c r="DM151" s="21" t="str">
        <f t="shared" si="473"/>
        <v xml:space="preserve">reputation(6.25), </v>
      </c>
      <c r="DN151" s="21" t="str">
        <f t="shared" si="471"/>
        <v xml:space="preserve">reputation 1
biz project 1
 </v>
      </c>
      <c r="DO151" s="21" t="str">
        <f t="shared" si="232"/>
        <v xml:space="preserve"> </v>
      </c>
      <c r="DP151" s="21" t="str">
        <f t="shared" si="472"/>
        <v xml:space="preserve"> </v>
      </c>
      <c r="DQ151" s="21" t="str">
        <f t="shared" si="233"/>
        <v xml:space="preserve">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1" s="21" t="str">
        <f t="shared" si="234"/>
        <v xml:space="preserve">reputation(1,6.25),  </v>
      </c>
      <c r="DS151" s="21" t="str">
        <f t="shared" si="473"/>
        <v xml:space="preserve">reputation(6.25), </v>
      </c>
      <c r="DT151" s="21" t="str">
        <f t="shared" si="471"/>
        <v xml:space="preserve">reputation 1
 </v>
      </c>
      <c r="DU151" s="21" t="str">
        <f t="shared" si="235"/>
        <v xml:space="preserve"> </v>
      </c>
      <c r="DV151" s="21" t="str">
        <f t="shared" si="472"/>
        <v xml:space="preserve"> </v>
      </c>
      <c r="DW151" s="21" t="str">
        <f t="shared" si="236"/>
        <v xml:space="preserve">govt(2), investors(1), media(2), entrepreneurs(1), technologists(1), non-profits(1), spaciousness(1), ease of access(1), reputation(2), efficiency(1), organizational rules and manuals(1), marketing(1), social media(1), for basic literacy(1),  </v>
      </c>
      <c r="DX151" s="21" t="str">
        <f t="shared" si="237"/>
        <v xml:space="preserve">reputation(1,6.25), for basic literacy(1,6.25),  </v>
      </c>
      <c r="DY151" s="21" t="str">
        <f t="shared" si="473"/>
        <v xml:space="preserve">reputation(6.25),for basic literacy(6.25), </v>
      </c>
      <c r="DZ151" s="21" t="str">
        <f t="shared" si="471"/>
        <v xml:space="preserve">reputation 1
 </v>
      </c>
      <c r="EA151" s="21" t="str">
        <f t="shared" si="238"/>
        <v xml:space="preserve"> </v>
      </c>
      <c r="EB151" s="21" t="str">
        <f t="shared" si="472"/>
        <v xml:space="preserve"> </v>
      </c>
      <c r="EC151" s="21" t="str">
        <f t="shared" si="239"/>
        <v xml:space="preserve">govt(2), 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1" s="21" t="str">
        <f t="shared" si="240"/>
        <v xml:space="preserve">reputation(1,6.25), for basic literacy(1,6.25),  </v>
      </c>
      <c r="EE151" s="21" t="str">
        <f t="shared" si="473"/>
        <v xml:space="preserve">reputation(6.25),for basic literacy(6.25), </v>
      </c>
      <c r="EF151" s="21" t="str">
        <f t="shared" si="471"/>
        <v xml:space="preserve">technologists 1
reputation 1
 </v>
      </c>
      <c r="EG151" s="21" t="str">
        <f t="shared" si="241"/>
        <v xml:space="preserve">web(1,50), mobile apps(1,50), interaction(1,50),  </v>
      </c>
      <c r="EH151" s="21" t="str">
        <f t="shared" si="472"/>
        <v xml:space="preserve">web 50
mobile apps 50
interaction 50
 </v>
      </c>
      <c r="EI151" s="21" t="str">
        <f t="shared" si="242"/>
        <v xml:space="preserve">technologists(2), ease of access(1), reputation(2), infrastructrue(1), database(1), mobile comm(1), for entrepreneurs(1),  </v>
      </c>
      <c r="EJ151" s="21" t="str">
        <f t="shared" si="243"/>
        <v xml:space="preserve">technologists(1,12.5), infrastructrue(1,12.5), database(1,12.5), mobile comm(1,12.5), for entrepreneurs(1,6.25),  </v>
      </c>
      <c r="EK151" s="21" t="str">
        <f t="shared" si="473"/>
        <v xml:space="preserve">technologists(12.5),infrastructrue(12.5),database(12.5),mobile comm(12.5),for entrepreneurs(6.25), </v>
      </c>
      <c r="EL151" s="21" t="str">
        <f t="shared" si="474"/>
        <v xml:space="preserve">technologists 1
reputation 1
 </v>
      </c>
      <c r="EM151" s="21" t="str">
        <f t="shared" si="245"/>
        <v xml:space="preserve">sensors(1,50),  </v>
      </c>
      <c r="EN151" s="21" t="str">
        <f t="shared" si="475"/>
        <v xml:space="preserve">sensors 50
 </v>
      </c>
      <c r="EO151" s="21" t="str">
        <f t="shared" si="247"/>
        <v xml:space="preserve">technologists(2), ease of access(1), reputation(2), project management(2), infrastructrue(1), database(1), mobile comm(1), for entrepreneurs(1),  </v>
      </c>
      <c r="EP151" s="21" t="str">
        <f t="shared" si="248"/>
        <v xml:space="preserve">technologists(1,12.5), infrastructrue(1,12.5), database(1,12.5), mobile comm(1,12.5), electronics(1,6.25), for entrepreneurs(1,6.25),  </v>
      </c>
      <c r="EQ151" s="21" t="str">
        <f t="shared" si="476"/>
        <v xml:space="preserve">technologists(12.5),infrastructrue(12.5),database(12.5),mobile comm(12.5),electronics(6.25),for entrepreneurs(6.25), </v>
      </c>
      <c r="ER151" s="21" t="str">
        <f t="shared" si="474"/>
        <v xml:space="preserve">technologists 1
 </v>
      </c>
      <c r="ES151" s="21" t="str">
        <f t="shared" si="250"/>
        <v xml:space="preserve">AI&amp; data analysis(1,50),  </v>
      </c>
      <c r="ET151" s="21" t="str">
        <f t="shared" si="475"/>
        <v xml:space="preserve">AI&amp; data analysis 50
 </v>
      </c>
      <c r="EU151" s="21" t="str">
        <f t="shared" si="251"/>
        <v xml:space="preserve">technologists(2), ease of access(1), reputation(2), database(1), sensors(1), mobile comm(1), for entrepreneurs(1),  </v>
      </c>
      <c r="EV151" s="21" t="str">
        <f t="shared" si="252"/>
        <v xml:space="preserve">technologists(1,12.5), database(1,12.5), sensors(1,12.5), mobile comm(1,12.5), for entrepreneurs(1,6.25),  </v>
      </c>
      <c r="EW151" s="21" t="str">
        <f t="shared" si="476"/>
        <v xml:space="preserve">technologists(12.5),database(12.5),sensors(12.5),mobile comm(12.5),for entrepreneurs(6.25), </v>
      </c>
      <c r="EX151" s="21" t="str">
        <f t="shared" si="474"/>
        <v xml:space="preserve">technologists 1
 </v>
      </c>
      <c r="EY151" s="21" t="str">
        <f t="shared" si="253"/>
        <v xml:space="preserve">law(1,50), security(1,50), interaction(1,25),  </v>
      </c>
      <c r="EZ151" s="21" t="str">
        <f t="shared" si="475"/>
        <v xml:space="preserve">law 50
security 50
interaction 25
 </v>
      </c>
      <c r="FA151" s="21" t="str">
        <f t="shared" si="254"/>
        <v xml:space="preserve">technologists(2), ease of access(1), reputation(2), law(2), for entrepreneurs(1),  </v>
      </c>
      <c r="FB151" s="21" t="str">
        <f t="shared" si="255"/>
        <v xml:space="preserve">technologists(1,12.5), law(1,6.25), database(1,12.5), mobile apps(1,12.5), security(1,12.5), mobile comm(1,12.5), for entrepreneurs(1,6.25),  </v>
      </c>
      <c r="FC151" s="21" t="str">
        <f t="shared" si="476"/>
        <v xml:space="preserve">technologists(12.5),law(6.25),database(12.5),mobile apps(12.5),security(12.5),mobile comm(12.5),for entrepreneurs(6.25), </v>
      </c>
      <c r="FD151" s="21" t="str">
        <f t="shared" si="474"/>
        <v xml:space="preserve">technologists 1
 </v>
      </c>
      <c r="FE151" s="21" t="str">
        <f t="shared" si="256"/>
        <v xml:space="preserve">law(1,50), sensors(1,50), security(1,50),  </v>
      </c>
      <c r="FF151" s="21" t="str">
        <f t="shared" si="475"/>
        <v xml:space="preserve">law 50
sensors 50
security 50
 </v>
      </c>
      <c r="FG151" s="21" t="str">
        <f t="shared" si="257"/>
        <v xml:space="preserve">technologists(2), ease of access(1), reputation(2), law(2), project management(2), for entrepreneurs(1),  </v>
      </c>
      <c r="FH151" s="21" t="str">
        <f t="shared" si="258"/>
        <v xml:space="preserve">technologists(1,12.5), law(1,6.25), database(1,6.25), mobile apps(1,6.25), AI&amp; data analysis(1,6.25), mobile comm(1,6.25), for entrepreneurs(1,6.25),  </v>
      </c>
      <c r="FI151" s="21" t="str">
        <f t="shared" si="476"/>
        <v xml:space="preserve">technologists(12.5),law(6.25),database(6.25),mobile apps(6.25),AI&amp; data analysis(6.25),mobile comm(6.25),for entrepreneurs(6.25), </v>
      </c>
      <c r="FJ151" s="21" t="str">
        <f t="shared" si="474"/>
        <v xml:space="preserve">technologists 1
 </v>
      </c>
      <c r="FK151" s="21" t="str">
        <f t="shared" si="259"/>
        <v xml:space="preserve">wood processing(1,25), metal processing(1,25), plastic processing(1,25), fabric(1,25), safety(1,25), interaction(1,25),  </v>
      </c>
      <c r="FL151" s="21" t="str">
        <f t="shared" si="475"/>
        <v xml:space="preserve">project management 2
wood processing 25
metal processing 25
plastic processing 25
fabric 25
safety 25
interaction 25
 </v>
      </c>
      <c r="FM151" s="21" t="str">
        <f t="shared" si="260"/>
        <v xml:space="preserve">technologists(2), spaciousness(1), ease of access(1), reputation(2), for entrepreneurs(1),  </v>
      </c>
      <c r="FN151" s="21" t="str">
        <f t="shared" si="261"/>
        <v xml:space="preserve">technologists(1,12.5), for entrepreneurs(1,6.25),  </v>
      </c>
      <c r="FO151" s="21" t="str">
        <f t="shared" si="476"/>
        <v xml:space="preserve">technologists(12.5),for entrepreneurs(6.25), </v>
      </c>
      <c r="FP151" s="21" t="str">
        <f t="shared" si="474"/>
        <v xml:space="preserve">technologists 1
 </v>
      </c>
      <c r="FQ151" s="21" t="str">
        <f t="shared" si="262"/>
        <v xml:space="preserve">web(1,25), mobile apps(1,50), functions(1,25), interaction(1,25),  </v>
      </c>
      <c r="FR151" s="21" t="str">
        <f t="shared" si="475"/>
        <v xml:space="preserve">web 25
mobile apps 50
functions 25
interaction 25
 </v>
      </c>
      <c r="FS151" s="21" t="str">
        <f t="shared" si="263"/>
        <v xml:space="preserve">technologists(2), spaciousness(1), ease of access(1), reputation(2), for entrepreneurs(1),  </v>
      </c>
      <c r="FT151" s="21" t="str">
        <f t="shared" si="264"/>
        <v xml:space="preserve">technologists(1,12.5), for entrepreneurs(1,6.25),  </v>
      </c>
      <c r="FU151" s="21" t="str">
        <f t="shared" si="476"/>
        <v xml:space="preserve">technologists(12.5),for entrepreneurs(6.25), </v>
      </c>
      <c r="FV151" s="21" t="str">
        <f t="shared" si="474"/>
        <v xml:space="preserve">technologists 1
 </v>
      </c>
      <c r="FW151" s="21" t="str">
        <f t="shared" si="265"/>
        <v xml:space="preserve">mobile apps(1,50), sensors(1,50), wood processing(1,25), plastic processing(1,25), electronics(1,25), functions(1,25), interaction(1,25),  </v>
      </c>
      <c r="FX151" s="21" t="str">
        <f t="shared" si="475"/>
        <v xml:space="preserve">mobile apps 50
sensors 50
wood processing 25
plastic processing 25
electronics 25
functions 25
interaction 25
 </v>
      </c>
      <c r="FY151" s="21" t="str">
        <f t="shared" si="266"/>
        <v xml:space="preserve">technologists(2), spaciousness(1), ease of access(1), reputation(2), project management(2), for entrepreneurs(1),  </v>
      </c>
      <c r="FZ151" s="21" t="str">
        <f t="shared" si="267"/>
        <v xml:space="preserve">technologists(1,12.5), web(1,6.25), database(1,6.25), AI&amp; data analysis(1,6.25), mobile comm(1,6.25), for entrepreneurs(1,6.25),  </v>
      </c>
      <c r="GA151" s="21" t="str">
        <f t="shared" si="476"/>
        <v xml:space="preserve">technologists(12.5),web(6.25),database(6.25),AI&amp; data analysis(6.25),mobile comm(6.25),for entrepreneurs(6.25), </v>
      </c>
      <c r="GB151" s="21" t="str">
        <f t="shared" si="474"/>
        <v xml:space="preserve">technologists 1
 </v>
      </c>
      <c r="GC151" s="21" t="str">
        <f t="shared" si="268"/>
        <v xml:space="preserve">sensors(1,25), mobile comm(1,25), electronics(1,50), functions(1,25), safety(1,25),  </v>
      </c>
      <c r="GD151" s="21" t="str">
        <f t="shared" si="475"/>
        <v xml:space="preserve">sensors 25
mobile comm 25
electronics 50
functions 25
safety 25
 </v>
      </c>
      <c r="GE151" s="21" t="str">
        <f t="shared" si="269"/>
        <v xml:space="preserve">technologists(2), spaciousness(1), ease of access(1), reputation(2), project management(2), for entrepreneurs(1),  </v>
      </c>
      <c r="GF151" s="21" t="str">
        <f t="shared" si="270"/>
        <v xml:space="preserve">technologists(1,12.5), database(1,6.25), mobile apps(1,6.25), AI&amp; data analysis(1,6.25), plastic processing(1,6.25), interaction(1,6.25), for entrepreneurs(1,6.25),  </v>
      </c>
      <c r="GG151" s="21" t="str">
        <f t="shared" si="476"/>
        <v xml:space="preserve">technologists(12.5),database(6.25),mobile apps(6.25),AI&amp; data analysis(6.25),plastic processing(6.25),interaction(6.25),for entrepreneurs(6.25), </v>
      </c>
      <c r="GH151" s="21" t="str">
        <f t="shared" si="474"/>
        <v xml:space="preserve">technologists 1
 </v>
      </c>
      <c r="GI151" s="21" t="str">
        <f t="shared" si="271"/>
        <v xml:space="preserve">web(1,25), mobile apps(1,50), functions(1,25), interaction(1,25),  </v>
      </c>
      <c r="GJ151" s="21" t="str">
        <f t="shared" si="475"/>
        <v xml:space="preserve">web 25
mobile apps 50
functions 25
interaction 25
 </v>
      </c>
      <c r="GK151" s="21" t="str">
        <f t="shared" si="272"/>
        <v xml:space="preserve">technologists(2), spaciousness(1), ease of access(1), reputation(2), project management(2), for entrepreneurs(1),  </v>
      </c>
      <c r="GL151" s="21" t="str">
        <f t="shared" si="273"/>
        <v xml:space="preserve">technologists(1,12.5), for entrepreneurs(1,6.25),  </v>
      </c>
      <c r="GM151" s="21" t="str">
        <f t="shared" si="476"/>
        <v xml:space="preserve">technologists(12.5),for entrepreneurs(6.25), </v>
      </c>
      <c r="GN151" s="21" t="str">
        <f t="shared" si="474"/>
        <v xml:space="preserve">technologists 1
 </v>
      </c>
      <c r="GO151" s="21" t="str">
        <f t="shared" si="274"/>
        <v xml:space="preserve">web(1,25), mobile apps(1,25), VR&amp;AR(1,25), aesthetics(1,25), functions(1,25), interaction(1,50),  </v>
      </c>
      <c r="GP151" s="21" t="str">
        <f t="shared" si="475"/>
        <v xml:space="preserve">web 25
mobile apps 25
VR&amp;AR 25
aesthetics 25
functions 25
interaction 50
 </v>
      </c>
      <c r="GQ151" s="21" t="str">
        <f t="shared" si="275"/>
        <v xml:space="preserve">technologists(2), spaciousness(1), ease of access(1), reputation(2), project management(2), for entrepreneurs(1),  </v>
      </c>
      <c r="GR151" s="21" t="str">
        <f t="shared" si="276"/>
        <v xml:space="preserve">technologists(1,12.5), for entrepreneurs(1,6.25),  </v>
      </c>
      <c r="GS151" s="21" t="str">
        <f t="shared" si="476"/>
        <v xml:space="preserve">technologists(12.5),for entrepreneurs(6.25), </v>
      </c>
      <c r="GT151" s="21" t="str">
        <f t="shared" si="474"/>
        <v xml:space="preserve">ease of access 1
reputation 2
web 1
mobile apps 1
mobile comm 1
 </v>
      </c>
      <c r="GU151" s="21" t="str">
        <f t="shared" si="277"/>
        <v xml:space="preserve"> </v>
      </c>
      <c r="GV151" s="21" t="str">
        <f t="shared" si="475"/>
        <v xml:space="preserve"> </v>
      </c>
      <c r="GW151" s="21" t="str">
        <f t="shared" si="278"/>
        <v xml:space="preserve">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1" s="21" t="str">
        <f t="shared" si="279"/>
        <v xml:space="preserve">media(1,6.25), entrepreneurs(1,6.25), technologists(1,6.25), project management(1,6.25), social media(1,6.25), web(1,6.25), mobile apps(1,6.25),  </v>
      </c>
      <c r="GY151" s="21" t="str">
        <f t="shared" si="476"/>
        <v xml:space="preserve">media(6.25),entrepreneurs(6.25),technologists(6.25),project management(6.25),social media(6.25),web(6.25),mobile apps(6.25), </v>
      </c>
      <c r="GZ151" s="21" t="str">
        <f t="shared" si="477"/>
        <v xml:space="preserve">govt 1
non-profits 1
reputation 2
portfolio 1
 </v>
      </c>
      <c r="HA151" s="21" t="str">
        <f t="shared" si="281"/>
        <v xml:space="preserve"> </v>
      </c>
      <c r="HB151" s="21" t="str">
        <f t="shared" si="478"/>
        <v xml:space="preserve"> </v>
      </c>
      <c r="HC151" s="21" t="str">
        <f t="shared" si="283"/>
        <v xml:space="preserve">govt(3), non-profits(3), reputation(4), portfolio(3), social media(2), web(2), mobile apps(2), sensors(2), AI&amp; data analysis(2), VR&amp;AR(2), plastic processing(2), electronics(2), aesthetics(2), interaction(2),  </v>
      </c>
      <c r="HD151" s="21" t="str">
        <f t="shared" si="284"/>
        <v xml:space="preserve">media(1,6.25), technologists(1,6.25), non-profits(1,6.25), reputation(1,6.25), start-up with customers(1,6.25), for basic literacy(1,6.25),  </v>
      </c>
      <c r="HE151" s="21" t="str">
        <f t="shared" si="479"/>
        <v xml:space="preserve">media(6.25),technologists(6.25),non-profits(6.25),reputation(6.25),start-up with customers(6.25),for basic literacy(6.25), </v>
      </c>
      <c r="HF151" s="21" t="str">
        <f t="shared" si="477"/>
        <v xml:space="preserve"> </v>
      </c>
      <c r="HG151" s="21" t="str">
        <f t="shared" si="286"/>
        <v xml:space="preserve"> </v>
      </c>
      <c r="HH151" s="21" t="str">
        <f t="shared" si="478"/>
        <v xml:space="preserve"> </v>
      </c>
      <c r="HI151" s="21" t="str">
        <f t="shared" si="287"/>
        <v xml:space="preserve">portfolio(3), marketing(2), team building(3), project management(2), mobile apps(3), sensors(2), plastic processing(2), electronics(2), aesthetics(2), functions(2), interaction(2),  </v>
      </c>
      <c r="HJ151" s="21" t="str">
        <f t="shared" si="288"/>
        <v xml:space="preserve">govt(1,6.25), media(1,6.25), non-profits(1,6.25), start-up with customers(1,6.25),  </v>
      </c>
      <c r="HK151" s="21" t="str">
        <f t="shared" si="479"/>
        <v xml:space="preserve">govt(6.25),media(6.25),non-profits(6.25),start-up with customers(6.25), </v>
      </c>
      <c r="HL151" s="21" t="str">
        <f t="shared" si="477"/>
        <v xml:space="preserve">entrepreneurs 1
non-profits 1
reputation 2
portfolio 2
 </v>
      </c>
      <c r="HM151" s="21" t="str">
        <f t="shared" si="289"/>
        <v xml:space="preserve"> </v>
      </c>
      <c r="HN151" s="21" t="str">
        <f t="shared" si="478"/>
        <v xml:space="preserve"> </v>
      </c>
      <c r="HO151" s="21" t="str">
        <f t="shared" si="290"/>
        <v xml:space="preserve">investors(2), entrepreneurs(3), spaciousness(2), ease of access(2), reputation(3), efficiency(2), portfolio(4), finance(2), marketing(2), project management(2), social media(2), web(3), mobile apps(2), wood processing(3), plastic processing(3), electronics(3), aesthetics(2), interaction(2),  </v>
      </c>
      <c r="HP151" s="21" t="str">
        <f t="shared" si="291"/>
        <v xml:space="preserve">govt(1,6.25), investors(1,6.25), media(1,6.25), entrepreneurs(1,6.25), technologists(1,6.25), suppliers(1,6.25), non-profits(1,6.25), reputation(1,6.25),  </v>
      </c>
      <c r="HQ151" s="47" t="str">
        <f t="shared" si="479"/>
        <v xml:space="preserve">govt(6.25),investors(6.25),media(6.25),entrepreneurs(6.25),technologists(6.25),suppliers(6.25),non-profits(6.25),reputation(6.25), </v>
      </c>
      <c r="HR151" s="47" t="str">
        <f t="shared" ref="HR151:HW151" si="540">IF(HR49="",HR152,$C151&amp;"("&amp;HR49&amp;"),"&amp;HR152)</f>
        <v xml:space="preserve">reputation(2),portfolio(2),mobile apps(1),sensors(1),wood processing(1),aesthetics(1), </v>
      </c>
      <c r="HS151" s="47" t="str">
        <f t="shared" si="540"/>
        <v xml:space="preserve"> </v>
      </c>
      <c r="HT151" s="47" t="str">
        <f t="shared" si="540"/>
        <v xml:space="preserve"> </v>
      </c>
      <c r="HU151" s="47" t="str">
        <f t="shared" si="540"/>
        <v xml:space="preserve">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1" s="47" t="str">
        <f t="shared" si="540"/>
        <v xml:space="preserve">govt(1),investors(1),media(1),entrepreneurs(1),technologists(1),suppliers(1),non-profits(1),reputation(1), </v>
      </c>
      <c r="HW151" s="47" t="str">
        <f t="shared" si="540"/>
        <v xml:space="preserve">govt(6.25),investors(6.25),media(6.25),entrepreneurs(6.25),technologists(12.5),suppliers(6.25),non-profits(6.25),reputation(6.25), </v>
      </c>
      <c r="HX151" s="47" t="str">
        <f t="shared" ref="HX151:IU151" si="541">IF(HX49="",HX152,$C151&amp;"("&amp;HX49&amp;"),"&amp;HX152)</f>
        <v xml:space="preserve">govt(2),media(2),entrepreneurs(2),technologists(3),non-profits(3),reputation(3),portfolio(2),web(1),infrastructrue(1),database(2),mobile apps(1),sensors(1),AI&amp; data analysis(2),VR&amp;AR(1),wood processing(1),metal processing(1),plastic processing(1),electronics(1),aesthetics(1),functions(1),interaction(1), </v>
      </c>
      <c r="HY151" s="47" t="str">
        <f t="shared" si="541"/>
        <v xml:space="preserve">biz enhancement(1), </v>
      </c>
      <c r="HZ151" s="47" t="str">
        <f t="shared" si="541"/>
        <v xml:space="preserve">biz enhancement(100), </v>
      </c>
      <c r="IA151" s="47" t="str">
        <f t="shared" si="541"/>
        <v xml:space="preserve">spaciousness(2),ease of access(3),efficiency(2),portfolio(4),finance(2),business model(2),marketing(3),team building(2),project management(2),social media(3),negotiation(3), </v>
      </c>
      <c r="IB151" s="47" t="str">
        <f t="shared" si="541"/>
        <v xml:space="preserve">govt(1),media(1),entrepreneurs(1),technologists(1),non-profits(1),reputation(1),team building(1),database(1),AI&amp; data analysis(1),electronics(1),functions(1), </v>
      </c>
      <c r="IC151" s="47" t="str">
        <f t="shared" si="541"/>
        <v xml:space="preserve">govt(6.25),media(6.25),entrepreneurs(6.25),technologists(6.25),non-profits(6.25),reputation(6.25),team building(6.25),database(6.25),AI&amp; data analysis(6.25),electronics(6.25),functions(6.25), </v>
      </c>
      <c r="ID151" s="47" t="str">
        <f t="shared" si="541"/>
        <v xml:space="preserve">technologists(2), </v>
      </c>
      <c r="IE151" s="47" t="str">
        <f t="shared" si="541"/>
        <v xml:space="preserve">web(1),mobile apps(1),security(1),AI&amp; data analysis(1), </v>
      </c>
      <c r="IF151" s="47" t="str">
        <f t="shared" si="541"/>
        <v xml:space="preserve">web(25),mobile apps(25),security(25),AI&amp; data analysis(25), </v>
      </c>
      <c r="IG151" s="47" t="str">
        <f t="shared" si="541"/>
        <v xml:space="preserve">entrepreneurs(3),technologists(4),spaciousness(2),ease of access(2),reputation(3),efficiency(2),portfolio(3),web(2),database(2),mobile apps(2),security(2),AI&amp; data analysis(2), </v>
      </c>
      <c r="IH151" s="47" t="str">
        <f t="shared" si="541"/>
        <v xml:space="preserve">technologists(1),web(1),database(1),mobile apps(1),security(1),AI&amp; data analysis(1), </v>
      </c>
      <c r="II151" s="47" t="str">
        <f t="shared" si="541"/>
        <v xml:space="preserve">technologists(6.25),web(6.25),database(6.25),mobile apps(6.25),security(6.25),AI&amp; data analysis(6.25), </v>
      </c>
      <c r="IJ151" s="47" t="str">
        <f t="shared" si="541"/>
        <v xml:space="preserve">technologists(2), </v>
      </c>
      <c r="IK151" s="47" t="str">
        <f t="shared" si="541"/>
        <v xml:space="preserve">wood processing(1),metal processing(1),functions(1),safety(1), </v>
      </c>
      <c r="IL151" s="47" t="str">
        <f t="shared" si="541"/>
        <v xml:space="preserve">wood processing(25),metal processing(25),functions(25),safety(25), </v>
      </c>
      <c r="IM151" s="47" t="str">
        <f t="shared" si="541"/>
        <v xml:space="preserve">entrepreneurs(3),technologists(4),spaciousness(2),ease of access(2),reputation(3),efficiency(2),portfolio(3),wood processing(2),metal processing(2),functions(2),safety(2), </v>
      </c>
      <c r="IN151" s="47" t="str">
        <f t="shared" si="541"/>
        <v xml:space="preserve">technologists(1),wood processing(1),metal processing(1),functions(1),safety(1),interaction(1), </v>
      </c>
      <c r="IO151" s="47" t="str">
        <f t="shared" si="541"/>
        <v xml:space="preserve">technologists(6.25),wood processing(6.25),metal processing(6.25),functions(6.25),safety(6.25),interaction(6.25), </v>
      </c>
      <c r="IP151" s="57" t="str">
        <f t="shared" si="541"/>
        <v xml:space="preserve">reputation(1), </v>
      </c>
      <c r="IQ151" s="47" t="str">
        <f t="shared" si="541"/>
        <v xml:space="preserve">marketing(1), </v>
      </c>
      <c r="IR151" s="47" t="str">
        <f t="shared" si="541"/>
        <v xml:space="preserve">marketing(25), </v>
      </c>
      <c r="IS151" s="47" t="str">
        <f t="shared" si="541"/>
        <v xml:space="preserve">govt(2),non-profits(2),reputation(3),efficiency(2),marketing(2), </v>
      </c>
      <c r="IT151" s="47" t="str">
        <f t="shared" si="541"/>
        <v xml:space="preserve">govt(1),non-profits(1),marketing(1), </v>
      </c>
      <c r="IU151" s="47" t="str">
        <f t="shared" si="541"/>
        <v xml:space="preserve">govt(6.25),non-profits(6.25),marketing(6.25), </v>
      </c>
      <c r="IV151" s="57" t="str">
        <f t="shared" ref="IV151:LG151" si="542">IF(IV49="",IV152,$C151&amp;"("&amp;IV49&amp;"),"&amp;IV152)</f>
        <v xml:space="preserve">reputation(1), </v>
      </c>
      <c r="IW151" s="47" t="str">
        <f t="shared" si="542"/>
        <v xml:space="preserve">marketing(1), </v>
      </c>
      <c r="IX151" s="47" t="str">
        <f t="shared" si="542"/>
        <v xml:space="preserve">marketing(25), </v>
      </c>
      <c r="IY151" s="47" t="str">
        <f t="shared" si="542"/>
        <v xml:space="preserve">govt(2),reputation(3),efficiency(2),marketing(2), </v>
      </c>
      <c r="IZ151" s="47" t="str">
        <f t="shared" si="542"/>
        <v xml:space="preserve">govt(1),marketing(1), </v>
      </c>
      <c r="JA151" s="47" t="str">
        <f t="shared" si="542"/>
        <v xml:space="preserve">govt(6.25),marketing(6.25), </v>
      </c>
      <c r="JB151" s="47" t="str">
        <f t="shared" si="542"/>
        <v xml:space="preserve"> </v>
      </c>
      <c r="JC151" s="47" t="str">
        <f t="shared" si="542"/>
        <v xml:space="preserve"> </v>
      </c>
      <c r="JD151" s="47" t="str">
        <f t="shared" si="542"/>
        <v xml:space="preserve"> </v>
      </c>
      <c r="JE151" s="47" t="str">
        <f t="shared" si="542"/>
        <v xml:space="preserve">technologists(2),spaciousness(1),ease of access(1),reputation(3),efficiency(2), </v>
      </c>
      <c r="JF151" s="47" t="str">
        <f t="shared" si="542"/>
        <v xml:space="preserve">web(1),infrastructrue(1),database(1),mobile apps(1),sensors(1),security(1),AI&amp; data analysis(1),mobile comm(1),VR&amp;AR(1),wood processing(1),metal processing(1),plastic processing(1),electronics(1),fabric(1),aesthetics(1),functions(1),safety(1),interaction(1), </v>
      </c>
      <c r="JG151" s="47" t="str">
        <f t="shared" si="542"/>
        <v xml:space="preserve">web(6.25),infrastructrue(6.25),database(6.25),mobile apps(6.25),sensors(6.25),security(6.25),AI&amp; data analysis(6.25),mobile comm(6.25),VR&amp;AR(6.25),wood processing(6.25),metal processing(6.25),plastic processing(6.25),electronics(6.25),fabric(6.25),aesthetics(6.25),functions(6.25),safety(6.25),interaction(6.25), </v>
      </c>
      <c r="JH151" s="47" t="str">
        <f t="shared" si="542"/>
        <v xml:space="preserve">non-profits(1),reputation(2), </v>
      </c>
      <c r="JI151" s="47" t="str">
        <f t="shared" si="542"/>
        <v xml:space="preserve"> </v>
      </c>
      <c r="JJ151" s="47" t="str">
        <f t="shared" si="542"/>
        <v xml:space="preserve"> </v>
      </c>
      <c r="JK151" s="47" t="str">
        <f t="shared" si="542"/>
        <v xml:space="preserve">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1" s="47" t="str">
        <f t="shared" si="542"/>
        <v xml:space="preserve">non-profits(1), </v>
      </c>
      <c r="JM151" s="47" t="str">
        <f t="shared" si="542"/>
        <v xml:space="preserve">non-profits(6.25), </v>
      </c>
      <c r="JN151" s="47" t="str">
        <f t="shared" si="542"/>
        <v xml:space="preserve">investors(1),entrepreneurs(1),technologists(1),non-profits(1),reputation(2),portfolio(2), </v>
      </c>
      <c r="JO151" s="47" t="str">
        <f t="shared" si="542"/>
        <v xml:space="preserve"> </v>
      </c>
      <c r="JP151" s="47" t="str">
        <f t="shared" si="542"/>
        <v xml:space="preserve"> </v>
      </c>
      <c r="JQ151" s="47" t="str">
        <f t="shared" si="542"/>
        <v xml:space="preserve">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1" s="47" t="str">
        <f t="shared" si="542"/>
        <v xml:space="preserve"> </v>
      </c>
      <c r="JS151" s="47" t="str">
        <f t="shared" si="542"/>
        <v xml:space="preserve"> </v>
      </c>
      <c r="JT151" s="47" t="str">
        <f t="shared" si="542"/>
        <v xml:space="preserve">govt(2),investors(2),entrepreneurs(2),technologists(2),non-profits(2),reputation(2),portfolio(3), </v>
      </c>
      <c r="JU151" s="47" t="str">
        <f t="shared" si="542"/>
        <v xml:space="preserve"> </v>
      </c>
      <c r="JV151" s="47" t="str">
        <f t="shared" si="542"/>
        <v xml:space="preserve"> </v>
      </c>
      <c r="JW151" s="47" t="str">
        <f t="shared" si="542"/>
        <v xml:space="preserve">govt(3),investors(3),entrepreneurs(3),technologists(3),non-profits(3),reputation(3),efficiency(2),portfolio(4),law(1),finance(1),marketing(1),team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1" s="47" t="str">
        <f t="shared" si="542"/>
        <v xml:space="preserve"> </v>
      </c>
      <c r="JY151" s="47" t="str">
        <f t="shared" si="542"/>
        <v xml:space="preserve"> </v>
      </c>
      <c r="JZ151" s="47" t="str">
        <f t="shared" si="542"/>
        <v xml:space="preserve">non-profits(1),reputation(2),social project(2), </v>
      </c>
      <c r="KA151" s="47" t="str">
        <f t="shared" si="542"/>
        <v xml:space="preserve">non-profits(1), </v>
      </c>
      <c r="KB151" s="47" t="str">
        <f t="shared" si="542"/>
        <v xml:space="preserve">non-profits(25), </v>
      </c>
      <c r="KC151" s="47" t="str">
        <f t="shared" si="542"/>
        <v xml:space="preserve">govt(2),investors(2),entrepreneurs(2),technologists(2),non-profits(3),reputation(3),portfolio(1),marketing(1),web(1),mobile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1" s="47" t="str">
        <f t="shared" si="542"/>
        <v xml:space="preserve">non-profits(1), </v>
      </c>
      <c r="KE151" s="47" t="str">
        <f t="shared" si="542"/>
        <v xml:space="preserve">non-profits(6.25), </v>
      </c>
      <c r="KF151" s="47" t="str">
        <f t="shared" si="542"/>
        <v xml:space="preserve"> </v>
      </c>
      <c r="KG151" s="47" t="str">
        <f t="shared" si="542"/>
        <v xml:space="preserve"> </v>
      </c>
      <c r="KH151" s="47" t="str">
        <f t="shared" si="542"/>
        <v xml:space="preserve"> </v>
      </c>
      <c r="KI151" s="47" t="str">
        <f t="shared" si="542"/>
        <v xml:space="preserve"> </v>
      </c>
      <c r="KJ151" s="47" t="str">
        <f t="shared" si="542"/>
        <v xml:space="preserve"> </v>
      </c>
      <c r="KK151" s="47" t="str">
        <f t="shared" si="542"/>
        <v xml:space="preserve"> </v>
      </c>
      <c r="KL151" s="57" t="str">
        <f t="shared" si="542"/>
        <v xml:space="preserve"> </v>
      </c>
      <c r="KM151" s="47" t="str">
        <f t="shared" si="542"/>
        <v xml:space="preserve"> </v>
      </c>
      <c r="KN151" s="47" t="str">
        <f t="shared" si="542"/>
        <v xml:space="preserve"> </v>
      </c>
      <c r="KO151" s="47" t="str">
        <f t="shared" si="542"/>
        <v xml:space="preserve"> </v>
      </c>
      <c r="KP151" s="47" t="str">
        <f t="shared" si="542"/>
        <v xml:space="preserve"> </v>
      </c>
      <c r="KQ151" s="47" t="str">
        <f t="shared" si="542"/>
        <v xml:space="preserve"> </v>
      </c>
      <c r="KR151" s="57" t="str">
        <f t="shared" si="542"/>
        <v xml:space="preserve"> </v>
      </c>
      <c r="KS151" s="47" t="str">
        <f t="shared" si="542"/>
        <v xml:space="preserve"> </v>
      </c>
      <c r="KT151" s="47" t="str">
        <f t="shared" si="542"/>
        <v xml:space="preserve"> </v>
      </c>
      <c r="KU151" s="47" t="str">
        <f t="shared" si="542"/>
        <v xml:space="preserve"> </v>
      </c>
      <c r="KV151" s="47" t="str">
        <f t="shared" si="542"/>
        <v xml:space="preserve"> </v>
      </c>
      <c r="KW151" s="47" t="str">
        <f t="shared" si="542"/>
        <v xml:space="preserve"> </v>
      </c>
      <c r="KX151" s="57" t="str">
        <f t="shared" si="542"/>
        <v xml:space="preserve"> </v>
      </c>
      <c r="KY151" s="47" t="str">
        <f t="shared" si="542"/>
        <v xml:space="preserve"> </v>
      </c>
      <c r="KZ151" s="47" t="str">
        <f t="shared" si="542"/>
        <v xml:space="preserve"> </v>
      </c>
      <c r="LA151" s="47" t="str">
        <f t="shared" si="542"/>
        <v xml:space="preserve"> </v>
      </c>
      <c r="LB151" s="47" t="str">
        <f t="shared" si="542"/>
        <v xml:space="preserve"> </v>
      </c>
      <c r="LC151" s="47" t="str">
        <f t="shared" si="542"/>
        <v xml:space="preserve"> </v>
      </c>
      <c r="LD151" s="57" t="str">
        <f t="shared" si="542"/>
        <v xml:space="preserve"> </v>
      </c>
      <c r="LE151" s="47" t="str">
        <f t="shared" si="542"/>
        <v xml:space="preserve"> </v>
      </c>
      <c r="LF151" s="47" t="str">
        <f t="shared" si="542"/>
        <v xml:space="preserve"> </v>
      </c>
      <c r="LG151" s="47" t="str">
        <f t="shared" si="542"/>
        <v xml:space="preserve"> </v>
      </c>
      <c r="LH151" s="47" t="str">
        <f t="shared" ref="LH151:NM151" si="543">IF(LH49="",LH152,$C151&amp;"("&amp;LH49&amp;"),"&amp;LH152)</f>
        <v xml:space="preserve"> </v>
      </c>
      <c r="LI151" s="47" t="str">
        <f t="shared" si="543"/>
        <v xml:space="preserve"> </v>
      </c>
      <c r="LJ151" s="57" t="str">
        <f t="shared" si="543"/>
        <v xml:space="preserve"> </v>
      </c>
      <c r="LK151" s="47" t="str">
        <f t="shared" si="543"/>
        <v xml:space="preserve"> </v>
      </c>
      <c r="LL151" s="47" t="str">
        <f t="shared" si="543"/>
        <v xml:space="preserve"> </v>
      </c>
      <c r="LM151" s="47" t="str">
        <f t="shared" si="543"/>
        <v xml:space="preserve"> </v>
      </c>
      <c r="LN151" s="47" t="str">
        <f t="shared" si="543"/>
        <v xml:space="preserve"> </v>
      </c>
      <c r="LO151" s="47" t="str">
        <f t="shared" si="543"/>
        <v xml:space="preserve"> </v>
      </c>
      <c r="LP151" s="57" t="str">
        <f t="shared" si="543"/>
        <v xml:space="preserve"> </v>
      </c>
      <c r="LQ151" s="47" t="str">
        <f t="shared" si="543"/>
        <v xml:space="preserve"> </v>
      </c>
      <c r="LR151" s="47" t="str">
        <f t="shared" si="543"/>
        <v xml:space="preserve"> </v>
      </c>
      <c r="LS151" s="47" t="str">
        <f t="shared" si="543"/>
        <v xml:space="preserve"> </v>
      </c>
      <c r="LT151" s="47" t="str">
        <f t="shared" si="543"/>
        <v xml:space="preserve"> </v>
      </c>
      <c r="LU151" s="47" t="str">
        <f t="shared" si="543"/>
        <v xml:space="preserve"> </v>
      </c>
      <c r="LV151" s="57" t="str">
        <f t="shared" si="543"/>
        <v xml:space="preserve"> </v>
      </c>
      <c r="LW151" s="47" t="str">
        <f t="shared" si="543"/>
        <v xml:space="preserve"> </v>
      </c>
      <c r="LX151" s="47" t="str">
        <f t="shared" si="543"/>
        <v xml:space="preserve"> </v>
      </c>
      <c r="LY151" s="47" t="str">
        <f t="shared" si="543"/>
        <v xml:space="preserve"> </v>
      </c>
      <c r="LZ151" s="47" t="str">
        <f t="shared" si="543"/>
        <v xml:space="preserve"> </v>
      </c>
      <c r="MA151" s="47" t="str">
        <f t="shared" si="543"/>
        <v xml:space="preserve"> </v>
      </c>
      <c r="MB151" s="57" t="str">
        <f t="shared" si="543"/>
        <v xml:space="preserve"> </v>
      </c>
      <c r="MC151" s="47" t="str">
        <f t="shared" si="543"/>
        <v xml:space="preserve"> </v>
      </c>
      <c r="MD151" s="47" t="str">
        <f t="shared" si="543"/>
        <v xml:space="preserve"> </v>
      </c>
      <c r="ME151" s="47" t="str">
        <f t="shared" si="543"/>
        <v xml:space="preserve"> </v>
      </c>
      <c r="MF151" s="47" t="str">
        <f t="shared" si="543"/>
        <v xml:space="preserve"> </v>
      </c>
      <c r="MG151" s="47" t="str">
        <f t="shared" si="543"/>
        <v xml:space="preserve"> </v>
      </c>
      <c r="MH151" s="57" t="str">
        <f t="shared" si="543"/>
        <v xml:space="preserve"> </v>
      </c>
      <c r="MI151" s="47" t="str">
        <f t="shared" si="543"/>
        <v xml:space="preserve"> </v>
      </c>
      <c r="MJ151" s="47" t="str">
        <f t="shared" si="543"/>
        <v xml:space="preserve"> </v>
      </c>
      <c r="MK151" s="47" t="str">
        <f t="shared" si="543"/>
        <v xml:space="preserve"> </v>
      </c>
      <c r="ML151" s="47" t="str">
        <f t="shared" si="543"/>
        <v xml:space="preserve"> </v>
      </c>
      <c r="MM151" s="47" t="str">
        <f t="shared" si="543"/>
        <v xml:space="preserve"> </v>
      </c>
      <c r="MN151" s="57" t="str">
        <f t="shared" si="543"/>
        <v xml:space="preserve"> </v>
      </c>
      <c r="MO151" s="47" t="str">
        <f t="shared" si="543"/>
        <v xml:space="preserve"> </v>
      </c>
      <c r="MP151" s="47" t="str">
        <f t="shared" si="543"/>
        <v xml:space="preserve"> </v>
      </c>
      <c r="MQ151" s="47" t="str">
        <f t="shared" si="543"/>
        <v xml:space="preserve"> </v>
      </c>
      <c r="MR151" s="47" t="str">
        <f t="shared" si="543"/>
        <v xml:space="preserve"> </v>
      </c>
      <c r="MS151" s="47" t="str">
        <f t="shared" si="543"/>
        <v xml:space="preserve"> </v>
      </c>
      <c r="MT151" s="57" t="str">
        <f t="shared" si="543"/>
        <v xml:space="preserve"> </v>
      </c>
      <c r="MU151" s="47" t="str">
        <f t="shared" si="543"/>
        <v xml:space="preserve"> </v>
      </c>
      <c r="MV151" s="47" t="str">
        <f t="shared" si="543"/>
        <v xml:space="preserve"> </v>
      </c>
      <c r="MW151" s="47" t="str">
        <f t="shared" si="543"/>
        <v xml:space="preserve"> </v>
      </c>
      <c r="MX151" s="47" t="str">
        <f t="shared" si="543"/>
        <v xml:space="preserve"> </v>
      </c>
      <c r="MY151" s="47" t="str">
        <f t="shared" si="543"/>
        <v xml:space="preserve"> </v>
      </c>
      <c r="MZ151" s="57" t="str">
        <f t="shared" si="543"/>
        <v xml:space="preserve"> </v>
      </c>
      <c r="NA151" s="47" t="str">
        <f t="shared" si="543"/>
        <v xml:space="preserve"> </v>
      </c>
      <c r="NB151" s="47" t="str">
        <f t="shared" si="543"/>
        <v xml:space="preserve"> </v>
      </c>
      <c r="NC151" s="47" t="str">
        <f t="shared" si="543"/>
        <v xml:space="preserve"> </v>
      </c>
      <c r="ND151" s="47" t="str">
        <f t="shared" si="543"/>
        <v xml:space="preserve"> </v>
      </c>
      <c r="NE151" s="47" t="str">
        <f t="shared" si="543"/>
        <v xml:space="preserve"> </v>
      </c>
      <c r="NF151" s="57" t="str">
        <f t="shared" si="543"/>
        <v xml:space="preserve"> </v>
      </c>
      <c r="NG151" s="47" t="str">
        <f t="shared" si="543"/>
        <v xml:space="preserve"> </v>
      </c>
      <c r="NH151" s="47" t="str">
        <f t="shared" si="543"/>
        <v xml:space="preserve"> </v>
      </c>
      <c r="NI151" s="47" t="str">
        <f t="shared" si="543"/>
        <v xml:space="preserve"> </v>
      </c>
      <c r="NJ151" s="47" t="str">
        <f t="shared" si="543"/>
        <v xml:space="preserve"> </v>
      </c>
      <c r="NK151" s="47" t="str">
        <f t="shared" si="543"/>
        <v xml:space="preserve"> </v>
      </c>
      <c r="NL151" s="57" t="str">
        <f t="shared" si="543"/>
        <v xml:space="preserve"> </v>
      </c>
      <c r="NM151" s="47" t="str">
        <f t="shared" si="543"/>
        <v xml:space="preserve"> </v>
      </c>
    </row>
    <row r="152" spans="3:377" ht="15.75" customHeight="1">
      <c r="C152" s="7" t="str">
        <f t="shared" si="296"/>
        <v>investors</v>
      </c>
      <c r="D152" s="21" t="str">
        <f t="shared" si="169"/>
        <v xml:space="preserve"> </v>
      </c>
      <c r="E152" s="21" t="str">
        <f t="shared" si="297"/>
        <v xml:space="preserve"> </v>
      </c>
      <c r="F152" s="21" t="str">
        <f t="shared" si="170"/>
        <v xml:space="preserve"> </v>
      </c>
      <c r="G152" s="21" t="str">
        <f t="shared" si="298"/>
        <v xml:space="preserve">ease of access(1), reputation(2), social media(1),  </v>
      </c>
      <c r="H152" s="21" t="str">
        <f t="shared" si="299"/>
        <v xml:space="preserve"> </v>
      </c>
      <c r="I152" s="21" t="str">
        <f t="shared" ref="I152" si="544">IF(I50="",I153,$C152&amp;"("&amp;I50&amp;"),"&amp;I153)</f>
        <v xml:space="preserve"> </v>
      </c>
      <c r="J152" s="21" t="str">
        <f t="shared" si="468"/>
        <v xml:space="preserve">interaction 1
 </v>
      </c>
      <c r="K152" s="21" t="str">
        <f t="shared" si="173"/>
        <v xml:space="preserve">reputation(1,75),  </v>
      </c>
      <c r="L152" s="21" t="str">
        <f t="shared" si="469"/>
        <v xml:space="preserve">reputation 75
 </v>
      </c>
      <c r="M152" s="21" t="str">
        <f t="shared" si="175"/>
        <v xml:space="preserve">portfolio(1), social innovation(1), non-profit biz(1),  </v>
      </c>
      <c r="N152" s="21" t="str">
        <f t="shared" si="176"/>
        <v xml:space="preserve">non-profits(1,12.5), reputation(1,75), marketing(1,12.5),  </v>
      </c>
      <c r="O152" s="21" t="str">
        <f t="shared" si="470"/>
        <v xml:space="preserve">non-profits(12.5),reputation(75),marketing(12.5), </v>
      </c>
      <c r="P152" s="21" t="str">
        <f t="shared" si="468"/>
        <v xml:space="preserve">biz project 1
 </v>
      </c>
      <c r="Q152" s="21" t="str">
        <f t="shared" si="178"/>
        <v xml:space="preserve"> </v>
      </c>
      <c r="R152" s="21" t="str">
        <f t="shared" si="469"/>
        <v xml:space="preserve"> </v>
      </c>
      <c r="S152" s="21" t="str">
        <f t="shared" si="179"/>
        <v xml:space="preserve">portfolio(1), biz enhancement(1), business(1), start-up(1),  </v>
      </c>
      <c r="T152" s="21" t="str">
        <f t="shared" si="180"/>
        <v xml:space="preserve">investors(1,6.25), reputation(1,6.25),  </v>
      </c>
      <c r="U152" s="21" t="str">
        <f t="shared" si="470"/>
        <v xml:space="preserve">investors(6.25),reputation(6.25), </v>
      </c>
      <c r="V152" s="21" t="str">
        <f t="shared" si="468"/>
        <v xml:space="preserve"> </v>
      </c>
      <c r="W152" s="21" t="str">
        <f t="shared" si="181"/>
        <v xml:space="preserve"> </v>
      </c>
      <c r="X152" s="21" t="str">
        <f t="shared" si="469"/>
        <v xml:space="preserve"> </v>
      </c>
      <c r="Y152" s="21" t="str">
        <f t="shared" si="182"/>
        <v xml:space="preserve">ease of access(1), reputation(1), portfolio(1), biz project(1), biz enhancement(1), job creation(1), business(1),  </v>
      </c>
      <c r="Z152" s="21" t="str">
        <f t="shared" si="183"/>
        <v xml:space="preserve"> </v>
      </c>
      <c r="AA152" s="21" t="str">
        <f t="shared" si="470"/>
        <v xml:space="preserve"> </v>
      </c>
      <c r="AB152" s="21" t="str">
        <f t="shared" si="468"/>
        <v xml:space="preserve"> </v>
      </c>
      <c r="AC152" s="21" t="str">
        <f t="shared" si="184"/>
        <v xml:space="preserve">non-profits(1,100),  </v>
      </c>
      <c r="AD152" s="21" t="str">
        <f t="shared" si="469"/>
        <v xml:space="preserve">non-profits 100
 </v>
      </c>
      <c r="AE152" s="21" t="str">
        <f t="shared" si="185"/>
        <v xml:space="preserve">ease of access(1), reputation(1), portfolio(1), social project(1), social innovation(1), non-profit biz(1),  </v>
      </c>
      <c r="AF152" s="21" t="str">
        <f t="shared" si="186"/>
        <v xml:space="preserve">non-profits(1,6.25),  </v>
      </c>
      <c r="AG152" s="21" t="str">
        <f t="shared" si="470"/>
        <v xml:space="preserve">non-profits(6.25), </v>
      </c>
      <c r="AH152" s="21" t="str">
        <f t="shared" si="468"/>
        <v xml:space="preserve"> </v>
      </c>
      <c r="AI152" s="21" t="str">
        <f t="shared" si="187"/>
        <v xml:space="preserve"> </v>
      </c>
      <c r="AJ152" s="21" t="str">
        <f t="shared" si="469"/>
        <v xml:space="preserve"> </v>
      </c>
      <c r="AK152" s="21" t="str">
        <f t="shared" si="188"/>
        <v xml:space="preserve">ease of access(1), reputation(2), portfolio(1), social project(1), social innovation(1), non-profit biz(1),  </v>
      </c>
      <c r="AL152" s="21" t="str">
        <f t="shared" si="189"/>
        <v xml:space="preserve"> </v>
      </c>
      <c r="AM152" s="21" t="str">
        <f t="shared" si="470"/>
        <v xml:space="preserve"> </v>
      </c>
      <c r="AN152" s="21" t="str">
        <f t="shared" si="468"/>
        <v xml:space="preserve"> </v>
      </c>
      <c r="AO152" s="21" t="str">
        <f t="shared" si="190"/>
        <v xml:space="preserve">investors(1,6.25),  </v>
      </c>
      <c r="AP152" s="21" t="str">
        <f t="shared" si="469"/>
        <v xml:space="preserve">investors 6.25
 </v>
      </c>
      <c r="AQ152" s="21" t="str">
        <f t="shared" si="191"/>
        <v xml:space="preserve">investors(1), ease of access(1), reputation(1), portfolio(1), start-up(1), start-up with mvp(1), start-up with customers(1),  </v>
      </c>
      <c r="AR152" s="21" t="str">
        <f t="shared" si="192"/>
        <v xml:space="preserve"> </v>
      </c>
      <c r="AS152" s="21" t="str">
        <f t="shared" si="470"/>
        <v xml:space="preserve"> </v>
      </c>
      <c r="AT152" s="21" t="str">
        <f t="shared" si="468"/>
        <v xml:space="preserve">non-profits 2
reputation 1
portfolio 1
social project 1
 </v>
      </c>
      <c r="AU152" s="21" t="str">
        <f t="shared" si="193"/>
        <v xml:space="preserve"> </v>
      </c>
      <c r="AV152" s="21" t="str">
        <f t="shared" si="469"/>
        <v xml:space="preserve"> </v>
      </c>
      <c r="AW152" s="21" t="str">
        <f t="shared" si="194"/>
        <v xml:space="preserve">project management(2),  </v>
      </c>
      <c r="AX152" s="21" t="str">
        <f t="shared" si="195"/>
        <v xml:space="preserve">organizational rules and manuals(1,12.5), project management(1,12.5),  </v>
      </c>
      <c r="AY152" s="21" t="str">
        <f t="shared" si="470"/>
        <v xml:space="preserve">organizational rules and manuals(12.5),project management(12.5), </v>
      </c>
      <c r="AZ152" s="21" t="str">
        <f t="shared" si="468"/>
        <v xml:space="preserve">non-profits 1
 </v>
      </c>
      <c r="BA152" s="21" t="str">
        <f t="shared" si="196"/>
        <v xml:space="preserve"> </v>
      </c>
      <c r="BB152" s="21" t="str">
        <f t="shared" si="469"/>
        <v xml:space="preserve"> </v>
      </c>
      <c r="BC152" s="21" t="str">
        <f t="shared" si="197"/>
        <v xml:space="preserve"> </v>
      </c>
      <c r="BD152" s="21" t="str">
        <f t="shared" si="198"/>
        <v xml:space="preserve"> </v>
      </c>
      <c r="BE152" s="21" t="str">
        <f t="shared" si="470"/>
        <v xml:space="preserve"> </v>
      </c>
      <c r="BF152" s="21" t="str">
        <f t="shared" si="468"/>
        <v xml:space="preserve">entrepreneurs 1
reputation 1
portfolio 1
biz project 1
 </v>
      </c>
      <c r="BG152" s="21" t="str">
        <f t="shared" si="199"/>
        <v xml:space="preserve"> </v>
      </c>
      <c r="BH152" s="21" t="str">
        <f t="shared" si="469"/>
        <v xml:space="preserve"> </v>
      </c>
      <c r="BI152" s="21" t="str">
        <f t="shared" si="200"/>
        <v xml:space="preserve">project management(2),  </v>
      </c>
      <c r="BJ152" s="21" t="str">
        <f t="shared" si="201"/>
        <v xml:space="preserve">organizational rules and manuals(1,12.5), project management(1,12.5),  </v>
      </c>
      <c r="BK152" s="21" t="str">
        <f t="shared" si="470"/>
        <v xml:space="preserve">organizational rules and manuals(12.5),project management(12.5), </v>
      </c>
      <c r="BL152" s="21" t="str">
        <f t="shared" si="468"/>
        <v xml:space="preserve">reputation 1
portfolio 1
biz enhancement 1
 </v>
      </c>
      <c r="BM152" s="21" t="str">
        <f t="shared" si="202"/>
        <v xml:space="preserve"> </v>
      </c>
      <c r="BN152" s="21" t="str">
        <f t="shared" si="469"/>
        <v xml:space="preserve"> </v>
      </c>
      <c r="BO152" s="21" t="str">
        <f t="shared" si="203"/>
        <v xml:space="preserve"> </v>
      </c>
      <c r="BP152" s="21" t="str">
        <f t="shared" si="204"/>
        <v xml:space="preserve"> </v>
      </c>
      <c r="BQ152" s="21" t="str">
        <f t="shared" si="470"/>
        <v xml:space="preserve"> </v>
      </c>
      <c r="BR152" s="21" t="str">
        <f t="shared" si="468"/>
        <v xml:space="preserve"> </v>
      </c>
      <c r="BS152" s="21" t="str">
        <f t="shared" si="205"/>
        <v xml:space="preserve"> </v>
      </c>
      <c r="BT152" s="21" t="str">
        <f t="shared" si="469"/>
        <v xml:space="preserve"> </v>
      </c>
      <c r="BU152" s="21" t="str">
        <f t="shared" si="206"/>
        <v xml:space="preserve"> </v>
      </c>
      <c r="BV152" s="21" t="str">
        <f t="shared" si="207"/>
        <v xml:space="preserve"> </v>
      </c>
      <c r="BW152" s="21" t="str">
        <f t="shared" si="470"/>
        <v xml:space="preserve"> </v>
      </c>
      <c r="BX152" s="21" t="str">
        <f t="shared" si="471"/>
        <v xml:space="preserve"> </v>
      </c>
      <c r="BY152" s="21" t="str">
        <f t="shared" si="209"/>
        <v xml:space="preserve">efficiency(1,),  </v>
      </c>
      <c r="BZ152" s="21" t="str">
        <f t="shared" si="472"/>
        <v xml:space="preserve"> </v>
      </c>
      <c r="CA152" s="21" t="str">
        <f t="shared" si="211"/>
        <v xml:space="preserve">negotiation(1),  </v>
      </c>
      <c r="CB152" s="21" t="str">
        <f t="shared" si="212"/>
        <v xml:space="preserve">user rules and manuals(1,50), organizational rules and manuals(1,50),  </v>
      </c>
      <c r="CC152" s="21" t="str">
        <f t="shared" si="473"/>
        <v xml:space="preserve">user rules and manuals(50),organizational rules and manuals(50), </v>
      </c>
      <c r="CD152" s="21" t="str">
        <f t="shared" si="471"/>
        <v xml:space="preserve"> </v>
      </c>
      <c r="CE152" s="21" t="str">
        <f t="shared" si="214"/>
        <v xml:space="preserve">non-profits(1,),  </v>
      </c>
      <c r="CF152" s="21" t="str">
        <f t="shared" si="472"/>
        <v xml:space="preserve"> </v>
      </c>
      <c r="CG152" s="21" t="str">
        <f t="shared" si="215"/>
        <v xml:space="preserve">ease of access(1), portfolio(1), user rules and manuals(1), negotiation(1), social project(1), biz project(1), for basic literacy(1), for the elites(1), for entrepreneurs(1),  </v>
      </c>
      <c r="CH152" s="21" t="str">
        <f t="shared" si="216"/>
        <v xml:space="preserve">technologists(1,6.25), non-profits(1,6.25),  </v>
      </c>
      <c r="CI152" s="21" t="str">
        <f t="shared" si="473"/>
        <v xml:space="preserve">technologists(6.25),non-profits(6.25), </v>
      </c>
      <c r="CJ152" s="21" t="str">
        <f t="shared" si="471"/>
        <v xml:space="preserve"> </v>
      </c>
      <c r="CK152" s="21" t="str">
        <f t="shared" si="217"/>
        <v xml:space="preserve">suppliers(1,),  </v>
      </c>
      <c r="CL152" s="21" t="str">
        <f t="shared" si="472"/>
        <v xml:space="preserve"> </v>
      </c>
      <c r="CM152" s="21" t="str">
        <f t="shared" si="218"/>
        <v xml:space="preserve">reputation(1), negotiation(1),  </v>
      </c>
      <c r="CN152" s="21" t="str">
        <f t="shared" si="219"/>
        <v xml:space="preserve">efficiency(1,6.25),  </v>
      </c>
      <c r="CO152" s="21" t="str">
        <f t="shared" si="473"/>
        <v xml:space="preserve">efficiency(6.25), </v>
      </c>
      <c r="CP152" s="21" t="str">
        <f t="shared" si="471"/>
        <v xml:space="preserve"> </v>
      </c>
      <c r="CQ152" s="21" t="str">
        <f t="shared" si="220"/>
        <v xml:space="preserve">technologists(1,),  </v>
      </c>
      <c r="CR152" s="21" t="str">
        <f t="shared" si="472"/>
        <v xml:space="preserve"> </v>
      </c>
      <c r="CS152" s="21" t="str">
        <f t="shared" si="221"/>
        <v xml:space="preserve">portfolio(1), negotiation(1), web(1), infrastructrue(1), database(1), mobile apps(1), sensors(1), security(1), AI&amp; data analysis(1), mobile comm(1), VR&amp;AR(1), wood processing(1), metal processing(1), plastic processing(1), electronics(1), fabric(1),  </v>
      </c>
      <c r="CT152" s="21" t="str">
        <f t="shared" si="222"/>
        <v xml:space="preserve">efficiency(1,6.25),  </v>
      </c>
      <c r="CU152" s="21" t="str">
        <f t="shared" si="473"/>
        <v xml:space="preserve">efficiency(6.25), </v>
      </c>
      <c r="CV152" s="21" t="str">
        <f t="shared" si="471"/>
        <v xml:space="preserve"> </v>
      </c>
      <c r="CW152" s="21" t="str">
        <f t="shared" si="223"/>
        <v xml:space="preserve"> </v>
      </c>
      <c r="CX152" s="21" t="str">
        <f t="shared" si="472"/>
        <v xml:space="preserve"> </v>
      </c>
      <c r="CY152" s="21" t="str">
        <f t="shared" si="224"/>
        <v xml:space="preserve">ease of access(1), reputation(1), portfolio(1), negotiation(1),  </v>
      </c>
      <c r="CZ152" s="21" t="str">
        <f t="shared" si="225"/>
        <v xml:space="preserve">non-profits(1,6.25),  </v>
      </c>
      <c r="DA152" s="21" t="str">
        <f t="shared" si="473"/>
        <v xml:space="preserve">non-profits(6.25), </v>
      </c>
      <c r="DB152" s="21" t="str">
        <f t="shared" si="471"/>
        <v xml:space="preserve"> </v>
      </c>
      <c r="DC152" s="21" t="str">
        <f t="shared" si="226"/>
        <v xml:space="preserve"> </v>
      </c>
      <c r="DD152" s="21" t="str">
        <f t="shared" si="472"/>
        <v xml:space="preserve"> </v>
      </c>
      <c r="DE152"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2" s="21" t="str">
        <f t="shared" si="228"/>
        <v xml:space="preserve">investors(1,6.25), entrepreneurs(1,6.25),  </v>
      </c>
      <c r="DG152" s="21" t="str">
        <f t="shared" si="473"/>
        <v xml:space="preserve">investors(6.25),entrepreneurs(6.25), </v>
      </c>
      <c r="DH152" s="21" t="str">
        <f t="shared" si="471"/>
        <v xml:space="preserve">non-profits 1
reputation 1
social project 1
 </v>
      </c>
      <c r="DI152" s="21" t="str">
        <f t="shared" si="229"/>
        <v xml:space="preserve"> </v>
      </c>
      <c r="DJ152" s="21" t="str">
        <f t="shared" si="472"/>
        <v xml:space="preserve"> </v>
      </c>
      <c r="DK152"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2" s="21" t="str">
        <f t="shared" si="231"/>
        <v xml:space="preserve">reputation(1,6.25),  </v>
      </c>
      <c r="DM152" s="21" t="str">
        <f t="shared" si="473"/>
        <v xml:space="preserve">reputation(6.25), </v>
      </c>
      <c r="DN152" s="21" t="str">
        <f t="shared" si="471"/>
        <v xml:space="preserve">reputation 1
biz project 1
 </v>
      </c>
      <c r="DO152" s="21" t="str">
        <f t="shared" si="232"/>
        <v xml:space="preserve"> </v>
      </c>
      <c r="DP152" s="21" t="str">
        <f t="shared" si="472"/>
        <v xml:space="preserve"> </v>
      </c>
      <c r="DQ152" s="21" t="str">
        <f t="shared" si="233"/>
        <v xml:space="preserve">investors(1), 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2" s="21" t="str">
        <f t="shared" si="234"/>
        <v xml:space="preserve">reputation(1,6.25),  </v>
      </c>
      <c r="DS152" s="21" t="str">
        <f t="shared" si="473"/>
        <v xml:space="preserve">reputation(6.25), </v>
      </c>
      <c r="DT152" s="21" t="str">
        <f t="shared" si="471"/>
        <v xml:space="preserve">reputation 1
 </v>
      </c>
      <c r="DU152" s="21" t="str">
        <f t="shared" si="235"/>
        <v xml:space="preserve"> </v>
      </c>
      <c r="DV152" s="21" t="str">
        <f t="shared" si="472"/>
        <v xml:space="preserve"> </v>
      </c>
      <c r="DW152" s="21" t="str">
        <f t="shared" si="236"/>
        <v xml:space="preserve">investors(1), media(2), entrepreneurs(1), technologists(1), non-profits(1), spaciousness(1), ease of access(1), reputation(2), efficiency(1), organizational rules and manuals(1), marketing(1), social media(1), for basic literacy(1),  </v>
      </c>
      <c r="DX152" s="21" t="str">
        <f t="shared" si="237"/>
        <v xml:space="preserve">reputation(1,6.25), for basic literacy(1,6.25),  </v>
      </c>
      <c r="DY152" s="21" t="str">
        <f t="shared" si="473"/>
        <v xml:space="preserve">reputation(6.25),for basic literacy(6.25), </v>
      </c>
      <c r="DZ152" s="21" t="str">
        <f t="shared" si="471"/>
        <v xml:space="preserve">reputation 1
 </v>
      </c>
      <c r="EA152" s="21" t="str">
        <f t="shared" si="238"/>
        <v xml:space="preserve"> </v>
      </c>
      <c r="EB152" s="21" t="str">
        <f t="shared" si="472"/>
        <v xml:space="preserve"> </v>
      </c>
      <c r="EC152" s="21" t="str">
        <f t="shared" si="239"/>
        <v xml:space="preserve">investors(1), 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2" s="21" t="str">
        <f t="shared" si="240"/>
        <v xml:space="preserve">reputation(1,6.25), for basic literacy(1,6.25),  </v>
      </c>
      <c r="EE152" s="21" t="str">
        <f t="shared" si="473"/>
        <v xml:space="preserve">reputation(6.25),for basic literacy(6.25), </v>
      </c>
      <c r="EF152" s="21" t="str">
        <f t="shared" si="471"/>
        <v xml:space="preserve">technologists 1
reputation 1
 </v>
      </c>
      <c r="EG152" s="21" t="str">
        <f t="shared" si="241"/>
        <v xml:space="preserve">web(1,50), mobile apps(1,50), interaction(1,50),  </v>
      </c>
      <c r="EH152" s="21" t="str">
        <f t="shared" si="472"/>
        <v xml:space="preserve">web 50
mobile apps 50
interaction 50
 </v>
      </c>
      <c r="EI152" s="21" t="str">
        <f t="shared" si="242"/>
        <v xml:space="preserve">technologists(2), ease of access(1), reputation(2), infrastructrue(1), database(1), mobile comm(1), for entrepreneurs(1),  </v>
      </c>
      <c r="EJ152" s="21" t="str">
        <f t="shared" si="243"/>
        <v xml:space="preserve">technologists(1,12.5), infrastructrue(1,12.5), database(1,12.5), mobile comm(1,12.5), for entrepreneurs(1,6.25),  </v>
      </c>
      <c r="EK152" s="21" t="str">
        <f t="shared" si="473"/>
        <v xml:space="preserve">technologists(12.5),infrastructrue(12.5),database(12.5),mobile comm(12.5),for entrepreneurs(6.25), </v>
      </c>
      <c r="EL152" s="21" t="str">
        <f t="shared" si="474"/>
        <v xml:space="preserve">technologists 1
reputation 1
 </v>
      </c>
      <c r="EM152" s="21" t="str">
        <f t="shared" si="245"/>
        <v xml:space="preserve">sensors(1,50),  </v>
      </c>
      <c r="EN152" s="21" t="str">
        <f t="shared" si="475"/>
        <v xml:space="preserve">sensors 50
 </v>
      </c>
      <c r="EO152" s="21" t="str">
        <f t="shared" si="247"/>
        <v xml:space="preserve">technologists(2), ease of access(1), reputation(2), project management(2), infrastructrue(1), database(1), mobile comm(1), for entrepreneurs(1),  </v>
      </c>
      <c r="EP152" s="21" t="str">
        <f t="shared" si="248"/>
        <v xml:space="preserve">technologists(1,12.5), infrastructrue(1,12.5), database(1,12.5), mobile comm(1,12.5), electronics(1,6.25), for entrepreneurs(1,6.25),  </v>
      </c>
      <c r="EQ152" s="21" t="str">
        <f t="shared" si="476"/>
        <v xml:space="preserve">technologists(12.5),infrastructrue(12.5),database(12.5),mobile comm(12.5),electronics(6.25),for entrepreneurs(6.25), </v>
      </c>
      <c r="ER152" s="21" t="str">
        <f t="shared" si="474"/>
        <v xml:space="preserve">technologists 1
 </v>
      </c>
      <c r="ES152" s="21" t="str">
        <f t="shared" si="250"/>
        <v xml:space="preserve">AI&amp; data analysis(1,50),  </v>
      </c>
      <c r="ET152" s="21" t="str">
        <f t="shared" si="475"/>
        <v xml:space="preserve">AI&amp; data analysis 50
 </v>
      </c>
      <c r="EU152" s="21" t="str">
        <f t="shared" si="251"/>
        <v xml:space="preserve">technologists(2), ease of access(1), reputation(2), database(1), sensors(1), mobile comm(1), for entrepreneurs(1),  </v>
      </c>
      <c r="EV152" s="21" t="str">
        <f t="shared" si="252"/>
        <v xml:space="preserve">technologists(1,12.5), database(1,12.5), sensors(1,12.5), mobile comm(1,12.5), for entrepreneurs(1,6.25),  </v>
      </c>
      <c r="EW152" s="21" t="str">
        <f t="shared" si="476"/>
        <v xml:space="preserve">technologists(12.5),database(12.5),sensors(12.5),mobile comm(12.5),for entrepreneurs(6.25), </v>
      </c>
      <c r="EX152" s="21" t="str">
        <f t="shared" si="474"/>
        <v xml:space="preserve">technologists 1
 </v>
      </c>
      <c r="EY152" s="21" t="str">
        <f t="shared" si="253"/>
        <v xml:space="preserve">law(1,50), security(1,50), interaction(1,25),  </v>
      </c>
      <c r="EZ152" s="21" t="str">
        <f t="shared" si="475"/>
        <v xml:space="preserve">law 50
security 50
interaction 25
 </v>
      </c>
      <c r="FA152" s="21" t="str">
        <f t="shared" si="254"/>
        <v xml:space="preserve">technologists(2), ease of access(1), reputation(2), law(2), for entrepreneurs(1),  </v>
      </c>
      <c r="FB152" s="21" t="str">
        <f t="shared" si="255"/>
        <v xml:space="preserve">technologists(1,12.5), law(1,6.25), database(1,12.5), mobile apps(1,12.5), security(1,12.5), mobile comm(1,12.5), for entrepreneurs(1,6.25),  </v>
      </c>
      <c r="FC152" s="21" t="str">
        <f t="shared" si="476"/>
        <v xml:space="preserve">technologists(12.5),law(6.25),database(12.5),mobile apps(12.5),security(12.5),mobile comm(12.5),for entrepreneurs(6.25), </v>
      </c>
      <c r="FD152" s="21" t="str">
        <f t="shared" si="474"/>
        <v xml:space="preserve">technologists 1
 </v>
      </c>
      <c r="FE152" s="21" t="str">
        <f t="shared" si="256"/>
        <v xml:space="preserve">law(1,50), sensors(1,50), security(1,50),  </v>
      </c>
      <c r="FF152" s="21" t="str">
        <f t="shared" si="475"/>
        <v xml:space="preserve">law 50
sensors 50
security 50
 </v>
      </c>
      <c r="FG152" s="21" t="str">
        <f t="shared" si="257"/>
        <v xml:space="preserve">technologists(2), ease of access(1), reputation(2), law(2), project management(2), for entrepreneurs(1),  </v>
      </c>
      <c r="FH152" s="21" t="str">
        <f t="shared" si="258"/>
        <v xml:space="preserve">technologists(1,12.5), law(1,6.25), database(1,6.25), mobile apps(1,6.25), AI&amp; data analysis(1,6.25), mobile comm(1,6.25), for entrepreneurs(1,6.25),  </v>
      </c>
      <c r="FI152" s="21" t="str">
        <f t="shared" si="476"/>
        <v xml:space="preserve">technologists(12.5),law(6.25),database(6.25),mobile apps(6.25),AI&amp; data analysis(6.25),mobile comm(6.25),for entrepreneurs(6.25), </v>
      </c>
      <c r="FJ152" s="21" t="str">
        <f t="shared" si="474"/>
        <v xml:space="preserve">technologists 1
 </v>
      </c>
      <c r="FK152" s="21" t="str">
        <f t="shared" si="259"/>
        <v xml:space="preserve">wood processing(1,25), metal processing(1,25), plastic processing(1,25), fabric(1,25), safety(1,25), interaction(1,25),  </v>
      </c>
      <c r="FL152" s="21" t="str">
        <f t="shared" si="475"/>
        <v xml:space="preserve">project management 2
wood processing 25
metal processing 25
plastic processing 25
fabric 25
safety 25
interaction 25
 </v>
      </c>
      <c r="FM152" s="21" t="str">
        <f t="shared" si="260"/>
        <v xml:space="preserve">technologists(2), spaciousness(1), ease of access(1), reputation(2), for entrepreneurs(1),  </v>
      </c>
      <c r="FN152" s="21" t="str">
        <f t="shared" si="261"/>
        <v xml:space="preserve">technologists(1,12.5), for entrepreneurs(1,6.25),  </v>
      </c>
      <c r="FO152" s="21" t="str">
        <f t="shared" si="476"/>
        <v xml:space="preserve">technologists(12.5),for entrepreneurs(6.25), </v>
      </c>
      <c r="FP152" s="21" t="str">
        <f t="shared" si="474"/>
        <v xml:space="preserve">technologists 1
 </v>
      </c>
      <c r="FQ152" s="21" t="str">
        <f t="shared" si="262"/>
        <v xml:space="preserve">web(1,25), mobile apps(1,50), functions(1,25), interaction(1,25),  </v>
      </c>
      <c r="FR152" s="21" t="str">
        <f t="shared" si="475"/>
        <v xml:space="preserve">web 25
mobile apps 50
functions 25
interaction 25
 </v>
      </c>
      <c r="FS152" s="21" t="str">
        <f t="shared" si="263"/>
        <v xml:space="preserve">technologists(2), spaciousness(1), ease of access(1), reputation(2), for entrepreneurs(1),  </v>
      </c>
      <c r="FT152" s="21" t="str">
        <f t="shared" si="264"/>
        <v xml:space="preserve">technologists(1,12.5), for entrepreneurs(1,6.25),  </v>
      </c>
      <c r="FU152" s="21" t="str">
        <f t="shared" si="476"/>
        <v xml:space="preserve">technologists(12.5),for entrepreneurs(6.25), </v>
      </c>
      <c r="FV152" s="21" t="str">
        <f t="shared" si="474"/>
        <v xml:space="preserve">technologists 1
 </v>
      </c>
      <c r="FW152" s="21" t="str">
        <f t="shared" si="265"/>
        <v xml:space="preserve">mobile apps(1,50), sensors(1,50), wood processing(1,25), plastic processing(1,25), electronics(1,25), functions(1,25), interaction(1,25),  </v>
      </c>
      <c r="FX152" s="21" t="str">
        <f t="shared" si="475"/>
        <v xml:space="preserve">mobile apps 50
sensors 50
wood processing 25
plastic processing 25
electronics 25
functions 25
interaction 25
 </v>
      </c>
      <c r="FY152" s="21" t="str">
        <f t="shared" si="266"/>
        <v xml:space="preserve">technologists(2), spaciousness(1), ease of access(1), reputation(2), project management(2), for entrepreneurs(1),  </v>
      </c>
      <c r="FZ152" s="21" t="str">
        <f t="shared" si="267"/>
        <v xml:space="preserve">technologists(1,12.5), web(1,6.25), database(1,6.25), AI&amp; data analysis(1,6.25), mobile comm(1,6.25), for entrepreneurs(1,6.25),  </v>
      </c>
      <c r="GA152" s="21" t="str">
        <f t="shared" si="476"/>
        <v xml:space="preserve">technologists(12.5),web(6.25),database(6.25),AI&amp; data analysis(6.25),mobile comm(6.25),for entrepreneurs(6.25), </v>
      </c>
      <c r="GB152" s="21" t="str">
        <f t="shared" si="474"/>
        <v xml:space="preserve">technologists 1
 </v>
      </c>
      <c r="GC152" s="21" t="str">
        <f t="shared" si="268"/>
        <v xml:space="preserve">sensors(1,25), mobile comm(1,25), electronics(1,50), functions(1,25), safety(1,25),  </v>
      </c>
      <c r="GD152" s="21" t="str">
        <f t="shared" si="475"/>
        <v xml:space="preserve">sensors 25
mobile comm 25
electronics 50
functions 25
safety 25
 </v>
      </c>
      <c r="GE152" s="21" t="str">
        <f t="shared" si="269"/>
        <v xml:space="preserve">technologists(2), spaciousness(1), ease of access(1), reputation(2), project management(2), for entrepreneurs(1),  </v>
      </c>
      <c r="GF152" s="21" t="str">
        <f t="shared" si="270"/>
        <v xml:space="preserve">technologists(1,12.5), database(1,6.25), mobile apps(1,6.25), AI&amp; data analysis(1,6.25), plastic processing(1,6.25), interaction(1,6.25), for entrepreneurs(1,6.25),  </v>
      </c>
      <c r="GG152" s="21" t="str">
        <f t="shared" si="476"/>
        <v xml:space="preserve">technologists(12.5),database(6.25),mobile apps(6.25),AI&amp; data analysis(6.25),plastic processing(6.25),interaction(6.25),for entrepreneurs(6.25), </v>
      </c>
      <c r="GH152" s="21" t="str">
        <f t="shared" si="474"/>
        <v xml:space="preserve">technologists 1
 </v>
      </c>
      <c r="GI152" s="21" t="str">
        <f t="shared" si="271"/>
        <v xml:space="preserve">web(1,25), mobile apps(1,50), functions(1,25), interaction(1,25),  </v>
      </c>
      <c r="GJ152" s="21" t="str">
        <f t="shared" si="475"/>
        <v xml:space="preserve">web 25
mobile apps 50
functions 25
interaction 25
 </v>
      </c>
      <c r="GK152" s="21" t="str">
        <f t="shared" si="272"/>
        <v xml:space="preserve">technologists(2), spaciousness(1), ease of access(1), reputation(2), project management(2), for entrepreneurs(1),  </v>
      </c>
      <c r="GL152" s="21" t="str">
        <f t="shared" si="273"/>
        <v xml:space="preserve">technologists(1,12.5), for entrepreneurs(1,6.25),  </v>
      </c>
      <c r="GM152" s="21" t="str">
        <f t="shared" si="476"/>
        <v xml:space="preserve">technologists(12.5),for entrepreneurs(6.25), </v>
      </c>
      <c r="GN152" s="21" t="str">
        <f t="shared" si="474"/>
        <v xml:space="preserve">technologists 1
 </v>
      </c>
      <c r="GO152" s="21" t="str">
        <f t="shared" si="274"/>
        <v xml:space="preserve">web(1,25), mobile apps(1,25), VR&amp;AR(1,25), aesthetics(1,25), functions(1,25), interaction(1,50),  </v>
      </c>
      <c r="GP152" s="21" t="str">
        <f t="shared" si="475"/>
        <v xml:space="preserve">web 25
mobile apps 25
VR&amp;AR 25
aesthetics 25
functions 25
interaction 50
 </v>
      </c>
      <c r="GQ152" s="21" t="str">
        <f t="shared" si="275"/>
        <v xml:space="preserve">technologists(2), spaciousness(1), ease of access(1), reputation(2), project management(2), for entrepreneurs(1),  </v>
      </c>
      <c r="GR152" s="21" t="str">
        <f t="shared" si="276"/>
        <v xml:space="preserve">technologists(1,12.5), for entrepreneurs(1,6.25),  </v>
      </c>
      <c r="GS152" s="21" t="str">
        <f t="shared" si="476"/>
        <v xml:space="preserve">technologists(12.5),for entrepreneurs(6.25), </v>
      </c>
      <c r="GT152" s="21" t="str">
        <f t="shared" si="474"/>
        <v xml:space="preserve">ease of access 1
reputation 2
web 1
mobile apps 1
mobile comm 1
 </v>
      </c>
      <c r="GU152" s="21" t="str">
        <f t="shared" si="277"/>
        <v xml:space="preserve"> </v>
      </c>
      <c r="GV152" s="21" t="str">
        <f t="shared" si="475"/>
        <v xml:space="preserve"> </v>
      </c>
      <c r="GW152" s="21" t="str">
        <f t="shared" si="278"/>
        <v xml:space="preserve">investors(2), 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2" s="21" t="str">
        <f t="shared" si="279"/>
        <v xml:space="preserve">media(1,6.25), entrepreneurs(1,6.25), technologists(1,6.25), project management(1,6.25), social media(1,6.25), web(1,6.25), mobile apps(1,6.25),  </v>
      </c>
      <c r="GY152" s="21" t="str">
        <f t="shared" si="476"/>
        <v xml:space="preserve">media(6.25),entrepreneurs(6.25),technologists(6.25),project management(6.25),social media(6.25),web(6.25),mobile apps(6.25), </v>
      </c>
      <c r="GZ152" s="21" t="str">
        <f t="shared" si="477"/>
        <v xml:space="preserve">non-profits 1
reputation 2
portfolio 1
 </v>
      </c>
      <c r="HA152" s="21" t="str">
        <f t="shared" si="281"/>
        <v xml:space="preserve"> </v>
      </c>
      <c r="HB152" s="21" t="str">
        <f t="shared" si="478"/>
        <v xml:space="preserve"> </v>
      </c>
      <c r="HC152" s="21" t="str">
        <f t="shared" si="283"/>
        <v xml:space="preserve">non-profits(3), reputation(4), portfolio(3), social media(2), web(2), mobile apps(2), sensors(2), AI&amp; data analysis(2), VR&amp;AR(2), plastic processing(2), electronics(2), aesthetics(2), interaction(2),  </v>
      </c>
      <c r="HD152" s="21" t="str">
        <f t="shared" si="284"/>
        <v xml:space="preserve">media(1,6.25), technologists(1,6.25), non-profits(1,6.25), reputation(1,6.25), start-up with customers(1,6.25), for basic literacy(1,6.25),  </v>
      </c>
      <c r="HE152" s="21" t="str">
        <f t="shared" si="479"/>
        <v xml:space="preserve">media(6.25),technologists(6.25),non-profits(6.25),reputation(6.25),start-up with customers(6.25),for basic literacy(6.25), </v>
      </c>
      <c r="HF152" s="21" t="str">
        <f t="shared" si="477"/>
        <v xml:space="preserve"> </v>
      </c>
      <c r="HG152" s="21" t="str">
        <f t="shared" si="286"/>
        <v xml:space="preserve"> </v>
      </c>
      <c r="HH152" s="21" t="str">
        <f t="shared" si="478"/>
        <v xml:space="preserve"> </v>
      </c>
      <c r="HI152" s="21" t="str">
        <f t="shared" si="287"/>
        <v xml:space="preserve">portfolio(3), marketing(2), team building(3), project management(2), mobile apps(3), sensors(2), plastic processing(2), electronics(2), aesthetics(2), functions(2), interaction(2),  </v>
      </c>
      <c r="HJ152" s="21" t="str">
        <f t="shared" si="288"/>
        <v xml:space="preserve">media(1,6.25), non-profits(1,6.25), start-up with customers(1,6.25),  </v>
      </c>
      <c r="HK152" s="21" t="str">
        <f t="shared" si="479"/>
        <v xml:space="preserve">media(6.25),non-profits(6.25),start-up with customers(6.25), </v>
      </c>
      <c r="HL152" s="21" t="str">
        <f t="shared" si="477"/>
        <v xml:space="preserve">entrepreneurs 1
non-profits 1
reputation 2
portfolio 2
 </v>
      </c>
      <c r="HM152" s="21" t="str">
        <f t="shared" si="289"/>
        <v xml:space="preserve"> </v>
      </c>
      <c r="HN152" s="21" t="str">
        <f t="shared" si="478"/>
        <v xml:space="preserve"> </v>
      </c>
      <c r="HO152" s="21" t="str">
        <f t="shared" si="290"/>
        <v xml:space="preserve">investors(2), entrepreneurs(3), spaciousness(2), ease of access(2), reputation(3), efficiency(2), portfolio(4), finance(2), marketing(2), project management(2), social media(2), web(3), mobile apps(2), wood processing(3), plastic processing(3), electronics(3), aesthetics(2), interaction(2),  </v>
      </c>
      <c r="HP152" s="21" t="str">
        <f t="shared" si="291"/>
        <v xml:space="preserve">investors(1,6.25), media(1,6.25), entrepreneurs(1,6.25), technologists(1,6.25), suppliers(1,6.25), non-profits(1,6.25), reputation(1,6.25),  </v>
      </c>
      <c r="HQ152" s="47" t="str">
        <f t="shared" si="479"/>
        <v xml:space="preserve">investors(6.25),media(6.25),entrepreneurs(6.25),technologists(6.25),suppliers(6.25),non-profits(6.25),reputation(6.25), </v>
      </c>
      <c r="HR152" s="47" t="str">
        <f t="shared" ref="HR152:HW152" si="545">IF(HR50="",HR153,$C152&amp;"("&amp;HR50&amp;"),"&amp;HR153)</f>
        <v xml:space="preserve">reputation(2),portfolio(2),mobile apps(1),sensors(1),wood processing(1),aesthetics(1), </v>
      </c>
      <c r="HS152" s="47" t="str">
        <f t="shared" si="545"/>
        <v xml:space="preserve"> </v>
      </c>
      <c r="HT152" s="47" t="str">
        <f t="shared" si="545"/>
        <v xml:space="preserve"> </v>
      </c>
      <c r="HU152" s="47" t="str">
        <f t="shared" si="545"/>
        <v xml:space="preserve">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2" s="47" t="str">
        <f t="shared" si="545"/>
        <v xml:space="preserve">investors(1),media(1),entrepreneurs(1),technologists(1),suppliers(1),non-profits(1),reputation(1), </v>
      </c>
      <c r="HW152" s="47" t="str">
        <f t="shared" si="545"/>
        <v xml:space="preserve">investors(6.25),media(6.25),entrepreneurs(6.25),technologists(12.5),suppliers(6.25),non-profits(6.25),reputation(6.25), </v>
      </c>
      <c r="HX152" s="47" t="str">
        <f t="shared" ref="HX152:IU152" si="546">IF(HX50="",HX153,$C152&amp;"("&amp;HX50&amp;"),"&amp;HX153)</f>
        <v xml:space="preserve">media(2),entrepreneurs(2),technologists(3),non-profits(3),reputation(3),portfolio(2),web(1),infrastructrue(1),database(2),mobile apps(1),sensors(1),AI&amp; data analysis(2),VR&amp;AR(1),wood processing(1),metal processing(1),plastic processing(1),electronics(1),aesthetics(1),functions(1),interaction(1), </v>
      </c>
      <c r="HY152" s="47" t="str">
        <f t="shared" si="546"/>
        <v xml:space="preserve">biz enhancement(1), </v>
      </c>
      <c r="HZ152" s="47" t="str">
        <f t="shared" si="546"/>
        <v xml:space="preserve">biz enhancement(100), </v>
      </c>
      <c r="IA152" s="47" t="str">
        <f t="shared" si="546"/>
        <v xml:space="preserve">spaciousness(2),ease of access(3),efficiency(2),portfolio(4),finance(2),business model(2),marketing(3),team building(2),project management(2),social media(3),negotiation(3), </v>
      </c>
      <c r="IB152" s="47" t="str">
        <f t="shared" si="546"/>
        <v xml:space="preserve">media(1),entrepreneurs(1),technologists(1),non-profits(1),reputation(1),team building(1),database(1),AI&amp; data analysis(1),electronics(1),functions(1), </v>
      </c>
      <c r="IC152" s="47" t="str">
        <f t="shared" si="546"/>
        <v xml:space="preserve">media(6.25),entrepreneurs(6.25),technologists(6.25),non-profits(6.25),reputation(6.25),team building(6.25),database(6.25),AI&amp; data analysis(6.25),electronics(6.25),functions(6.25), </v>
      </c>
      <c r="ID152" s="47" t="str">
        <f t="shared" si="546"/>
        <v xml:space="preserve">technologists(2), </v>
      </c>
      <c r="IE152" s="47" t="str">
        <f t="shared" si="546"/>
        <v xml:space="preserve">web(1),mobile apps(1),security(1),AI&amp; data analysis(1), </v>
      </c>
      <c r="IF152" s="47" t="str">
        <f t="shared" si="546"/>
        <v xml:space="preserve">web(25),mobile apps(25),security(25),AI&amp; data analysis(25), </v>
      </c>
      <c r="IG152" s="47" t="str">
        <f t="shared" si="546"/>
        <v xml:space="preserve">entrepreneurs(3),technologists(4),spaciousness(2),ease of access(2),reputation(3),efficiency(2),portfolio(3),web(2),database(2),mobile apps(2),security(2),AI&amp; data analysis(2), </v>
      </c>
      <c r="IH152" s="47" t="str">
        <f t="shared" si="546"/>
        <v xml:space="preserve">technologists(1),web(1),database(1),mobile apps(1),security(1),AI&amp; data analysis(1), </v>
      </c>
      <c r="II152" s="47" t="str">
        <f t="shared" si="546"/>
        <v xml:space="preserve">technologists(6.25),web(6.25),database(6.25),mobile apps(6.25),security(6.25),AI&amp; data analysis(6.25), </v>
      </c>
      <c r="IJ152" s="47" t="str">
        <f t="shared" si="546"/>
        <v xml:space="preserve">technologists(2), </v>
      </c>
      <c r="IK152" s="47" t="str">
        <f t="shared" si="546"/>
        <v xml:space="preserve">wood processing(1),metal processing(1),functions(1),safety(1), </v>
      </c>
      <c r="IL152" s="47" t="str">
        <f t="shared" si="546"/>
        <v xml:space="preserve">wood processing(25),metal processing(25),functions(25),safety(25), </v>
      </c>
      <c r="IM152" s="47" t="str">
        <f t="shared" si="546"/>
        <v xml:space="preserve">entrepreneurs(3),technologists(4),spaciousness(2),ease of access(2),reputation(3),efficiency(2),portfolio(3),wood processing(2),metal processing(2),functions(2),safety(2), </v>
      </c>
      <c r="IN152" s="47" t="str">
        <f t="shared" si="546"/>
        <v xml:space="preserve">technologists(1),wood processing(1),metal processing(1),functions(1),safety(1),interaction(1), </v>
      </c>
      <c r="IO152" s="47" t="str">
        <f t="shared" si="546"/>
        <v xml:space="preserve">technologists(6.25),wood processing(6.25),metal processing(6.25),functions(6.25),safety(6.25),interaction(6.25), </v>
      </c>
      <c r="IP152" s="57" t="str">
        <f t="shared" si="546"/>
        <v xml:space="preserve">reputation(1), </v>
      </c>
      <c r="IQ152" s="47" t="str">
        <f t="shared" si="546"/>
        <v xml:space="preserve">marketing(1), </v>
      </c>
      <c r="IR152" s="47" t="str">
        <f t="shared" si="546"/>
        <v xml:space="preserve">marketing(25), </v>
      </c>
      <c r="IS152" s="47" t="str">
        <f t="shared" si="546"/>
        <v xml:space="preserve">non-profits(2),reputation(3),efficiency(2),marketing(2), </v>
      </c>
      <c r="IT152" s="47" t="str">
        <f t="shared" si="546"/>
        <v xml:space="preserve">non-profits(1),marketing(1), </v>
      </c>
      <c r="IU152" s="47" t="str">
        <f t="shared" si="546"/>
        <v xml:space="preserve">non-profits(6.25),marketing(6.25), </v>
      </c>
      <c r="IV152" s="57" t="str">
        <f t="shared" ref="IV152:LG152" si="547">IF(IV50="",IV153,$C152&amp;"("&amp;IV50&amp;"),"&amp;IV153)</f>
        <v xml:space="preserve">reputation(1), </v>
      </c>
      <c r="IW152" s="47" t="str">
        <f t="shared" si="547"/>
        <v xml:space="preserve">marketing(1), </v>
      </c>
      <c r="IX152" s="47" t="str">
        <f t="shared" si="547"/>
        <v xml:space="preserve">marketing(25), </v>
      </c>
      <c r="IY152" s="47" t="str">
        <f t="shared" si="547"/>
        <v xml:space="preserve">reputation(3),efficiency(2),marketing(2), </v>
      </c>
      <c r="IZ152" s="47" t="str">
        <f t="shared" si="547"/>
        <v xml:space="preserve">marketing(1), </v>
      </c>
      <c r="JA152" s="47" t="str">
        <f t="shared" si="547"/>
        <v xml:space="preserve">marketing(6.25), </v>
      </c>
      <c r="JB152" s="47" t="str">
        <f t="shared" si="547"/>
        <v xml:space="preserve"> </v>
      </c>
      <c r="JC152" s="47" t="str">
        <f t="shared" si="547"/>
        <v xml:space="preserve"> </v>
      </c>
      <c r="JD152" s="47" t="str">
        <f t="shared" si="547"/>
        <v xml:space="preserve"> </v>
      </c>
      <c r="JE152" s="47" t="str">
        <f t="shared" si="547"/>
        <v xml:space="preserve">technologists(2),spaciousness(1),ease of access(1),reputation(3),efficiency(2), </v>
      </c>
      <c r="JF152" s="47" t="str">
        <f t="shared" si="547"/>
        <v xml:space="preserve">web(1),infrastructrue(1),database(1),mobile apps(1),sensors(1),security(1),AI&amp; data analysis(1),mobile comm(1),VR&amp;AR(1),wood processing(1),metal processing(1),plastic processing(1),electronics(1),fabric(1),aesthetics(1),functions(1),safety(1),interaction(1), </v>
      </c>
      <c r="JG152" s="47" t="str">
        <f t="shared" si="547"/>
        <v xml:space="preserve">web(6.25),infrastructrue(6.25),database(6.25),mobile apps(6.25),sensors(6.25),security(6.25),AI&amp; data analysis(6.25),mobile comm(6.25),VR&amp;AR(6.25),wood processing(6.25),metal processing(6.25),plastic processing(6.25),electronics(6.25),fabric(6.25),aesthetics(6.25),functions(6.25),safety(6.25),interaction(6.25), </v>
      </c>
      <c r="JH152" s="47" t="str">
        <f t="shared" si="547"/>
        <v xml:space="preserve">non-profits(1),reputation(2), </v>
      </c>
      <c r="JI152" s="47" t="str">
        <f t="shared" si="547"/>
        <v xml:space="preserve"> </v>
      </c>
      <c r="JJ152" s="47" t="str">
        <f t="shared" si="547"/>
        <v xml:space="preserve"> </v>
      </c>
      <c r="JK152" s="47" t="str">
        <f t="shared" si="547"/>
        <v xml:space="preserve">investors(2),entrepreneurs(2),technologists(2),suppliers(2),non-profits(1),reputation(3),portfolio(2),social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2" s="47" t="str">
        <f t="shared" si="547"/>
        <v xml:space="preserve">non-profits(1), </v>
      </c>
      <c r="JM152" s="47" t="str">
        <f t="shared" si="547"/>
        <v xml:space="preserve">non-profits(6.25), </v>
      </c>
      <c r="JN152" s="47" t="str">
        <f t="shared" si="547"/>
        <v xml:space="preserve">investors(1),entrepreneurs(1),technologists(1),non-profits(1),reputation(2),portfolio(2), </v>
      </c>
      <c r="JO152" s="47" t="str">
        <f t="shared" si="547"/>
        <v xml:space="preserve"> </v>
      </c>
      <c r="JP152" s="47" t="str">
        <f t="shared" si="547"/>
        <v xml:space="preserve"> </v>
      </c>
      <c r="JQ152" s="47" t="str">
        <f t="shared" si="547"/>
        <v xml:space="preserve">investors(2),entrepreneurs(2),technologists(2),non-profits(2),ease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2" s="47" t="str">
        <f t="shared" si="547"/>
        <v xml:space="preserve"> </v>
      </c>
      <c r="JS152" s="47" t="str">
        <f t="shared" si="547"/>
        <v xml:space="preserve"> </v>
      </c>
      <c r="JT152" s="47" t="str">
        <f t="shared" si="547"/>
        <v xml:space="preserve">investors(2),entrepreneurs(2),technologists(2),non-profits(2),reputation(2),portfolio(3), </v>
      </c>
      <c r="JU152" s="47" t="str">
        <f t="shared" si="547"/>
        <v xml:space="preserve"> </v>
      </c>
      <c r="JV152" s="47" t="str">
        <f t="shared" si="547"/>
        <v xml:space="preserve"> </v>
      </c>
      <c r="JW152" s="47" t="str">
        <f t="shared" si="547"/>
        <v xml:space="preserve">investors(3),entrepreneurs(3),technologists(3),non-profits(3),reputation(3),efficiency(2),portfolio(4),law(1),finance(1),marketing(1),team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2" s="47" t="str">
        <f t="shared" si="547"/>
        <v xml:space="preserve"> </v>
      </c>
      <c r="JY152" s="47" t="str">
        <f t="shared" si="547"/>
        <v xml:space="preserve"> </v>
      </c>
      <c r="JZ152" s="47" t="str">
        <f t="shared" si="547"/>
        <v xml:space="preserve">non-profits(1),reputation(2),social project(2), </v>
      </c>
      <c r="KA152" s="47" t="str">
        <f t="shared" si="547"/>
        <v xml:space="preserve">non-profits(1), </v>
      </c>
      <c r="KB152" s="47" t="str">
        <f t="shared" si="547"/>
        <v xml:space="preserve">non-profits(25), </v>
      </c>
      <c r="KC152" s="47" t="str">
        <f t="shared" si="547"/>
        <v xml:space="preserve">investors(2),entrepreneurs(2),technologists(2),non-profits(3),reputation(3),portfolio(1),marketing(1),web(1),mobile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2" s="47" t="str">
        <f t="shared" si="547"/>
        <v xml:space="preserve">non-profits(1), </v>
      </c>
      <c r="KE152" s="47" t="str">
        <f t="shared" si="547"/>
        <v xml:space="preserve">non-profits(6.25), </v>
      </c>
      <c r="KF152" s="47" t="str">
        <f t="shared" si="547"/>
        <v xml:space="preserve"> </v>
      </c>
      <c r="KG152" s="47" t="str">
        <f t="shared" si="547"/>
        <v xml:space="preserve"> </v>
      </c>
      <c r="KH152" s="47" t="str">
        <f t="shared" si="547"/>
        <v xml:space="preserve"> </v>
      </c>
      <c r="KI152" s="47" t="str">
        <f t="shared" si="547"/>
        <v xml:space="preserve"> </v>
      </c>
      <c r="KJ152" s="47" t="str">
        <f t="shared" si="547"/>
        <v xml:space="preserve"> </v>
      </c>
      <c r="KK152" s="47" t="str">
        <f t="shared" si="547"/>
        <v xml:space="preserve"> </v>
      </c>
      <c r="KL152" s="57" t="str">
        <f t="shared" si="547"/>
        <v xml:space="preserve"> </v>
      </c>
      <c r="KM152" s="47" t="str">
        <f t="shared" si="547"/>
        <v xml:space="preserve"> </v>
      </c>
      <c r="KN152" s="47" t="str">
        <f t="shared" si="547"/>
        <v xml:space="preserve"> </v>
      </c>
      <c r="KO152" s="47" t="str">
        <f t="shared" si="547"/>
        <v xml:space="preserve"> </v>
      </c>
      <c r="KP152" s="47" t="str">
        <f t="shared" si="547"/>
        <v xml:space="preserve"> </v>
      </c>
      <c r="KQ152" s="47" t="str">
        <f t="shared" si="547"/>
        <v xml:space="preserve"> </v>
      </c>
      <c r="KR152" s="57" t="str">
        <f t="shared" si="547"/>
        <v xml:space="preserve"> </v>
      </c>
      <c r="KS152" s="47" t="str">
        <f t="shared" si="547"/>
        <v xml:space="preserve"> </v>
      </c>
      <c r="KT152" s="47" t="str">
        <f t="shared" si="547"/>
        <v xml:space="preserve"> </v>
      </c>
      <c r="KU152" s="47" t="str">
        <f t="shared" si="547"/>
        <v xml:space="preserve"> </v>
      </c>
      <c r="KV152" s="47" t="str">
        <f t="shared" si="547"/>
        <v xml:space="preserve"> </v>
      </c>
      <c r="KW152" s="47" t="str">
        <f t="shared" si="547"/>
        <v xml:space="preserve"> </v>
      </c>
      <c r="KX152" s="57" t="str">
        <f t="shared" si="547"/>
        <v xml:space="preserve"> </v>
      </c>
      <c r="KY152" s="47" t="str">
        <f t="shared" si="547"/>
        <v xml:space="preserve"> </v>
      </c>
      <c r="KZ152" s="47" t="str">
        <f t="shared" si="547"/>
        <v xml:space="preserve"> </v>
      </c>
      <c r="LA152" s="47" t="str">
        <f t="shared" si="547"/>
        <v xml:space="preserve"> </v>
      </c>
      <c r="LB152" s="47" t="str">
        <f t="shared" si="547"/>
        <v xml:space="preserve"> </v>
      </c>
      <c r="LC152" s="47" t="str">
        <f t="shared" si="547"/>
        <v xml:space="preserve"> </v>
      </c>
      <c r="LD152" s="57" t="str">
        <f t="shared" si="547"/>
        <v xml:space="preserve"> </v>
      </c>
      <c r="LE152" s="47" t="str">
        <f t="shared" si="547"/>
        <v xml:space="preserve"> </v>
      </c>
      <c r="LF152" s="47" t="str">
        <f t="shared" si="547"/>
        <v xml:space="preserve"> </v>
      </c>
      <c r="LG152" s="47" t="str">
        <f t="shared" si="547"/>
        <v xml:space="preserve"> </v>
      </c>
      <c r="LH152" s="47" t="str">
        <f t="shared" ref="LH152:NM152" si="548">IF(LH50="",LH153,$C152&amp;"("&amp;LH50&amp;"),"&amp;LH153)</f>
        <v xml:space="preserve"> </v>
      </c>
      <c r="LI152" s="47" t="str">
        <f t="shared" si="548"/>
        <v xml:space="preserve"> </v>
      </c>
      <c r="LJ152" s="57" t="str">
        <f t="shared" si="548"/>
        <v xml:space="preserve"> </v>
      </c>
      <c r="LK152" s="47" t="str">
        <f t="shared" si="548"/>
        <v xml:space="preserve"> </v>
      </c>
      <c r="LL152" s="47" t="str">
        <f t="shared" si="548"/>
        <v xml:space="preserve"> </v>
      </c>
      <c r="LM152" s="47" t="str">
        <f t="shared" si="548"/>
        <v xml:space="preserve"> </v>
      </c>
      <c r="LN152" s="47" t="str">
        <f t="shared" si="548"/>
        <v xml:space="preserve"> </v>
      </c>
      <c r="LO152" s="47" t="str">
        <f t="shared" si="548"/>
        <v xml:space="preserve"> </v>
      </c>
      <c r="LP152" s="57" t="str">
        <f t="shared" si="548"/>
        <v xml:space="preserve"> </v>
      </c>
      <c r="LQ152" s="47" t="str">
        <f t="shared" si="548"/>
        <v xml:space="preserve"> </v>
      </c>
      <c r="LR152" s="47" t="str">
        <f t="shared" si="548"/>
        <v xml:space="preserve"> </v>
      </c>
      <c r="LS152" s="47" t="str">
        <f t="shared" si="548"/>
        <v xml:space="preserve"> </v>
      </c>
      <c r="LT152" s="47" t="str">
        <f t="shared" si="548"/>
        <v xml:space="preserve"> </v>
      </c>
      <c r="LU152" s="47" t="str">
        <f t="shared" si="548"/>
        <v xml:space="preserve"> </v>
      </c>
      <c r="LV152" s="57" t="str">
        <f t="shared" si="548"/>
        <v xml:space="preserve"> </v>
      </c>
      <c r="LW152" s="47" t="str">
        <f t="shared" si="548"/>
        <v xml:space="preserve"> </v>
      </c>
      <c r="LX152" s="47" t="str">
        <f t="shared" si="548"/>
        <v xml:space="preserve"> </v>
      </c>
      <c r="LY152" s="47" t="str">
        <f t="shared" si="548"/>
        <v xml:space="preserve"> </v>
      </c>
      <c r="LZ152" s="47" t="str">
        <f t="shared" si="548"/>
        <v xml:space="preserve"> </v>
      </c>
      <c r="MA152" s="47" t="str">
        <f t="shared" si="548"/>
        <v xml:space="preserve"> </v>
      </c>
      <c r="MB152" s="57" t="str">
        <f t="shared" si="548"/>
        <v xml:space="preserve"> </v>
      </c>
      <c r="MC152" s="47" t="str">
        <f t="shared" si="548"/>
        <v xml:space="preserve"> </v>
      </c>
      <c r="MD152" s="47" t="str">
        <f t="shared" si="548"/>
        <v xml:space="preserve"> </v>
      </c>
      <c r="ME152" s="47" t="str">
        <f t="shared" si="548"/>
        <v xml:space="preserve"> </v>
      </c>
      <c r="MF152" s="47" t="str">
        <f t="shared" si="548"/>
        <v xml:space="preserve"> </v>
      </c>
      <c r="MG152" s="47" t="str">
        <f t="shared" si="548"/>
        <v xml:space="preserve"> </v>
      </c>
      <c r="MH152" s="57" t="str">
        <f t="shared" si="548"/>
        <v xml:space="preserve"> </v>
      </c>
      <c r="MI152" s="47" t="str">
        <f t="shared" si="548"/>
        <v xml:space="preserve"> </v>
      </c>
      <c r="MJ152" s="47" t="str">
        <f t="shared" si="548"/>
        <v xml:space="preserve"> </v>
      </c>
      <c r="MK152" s="47" t="str">
        <f t="shared" si="548"/>
        <v xml:space="preserve"> </v>
      </c>
      <c r="ML152" s="47" t="str">
        <f t="shared" si="548"/>
        <v xml:space="preserve"> </v>
      </c>
      <c r="MM152" s="47" t="str">
        <f t="shared" si="548"/>
        <v xml:space="preserve"> </v>
      </c>
      <c r="MN152" s="57" t="str">
        <f t="shared" si="548"/>
        <v xml:space="preserve"> </v>
      </c>
      <c r="MO152" s="47" t="str">
        <f t="shared" si="548"/>
        <v xml:space="preserve"> </v>
      </c>
      <c r="MP152" s="47" t="str">
        <f t="shared" si="548"/>
        <v xml:space="preserve"> </v>
      </c>
      <c r="MQ152" s="47" t="str">
        <f t="shared" si="548"/>
        <v xml:space="preserve"> </v>
      </c>
      <c r="MR152" s="47" t="str">
        <f t="shared" si="548"/>
        <v xml:space="preserve"> </v>
      </c>
      <c r="MS152" s="47" t="str">
        <f t="shared" si="548"/>
        <v xml:space="preserve"> </v>
      </c>
      <c r="MT152" s="57" t="str">
        <f t="shared" si="548"/>
        <v xml:space="preserve"> </v>
      </c>
      <c r="MU152" s="47" t="str">
        <f t="shared" si="548"/>
        <v xml:space="preserve"> </v>
      </c>
      <c r="MV152" s="47" t="str">
        <f t="shared" si="548"/>
        <v xml:space="preserve"> </v>
      </c>
      <c r="MW152" s="47" t="str">
        <f t="shared" si="548"/>
        <v xml:space="preserve"> </v>
      </c>
      <c r="MX152" s="47" t="str">
        <f t="shared" si="548"/>
        <v xml:space="preserve"> </v>
      </c>
      <c r="MY152" s="47" t="str">
        <f t="shared" si="548"/>
        <v xml:space="preserve"> </v>
      </c>
      <c r="MZ152" s="57" t="str">
        <f t="shared" si="548"/>
        <v xml:space="preserve"> </v>
      </c>
      <c r="NA152" s="47" t="str">
        <f t="shared" si="548"/>
        <v xml:space="preserve"> </v>
      </c>
      <c r="NB152" s="47" t="str">
        <f t="shared" si="548"/>
        <v xml:space="preserve"> </v>
      </c>
      <c r="NC152" s="47" t="str">
        <f t="shared" si="548"/>
        <v xml:space="preserve"> </v>
      </c>
      <c r="ND152" s="47" t="str">
        <f t="shared" si="548"/>
        <v xml:space="preserve"> </v>
      </c>
      <c r="NE152" s="47" t="str">
        <f t="shared" si="548"/>
        <v xml:space="preserve"> </v>
      </c>
      <c r="NF152" s="57" t="str">
        <f t="shared" si="548"/>
        <v xml:space="preserve"> </v>
      </c>
      <c r="NG152" s="47" t="str">
        <f t="shared" si="548"/>
        <v xml:space="preserve"> </v>
      </c>
      <c r="NH152" s="47" t="str">
        <f t="shared" si="548"/>
        <v xml:space="preserve"> </v>
      </c>
      <c r="NI152" s="47" t="str">
        <f t="shared" si="548"/>
        <v xml:space="preserve"> </v>
      </c>
      <c r="NJ152" s="47" t="str">
        <f t="shared" si="548"/>
        <v xml:space="preserve"> </v>
      </c>
      <c r="NK152" s="47" t="str">
        <f t="shared" si="548"/>
        <v xml:space="preserve"> </v>
      </c>
      <c r="NL152" s="57" t="str">
        <f t="shared" si="548"/>
        <v xml:space="preserve"> </v>
      </c>
      <c r="NM152" s="47" t="str">
        <f t="shared" si="548"/>
        <v xml:space="preserve"> </v>
      </c>
    </row>
    <row r="153" spans="3:377" ht="15.75" customHeight="1">
      <c r="C153" s="7" t="str">
        <f t="shared" si="296"/>
        <v>media</v>
      </c>
      <c r="D153" s="21" t="str">
        <f t="shared" si="169"/>
        <v xml:space="preserve"> </v>
      </c>
      <c r="E153" s="21" t="str">
        <f t="shared" si="297"/>
        <v xml:space="preserve"> </v>
      </c>
      <c r="F153" s="21" t="str">
        <f t="shared" si="170"/>
        <v xml:space="preserve"> </v>
      </c>
      <c r="G153" s="21" t="str">
        <f t="shared" si="298"/>
        <v xml:space="preserve">ease of access(1), reputation(2), social media(1),  </v>
      </c>
      <c r="H153" s="21" t="str">
        <f t="shared" si="299"/>
        <v xml:space="preserve"> </v>
      </c>
      <c r="I153" s="21" t="str">
        <f t="shared" ref="I153" si="549">IF(I51="",I154,$C153&amp;"("&amp;I51&amp;"),"&amp;I154)</f>
        <v xml:space="preserve"> </v>
      </c>
      <c r="J153" s="21" t="str">
        <f t="shared" si="468"/>
        <v xml:space="preserve">interaction 1
 </v>
      </c>
      <c r="K153" s="21" t="str">
        <f t="shared" si="173"/>
        <v xml:space="preserve">reputation(1,75),  </v>
      </c>
      <c r="L153" s="21" t="str">
        <f t="shared" si="469"/>
        <v xml:space="preserve">reputation 75
 </v>
      </c>
      <c r="M153" s="21" t="str">
        <f t="shared" si="175"/>
        <v xml:space="preserve">portfolio(1), social innovation(1), non-profit biz(1),  </v>
      </c>
      <c r="N153" s="21" t="str">
        <f t="shared" si="176"/>
        <v xml:space="preserve">non-profits(1,12.5), reputation(1,75), marketing(1,12.5),  </v>
      </c>
      <c r="O153" s="21" t="str">
        <f t="shared" si="470"/>
        <v xml:space="preserve">non-profits(12.5),reputation(75),marketing(12.5), </v>
      </c>
      <c r="P153" s="21" t="str">
        <f t="shared" si="468"/>
        <v xml:space="preserve">biz project 1
 </v>
      </c>
      <c r="Q153" s="21" t="str">
        <f t="shared" si="178"/>
        <v xml:space="preserve"> </v>
      </c>
      <c r="R153" s="21" t="str">
        <f t="shared" si="469"/>
        <v xml:space="preserve"> </v>
      </c>
      <c r="S153" s="21" t="str">
        <f t="shared" si="179"/>
        <v xml:space="preserve">portfolio(1), biz enhancement(1), business(1), start-up(1),  </v>
      </c>
      <c r="T153" s="21" t="str">
        <f t="shared" si="180"/>
        <v xml:space="preserve">reputation(1,6.25),  </v>
      </c>
      <c r="U153" s="21" t="str">
        <f t="shared" si="470"/>
        <v xml:space="preserve">reputation(6.25), </v>
      </c>
      <c r="V153" s="21" t="str">
        <f t="shared" si="468"/>
        <v xml:space="preserve"> </v>
      </c>
      <c r="W153" s="21" t="str">
        <f t="shared" si="181"/>
        <v xml:space="preserve"> </v>
      </c>
      <c r="X153" s="21" t="str">
        <f t="shared" si="469"/>
        <v xml:space="preserve"> </v>
      </c>
      <c r="Y153" s="21" t="str">
        <f t="shared" si="182"/>
        <v xml:space="preserve">ease of access(1), reputation(1), portfolio(1), biz project(1), biz enhancement(1), job creation(1), business(1),  </v>
      </c>
      <c r="Z153" s="21" t="str">
        <f t="shared" si="183"/>
        <v xml:space="preserve"> </v>
      </c>
      <c r="AA153" s="21" t="str">
        <f t="shared" si="470"/>
        <v xml:space="preserve"> </v>
      </c>
      <c r="AB153" s="21" t="str">
        <f t="shared" si="468"/>
        <v xml:space="preserve"> </v>
      </c>
      <c r="AC153" s="21" t="str">
        <f t="shared" si="184"/>
        <v xml:space="preserve">non-profits(1,100),  </v>
      </c>
      <c r="AD153" s="21" t="str">
        <f t="shared" si="469"/>
        <v xml:space="preserve">non-profits 100
 </v>
      </c>
      <c r="AE153" s="21" t="str">
        <f t="shared" si="185"/>
        <v xml:space="preserve">ease of access(1), reputation(1), portfolio(1), social project(1), social innovation(1), non-profit biz(1),  </v>
      </c>
      <c r="AF153" s="21" t="str">
        <f t="shared" si="186"/>
        <v xml:space="preserve">non-profits(1,6.25),  </v>
      </c>
      <c r="AG153" s="21" t="str">
        <f t="shared" si="470"/>
        <v xml:space="preserve">non-profits(6.25), </v>
      </c>
      <c r="AH153" s="21" t="str">
        <f t="shared" si="468"/>
        <v xml:space="preserve"> </v>
      </c>
      <c r="AI153" s="21" t="str">
        <f t="shared" si="187"/>
        <v xml:space="preserve"> </v>
      </c>
      <c r="AJ153" s="21" t="str">
        <f t="shared" si="469"/>
        <v xml:space="preserve"> </v>
      </c>
      <c r="AK153" s="21" t="str">
        <f t="shared" si="188"/>
        <v xml:space="preserve">ease of access(1), reputation(2), portfolio(1), social project(1), social innovation(1), non-profit biz(1),  </v>
      </c>
      <c r="AL153" s="21" t="str">
        <f t="shared" si="189"/>
        <v xml:space="preserve"> </v>
      </c>
      <c r="AM153" s="21" t="str">
        <f t="shared" si="470"/>
        <v xml:space="preserve"> </v>
      </c>
      <c r="AN153" s="21" t="str">
        <f t="shared" si="468"/>
        <v xml:space="preserve"> </v>
      </c>
      <c r="AO153" s="21" t="str">
        <f t="shared" si="190"/>
        <v xml:space="preserve"> </v>
      </c>
      <c r="AP153" s="21" t="str">
        <f t="shared" si="469"/>
        <v xml:space="preserve"> </v>
      </c>
      <c r="AQ153" s="21" t="str">
        <f t="shared" si="191"/>
        <v xml:space="preserve">ease of access(1), reputation(1), portfolio(1), start-up(1), start-up with mvp(1), start-up with customers(1),  </v>
      </c>
      <c r="AR153" s="21" t="str">
        <f t="shared" si="192"/>
        <v xml:space="preserve"> </v>
      </c>
      <c r="AS153" s="21" t="str">
        <f t="shared" si="470"/>
        <v xml:space="preserve"> </v>
      </c>
      <c r="AT153" s="21" t="str">
        <f t="shared" si="468"/>
        <v xml:space="preserve">non-profits 2
reputation 1
portfolio 1
social project 1
 </v>
      </c>
      <c r="AU153" s="21" t="str">
        <f t="shared" si="193"/>
        <v xml:space="preserve"> </v>
      </c>
      <c r="AV153" s="21" t="str">
        <f t="shared" si="469"/>
        <v xml:space="preserve"> </v>
      </c>
      <c r="AW153" s="21" t="str">
        <f t="shared" si="194"/>
        <v xml:space="preserve">project management(2),  </v>
      </c>
      <c r="AX153" s="21" t="str">
        <f t="shared" si="195"/>
        <v xml:space="preserve">organizational rules and manuals(1,12.5), project management(1,12.5),  </v>
      </c>
      <c r="AY153" s="21" t="str">
        <f t="shared" si="470"/>
        <v xml:space="preserve">organizational rules and manuals(12.5),project management(12.5), </v>
      </c>
      <c r="AZ153" s="21" t="str">
        <f t="shared" si="468"/>
        <v xml:space="preserve">non-profits 1
 </v>
      </c>
      <c r="BA153" s="21" t="str">
        <f t="shared" si="196"/>
        <v xml:space="preserve"> </v>
      </c>
      <c r="BB153" s="21" t="str">
        <f t="shared" si="469"/>
        <v xml:space="preserve"> </v>
      </c>
      <c r="BC153" s="21" t="str">
        <f t="shared" si="197"/>
        <v xml:space="preserve"> </v>
      </c>
      <c r="BD153" s="21" t="str">
        <f t="shared" si="198"/>
        <v xml:space="preserve"> </v>
      </c>
      <c r="BE153" s="21" t="str">
        <f t="shared" si="470"/>
        <v xml:space="preserve"> </v>
      </c>
      <c r="BF153" s="21" t="str">
        <f t="shared" si="468"/>
        <v xml:space="preserve">entrepreneurs 1
reputation 1
portfolio 1
biz project 1
 </v>
      </c>
      <c r="BG153" s="21" t="str">
        <f t="shared" si="199"/>
        <v xml:space="preserve"> </v>
      </c>
      <c r="BH153" s="21" t="str">
        <f t="shared" si="469"/>
        <v xml:space="preserve"> </v>
      </c>
      <c r="BI153" s="21" t="str">
        <f t="shared" si="200"/>
        <v xml:space="preserve">project management(2),  </v>
      </c>
      <c r="BJ153" s="21" t="str">
        <f t="shared" si="201"/>
        <v xml:space="preserve">organizational rules and manuals(1,12.5), project management(1,12.5),  </v>
      </c>
      <c r="BK153" s="21" t="str">
        <f t="shared" si="470"/>
        <v xml:space="preserve">organizational rules and manuals(12.5),project management(12.5), </v>
      </c>
      <c r="BL153" s="21" t="str">
        <f t="shared" si="468"/>
        <v xml:space="preserve">reputation 1
portfolio 1
biz enhancement 1
 </v>
      </c>
      <c r="BM153" s="21" t="str">
        <f t="shared" si="202"/>
        <v xml:space="preserve"> </v>
      </c>
      <c r="BN153" s="21" t="str">
        <f t="shared" si="469"/>
        <v xml:space="preserve"> </v>
      </c>
      <c r="BO153" s="21" t="str">
        <f t="shared" si="203"/>
        <v xml:space="preserve"> </v>
      </c>
      <c r="BP153" s="21" t="str">
        <f t="shared" si="204"/>
        <v xml:space="preserve"> </v>
      </c>
      <c r="BQ153" s="21" t="str">
        <f t="shared" si="470"/>
        <v xml:space="preserve"> </v>
      </c>
      <c r="BR153" s="21" t="str">
        <f t="shared" si="468"/>
        <v xml:space="preserve"> </v>
      </c>
      <c r="BS153" s="21" t="str">
        <f t="shared" si="205"/>
        <v xml:space="preserve"> </v>
      </c>
      <c r="BT153" s="21" t="str">
        <f t="shared" si="469"/>
        <v xml:space="preserve"> </v>
      </c>
      <c r="BU153" s="21" t="str">
        <f t="shared" si="206"/>
        <v xml:space="preserve"> </v>
      </c>
      <c r="BV153" s="21" t="str">
        <f t="shared" si="207"/>
        <v xml:space="preserve"> </v>
      </c>
      <c r="BW153" s="21" t="str">
        <f t="shared" si="470"/>
        <v xml:space="preserve"> </v>
      </c>
      <c r="BX153" s="21" t="str">
        <f t="shared" si="471"/>
        <v xml:space="preserve"> </v>
      </c>
      <c r="BY153" s="21" t="str">
        <f t="shared" si="209"/>
        <v xml:space="preserve">efficiency(1,),  </v>
      </c>
      <c r="BZ153" s="21" t="str">
        <f t="shared" si="472"/>
        <v xml:space="preserve"> </v>
      </c>
      <c r="CA153" s="21" t="str">
        <f t="shared" si="211"/>
        <v xml:space="preserve">negotiation(1),  </v>
      </c>
      <c r="CB153" s="21" t="str">
        <f t="shared" si="212"/>
        <v xml:space="preserve">user rules and manuals(1,50), organizational rules and manuals(1,50),  </v>
      </c>
      <c r="CC153" s="21" t="str">
        <f t="shared" si="473"/>
        <v xml:space="preserve">user rules and manuals(50),organizational rules and manuals(50), </v>
      </c>
      <c r="CD153" s="21" t="str">
        <f t="shared" si="471"/>
        <v xml:space="preserve"> </v>
      </c>
      <c r="CE153" s="21" t="str">
        <f t="shared" si="214"/>
        <v xml:space="preserve">non-profits(1,),  </v>
      </c>
      <c r="CF153" s="21" t="str">
        <f t="shared" si="472"/>
        <v xml:space="preserve"> </v>
      </c>
      <c r="CG153" s="21" t="str">
        <f t="shared" si="215"/>
        <v xml:space="preserve">ease of access(1), portfolio(1), user rules and manuals(1), negotiation(1), social project(1), biz project(1), for basic literacy(1), for the elites(1), for entrepreneurs(1),  </v>
      </c>
      <c r="CH153" s="21" t="str">
        <f t="shared" si="216"/>
        <v xml:space="preserve">technologists(1,6.25), non-profits(1,6.25),  </v>
      </c>
      <c r="CI153" s="21" t="str">
        <f t="shared" si="473"/>
        <v xml:space="preserve">technologists(6.25),non-profits(6.25), </v>
      </c>
      <c r="CJ153" s="21" t="str">
        <f t="shared" si="471"/>
        <v xml:space="preserve"> </v>
      </c>
      <c r="CK153" s="21" t="str">
        <f t="shared" si="217"/>
        <v xml:space="preserve">suppliers(1,),  </v>
      </c>
      <c r="CL153" s="21" t="str">
        <f t="shared" si="472"/>
        <v xml:space="preserve"> </v>
      </c>
      <c r="CM153" s="21" t="str">
        <f t="shared" si="218"/>
        <v xml:space="preserve">reputation(1), negotiation(1),  </v>
      </c>
      <c r="CN153" s="21" t="str">
        <f t="shared" si="219"/>
        <v xml:space="preserve">efficiency(1,6.25),  </v>
      </c>
      <c r="CO153" s="21" t="str">
        <f t="shared" si="473"/>
        <v xml:space="preserve">efficiency(6.25), </v>
      </c>
      <c r="CP153" s="21" t="str">
        <f t="shared" si="471"/>
        <v xml:space="preserve"> </v>
      </c>
      <c r="CQ153" s="21" t="str">
        <f t="shared" si="220"/>
        <v xml:space="preserve">technologists(1,),  </v>
      </c>
      <c r="CR153" s="21" t="str">
        <f t="shared" si="472"/>
        <v xml:space="preserve"> </v>
      </c>
      <c r="CS153" s="21" t="str">
        <f t="shared" si="221"/>
        <v xml:space="preserve">portfolio(1), negotiation(1), web(1), infrastructrue(1), database(1), mobile apps(1), sensors(1), security(1), AI&amp; data analysis(1), mobile comm(1), VR&amp;AR(1), wood processing(1), metal processing(1), plastic processing(1), electronics(1), fabric(1),  </v>
      </c>
      <c r="CT153" s="21" t="str">
        <f t="shared" si="222"/>
        <v xml:space="preserve">efficiency(1,6.25),  </v>
      </c>
      <c r="CU153" s="21" t="str">
        <f t="shared" si="473"/>
        <v xml:space="preserve">efficiency(6.25), </v>
      </c>
      <c r="CV153" s="21" t="str">
        <f t="shared" si="471"/>
        <v xml:space="preserve"> </v>
      </c>
      <c r="CW153" s="21" t="str">
        <f t="shared" si="223"/>
        <v xml:space="preserve"> </v>
      </c>
      <c r="CX153" s="21" t="str">
        <f t="shared" si="472"/>
        <v xml:space="preserve"> </v>
      </c>
      <c r="CY153" s="21" t="str">
        <f t="shared" si="224"/>
        <v xml:space="preserve">ease of access(1), reputation(1), portfolio(1), negotiation(1),  </v>
      </c>
      <c r="CZ153" s="21" t="str">
        <f t="shared" si="225"/>
        <v xml:space="preserve">non-profits(1,6.25),  </v>
      </c>
      <c r="DA153" s="21" t="str">
        <f t="shared" si="473"/>
        <v xml:space="preserve">non-profits(6.25), </v>
      </c>
      <c r="DB153" s="21" t="str">
        <f t="shared" si="471"/>
        <v xml:space="preserve"> </v>
      </c>
      <c r="DC153" s="21" t="str">
        <f t="shared" si="226"/>
        <v xml:space="preserve"> </v>
      </c>
      <c r="DD153" s="21" t="str">
        <f t="shared" si="472"/>
        <v xml:space="preserve"> </v>
      </c>
      <c r="DE153"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3" s="21" t="str">
        <f t="shared" si="228"/>
        <v xml:space="preserve">entrepreneurs(1,6.25),  </v>
      </c>
      <c r="DG153" s="21" t="str">
        <f t="shared" si="473"/>
        <v xml:space="preserve">entrepreneurs(6.25), </v>
      </c>
      <c r="DH153" s="21" t="str">
        <f t="shared" si="471"/>
        <v xml:space="preserve">non-profits 1
reputation 1
social project 1
 </v>
      </c>
      <c r="DI153" s="21" t="str">
        <f t="shared" si="229"/>
        <v xml:space="preserve"> </v>
      </c>
      <c r="DJ153" s="21" t="str">
        <f t="shared" si="472"/>
        <v xml:space="preserve"> </v>
      </c>
      <c r="DK153"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3" s="21" t="str">
        <f t="shared" si="231"/>
        <v xml:space="preserve">reputation(1,6.25),  </v>
      </c>
      <c r="DM153" s="21" t="str">
        <f t="shared" si="473"/>
        <v xml:space="preserve">reputation(6.25), </v>
      </c>
      <c r="DN153" s="21" t="str">
        <f t="shared" si="471"/>
        <v xml:space="preserve">reputation 1
biz project 1
 </v>
      </c>
      <c r="DO153" s="21" t="str">
        <f t="shared" si="232"/>
        <v xml:space="preserve"> </v>
      </c>
      <c r="DP153" s="21" t="str">
        <f t="shared" si="472"/>
        <v xml:space="preserve"> </v>
      </c>
      <c r="DQ153" s="21" t="str">
        <f t="shared" si="233"/>
        <v xml:space="preserve">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3" s="21" t="str">
        <f t="shared" si="234"/>
        <v xml:space="preserve">reputation(1,6.25),  </v>
      </c>
      <c r="DS153" s="21" t="str">
        <f t="shared" si="473"/>
        <v xml:space="preserve">reputation(6.25), </v>
      </c>
      <c r="DT153" s="21" t="str">
        <f t="shared" si="471"/>
        <v xml:space="preserve">reputation 1
 </v>
      </c>
      <c r="DU153" s="21" t="str">
        <f t="shared" si="235"/>
        <v xml:space="preserve"> </v>
      </c>
      <c r="DV153" s="21" t="str">
        <f t="shared" si="472"/>
        <v xml:space="preserve"> </v>
      </c>
      <c r="DW153" s="21" t="str">
        <f t="shared" si="236"/>
        <v xml:space="preserve">media(2), entrepreneurs(1), technologists(1), non-profits(1), spaciousness(1), ease of access(1), reputation(2), efficiency(1), organizational rules and manuals(1), marketing(1), social media(1), for basic literacy(1),  </v>
      </c>
      <c r="DX153" s="21" t="str">
        <f t="shared" si="237"/>
        <v xml:space="preserve">reputation(1,6.25), for basic literacy(1,6.25),  </v>
      </c>
      <c r="DY153" s="21" t="str">
        <f t="shared" si="473"/>
        <v xml:space="preserve">reputation(6.25),for basic literacy(6.25), </v>
      </c>
      <c r="DZ153" s="21" t="str">
        <f t="shared" si="471"/>
        <v xml:space="preserve">reputation 1
 </v>
      </c>
      <c r="EA153" s="21" t="str">
        <f t="shared" si="238"/>
        <v xml:space="preserve"> </v>
      </c>
      <c r="EB153" s="21" t="str">
        <f t="shared" si="472"/>
        <v xml:space="preserve"> </v>
      </c>
      <c r="EC153" s="21" t="str">
        <f t="shared" si="239"/>
        <v xml:space="preserve">media(1), 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3" s="21" t="str">
        <f t="shared" si="240"/>
        <v xml:space="preserve">reputation(1,6.25), for basic literacy(1,6.25),  </v>
      </c>
      <c r="EE153" s="21" t="str">
        <f t="shared" si="473"/>
        <v xml:space="preserve">reputation(6.25),for basic literacy(6.25), </v>
      </c>
      <c r="EF153" s="21" t="str">
        <f t="shared" si="471"/>
        <v xml:space="preserve">technologists 1
reputation 1
 </v>
      </c>
      <c r="EG153" s="21" t="str">
        <f t="shared" si="241"/>
        <v xml:space="preserve">web(1,50), mobile apps(1,50), interaction(1,50),  </v>
      </c>
      <c r="EH153" s="21" t="str">
        <f t="shared" si="472"/>
        <v xml:space="preserve">web 50
mobile apps 50
interaction 50
 </v>
      </c>
      <c r="EI153" s="21" t="str">
        <f t="shared" si="242"/>
        <v xml:space="preserve">technologists(2), ease of access(1), reputation(2), infrastructrue(1), database(1), mobile comm(1), for entrepreneurs(1),  </v>
      </c>
      <c r="EJ153" s="21" t="str">
        <f t="shared" si="243"/>
        <v xml:space="preserve">technologists(1,12.5), infrastructrue(1,12.5), database(1,12.5), mobile comm(1,12.5), for entrepreneurs(1,6.25),  </v>
      </c>
      <c r="EK153" s="21" t="str">
        <f t="shared" si="473"/>
        <v xml:space="preserve">technologists(12.5),infrastructrue(12.5),database(12.5),mobile comm(12.5),for entrepreneurs(6.25), </v>
      </c>
      <c r="EL153" s="21" t="str">
        <f t="shared" si="474"/>
        <v xml:space="preserve">technologists 1
reputation 1
 </v>
      </c>
      <c r="EM153" s="21" t="str">
        <f t="shared" si="245"/>
        <v xml:space="preserve">sensors(1,50),  </v>
      </c>
      <c r="EN153" s="21" t="str">
        <f t="shared" si="475"/>
        <v xml:space="preserve">sensors 50
 </v>
      </c>
      <c r="EO153" s="21" t="str">
        <f t="shared" si="247"/>
        <v xml:space="preserve">technologists(2), ease of access(1), reputation(2), project management(2), infrastructrue(1), database(1), mobile comm(1), for entrepreneurs(1),  </v>
      </c>
      <c r="EP153" s="21" t="str">
        <f t="shared" si="248"/>
        <v xml:space="preserve">technologists(1,12.5), infrastructrue(1,12.5), database(1,12.5), mobile comm(1,12.5), electronics(1,6.25), for entrepreneurs(1,6.25),  </v>
      </c>
      <c r="EQ153" s="21" t="str">
        <f t="shared" si="476"/>
        <v xml:space="preserve">technologists(12.5),infrastructrue(12.5),database(12.5),mobile comm(12.5),electronics(6.25),for entrepreneurs(6.25), </v>
      </c>
      <c r="ER153" s="21" t="str">
        <f t="shared" si="474"/>
        <v xml:space="preserve">technologists 1
 </v>
      </c>
      <c r="ES153" s="21" t="str">
        <f t="shared" si="250"/>
        <v xml:space="preserve">AI&amp; data analysis(1,50),  </v>
      </c>
      <c r="ET153" s="21" t="str">
        <f t="shared" si="475"/>
        <v xml:space="preserve">AI&amp; data analysis 50
 </v>
      </c>
      <c r="EU153" s="21" t="str">
        <f t="shared" si="251"/>
        <v xml:space="preserve">technologists(2), ease of access(1), reputation(2), database(1), sensors(1), mobile comm(1), for entrepreneurs(1),  </v>
      </c>
      <c r="EV153" s="21" t="str">
        <f t="shared" si="252"/>
        <v xml:space="preserve">technologists(1,12.5), database(1,12.5), sensors(1,12.5), mobile comm(1,12.5), for entrepreneurs(1,6.25),  </v>
      </c>
      <c r="EW153" s="21" t="str">
        <f t="shared" si="476"/>
        <v xml:space="preserve">technologists(12.5),database(12.5),sensors(12.5),mobile comm(12.5),for entrepreneurs(6.25), </v>
      </c>
      <c r="EX153" s="21" t="str">
        <f t="shared" si="474"/>
        <v xml:space="preserve">technologists 1
 </v>
      </c>
      <c r="EY153" s="21" t="str">
        <f t="shared" si="253"/>
        <v xml:space="preserve">law(1,50), security(1,50), interaction(1,25),  </v>
      </c>
      <c r="EZ153" s="21" t="str">
        <f t="shared" si="475"/>
        <v xml:space="preserve">law 50
security 50
interaction 25
 </v>
      </c>
      <c r="FA153" s="21" t="str">
        <f t="shared" si="254"/>
        <v xml:space="preserve">technologists(2), ease of access(1), reputation(2), law(2), for entrepreneurs(1),  </v>
      </c>
      <c r="FB153" s="21" t="str">
        <f t="shared" si="255"/>
        <v xml:space="preserve">technologists(1,12.5), law(1,6.25), database(1,12.5), mobile apps(1,12.5), security(1,12.5), mobile comm(1,12.5), for entrepreneurs(1,6.25),  </v>
      </c>
      <c r="FC153" s="21" t="str">
        <f t="shared" si="476"/>
        <v xml:space="preserve">technologists(12.5),law(6.25),database(12.5),mobile apps(12.5),security(12.5),mobile comm(12.5),for entrepreneurs(6.25), </v>
      </c>
      <c r="FD153" s="21" t="str">
        <f t="shared" si="474"/>
        <v xml:space="preserve">technologists 1
 </v>
      </c>
      <c r="FE153" s="21" t="str">
        <f t="shared" si="256"/>
        <v xml:space="preserve">law(1,50), sensors(1,50), security(1,50),  </v>
      </c>
      <c r="FF153" s="21" t="str">
        <f t="shared" si="475"/>
        <v xml:space="preserve">law 50
sensors 50
security 50
 </v>
      </c>
      <c r="FG153" s="21" t="str">
        <f t="shared" si="257"/>
        <v xml:space="preserve">technologists(2), ease of access(1), reputation(2), law(2), project management(2), for entrepreneurs(1),  </v>
      </c>
      <c r="FH153" s="21" t="str">
        <f t="shared" si="258"/>
        <v xml:space="preserve">technologists(1,12.5), law(1,6.25), database(1,6.25), mobile apps(1,6.25), AI&amp; data analysis(1,6.25), mobile comm(1,6.25), for entrepreneurs(1,6.25),  </v>
      </c>
      <c r="FI153" s="21" t="str">
        <f t="shared" si="476"/>
        <v xml:space="preserve">technologists(12.5),law(6.25),database(6.25),mobile apps(6.25),AI&amp; data analysis(6.25),mobile comm(6.25),for entrepreneurs(6.25), </v>
      </c>
      <c r="FJ153" s="21" t="str">
        <f t="shared" si="474"/>
        <v xml:space="preserve">technologists 1
 </v>
      </c>
      <c r="FK153" s="21" t="str">
        <f t="shared" si="259"/>
        <v xml:space="preserve">wood processing(1,25), metal processing(1,25), plastic processing(1,25), fabric(1,25), safety(1,25), interaction(1,25),  </v>
      </c>
      <c r="FL153" s="21" t="str">
        <f t="shared" si="475"/>
        <v xml:space="preserve">project management 2
wood processing 25
metal processing 25
plastic processing 25
fabric 25
safety 25
interaction 25
 </v>
      </c>
      <c r="FM153" s="21" t="str">
        <f t="shared" si="260"/>
        <v xml:space="preserve">technologists(2), spaciousness(1), ease of access(1), reputation(2), for entrepreneurs(1),  </v>
      </c>
      <c r="FN153" s="21" t="str">
        <f t="shared" si="261"/>
        <v xml:space="preserve">technologists(1,12.5), for entrepreneurs(1,6.25),  </v>
      </c>
      <c r="FO153" s="21" t="str">
        <f t="shared" si="476"/>
        <v xml:space="preserve">technologists(12.5),for entrepreneurs(6.25), </v>
      </c>
      <c r="FP153" s="21" t="str">
        <f t="shared" si="474"/>
        <v xml:space="preserve">technologists 1
 </v>
      </c>
      <c r="FQ153" s="21" t="str">
        <f t="shared" si="262"/>
        <v xml:space="preserve">web(1,25), mobile apps(1,50), functions(1,25), interaction(1,25),  </v>
      </c>
      <c r="FR153" s="21" t="str">
        <f t="shared" si="475"/>
        <v xml:space="preserve">web 25
mobile apps 50
functions 25
interaction 25
 </v>
      </c>
      <c r="FS153" s="21" t="str">
        <f t="shared" si="263"/>
        <v xml:space="preserve">technologists(2), spaciousness(1), ease of access(1), reputation(2), for entrepreneurs(1),  </v>
      </c>
      <c r="FT153" s="21" t="str">
        <f t="shared" si="264"/>
        <v xml:space="preserve">technologists(1,12.5), for entrepreneurs(1,6.25),  </v>
      </c>
      <c r="FU153" s="21" t="str">
        <f t="shared" si="476"/>
        <v xml:space="preserve">technologists(12.5),for entrepreneurs(6.25), </v>
      </c>
      <c r="FV153" s="21" t="str">
        <f t="shared" si="474"/>
        <v xml:space="preserve">technologists 1
 </v>
      </c>
      <c r="FW153" s="21" t="str">
        <f t="shared" si="265"/>
        <v xml:space="preserve">mobile apps(1,50), sensors(1,50), wood processing(1,25), plastic processing(1,25), electronics(1,25), functions(1,25), interaction(1,25),  </v>
      </c>
      <c r="FX153" s="21" t="str">
        <f t="shared" si="475"/>
        <v xml:space="preserve">mobile apps 50
sensors 50
wood processing 25
plastic processing 25
electronics 25
functions 25
interaction 25
 </v>
      </c>
      <c r="FY153" s="21" t="str">
        <f t="shared" si="266"/>
        <v xml:space="preserve">technologists(2), spaciousness(1), ease of access(1), reputation(2), project management(2), for entrepreneurs(1),  </v>
      </c>
      <c r="FZ153" s="21" t="str">
        <f t="shared" si="267"/>
        <v xml:space="preserve">technologists(1,12.5), web(1,6.25), database(1,6.25), AI&amp; data analysis(1,6.25), mobile comm(1,6.25), for entrepreneurs(1,6.25),  </v>
      </c>
      <c r="GA153" s="21" t="str">
        <f t="shared" si="476"/>
        <v xml:space="preserve">technologists(12.5),web(6.25),database(6.25),AI&amp; data analysis(6.25),mobile comm(6.25),for entrepreneurs(6.25), </v>
      </c>
      <c r="GB153" s="21" t="str">
        <f t="shared" si="474"/>
        <v xml:space="preserve">technologists 1
 </v>
      </c>
      <c r="GC153" s="21" t="str">
        <f t="shared" si="268"/>
        <v xml:space="preserve">sensors(1,25), mobile comm(1,25), electronics(1,50), functions(1,25), safety(1,25),  </v>
      </c>
      <c r="GD153" s="21" t="str">
        <f t="shared" si="475"/>
        <v xml:space="preserve">sensors 25
mobile comm 25
electronics 50
functions 25
safety 25
 </v>
      </c>
      <c r="GE153" s="21" t="str">
        <f t="shared" si="269"/>
        <v xml:space="preserve">technologists(2), spaciousness(1), ease of access(1), reputation(2), project management(2), for entrepreneurs(1),  </v>
      </c>
      <c r="GF153" s="21" t="str">
        <f t="shared" si="270"/>
        <v xml:space="preserve">technologists(1,12.5), database(1,6.25), mobile apps(1,6.25), AI&amp; data analysis(1,6.25), plastic processing(1,6.25), interaction(1,6.25), for entrepreneurs(1,6.25),  </v>
      </c>
      <c r="GG153" s="21" t="str">
        <f t="shared" si="476"/>
        <v xml:space="preserve">technologists(12.5),database(6.25),mobile apps(6.25),AI&amp; data analysis(6.25),plastic processing(6.25),interaction(6.25),for entrepreneurs(6.25), </v>
      </c>
      <c r="GH153" s="21" t="str">
        <f t="shared" si="474"/>
        <v xml:space="preserve">technologists 1
 </v>
      </c>
      <c r="GI153" s="21" t="str">
        <f t="shared" si="271"/>
        <v xml:space="preserve">web(1,25), mobile apps(1,50), functions(1,25), interaction(1,25),  </v>
      </c>
      <c r="GJ153" s="21" t="str">
        <f t="shared" si="475"/>
        <v xml:space="preserve">web 25
mobile apps 50
functions 25
interaction 25
 </v>
      </c>
      <c r="GK153" s="21" t="str">
        <f t="shared" si="272"/>
        <v xml:space="preserve">technologists(2), spaciousness(1), ease of access(1), reputation(2), project management(2), for entrepreneurs(1),  </v>
      </c>
      <c r="GL153" s="21" t="str">
        <f t="shared" si="273"/>
        <v xml:space="preserve">technologists(1,12.5), for entrepreneurs(1,6.25),  </v>
      </c>
      <c r="GM153" s="21" t="str">
        <f t="shared" si="476"/>
        <v xml:space="preserve">technologists(12.5),for entrepreneurs(6.25), </v>
      </c>
      <c r="GN153" s="21" t="str">
        <f t="shared" si="474"/>
        <v xml:space="preserve">technologists 1
 </v>
      </c>
      <c r="GO153" s="21" t="str">
        <f t="shared" si="274"/>
        <v xml:space="preserve">web(1,25), mobile apps(1,25), VR&amp;AR(1,25), aesthetics(1,25), functions(1,25), interaction(1,50),  </v>
      </c>
      <c r="GP153" s="21" t="str">
        <f t="shared" si="475"/>
        <v xml:space="preserve">web 25
mobile apps 25
VR&amp;AR 25
aesthetics 25
functions 25
interaction 50
 </v>
      </c>
      <c r="GQ153" s="21" t="str">
        <f t="shared" si="275"/>
        <v xml:space="preserve">technologists(2), spaciousness(1), ease of access(1), reputation(2), project management(2), for entrepreneurs(1),  </v>
      </c>
      <c r="GR153" s="21" t="str">
        <f t="shared" si="276"/>
        <v xml:space="preserve">technologists(1,12.5), for entrepreneurs(1,6.25),  </v>
      </c>
      <c r="GS153" s="21" t="str">
        <f t="shared" si="476"/>
        <v xml:space="preserve">technologists(12.5),for entrepreneurs(6.25), </v>
      </c>
      <c r="GT153" s="21" t="str">
        <f t="shared" si="474"/>
        <v xml:space="preserve">ease of access 1
reputation 2
web 1
mobile apps 1
mobile comm 1
 </v>
      </c>
      <c r="GU153" s="21" t="str">
        <f t="shared" si="277"/>
        <v xml:space="preserve"> </v>
      </c>
      <c r="GV153" s="21" t="str">
        <f t="shared" si="475"/>
        <v xml:space="preserve"> </v>
      </c>
      <c r="GW153" s="21" t="str">
        <f t="shared" si="278"/>
        <v xml:space="preserve">media(1), 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3" s="21" t="str">
        <f t="shared" si="279"/>
        <v xml:space="preserve">media(1,6.25), entrepreneurs(1,6.25), technologists(1,6.25), project management(1,6.25), social media(1,6.25), web(1,6.25), mobile apps(1,6.25),  </v>
      </c>
      <c r="GY153" s="21" t="str">
        <f t="shared" si="476"/>
        <v xml:space="preserve">media(6.25),entrepreneurs(6.25),technologists(6.25),project management(6.25),social media(6.25),web(6.25),mobile apps(6.25), </v>
      </c>
      <c r="GZ153" s="21" t="str">
        <f t="shared" si="477"/>
        <v xml:space="preserve">non-profits 1
reputation 2
portfolio 1
 </v>
      </c>
      <c r="HA153" s="21" t="str">
        <f t="shared" si="281"/>
        <v xml:space="preserve"> </v>
      </c>
      <c r="HB153" s="21" t="str">
        <f t="shared" si="478"/>
        <v xml:space="preserve"> </v>
      </c>
      <c r="HC153" s="21" t="str">
        <f t="shared" si="283"/>
        <v xml:space="preserve">non-profits(3), reputation(4), portfolio(3), social media(2), web(2), mobile apps(2), sensors(2), AI&amp; data analysis(2), VR&amp;AR(2), plastic processing(2), electronics(2), aesthetics(2), interaction(2),  </v>
      </c>
      <c r="HD153" s="21" t="str">
        <f t="shared" si="284"/>
        <v xml:space="preserve">media(1,6.25), technologists(1,6.25), non-profits(1,6.25), reputation(1,6.25), start-up with customers(1,6.25), for basic literacy(1,6.25),  </v>
      </c>
      <c r="HE153" s="21" t="str">
        <f t="shared" si="479"/>
        <v xml:space="preserve">media(6.25),technologists(6.25),non-profits(6.25),reputation(6.25),start-up with customers(6.25),for basic literacy(6.25), </v>
      </c>
      <c r="HF153" s="21" t="str">
        <f t="shared" si="477"/>
        <v xml:space="preserve"> </v>
      </c>
      <c r="HG153" s="21" t="str">
        <f t="shared" si="286"/>
        <v xml:space="preserve"> </v>
      </c>
      <c r="HH153" s="21" t="str">
        <f t="shared" si="478"/>
        <v xml:space="preserve"> </v>
      </c>
      <c r="HI153" s="21" t="str">
        <f t="shared" si="287"/>
        <v xml:space="preserve">portfolio(3), marketing(2), team building(3), project management(2), mobile apps(3), sensors(2), plastic processing(2), electronics(2), aesthetics(2), functions(2), interaction(2),  </v>
      </c>
      <c r="HJ153" s="21" t="str">
        <f t="shared" si="288"/>
        <v xml:space="preserve">media(1,6.25), non-profits(1,6.25), start-up with customers(1,6.25),  </v>
      </c>
      <c r="HK153" s="21" t="str">
        <f t="shared" si="479"/>
        <v xml:space="preserve">media(6.25),non-profits(6.25),start-up with customers(6.25), </v>
      </c>
      <c r="HL153" s="21" t="str">
        <f t="shared" si="477"/>
        <v xml:space="preserve">entrepreneurs 1
non-profits 1
reputation 2
portfolio 2
 </v>
      </c>
      <c r="HM153" s="21" t="str">
        <f t="shared" si="289"/>
        <v xml:space="preserve"> </v>
      </c>
      <c r="HN153" s="21" t="str">
        <f t="shared" si="478"/>
        <v xml:space="preserve"> </v>
      </c>
      <c r="HO153" s="21" t="str">
        <f t="shared" si="290"/>
        <v xml:space="preserve">entrepreneurs(3), spaciousness(2), ease of access(2), reputation(3), efficiency(2), portfolio(4), finance(2), marketing(2), project management(2), social media(2), web(3), mobile apps(2), wood processing(3), plastic processing(3), electronics(3), aesthetics(2), interaction(2),  </v>
      </c>
      <c r="HP153" s="21" t="str">
        <f t="shared" si="291"/>
        <v xml:space="preserve">media(1,6.25), entrepreneurs(1,6.25), technologists(1,6.25), suppliers(1,6.25), non-profits(1,6.25), reputation(1,6.25),  </v>
      </c>
      <c r="HQ153" s="47" t="str">
        <f t="shared" si="479"/>
        <v xml:space="preserve">media(6.25),entrepreneurs(6.25),technologists(6.25),suppliers(6.25),non-profits(6.25),reputation(6.25), </v>
      </c>
      <c r="HR153" s="47" t="str">
        <f t="shared" ref="HR153:HW153" si="550">IF(HR51="",HR154,$C153&amp;"("&amp;HR51&amp;"),"&amp;HR154)</f>
        <v xml:space="preserve">reputation(2),portfolio(2),mobile apps(1),sensors(1),wood processing(1),aesthetics(1), </v>
      </c>
      <c r="HS153" s="47" t="str">
        <f t="shared" si="550"/>
        <v xml:space="preserve"> </v>
      </c>
      <c r="HT153" s="47" t="str">
        <f t="shared" si="550"/>
        <v xml:space="preserve"> </v>
      </c>
      <c r="HU153" s="47" t="str">
        <f t="shared" si="550"/>
        <v xml:space="preserve">media(2),entrepreneurs(2),technologists(2),non-profits(2),reputation(3),efficiency(2),portfolio(3),project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3" s="47" t="str">
        <f t="shared" si="550"/>
        <v xml:space="preserve">media(1),entrepreneurs(1),technologists(1),suppliers(1),non-profits(1),reputation(1), </v>
      </c>
      <c r="HW153" s="47" t="str">
        <f t="shared" si="550"/>
        <v xml:space="preserve">media(6.25),entrepreneurs(6.25),technologists(12.5),suppliers(6.25),non-profits(6.25),reputation(6.25), </v>
      </c>
      <c r="HX153" s="47" t="str">
        <f t="shared" ref="HX153:IU153" si="551">IF(HX51="",HX154,$C153&amp;"("&amp;HX51&amp;"),"&amp;HX154)</f>
        <v xml:space="preserve">media(2),entrepreneurs(2),technologists(3),non-profits(3),reputation(3),portfolio(2),web(1),infrastructrue(1),database(2),mobile apps(1),sensors(1),AI&amp; data analysis(2),VR&amp;AR(1),wood processing(1),metal processing(1),plastic processing(1),electronics(1),aesthetics(1),functions(1),interaction(1), </v>
      </c>
      <c r="HY153" s="47" t="str">
        <f t="shared" si="551"/>
        <v xml:space="preserve">biz enhancement(1), </v>
      </c>
      <c r="HZ153" s="47" t="str">
        <f t="shared" si="551"/>
        <v xml:space="preserve">biz enhancement(100), </v>
      </c>
      <c r="IA153" s="47" t="str">
        <f t="shared" si="551"/>
        <v xml:space="preserve">spaciousness(2),ease of access(3),efficiency(2),portfolio(4),finance(2),business model(2),marketing(3),team building(2),project management(2),social media(3),negotiation(3), </v>
      </c>
      <c r="IB153" s="47" t="str">
        <f t="shared" si="551"/>
        <v xml:space="preserve">media(1),entrepreneurs(1),technologists(1),non-profits(1),reputation(1),team building(1),database(1),AI&amp; data analysis(1),electronics(1),functions(1), </v>
      </c>
      <c r="IC153" s="47" t="str">
        <f t="shared" si="551"/>
        <v xml:space="preserve">media(6.25),entrepreneurs(6.25),technologists(6.25),non-profits(6.25),reputation(6.25),team building(6.25),database(6.25),AI&amp; data analysis(6.25),electronics(6.25),functions(6.25), </v>
      </c>
      <c r="ID153" s="47" t="str">
        <f t="shared" si="551"/>
        <v xml:space="preserve">technologists(2), </v>
      </c>
      <c r="IE153" s="47" t="str">
        <f t="shared" si="551"/>
        <v xml:space="preserve">web(1),mobile apps(1),security(1),AI&amp; data analysis(1), </v>
      </c>
      <c r="IF153" s="47" t="str">
        <f t="shared" si="551"/>
        <v xml:space="preserve">web(25),mobile apps(25),security(25),AI&amp; data analysis(25), </v>
      </c>
      <c r="IG153" s="47" t="str">
        <f t="shared" si="551"/>
        <v xml:space="preserve">entrepreneurs(3),technologists(4),spaciousness(2),ease of access(2),reputation(3),efficiency(2),portfolio(3),web(2),database(2),mobile apps(2),security(2),AI&amp; data analysis(2), </v>
      </c>
      <c r="IH153" s="47" t="str">
        <f t="shared" si="551"/>
        <v xml:space="preserve">technologists(1),web(1),database(1),mobile apps(1),security(1),AI&amp; data analysis(1), </v>
      </c>
      <c r="II153" s="47" t="str">
        <f t="shared" si="551"/>
        <v xml:space="preserve">technologists(6.25),web(6.25),database(6.25),mobile apps(6.25),security(6.25),AI&amp; data analysis(6.25), </v>
      </c>
      <c r="IJ153" s="47" t="str">
        <f t="shared" si="551"/>
        <v xml:space="preserve">technologists(2), </v>
      </c>
      <c r="IK153" s="47" t="str">
        <f t="shared" si="551"/>
        <v xml:space="preserve">wood processing(1),metal processing(1),functions(1),safety(1), </v>
      </c>
      <c r="IL153" s="47" t="str">
        <f t="shared" si="551"/>
        <v xml:space="preserve">wood processing(25),metal processing(25),functions(25),safety(25), </v>
      </c>
      <c r="IM153" s="47" t="str">
        <f t="shared" si="551"/>
        <v xml:space="preserve">entrepreneurs(3),technologists(4),spaciousness(2),ease of access(2),reputation(3),efficiency(2),portfolio(3),wood processing(2),metal processing(2),functions(2),safety(2), </v>
      </c>
      <c r="IN153" s="47" t="str">
        <f t="shared" si="551"/>
        <v xml:space="preserve">technologists(1),wood processing(1),metal processing(1),functions(1),safety(1),interaction(1), </v>
      </c>
      <c r="IO153" s="47" t="str">
        <f t="shared" si="551"/>
        <v xml:space="preserve">technologists(6.25),wood processing(6.25),metal processing(6.25),functions(6.25),safety(6.25),interaction(6.25), </v>
      </c>
      <c r="IP153" s="57" t="str">
        <f t="shared" si="551"/>
        <v xml:space="preserve">reputation(1), </v>
      </c>
      <c r="IQ153" s="47" t="str">
        <f t="shared" si="551"/>
        <v xml:space="preserve">marketing(1), </v>
      </c>
      <c r="IR153" s="47" t="str">
        <f t="shared" si="551"/>
        <v xml:space="preserve">marketing(25), </v>
      </c>
      <c r="IS153" s="47" t="str">
        <f t="shared" si="551"/>
        <v xml:space="preserve">non-profits(2),reputation(3),efficiency(2),marketing(2), </v>
      </c>
      <c r="IT153" s="47" t="str">
        <f t="shared" si="551"/>
        <v xml:space="preserve">non-profits(1),marketing(1), </v>
      </c>
      <c r="IU153" s="47" t="str">
        <f t="shared" si="551"/>
        <v xml:space="preserve">non-profits(6.25),marketing(6.25), </v>
      </c>
      <c r="IV153" s="57" t="str">
        <f t="shared" ref="IV153:LG153" si="552">IF(IV51="",IV154,$C153&amp;"("&amp;IV51&amp;"),"&amp;IV154)</f>
        <v xml:space="preserve">reputation(1), </v>
      </c>
      <c r="IW153" s="47" t="str">
        <f t="shared" si="552"/>
        <v xml:space="preserve">marketing(1), </v>
      </c>
      <c r="IX153" s="47" t="str">
        <f t="shared" si="552"/>
        <v xml:space="preserve">marketing(25), </v>
      </c>
      <c r="IY153" s="47" t="str">
        <f t="shared" si="552"/>
        <v xml:space="preserve">reputation(3),efficiency(2),marketing(2), </v>
      </c>
      <c r="IZ153" s="47" t="str">
        <f t="shared" si="552"/>
        <v xml:space="preserve">marketing(1), </v>
      </c>
      <c r="JA153" s="47" t="str">
        <f t="shared" si="552"/>
        <v xml:space="preserve">marketing(6.25), </v>
      </c>
      <c r="JB153" s="47" t="str">
        <f t="shared" si="552"/>
        <v xml:space="preserve"> </v>
      </c>
      <c r="JC153" s="47" t="str">
        <f t="shared" si="552"/>
        <v xml:space="preserve"> </v>
      </c>
      <c r="JD153" s="47" t="str">
        <f t="shared" si="552"/>
        <v xml:space="preserve"> </v>
      </c>
      <c r="JE153" s="47" t="str">
        <f t="shared" si="552"/>
        <v xml:space="preserve">technologists(2),spaciousness(1),ease of access(1),reputation(3),efficiency(2), </v>
      </c>
      <c r="JF153" s="47" t="str">
        <f t="shared" si="552"/>
        <v xml:space="preserve">web(1),infrastructrue(1),database(1),mobile apps(1),sensors(1),security(1),AI&amp; data analysis(1),mobile comm(1),VR&amp;AR(1),wood processing(1),metal processing(1),plastic processing(1),electronics(1),fabric(1),aesthetics(1),functions(1),safety(1),interaction(1), </v>
      </c>
      <c r="JG153" s="47" t="str">
        <f t="shared" si="552"/>
        <v xml:space="preserve">web(6.25),infrastructrue(6.25),database(6.25),mobile apps(6.25),sensors(6.25),security(6.25),AI&amp; data analysis(6.25),mobile comm(6.25),VR&amp;AR(6.25),wood processing(6.25),metal processing(6.25),plastic processing(6.25),electronics(6.25),fabric(6.25),aesthetics(6.25),functions(6.25),safety(6.25),interaction(6.25), </v>
      </c>
      <c r="JH153" s="47" t="str">
        <f t="shared" si="552"/>
        <v xml:space="preserve">non-profits(1),reputation(2), </v>
      </c>
      <c r="JI153" s="47" t="str">
        <f t="shared" si="552"/>
        <v xml:space="preserve"> </v>
      </c>
      <c r="JJ153" s="47" t="str">
        <f t="shared" si="552"/>
        <v xml:space="preserve"> </v>
      </c>
      <c r="JK153" s="47" t="str">
        <f t="shared" si="552"/>
        <v xml:space="preserve">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3" s="47" t="str">
        <f t="shared" si="552"/>
        <v xml:space="preserve">non-profits(1), </v>
      </c>
      <c r="JM153" s="47" t="str">
        <f t="shared" si="552"/>
        <v xml:space="preserve">non-profits(6.25), </v>
      </c>
      <c r="JN153" s="47" t="str">
        <f t="shared" si="552"/>
        <v xml:space="preserve">entrepreneurs(1),technologists(1),non-profits(1),reputation(2),portfolio(2), </v>
      </c>
      <c r="JO153" s="47" t="str">
        <f t="shared" si="552"/>
        <v xml:space="preserve"> </v>
      </c>
      <c r="JP153" s="47" t="str">
        <f t="shared" si="552"/>
        <v xml:space="preserve"> </v>
      </c>
      <c r="JQ153" s="47" t="str">
        <f t="shared" si="552"/>
        <v xml:space="preserve">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3" s="47" t="str">
        <f t="shared" si="552"/>
        <v xml:space="preserve"> </v>
      </c>
      <c r="JS153" s="47" t="str">
        <f t="shared" si="552"/>
        <v xml:space="preserve"> </v>
      </c>
      <c r="JT153" s="47" t="str">
        <f t="shared" si="552"/>
        <v xml:space="preserve">entrepreneurs(2),technologists(2),non-profits(2),reputation(2),portfolio(3), </v>
      </c>
      <c r="JU153" s="47" t="str">
        <f t="shared" si="552"/>
        <v xml:space="preserve"> </v>
      </c>
      <c r="JV153" s="47" t="str">
        <f t="shared" si="552"/>
        <v xml:space="preserve"> </v>
      </c>
      <c r="JW153" s="47" t="str">
        <f t="shared" si="552"/>
        <v xml:space="preserve">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3" s="47" t="str">
        <f t="shared" si="552"/>
        <v xml:space="preserve"> </v>
      </c>
      <c r="JY153" s="47" t="str">
        <f t="shared" si="552"/>
        <v xml:space="preserve"> </v>
      </c>
      <c r="JZ153" s="47" t="str">
        <f t="shared" si="552"/>
        <v xml:space="preserve">non-profits(1),reputation(2),social project(2), </v>
      </c>
      <c r="KA153" s="47" t="str">
        <f t="shared" si="552"/>
        <v xml:space="preserve">non-profits(1), </v>
      </c>
      <c r="KB153" s="47" t="str">
        <f t="shared" si="552"/>
        <v xml:space="preserve">non-profits(25), </v>
      </c>
      <c r="KC153" s="47" t="str">
        <f t="shared" si="552"/>
        <v xml:space="preserve">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3" s="47" t="str">
        <f t="shared" si="552"/>
        <v xml:space="preserve">non-profits(1), </v>
      </c>
      <c r="KE153" s="47" t="str">
        <f t="shared" si="552"/>
        <v xml:space="preserve">non-profits(6.25), </v>
      </c>
      <c r="KF153" s="47" t="str">
        <f t="shared" si="552"/>
        <v xml:space="preserve"> </v>
      </c>
      <c r="KG153" s="47" t="str">
        <f t="shared" si="552"/>
        <v xml:space="preserve"> </v>
      </c>
      <c r="KH153" s="47" t="str">
        <f t="shared" si="552"/>
        <v xml:space="preserve"> </v>
      </c>
      <c r="KI153" s="47" t="str">
        <f t="shared" si="552"/>
        <v xml:space="preserve"> </v>
      </c>
      <c r="KJ153" s="47" t="str">
        <f t="shared" si="552"/>
        <v xml:space="preserve"> </v>
      </c>
      <c r="KK153" s="47" t="str">
        <f t="shared" si="552"/>
        <v xml:space="preserve"> </v>
      </c>
      <c r="KL153" s="57" t="str">
        <f t="shared" si="552"/>
        <v xml:space="preserve"> </v>
      </c>
      <c r="KM153" s="47" t="str">
        <f t="shared" si="552"/>
        <v xml:space="preserve"> </v>
      </c>
      <c r="KN153" s="47" t="str">
        <f t="shared" si="552"/>
        <v xml:space="preserve"> </v>
      </c>
      <c r="KO153" s="47" t="str">
        <f t="shared" si="552"/>
        <v xml:space="preserve"> </v>
      </c>
      <c r="KP153" s="47" t="str">
        <f t="shared" si="552"/>
        <v xml:space="preserve"> </v>
      </c>
      <c r="KQ153" s="47" t="str">
        <f t="shared" si="552"/>
        <v xml:space="preserve"> </v>
      </c>
      <c r="KR153" s="57" t="str">
        <f t="shared" si="552"/>
        <v xml:space="preserve"> </v>
      </c>
      <c r="KS153" s="47" t="str">
        <f t="shared" si="552"/>
        <v xml:space="preserve"> </v>
      </c>
      <c r="KT153" s="47" t="str">
        <f t="shared" si="552"/>
        <v xml:space="preserve"> </v>
      </c>
      <c r="KU153" s="47" t="str">
        <f t="shared" si="552"/>
        <v xml:space="preserve"> </v>
      </c>
      <c r="KV153" s="47" t="str">
        <f t="shared" si="552"/>
        <v xml:space="preserve"> </v>
      </c>
      <c r="KW153" s="47" t="str">
        <f t="shared" si="552"/>
        <v xml:space="preserve"> </v>
      </c>
      <c r="KX153" s="57" t="str">
        <f t="shared" si="552"/>
        <v xml:space="preserve"> </v>
      </c>
      <c r="KY153" s="47" t="str">
        <f t="shared" si="552"/>
        <v xml:space="preserve"> </v>
      </c>
      <c r="KZ153" s="47" t="str">
        <f t="shared" si="552"/>
        <v xml:space="preserve"> </v>
      </c>
      <c r="LA153" s="47" t="str">
        <f t="shared" si="552"/>
        <v xml:space="preserve"> </v>
      </c>
      <c r="LB153" s="47" t="str">
        <f t="shared" si="552"/>
        <v xml:space="preserve"> </v>
      </c>
      <c r="LC153" s="47" t="str">
        <f t="shared" si="552"/>
        <v xml:space="preserve"> </v>
      </c>
      <c r="LD153" s="57" t="str">
        <f t="shared" si="552"/>
        <v xml:space="preserve"> </v>
      </c>
      <c r="LE153" s="47" t="str">
        <f t="shared" si="552"/>
        <v xml:space="preserve"> </v>
      </c>
      <c r="LF153" s="47" t="str">
        <f t="shared" si="552"/>
        <v xml:space="preserve"> </v>
      </c>
      <c r="LG153" s="47" t="str">
        <f t="shared" si="552"/>
        <v xml:space="preserve"> </v>
      </c>
      <c r="LH153" s="47" t="str">
        <f t="shared" ref="LH153:NM153" si="553">IF(LH51="",LH154,$C153&amp;"("&amp;LH51&amp;"),"&amp;LH154)</f>
        <v xml:space="preserve"> </v>
      </c>
      <c r="LI153" s="47" t="str">
        <f t="shared" si="553"/>
        <v xml:space="preserve"> </v>
      </c>
      <c r="LJ153" s="57" t="str">
        <f t="shared" si="553"/>
        <v xml:space="preserve"> </v>
      </c>
      <c r="LK153" s="47" t="str">
        <f t="shared" si="553"/>
        <v xml:space="preserve"> </v>
      </c>
      <c r="LL153" s="47" t="str">
        <f t="shared" si="553"/>
        <v xml:space="preserve"> </v>
      </c>
      <c r="LM153" s="47" t="str">
        <f t="shared" si="553"/>
        <v xml:space="preserve"> </v>
      </c>
      <c r="LN153" s="47" t="str">
        <f t="shared" si="553"/>
        <v xml:space="preserve"> </v>
      </c>
      <c r="LO153" s="47" t="str">
        <f t="shared" si="553"/>
        <v xml:space="preserve"> </v>
      </c>
      <c r="LP153" s="57" t="str">
        <f t="shared" si="553"/>
        <v xml:space="preserve"> </v>
      </c>
      <c r="LQ153" s="47" t="str">
        <f t="shared" si="553"/>
        <v xml:space="preserve"> </v>
      </c>
      <c r="LR153" s="47" t="str">
        <f t="shared" si="553"/>
        <v xml:space="preserve"> </v>
      </c>
      <c r="LS153" s="47" t="str">
        <f t="shared" si="553"/>
        <v xml:space="preserve"> </v>
      </c>
      <c r="LT153" s="47" t="str">
        <f t="shared" si="553"/>
        <v xml:space="preserve"> </v>
      </c>
      <c r="LU153" s="47" t="str">
        <f t="shared" si="553"/>
        <v xml:space="preserve"> </v>
      </c>
      <c r="LV153" s="57" t="str">
        <f t="shared" si="553"/>
        <v xml:space="preserve"> </v>
      </c>
      <c r="LW153" s="47" t="str">
        <f t="shared" si="553"/>
        <v xml:space="preserve"> </v>
      </c>
      <c r="LX153" s="47" t="str">
        <f t="shared" si="553"/>
        <v xml:space="preserve"> </v>
      </c>
      <c r="LY153" s="47" t="str">
        <f t="shared" si="553"/>
        <v xml:space="preserve"> </v>
      </c>
      <c r="LZ153" s="47" t="str">
        <f t="shared" si="553"/>
        <v xml:space="preserve"> </v>
      </c>
      <c r="MA153" s="47" t="str">
        <f t="shared" si="553"/>
        <v xml:space="preserve"> </v>
      </c>
      <c r="MB153" s="57" t="str">
        <f t="shared" si="553"/>
        <v xml:space="preserve"> </v>
      </c>
      <c r="MC153" s="47" t="str">
        <f t="shared" si="553"/>
        <v xml:space="preserve"> </v>
      </c>
      <c r="MD153" s="47" t="str">
        <f t="shared" si="553"/>
        <v xml:space="preserve"> </v>
      </c>
      <c r="ME153" s="47" t="str">
        <f t="shared" si="553"/>
        <v xml:space="preserve"> </v>
      </c>
      <c r="MF153" s="47" t="str">
        <f t="shared" si="553"/>
        <v xml:space="preserve"> </v>
      </c>
      <c r="MG153" s="47" t="str">
        <f t="shared" si="553"/>
        <v xml:space="preserve"> </v>
      </c>
      <c r="MH153" s="57" t="str">
        <f t="shared" si="553"/>
        <v xml:space="preserve"> </v>
      </c>
      <c r="MI153" s="47" t="str">
        <f t="shared" si="553"/>
        <v xml:space="preserve"> </v>
      </c>
      <c r="MJ153" s="47" t="str">
        <f t="shared" si="553"/>
        <v xml:space="preserve"> </v>
      </c>
      <c r="MK153" s="47" t="str">
        <f t="shared" si="553"/>
        <v xml:space="preserve"> </v>
      </c>
      <c r="ML153" s="47" t="str">
        <f t="shared" si="553"/>
        <v xml:space="preserve"> </v>
      </c>
      <c r="MM153" s="47" t="str">
        <f t="shared" si="553"/>
        <v xml:space="preserve"> </v>
      </c>
      <c r="MN153" s="57" t="str">
        <f t="shared" si="553"/>
        <v xml:space="preserve"> </v>
      </c>
      <c r="MO153" s="47" t="str">
        <f t="shared" si="553"/>
        <v xml:space="preserve"> </v>
      </c>
      <c r="MP153" s="47" t="str">
        <f t="shared" si="553"/>
        <v xml:space="preserve"> </v>
      </c>
      <c r="MQ153" s="47" t="str">
        <f t="shared" si="553"/>
        <v xml:space="preserve"> </v>
      </c>
      <c r="MR153" s="47" t="str">
        <f t="shared" si="553"/>
        <v xml:space="preserve"> </v>
      </c>
      <c r="MS153" s="47" t="str">
        <f t="shared" si="553"/>
        <v xml:space="preserve"> </v>
      </c>
      <c r="MT153" s="57" t="str">
        <f t="shared" si="553"/>
        <v xml:space="preserve"> </v>
      </c>
      <c r="MU153" s="47" t="str">
        <f t="shared" si="553"/>
        <v xml:space="preserve"> </v>
      </c>
      <c r="MV153" s="47" t="str">
        <f t="shared" si="553"/>
        <v xml:space="preserve"> </v>
      </c>
      <c r="MW153" s="47" t="str">
        <f t="shared" si="553"/>
        <v xml:space="preserve"> </v>
      </c>
      <c r="MX153" s="47" t="str">
        <f t="shared" si="553"/>
        <v xml:space="preserve"> </v>
      </c>
      <c r="MY153" s="47" t="str">
        <f t="shared" si="553"/>
        <v xml:space="preserve"> </v>
      </c>
      <c r="MZ153" s="57" t="str">
        <f t="shared" si="553"/>
        <v xml:space="preserve"> </v>
      </c>
      <c r="NA153" s="47" t="str">
        <f t="shared" si="553"/>
        <v xml:space="preserve"> </v>
      </c>
      <c r="NB153" s="47" t="str">
        <f t="shared" si="553"/>
        <v xml:space="preserve"> </v>
      </c>
      <c r="NC153" s="47" t="str">
        <f t="shared" si="553"/>
        <v xml:space="preserve"> </v>
      </c>
      <c r="ND153" s="47" t="str">
        <f t="shared" si="553"/>
        <v xml:space="preserve"> </v>
      </c>
      <c r="NE153" s="47" t="str">
        <f t="shared" si="553"/>
        <v xml:space="preserve"> </v>
      </c>
      <c r="NF153" s="57" t="str">
        <f t="shared" si="553"/>
        <v xml:space="preserve"> </v>
      </c>
      <c r="NG153" s="47" t="str">
        <f t="shared" si="553"/>
        <v xml:space="preserve"> </v>
      </c>
      <c r="NH153" s="47" t="str">
        <f t="shared" si="553"/>
        <v xml:space="preserve"> </v>
      </c>
      <c r="NI153" s="47" t="str">
        <f t="shared" si="553"/>
        <v xml:space="preserve"> </v>
      </c>
      <c r="NJ153" s="47" t="str">
        <f t="shared" si="553"/>
        <v xml:space="preserve"> </v>
      </c>
      <c r="NK153" s="47" t="str">
        <f t="shared" si="553"/>
        <v xml:space="preserve"> </v>
      </c>
      <c r="NL153" s="57" t="str">
        <f t="shared" si="553"/>
        <v xml:space="preserve"> </v>
      </c>
      <c r="NM153" s="47" t="str">
        <f t="shared" si="553"/>
        <v xml:space="preserve"> </v>
      </c>
    </row>
    <row r="154" spans="3:377" ht="15.75" customHeight="1">
      <c r="C154" s="7" t="str">
        <f t="shared" si="296"/>
        <v>entrepreneurs</v>
      </c>
      <c r="D154" s="21" t="str">
        <f t="shared" si="169"/>
        <v xml:space="preserve"> </v>
      </c>
      <c r="E154" s="21" t="str">
        <f t="shared" si="297"/>
        <v xml:space="preserve"> </v>
      </c>
      <c r="F154" s="21" t="str">
        <f t="shared" si="170"/>
        <v xml:space="preserve"> </v>
      </c>
      <c r="G154" s="21" t="str">
        <f t="shared" si="298"/>
        <v xml:space="preserve">ease of access(1), reputation(2), social media(1),  </v>
      </c>
      <c r="H154" s="21" t="str">
        <f t="shared" si="299"/>
        <v xml:space="preserve"> </v>
      </c>
      <c r="I154" s="21" t="str">
        <f t="shared" ref="I154" si="554">IF(I52="",I155,$C154&amp;"("&amp;I52&amp;"),"&amp;I155)</f>
        <v xml:space="preserve"> </v>
      </c>
      <c r="J154" s="21" t="str">
        <f t="shared" si="468"/>
        <v xml:space="preserve">interaction 1
 </v>
      </c>
      <c r="K154" s="21" t="str">
        <f t="shared" si="173"/>
        <v xml:space="preserve">reputation(1,75),  </v>
      </c>
      <c r="L154" s="21" t="str">
        <f t="shared" si="469"/>
        <v xml:space="preserve">reputation 75
 </v>
      </c>
      <c r="M154" s="21" t="str">
        <f t="shared" si="175"/>
        <v xml:space="preserve">portfolio(1), social innovation(1), non-profit biz(1),  </v>
      </c>
      <c r="N154" s="21" t="str">
        <f t="shared" si="176"/>
        <v xml:space="preserve">non-profits(1,12.5), reputation(1,75), marketing(1,12.5),  </v>
      </c>
      <c r="O154" s="21" t="str">
        <f t="shared" si="470"/>
        <v xml:space="preserve">non-profits(12.5),reputation(75),marketing(12.5), </v>
      </c>
      <c r="P154" s="21" t="str">
        <f t="shared" si="468"/>
        <v xml:space="preserve">biz project 1
 </v>
      </c>
      <c r="Q154" s="21" t="str">
        <f t="shared" si="178"/>
        <v xml:space="preserve"> </v>
      </c>
      <c r="R154" s="21" t="str">
        <f t="shared" si="469"/>
        <v xml:space="preserve"> </v>
      </c>
      <c r="S154" s="21" t="str">
        <f t="shared" si="179"/>
        <v xml:space="preserve">portfolio(1), biz enhancement(1), business(1), start-up(1),  </v>
      </c>
      <c r="T154" s="21" t="str">
        <f t="shared" si="180"/>
        <v xml:space="preserve">reputation(1,6.25),  </v>
      </c>
      <c r="U154" s="21" t="str">
        <f t="shared" si="470"/>
        <v xml:space="preserve">reputation(6.25), </v>
      </c>
      <c r="V154" s="21" t="str">
        <f t="shared" si="468"/>
        <v xml:space="preserve"> </v>
      </c>
      <c r="W154" s="21" t="str">
        <f t="shared" si="181"/>
        <v xml:space="preserve"> </v>
      </c>
      <c r="X154" s="21" t="str">
        <f t="shared" si="469"/>
        <v xml:space="preserve"> </v>
      </c>
      <c r="Y154" s="21" t="str">
        <f t="shared" si="182"/>
        <v xml:space="preserve">ease of access(1), reputation(1), portfolio(1), biz project(1), biz enhancement(1), job creation(1), business(1),  </v>
      </c>
      <c r="Z154" s="21" t="str">
        <f t="shared" si="183"/>
        <v xml:space="preserve"> </v>
      </c>
      <c r="AA154" s="21" t="str">
        <f t="shared" si="470"/>
        <v xml:space="preserve"> </v>
      </c>
      <c r="AB154" s="21" t="str">
        <f t="shared" si="468"/>
        <v xml:space="preserve"> </v>
      </c>
      <c r="AC154" s="21" t="str">
        <f t="shared" si="184"/>
        <v xml:space="preserve">non-profits(1,100),  </v>
      </c>
      <c r="AD154" s="21" t="str">
        <f t="shared" si="469"/>
        <v xml:space="preserve">non-profits 100
 </v>
      </c>
      <c r="AE154" s="21" t="str">
        <f t="shared" si="185"/>
        <v xml:space="preserve">ease of access(1), reputation(1), portfolio(1), social project(1), social innovation(1), non-profit biz(1),  </v>
      </c>
      <c r="AF154" s="21" t="str">
        <f t="shared" si="186"/>
        <v xml:space="preserve">non-profits(1,6.25),  </v>
      </c>
      <c r="AG154" s="21" t="str">
        <f t="shared" si="470"/>
        <v xml:space="preserve">non-profits(6.25), </v>
      </c>
      <c r="AH154" s="21" t="str">
        <f t="shared" si="468"/>
        <v xml:space="preserve"> </v>
      </c>
      <c r="AI154" s="21" t="str">
        <f t="shared" si="187"/>
        <v xml:space="preserve"> </v>
      </c>
      <c r="AJ154" s="21" t="str">
        <f t="shared" si="469"/>
        <v xml:space="preserve"> </v>
      </c>
      <c r="AK154" s="21" t="str">
        <f t="shared" si="188"/>
        <v xml:space="preserve">ease of access(1), reputation(2), portfolio(1), social project(1), social innovation(1), non-profit biz(1),  </v>
      </c>
      <c r="AL154" s="21" t="str">
        <f t="shared" si="189"/>
        <v xml:space="preserve"> </v>
      </c>
      <c r="AM154" s="21" t="str">
        <f t="shared" si="470"/>
        <v xml:space="preserve"> </v>
      </c>
      <c r="AN154" s="21" t="str">
        <f t="shared" si="468"/>
        <v xml:space="preserve"> </v>
      </c>
      <c r="AO154" s="21" t="str">
        <f t="shared" si="190"/>
        <v xml:space="preserve"> </v>
      </c>
      <c r="AP154" s="21" t="str">
        <f t="shared" si="469"/>
        <v xml:space="preserve"> </v>
      </c>
      <c r="AQ154" s="21" t="str">
        <f t="shared" si="191"/>
        <v xml:space="preserve">ease of access(1), reputation(1), portfolio(1), start-up(1), start-up with mvp(1), start-up with customers(1),  </v>
      </c>
      <c r="AR154" s="21" t="str">
        <f t="shared" si="192"/>
        <v xml:space="preserve"> </v>
      </c>
      <c r="AS154" s="21" t="str">
        <f t="shared" si="470"/>
        <v xml:space="preserve"> </v>
      </c>
      <c r="AT154" s="21" t="str">
        <f t="shared" si="468"/>
        <v xml:space="preserve">non-profits 2
reputation 1
portfolio 1
social project 1
 </v>
      </c>
      <c r="AU154" s="21" t="str">
        <f t="shared" si="193"/>
        <v xml:space="preserve"> </v>
      </c>
      <c r="AV154" s="21" t="str">
        <f t="shared" si="469"/>
        <v xml:space="preserve"> </v>
      </c>
      <c r="AW154" s="21" t="str">
        <f t="shared" si="194"/>
        <v xml:space="preserve">project management(2),  </v>
      </c>
      <c r="AX154" s="21" t="str">
        <f t="shared" si="195"/>
        <v xml:space="preserve">organizational rules and manuals(1,12.5), project management(1,12.5),  </v>
      </c>
      <c r="AY154" s="21" t="str">
        <f t="shared" si="470"/>
        <v xml:space="preserve">organizational rules and manuals(12.5),project management(12.5), </v>
      </c>
      <c r="AZ154" s="21" t="str">
        <f t="shared" si="468"/>
        <v xml:space="preserve">non-profits 1
 </v>
      </c>
      <c r="BA154" s="21" t="str">
        <f t="shared" si="196"/>
        <v xml:space="preserve"> </v>
      </c>
      <c r="BB154" s="21" t="str">
        <f t="shared" si="469"/>
        <v xml:space="preserve"> </v>
      </c>
      <c r="BC154" s="21" t="str">
        <f t="shared" si="197"/>
        <v xml:space="preserve"> </v>
      </c>
      <c r="BD154" s="21" t="str">
        <f t="shared" si="198"/>
        <v xml:space="preserve"> </v>
      </c>
      <c r="BE154" s="21" t="str">
        <f t="shared" si="470"/>
        <v xml:space="preserve"> </v>
      </c>
      <c r="BF154" s="21" t="str">
        <f t="shared" si="468"/>
        <v xml:space="preserve">entrepreneurs 1
reputation 1
portfolio 1
biz project 1
 </v>
      </c>
      <c r="BG154" s="21" t="str">
        <f t="shared" si="199"/>
        <v xml:space="preserve"> </v>
      </c>
      <c r="BH154" s="21" t="str">
        <f t="shared" si="469"/>
        <v xml:space="preserve"> </v>
      </c>
      <c r="BI154" s="21" t="str">
        <f t="shared" si="200"/>
        <v xml:space="preserve">project management(2),  </v>
      </c>
      <c r="BJ154" s="21" t="str">
        <f t="shared" si="201"/>
        <v xml:space="preserve">organizational rules and manuals(1,12.5), project management(1,12.5),  </v>
      </c>
      <c r="BK154" s="21" t="str">
        <f t="shared" si="470"/>
        <v xml:space="preserve">organizational rules and manuals(12.5),project management(12.5), </v>
      </c>
      <c r="BL154" s="21" t="str">
        <f t="shared" si="468"/>
        <v xml:space="preserve">reputation 1
portfolio 1
biz enhancement 1
 </v>
      </c>
      <c r="BM154" s="21" t="str">
        <f t="shared" si="202"/>
        <v xml:space="preserve"> </v>
      </c>
      <c r="BN154" s="21" t="str">
        <f t="shared" si="469"/>
        <v xml:space="preserve"> </v>
      </c>
      <c r="BO154" s="21" t="str">
        <f t="shared" si="203"/>
        <v xml:space="preserve"> </v>
      </c>
      <c r="BP154" s="21" t="str">
        <f t="shared" si="204"/>
        <v xml:space="preserve"> </v>
      </c>
      <c r="BQ154" s="21" t="str">
        <f t="shared" si="470"/>
        <v xml:space="preserve"> </v>
      </c>
      <c r="BR154" s="21" t="str">
        <f t="shared" si="468"/>
        <v xml:space="preserve"> </v>
      </c>
      <c r="BS154" s="21" t="str">
        <f t="shared" si="205"/>
        <v xml:space="preserve"> </v>
      </c>
      <c r="BT154" s="21" t="str">
        <f t="shared" si="469"/>
        <v xml:space="preserve"> </v>
      </c>
      <c r="BU154" s="21" t="str">
        <f t="shared" si="206"/>
        <v xml:space="preserve"> </v>
      </c>
      <c r="BV154" s="21" t="str">
        <f t="shared" si="207"/>
        <v xml:space="preserve"> </v>
      </c>
      <c r="BW154" s="21" t="str">
        <f t="shared" si="470"/>
        <v xml:space="preserve"> </v>
      </c>
      <c r="BX154" s="21" t="str">
        <f t="shared" si="471"/>
        <v xml:space="preserve"> </v>
      </c>
      <c r="BY154" s="21" t="str">
        <f t="shared" si="209"/>
        <v xml:space="preserve">efficiency(1,),  </v>
      </c>
      <c r="BZ154" s="21" t="str">
        <f t="shared" si="472"/>
        <v xml:space="preserve"> </v>
      </c>
      <c r="CA154" s="21" t="str">
        <f t="shared" si="211"/>
        <v xml:space="preserve">negotiation(1),  </v>
      </c>
      <c r="CB154" s="21" t="str">
        <f t="shared" si="212"/>
        <v xml:space="preserve">user rules and manuals(1,50), organizational rules and manuals(1,50),  </v>
      </c>
      <c r="CC154" s="21" t="str">
        <f t="shared" si="473"/>
        <v xml:space="preserve">user rules and manuals(50),organizational rules and manuals(50), </v>
      </c>
      <c r="CD154" s="21" t="str">
        <f t="shared" si="471"/>
        <v xml:space="preserve"> </v>
      </c>
      <c r="CE154" s="21" t="str">
        <f t="shared" si="214"/>
        <v xml:space="preserve">non-profits(1,),  </v>
      </c>
      <c r="CF154" s="21" t="str">
        <f t="shared" si="472"/>
        <v xml:space="preserve"> </v>
      </c>
      <c r="CG154" s="21" t="str">
        <f t="shared" si="215"/>
        <v xml:space="preserve">ease of access(1), portfolio(1), user rules and manuals(1), negotiation(1), social project(1), biz project(1), for basic literacy(1), for the elites(1), for entrepreneurs(1),  </v>
      </c>
      <c r="CH154" s="21" t="str">
        <f t="shared" si="216"/>
        <v xml:space="preserve">technologists(1,6.25), non-profits(1,6.25),  </v>
      </c>
      <c r="CI154" s="21" t="str">
        <f t="shared" si="473"/>
        <v xml:space="preserve">technologists(6.25),non-profits(6.25), </v>
      </c>
      <c r="CJ154" s="21" t="str">
        <f t="shared" si="471"/>
        <v xml:space="preserve"> </v>
      </c>
      <c r="CK154" s="21" t="str">
        <f t="shared" si="217"/>
        <v xml:space="preserve">suppliers(1,),  </v>
      </c>
      <c r="CL154" s="21" t="str">
        <f t="shared" si="472"/>
        <v xml:space="preserve"> </v>
      </c>
      <c r="CM154" s="21" t="str">
        <f t="shared" si="218"/>
        <v xml:space="preserve">reputation(1), negotiation(1),  </v>
      </c>
      <c r="CN154" s="21" t="str">
        <f t="shared" si="219"/>
        <v xml:space="preserve">efficiency(1,6.25),  </v>
      </c>
      <c r="CO154" s="21" t="str">
        <f t="shared" si="473"/>
        <v xml:space="preserve">efficiency(6.25), </v>
      </c>
      <c r="CP154" s="21" t="str">
        <f t="shared" si="471"/>
        <v xml:space="preserve"> </v>
      </c>
      <c r="CQ154" s="21" t="str">
        <f t="shared" si="220"/>
        <v xml:space="preserve">technologists(1,),  </v>
      </c>
      <c r="CR154" s="21" t="str">
        <f t="shared" si="472"/>
        <v xml:space="preserve"> </v>
      </c>
      <c r="CS154" s="21" t="str">
        <f t="shared" si="221"/>
        <v xml:space="preserve">portfolio(1), negotiation(1), web(1), infrastructrue(1), database(1), mobile apps(1), sensors(1), security(1), AI&amp; data analysis(1), mobile comm(1), VR&amp;AR(1), wood processing(1), metal processing(1), plastic processing(1), electronics(1), fabric(1),  </v>
      </c>
      <c r="CT154" s="21" t="str">
        <f t="shared" si="222"/>
        <v xml:space="preserve">efficiency(1,6.25),  </v>
      </c>
      <c r="CU154" s="21" t="str">
        <f t="shared" si="473"/>
        <v xml:space="preserve">efficiency(6.25), </v>
      </c>
      <c r="CV154" s="21" t="str">
        <f t="shared" si="471"/>
        <v xml:space="preserve"> </v>
      </c>
      <c r="CW154" s="21" t="str">
        <f t="shared" si="223"/>
        <v xml:space="preserve"> </v>
      </c>
      <c r="CX154" s="21" t="str">
        <f t="shared" si="472"/>
        <v xml:space="preserve"> </v>
      </c>
      <c r="CY154" s="21" t="str">
        <f t="shared" si="224"/>
        <v xml:space="preserve">ease of access(1), reputation(1), portfolio(1), negotiation(1),  </v>
      </c>
      <c r="CZ154" s="21" t="str">
        <f t="shared" si="225"/>
        <v xml:space="preserve">non-profits(1,6.25),  </v>
      </c>
      <c r="DA154" s="21" t="str">
        <f t="shared" si="473"/>
        <v xml:space="preserve">non-profits(6.25), </v>
      </c>
      <c r="DB154" s="21" t="str">
        <f t="shared" si="471"/>
        <v xml:space="preserve"> </v>
      </c>
      <c r="DC154" s="21" t="str">
        <f t="shared" si="226"/>
        <v xml:space="preserve"> </v>
      </c>
      <c r="DD154" s="21" t="str">
        <f t="shared" si="472"/>
        <v xml:space="preserve"> </v>
      </c>
      <c r="DE154"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4" s="21" t="str">
        <f t="shared" si="228"/>
        <v xml:space="preserve">entrepreneurs(1,6.25),  </v>
      </c>
      <c r="DG154" s="21" t="str">
        <f t="shared" si="473"/>
        <v xml:space="preserve">entrepreneurs(6.25), </v>
      </c>
      <c r="DH154" s="21" t="str">
        <f t="shared" si="471"/>
        <v xml:space="preserve">non-profits 1
reputation 1
social project 1
 </v>
      </c>
      <c r="DI154" s="21" t="str">
        <f t="shared" si="229"/>
        <v xml:space="preserve"> </v>
      </c>
      <c r="DJ154" s="21" t="str">
        <f t="shared" si="472"/>
        <v xml:space="preserve"> </v>
      </c>
      <c r="DK154"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4" s="21" t="str">
        <f t="shared" si="231"/>
        <v xml:space="preserve">reputation(1,6.25),  </v>
      </c>
      <c r="DM154" s="21" t="str">
        <f t="shared" si="473"/>
        <v xml:space="preserve">reputation(6.25), </v>
      </c>
      <c r="DN154" s="21" t="str">
        <f t="shared" si="471"/>
        <v xml:space="preserve">reputation 1
biz project 1
 </v>
      </c>
      <c r="DO154" s="21" t="str">
        <f t="shared" si="232"/>
        <v xml:space="preserve"> </v>
      </c>
      <c r="DP154" s="21" t="str">
        <f t="shared" si="472"/>
        <v xml:space="preserve"> </v>
      </c>
      <c r="DQ154" s="21" t="str">
        <f t="shared" si="233"/>
        <v xml:space="preserve">entrepreneurs(1), 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4" s="21" t="str">
        <f t="shared" si="234"/>
        <v xml:space="preserve">reputation(1,6.25),  </v>
      </c>
      <c r="DS154" s="21" t="str">
        <f t="shared" si="473"/>
        <v xml:space="preserve">reputation(6.25), </v>
      </c>
      <c r="DT154" s="21" t="str">
        <f t="shared" si="471"/>
        <v xml:space="preserve">reputation 1
 </v>
      </c>
      <c r="DU154" s="21" t="str">
        <f t="shared" si="235"/>
        <v xml:space="preserve"> </v>
      </c>
      <c r="DV154" s="21" t="str">
        <f t="shared" si="472"/>
        <v xml:space="preserve"> </v>
      </c>
      <c r="DW154" s="21" t="str">
        <f t="shared" si="236"/>
        <v xml:space="preserve">entrepreneurs(1), technologists(1), non-profits(1), spaciousness(1), ease of access(1), reputation(2), efficiency(1), organizational rules and manuals(1), marketing(1), social media(1), for basic literacy(1),  </v>
      </c>
      <c r="DX154" s="21" t="str">
        <f t="shared" si="237"/>
        <v xml:space="preserve">reputation(1,6.25), for basic literacy(1,6.25),  </v>
      </c>
      <c r="DY154" s="21" t="str">
        <f t="shared" si="473"/>
        <v xml:space="preserve">reputation(6.25),for basic literacy(6.25), </v>
      </c>
      <c r="DZ154" s="21" t="str">
        <f t="shared" si="471"/>
        <v xml:space="preserve">reputation 1
 </v>
      </c>
      <c r="EA154" s="21" t="str">
        <f t="shared" si="238"/>
        <v xml:space="preserve"> </v>
      </c>
      <c r="EB154" s="21" t="str">
        <f t="shared" si="472"/>
        <v xml:space="preserve"> </v>
      </c>
      <c r="EC154" s="21" t="str">
        <f t="shared" si="239"/>
        <v xml:space="preserve">entrepreneurs(1), 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4" s="21" t="str">
        <f t="shared" si="240"/>
        <v xml:space="preserve">reputation(1,6.25), for basic literacy(1,6.25),  </v>
      </c>
      <c r="EE154" s="21" t="str">
        <f t="shared" si="473"/>
        <v xml:space="preserve">reputation(6.25),for basic literacy(6.25), </v>
      </c>
      <c r="EF154" s="21" t="str">
        <f t="shared" si="471"/>
        <v xml:space="preserve">technologists 1
reputation 1
 </v>
      </c>
      <c r="EG154" s="21" t="str">
        <f t="shared" si="241"/>
        <v xml:space="preserve">web(1,50), mobile apps(1,50), interaction(1,50),  </v>
      </c>
      <c r="EH154" s="21" t="str">
        <f t="shared" si="472"/>
        <v xml:space="preserve">web 50
mobile apps 50
interaction 50
 </v>
      </c>
      <c r="EI154" s="21" t="str">
        <f t="shared" si="242"/>
        <v xml:space="preserve">technologists(2), ease of access(1), reputation(2), infrastructrue(1), database(1), mobile comm(1), for entrepreneurs(1),  </v>
      </c>
      <c r="EJ154" s="21" t="str">
        <f t="shared" si="243"/>
        <v xml:space="preserve">technologists(1,12.5), infrastructrue(1,12.5), database(1,12.5), mobile comm(1,12.5), for entrepreneurs(1,6.25),  </v>
      </c>
      <c r="EK154" s="21" t="str">
        <f t="shared" si="473"/>
        <v xml:space="preserve">technologists(12.5),infrastructrue(12.5),database(12.5),mobile comm(12.5),for entrepreneurs(6.25), </v>
      </c>
      <c r="EL154" s="21" t="str">
        <f t="shared" si="474"/>
        <v xml:space="preserve">technologists 1
reputation 1
 </v>
      </c>
      <c r="EM154" s="21" t="str">
        <f t="shared" si="245"/>
        <v xml:space="preserve">sensors(1,50),  </v>
      </c>
      <c r="EN154" s="21" t="str">
        <f t="shared" si="475"/>
        <v xml:space="preserve">sensors 50
 </v>
      </c>
      <c r="EO154" s="21" t="str">
        <f t="shared" si="247"/>
        <v xml:space="preserve">technologists(2), ease of access(1), reputation(2), project management(2), infrastructrue(1), database(1), mobile comm(1), for entrepreneurs(1),  </v>
      </c>
      <c r="EP154" s="21" t="str">
        <f t="shared" si="248"/>
        <v xml:space="preserve">technologists(1,12.5), infrastructrue(1,12.5), database(1,12.5), mobile comm(1,12.5), electronics(1,6.25), for entrepreneurs(1,6.25),  </v>
      </c>
      <c r="EQ154" s="21" t="str">
        <f t="shared" si="476"/>
        <v xml:space="preserve">technologists(12.5),infrastructrue(12.5),database(12.5),mobile comm(12.5),electronics(6.25),for entrepreneurs(6.25), </v>
      </c>
      <c r="ER154" s="21" t="str">
        <f t="shared" si="474"/>
        <v xml:space="preserve">technologists 1
 </v>
      </c>
      <c r="ES154" s="21" t="str">
        <f t="shared" si="250"/>
        <v xml:space="preserve">AI&amp; data analysis(1,50),  </v>
      </c>
      <c r="ET154" s="21" t="str">
        <f t="shared" si="475"/>
        <v xml:space="preserve">AI&amp; data analysis 50
 </v>
      </c>
      <c r="EU154" s="21" t="str">
        <f t="shared" si="251"/>
        <v xml:space="preserve">technologists(2), ease of access(1), reputation(2), database(1), sensors(1), mobile comm(1), for entrepreneurs(1),  </v>
      </c>
      <c r="EV154" s="21" t="str">
        <f t="shared" si="252"/>
        <v xml:space="preserve">technologists(1,12.5), database(1,12.5), sensors(1,12.5), mobile comm(1,12.5), for entrepreneurs(1,6.25),  </v>
      </c>
      <c r="EW154" s="21" t="str">
        <f t="shared" si="476"/>
        <v xml:space="preserve">technologists(12.5),database(12.5),sensors(12.5),mobile comm(12.5),for entrepreneurs(6.25), </v>
      </c>
      <c r="EX154" s="21" t="str">
        <f t="shared" si="474"/>
        <v xml:space="preserve">technologists 1
 </v>
      </c>
      <c r="EY154" s="21" t="str">
        <f t="shared" si="253"/>
        <v xml:space="preserve">law(1,50), security(1,50), interaction(1,25),  </v>
      </c>
      <c r="EZ154" s="21" t="str">
        <f t="shared" si="475"/>
        <v xml:space="preserve">law 50
security 50
interaction 25
 </v>
      </c>
      <c r="FA154" s="21" t="str">
        <f t="shared" si="254"/>
        <v xml:space="preserve">technologists(2), ease of access(1), reputation(2), law(2), for entrepreneurs(1),  </v>
      </c>
      <c r="FB154" s="21" t="str">
        <f t="shared" si="255"/>
        <v xml:space="preserve">technologists(1,12.5), law(1,6.25), database(1,12.5), mobile apps(1,12.5), security(1,12.5), mobile comm(1,12.5), for entrepreneurs(1,6.25),  </v>
      </c>
      <c r="FC154" s="21" t="str">
        <f t="shared" si="476"/>
        <v xml:space="preserve">technologists(12.5),law(6.25),database(12.5),mobile apps(12.5),security(12.5),mobile comm(12.5),for entrepreneurs(6.25), </v>
      </c>
      <c r="FD154" s="21" t="str">
        <f t="shared" si="474"/>
        <v xml:space="preserve">technologists 1
 </v>
      </c>
      <c r="FE154" s="21" t="str">
        <f t="shared" si="256"/>
        <v xml:space="preserve">law(1,50), sensors(1,50), security(1,50),  </v>
      </c>
      <c r="FF154" s="21" t="str">
        <f t="shared" si="475"/>
        <v xml:space="preserve">law 50
sensors 50
security 50
 </v>
      </c>
      <c r="FG154" s="21" t="str">
        <f t="shared" si="257"/>
        <v xml:space="preserve">technologists(2), ease of access(1), reputation(2), law(2), project management(2), for entrepreneurs(1),  </v>
      </c>
      <c r="FH154" s="21" t="str">
        <f t="shared" si="258"/>
        <v xml:space="preserve">technologists(1,12.5), law(1,6.25), database(1,6.25), mobile apps(1,6.25), AI&amp; data analysis(1,6.25), mobile comm(1,6.25), for entrepreneurs(1,6.25),  </v>
      </c>
      <c r="FI154" s="21" t="str">
        <f t="shared" si="476"/>
        <v xml:space="preserve">technologists(12.5),law(6.25),database(6.25),mobile apps(6.25),AI&amp; data analysis(6.25),mobile comm(6.25),for entrepreneurs(6.25), </v>
      </c>
      <c r="FJ154" s="21" t="str">
        <f t="shared" si="474"/>
        <v xml:space="preserve">technologists 1
 </v>
      </c>
      <c r="FK154" s="21" t="str">
        <f t="shared" si="259"/>
        <v xml:space="preserve">wood processing(1,25), metal processing(1,25), plastic processing(1,25), fabric(1,25), safety(1,25), interaction(1,25),  </v>
      </c>
      <c r="FL154" s="21" t="str">
        <f t="shared" si="475"/>
        <v xml:space="preserve">project management 2
wood processing 25
metal processing 25
plastic processing 25
fabric 25
safety 25
interaction 25
 </v>
      </c>
      <c r="FM154" s="21" t="str">
        <f t="shared" si="260"/>
        <v xml:space="preserve">technologists(2), spaciousness(1), ease of access(1), reputation(2), for entrepreneurs(1),  </v>
      </c>
      <c r="FN154" s="21" t="str">
        <f t="shared" si="261"/>
        <v xml:space="preserve">technologists(1,12.5), for entrepreneurs(1,6.25),  </v>
      </c>
      <c r="FO154" s="21" t="str">
        <f t="shared" si="476"/>
        <v xml:space="preserve">technologists(12.5),for entrepreneurs(6.25), </v>
      </c>
      <c r="FP154" s="21" t="str">
        <f t="shared" si="474"/>
        <v xml:space="preserve">technologists 1
 </v>
      </c>
      <c r="FQ154" s="21" t="str">
        <f t="shared" si="262"/>
        <v xml:space="preserve">web(1,25), mobile apps(1,50), functions(1,25), interaction(1,25),  </v>
      </c>
      <c r="FR154" s="21" t="str">
        <f t="shared" si="475"/>
        <v xml:space="preserve">web 25
mobile apps 50
functions 25
interaction 25
 </v>
      </c>
      <c r="FS154" s="21" t="str">
        <f t="shared" si="263"/>
        <v xml:space="preserve">technologists(2), spaciousness(1), ease of access(1), reputation(2), for entrepreneurs(1),  </v>
      </c>
      <c r="FT154" s="21" t="str">
        <f t="shared" si="264"/>
        <v xml:space="preserve">technologists(1,12.5), for entrepreneurs(1,6.25),  </v>
      </c>
      <c r="FU154" s="21" t="str">
        <f t="shared" si="476"/>
        <v xml:space="preserve">technologists(12.5),for entrepreneurs(6.25), </v>
      </c>
      <c r="FV154" s="21" t="str">
        <f t="shared" si="474"/>
        <v xml:space="preserve">technologists 1
 </v>
      </c>
      <c r="FW154" s="21" t="str">
        <f t="shared" si="265"/>
        <v xml:space="preserve">mobile apps(1,50), sensors(1,50), wood processing(1,25), plastic processing(1,25), electronics(1,25), functions(1,25), interaction(1,25),  </v>
      </c>
      <c r="FX154" s="21" t="str">
        <f t="shared" si="475"/>
        <v xml:space="preserve">mobile apps 50
sensors 50
wood processing 25
plastic processing 25
electronics 25
functions 25
interaction 25
 </v>
      </c>
      <c r="FY154" s="21" t="str">
        <f t="shared" si="266"/>
        <v xml:space="preserve">technologists(2), spaciousness(1), ease of access(1), reputation(2), project management(2), for entrepreneurs(1),  </v>
      </c>
      <c r="FZ154" s="21" t="str">
        <f t="shared" si="267"/>
        <v xml:space="preserve">technologists(1,12.5), web(1,6.25), database(1,6.25), AI&amp; data analysis(1,6.25), mobile comm(1,6.25), for entrepreneurs(1,6.25),  </v>
      </c>
      <c r="GA154" s="21" t="str">
        <f t="shared" si="476"/>
        <v xml:space="preserve">technologists(12.5),web(6.25),database(6.25),AI&amp; data analysis(6.25),mobile comm(6.25),for entrepreneurs(6.25), </v>
      </c>
      <c r="GB154" s="21" t="str">
        <f t="shared" si="474"/>
        <v xml:space="preserve">technologists 1
 </v>
      </c>
      <c r="GC154" s="21" t="str">
        <f t="shared" si="268"/>
        <v xml:space="preserve">sensors(1,25), mobile comm(1,25), electronics(1,50), functions(1,25), safety(1,25),  </v>
      </c>
      <c r="GD154" s="21" t="str">
        <f t="shared" si="475"/>
        <v xml:space="preserve">sensors 25
mobile comm 25
electronics 50
functions 25
safety 25
 </v>
      </c>
      <c r="GE154" s="21" t="str">
        <f t="shared" si="269"/>
        <v xml:space="preserve">technologists(2), spaciousness(1), ease of access(1), reputation(2), project management(2), for entrepreneurs(1),  </v>
      </c>
      <c r="GF154" s="21" t="str">
        <f t="shared" si="270"/>
        <v xml:space="preserve">technologists(1,12.5), database(1,6.25), mobile apps(1,6.25), AI&amp; data analysis(1,6.25), plastic processing(1,6.25), interaction(1,6.25), for entrepreneurs(1,6.25),  </v>
      </c>
      <c r="GG154" s="21" t="str">
        <f t="shared" si="476"/>
        <v xml:space="preserve">technologists(12.5),database(6.25),mobile apps(6.25),AI&amp; data analysis(6.25),plastic processing(6.25),interaction(6.25),for entrepreneurs(6.25), </v>
      </c>
      <c r="GH154" s="21" t="str">
        <f t="shared" si="474"/>
        <v xml:space="preserve">technologists 1
 </v>
      </c>
      <c r="GI154" s="21" t="str">
        <f t="shared" si="271"/>
        <v xml:space="preserve">web(1,25), mobile apps(1,50), functions(1,25), interaction(1,25),  </v>
      </c>
      <c r="GJ154" s="21" t="str">
        <f t="shared" si="475"/>
        <v xml:space="preserve">web 25
mobile apps 50
functions 25
interaction 25
 </v>
      </c>
      <c r="GK154" s="21" t="str">
        <f t="shared" si="272"/>
        <v xml:space="preserve">technologists(2), spaciousness(1), ease of access(1), reputation(2), project management(2), for entrepreneurs(1),  </v>
      </c>
      <c r="GL154" s="21" t="str">
        <f t="shared" si="273"/>
        <v xml:space="preserve">technologists(1,12.5), for entrepreneurs(1,6.25),  </v>
      </c>
      <c r="GM154" s="21" t="str">
        <f t="shared" si="476"/>
        <v xml:space="preserve">technologists(12.5),for entrepreneurs(6.25), </v>
      </c>
      <c r="GN154" s="21" t="str">
        <f t="shared" si="474"/>
        <v xml:space="preserve">technologists 1
 </v>
      </c>
      <c r="GO154" s="21" t="str">
        <f t="shared" si="274"/>
        <v xml:space="preserve">web(1,25), mobile apps(1,25), VR&amp;AR(1,25), aesthetics(1,25), functions(1,25), interaction(1,50),  </v>
      </c>
      <c r="GP154" s="21" t="str">
        <f t="shared" si="475"/>
        <v xml:space="preserve">web 25
mobile apps 25
VR&amp;AR 25
aesthetics 25
functions 25
interaction 50
 </v>
      </c>
      <c r="GQ154" s="21" t="str">
        <f t="shared" si="275"/>
        <v xml:space="preserve">technologists(2), spaciousness(1), ease of access(1), reputation(2), project management(2), for entrepreneurs(1),  </v>
      </c>
      <c r="GR154" s="21" t="str">
        <f t="shared" si="276"/>
        <v xml:space="preserve">technologists(1,12.5), for entrepreneurs(1,6.25),  </v>
      </c>
      <c r="GS154" s="21" t="str">
        <f t="shared" si="476"/>
        <v xml:space="preserve">technologists(12.5),for entrepreneurs(6.25), </v>
      </c>
      <c r="GT154" s="21" t="str">
        <f t="shared" si="474"/>
        <v xml:space="preserve">ease of access 1
reputation 2
web 1
mobile apps 1
mobile comm 1
 </v>
      </c>
      <c r="GU154" s="21" t="str">
        <f t="shared" si="277"/>
        <v xml:space="preserve"> </v>
      </c>
      <c r="GV154" s="21" t="str">
        <f t="shared" si="475"/>
        <v xml:space="preserve"> </v>
      </c>
      <c r="GW154" s="21" t="str">
        <f t="shared" si="278"/>
        <v xml:space="preserve">entrepreneurs(1), 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4" s="21" t="str">
        <f t="shared" si="279"/>
        <v xml:space="preserve">entrepreneurs(1,6.25), technologists(1,6.25), project management(1,6.25), social media(1,6.25), web(1,6.25), mobile apps(1,6.25),  </v>
      </c>
      <c r="GY154" s="21" t="str">
        <f t="shared" si="476"/>
        <v xml:space="preserve">entrepreneurs(6.25),technologists(6.25),project management(6.25),social media(6.25),web(6.25),mobile apps(6.25), </v>
      </c>
      <c r="GZ154" s="21" t="str">
        <f t="shared" si="477"/>
        <v xml:space="preserve">non-profits 1
reputation 2
portfolio 1
 </v>
      </c>
      <c r="HA154" s="21" t="str">
        <f t="shared" si="281"/>
        <v xml:space="preserve"> </v>
      </c>
      <c r="HB154" s="21" t="str">
        <f t="shared" si="478"/>
        <v xml:space="preserve"> </v>
      </c>
      <c r="HC154" s="21" t="str">
        <f t="shared" si="283"/>
        <v xml:space="preserve">non-profits(3), reputation(4), portfolio(3), social media(2), web(2), mobile apps(2), sensors(2), AI&amp; data analysis(2), VR&amp;AR(2), plastic processing(2), electronics(2), aesthetics(2), interaction(2),  </v>
      </c>
      <c r="HD154" s="21" t="str">
        <f t="shared" si="284"/>
        <v xml:space="preserve">technologists(1,6.25), non-profits(1,6.25), reputation(1,6.25), start-up with customers(1,6.25), for basic literacy(1,6.25),  </v>
      </c>
      <c r="HE154" s="21" t="str">
        <f t="shared" si="479"/>
        <v xml:space="preserve">technologists(6.25),non-profits(6.25),reputation(6.25),start-up with customers(6.25),for basic literacy(6.25), </v>
      </c>
      <c r="HF154" s="21" t="str">
        <f t="shared" si="477"/>
        <v xml:space="preserve"> </v>
      </c>
      <c r="HG154" s="21" t="str">
        <f t="shared" si="286"/>
        <v xml:space="preserve"> </v>
      </c>
      <c r="HH154" s="21" t="str">
        <f t="shared" si="478"/>
        <v xml:space="preserve"> </v>
      </c>
      <c r="HI154" s="21" t="str">
        <f t="shared" si="287"/>
        <v xml:space="preserve">portfolio(3), marketing(2), team building(3), project management(2), mobile apps(3), sensors(2), plastic processing(2), electronics(2), aesthetics(2), functions(2), interaction(2),  </v>
      </c>
      <c r="HJ154" s="21" t="str">
        <f t="shared" si="288"/>
        <v xml:space="preserve">non-profits(1,6.25), start-up with customers(1,6.25),  </v>
      </c>
      <c r="HK154" s="21" t="str">
        <f t="shared" si="479"/>
        <v xml:space="preserve">non-profits(6.25),start-up with customers(6.25), </v>
      </c>
      <c r="HL154" s="21" t="str">
        <f t="shared" si="477"/>
        <v xml:space="preserve">entrepreneurs 1
non-profits 1
reputation 2
portfolio 2
 </v>
      </c>
      <c r="HM154" s="21" t="str">
        <f t="shared" si="289"/>
        <v xml:space="preserve"> </v>
      </c>
      <c r="HN154" s="21" t="str">
        <f t="shared" si="478"/>
        <v xml:space="preserve"> </v>
      </c>
      <c r="HO154" s="21" t="str">
        <f t="shared" si="290"/>
        <v xml:space="preserve">entrepreneurs(3), spaciousness(2), ease of access(2), reputation(3), efficiency(2), portfolio(4), finance(2), marketing(2), project management(2), social media(2), web(3), mobile apps(2), wood processing(3), plastic processing(3), electronics(3), aesthetics(2), interaction(2),  </v>
      </c>
      <c r="HP154" s="21" t="str">
        <f t="shared" si="291"/>
        <v xml:space="preserve">entrepreneurs(1,6.25), technologists(1,6.25), suppliers(1,6.25), non-profits(1,6.25), reputation(1,6.25),  </v>
      </c>
      <c r="HQ154" s="47" t="str">
        <f t="shared" si="479"/>
        <v xml:space="preserve">entrepreneurs(6.25),technologists(6.25),suppliers(6.25),non-profits(6.25),reputation(6.25), </v>
      </c>
      <c r="HR154" s="47" t="str">
        <f t="shared" ref="HR154:HW154" si="555">IF(HR52="",HR155,$C154&amp;"("&amp;HR52&amp;"),"&amp;HR155)</f>
        <v xml:space="preserve">reputation(2),portfolio(2),mobile apps(1),sensors(1),wood processing(1),aesthetics(1), </v>
      </c>
      <c r="HS154" s="47" t="str">
        <f t="shared" si="555"/>
        <v xml:space="preserve"> </v>
      </c>
      <c r="HT154" s="47" t="str">
        <f t="shared" si="555"/>
        <v xml:space="preserve"> </v>
      </c>
      <c r="HU154" s="47" t="str">
        <f t="shared" si="555"/>
        <v xml:space="preserve">entrepreneurs(2),technologists(2),non-profits(2),reputation(3),efficiency(2),portfolio(3),project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4" s="47" t="str">
        <f t="shared" si="555"/>
        <v xml:space="preserve">entrepreneurs(1),technologists(1),suppliers(1),non-profits(1),reputation(1), </v>
      </c>
      <c r="HW154" s="47" t="str">
        <f t="shared" si="555"/>
        <v xml:space="preserve">entrepreneurs(6.25),technologists(12.5),suppliers(6.25),non-profits(6.25),reputation(6.25), </v>
      </c>
      <c r="HX154" s="47" t="str">
        <f t="shared" ref="HX154:IU154" si="556">IF(HX52="",HX155,$C154&amp;"("&amp;HX52&amp;"),"&amp;HX155)</f>
        <v xml:space="preserve">entrepreneurs(2),technologists(3),non-profits(3),reputation(3),portfolio(2),web(1),infrastructrue(1),database(2),mobile apps(1),sensors(1),AI&amp; data analysis(2),VR&amp;AR(1),wood processing(1),metal processing(1),plastic processing(1),electronics(1),aesthetics(1),functions(1),interaction(1), </v>
      </c>
      <c r="HY154" s="47" t="str">
        <f t="shared" si="556"/>
        <v xml:space="preserve">biz enhancement(1), </v>
      </c>
      <c r="HZ154" s="47" t="str">
        <f t="shared" si="556"/>
        <v xml:space="preserve">biz enhancement(100), </v>
      </c>
      <c r="IA154" s="47" t="str">
        <f t="shared" si="556"/>
        <v xml:space="preserve">spaciousness(2),ease of access(3),efficiency(2),portfolio(4),finance(2),business model(2),marketing(3),team building(2),project management(2),social media(3),negotiation(3), </v>
      </c>
      <c r="IB154" s="47" t="str">
        <f t="shared" si="556"/>
        <v xml:space="preserve">entrepreneurs(1),technologists(1),non-profits(1),reputation(1),team building(1),database(1),AI&amp; data analysis(1),electronics(1),functions(1), </v>
      </c>
      <c r="IC154" s="47" t="str">
        <f t="shared" si="556"/>
        <v xml:space="preserve">entrepreneurs(6.25),technologists(6.25),non-profits(6.25),reputation(6.25),team building(6.25),database(6.25),AI&amp; data analysis(6.25),electronics(6.25),functions(6.25), </v>
      </c>
      <c r="ID154" s="47" t="str">
        <f t="shared" si="556"/>
        <v xml:space="preserve">technologists(2), </v>
      </c>
      <c r="IE154" s="47" t="str">
        <f t="shared" si="556"/>
        <v xml:space="preserve">web(1),mobile apps(1),security(1),AI&amp; data analysis(1), </v>
      </c>
      <c r="IF154" s="47" t="str">
        <f t="shared" si="556"/>
        <v xml:space="preserve">web(25),mobile apps(25),security(25),AI&amp; data analysis(25), </v>
      </c>
      <c r="IG154" s="47" t="str">
        <f t="shared" si="556"/>
        <v xml:space="preserve">entrepreneurs(3),technologists(4),spaciousness(2),ease of access(2),reputation(3),efficiency(2),portfolio(3),web(2),database(2),mobile apps(2),security(2),AI&amp; data analysis(2), </v>
      </c>
      <c r="IH154" s="47" t="str">
        <f t="shared" si="556"/>
        <v xml:space="preserve">technologists(1),web(1),database(1),mobile apps(1),security(1),AI&amp; data analysis(1), </v>
      </c>
      <c r="II154" s="47" t="str">
        <f t="shared" si="556"/>
        <v xml:space="preserve">technologists(6.25),web(6.25),database(6.25),mobile apps(6.25),security(6.25),AI&amp; data analysis(6.25), </v>
      </c>
      <c r="IJ154" s="47" t="str">
        <f t="shared" si="556"/>
        <v xml:space="preserve">technologists(2), </v>
      </c>
      <c r="IK154" s="47" t="str">
        <f t="shared" si="556"/>
        <v xml:space="preserve">wood processing(1),metal processing(1),functions(1),safety(1), </v>
      </c>
      <c r="IL154" s="47" t="str">
        <f t="shared" si="556"/>
        <v xml:space="preserve">wood processing(25),metal processing(25),functions(25),safety(25), </v>
      </c>
      <c r="IM154" s="47" t="str">
        <f t="shared" si="556"/>
        <v xml:space="preserve">entrepreneurs(3),technologists(4),spaciousness(2),ease of access(2),reputation(3),efficiency(2),portfolio(3),wood processing(2),metal processing(2),functions(2),safety(2), </v>
      </c>
      <c r="IN154" s="47" t="str">
        <f t="shared" si="556"/>
        <v xml:space="preserve">technologists(1),wood processing(1),metal processing(1),functions(1),safety(1),interaction(1), </v>
      </c>
      <c r="IO154" s="47" t="str">
        <f t="shared" si="556"/>
        <v xml:space="preserve">technologists(6.25),wood processing(6.25),metal processing(6.25),functions(6.25),safety(6.25),interaction(6.25), </v>
      </c>
      <c r="IP154" s="57" t="str">
        <f t="shared" si="556"/>
        <v xml:space="preserve">reputation(1), </v>
      </c>
      <c r="IQ154" s="47" t="str">
        <f t="shared" si="556"/>
        <v xml:space="preserve">marketing(1), </v>
      </c>
      <c r="IR154" s="47" t="str">
        <f t="shared" si="556"/>
        <v xml:space="preserve">marketing(25), </v>
      </c>
      <c r="IS154" s="47" t="str">
        <f t="shared" si="556"/>
        <v xml:space="preserve">non-profits(2),reputation(3),efficiency(2),marketing(2), </v>
      </c>
      <c r="IT154" s="47" t="str">
        <f t="shared" si="556"/>
        <v xml:space="preserve">non-profits(1),marketing(1), </v>
      </c>
      <c r="IU154" s="47" t="str">
        <f t="shared" si="556"/>
        <v xml:space="preserve">non-profits(6.25),marketing(6.25), </v>
      </c>
      <c r="IV154" s="57" t="str">
        <f t="shared" ref="IV154:LG154" si="557">IF(IV52="",IV155,$C154&amp;"("&amp;IV52&amp;"),"&amp;IV155)</f>
        <v xml:space="preserve">reputation(1), </v>
      </c>
      <c r="IW154" s="47" t="str">
        <f t="shared" si="557"/>
        <v xml:space="preserve">marketing(1), </v>
      </c>
      <c r="IX154" s="47" t="str">
        <f t="shared" si="557"/>
        <v xml:space="preserve">marketing(25), </v>
      </c>
      <c r="IY154" s="47" t="str">
        <f t="shared" si="557"/>
        <v xml:space="preserve">reputation(3),efficiency(2),marketing(2), </v>
      </c>
      <c r="IZ154" s="47" t="str">
        <f t="shared" si="557"/>
        <v xml:space="preserve">marketing(1), </v>
      </c>
      <c r="JA154" s="47" t="str">
        <f t="shared" si="557"/>
        <v xml:space="preserve">marketing(6.25), </v>
      </c>
      <c r="JB154" s="47" t="str">
        <f t="shared" si="557"/>
        <v xml:space="preserve"> </v>
      </c>
      <c r="JC154" s="47" t="str">
        <f t="shared" si="557"/>
        <v xml:space="preserve"> </v>
      </c>
      <c r="JD154" s="47" t="str">
        <f t="shared" si="557"/>
        <v xml:space="preserve"> </v>
      </c>
      <c r="JE154" s="47" t="str">
        <f t="shared" si="557"/>
        <v xml:space="preserve">technologists(2),spaciousness(1),ease of access(1),reputation(3),efficiency(2), </v>
      </c>
      <c r="JF154" s="47" t="str">
        <f t="shared" si="557"/>
        <v xml:space="preserve">web(1),infrastructrue(1),database(1),mobile apps(1),sensors(1),security(1),AI&amp; data analysis(1),mobile comm(1),VR&amp;AR(1),wood processing(1),metal processing(1),plastic processing(1),electronics(1),fabric(1),aesthetics(1),functions(1),safety(1),interaction(1), </v>
      </c>
      <c r="JG154" s="47" t="str">
        <f t="shared" si="557"/>
        <v xml:space="preserve">web(6.25),infrastructrue(6.25),database(6.25),mobile apps(6.25),sensors(6.25),security(6.25),AI&amp; data analysis(6.25),mobile comm(6.25),VR&amp;AR(6.25),wood processing(6.25),metal processing(6.25),plastic processing(6.25),electronics(6.25),fabric(6.25),aesthetics(6.25),functions(6.25),safety(6.25),interaction(6.25), </v>
      </c>
      <c r="JH154" s="47" t="str">
        <f t="shared" si="557"/>
        <v xml:space="preserve">non-profits(1),reputation(2), </v>
      </c>
      <c r="JI154" s="47" t="str">
        <f t="shared" si="557"/>
        <v xml:space="preserve"> </v>
      </c>
      <c r="JJ154" s="47" t="str">
        <f t="shared" si="557"/>
        <v xml:space="preserve"> </v>
      </c>
      <c r="JK154" s="47" t="str">
        <f t="shared" si="557"/>
        <v xml:space="preserve">entrepreneurs(2),technologists(2),suppliers(2),non-profits(1),reputation(3),portfolio(2),social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4" s="47" t="str">
        <f t="shared" si="557"/>
        <v xml:space="preserve">non-profits(1), </v>
      </c>
      <c r="JM154" s="47" t="str">
        <f t="shared" si="557"/>
        <v xml:space="preserve">non-profits(6.25), </v>
      </c>
      <c r="JN154" s="47" t="str">
        <f t="shared" si="557"/>
        <v xml:space="preserve">entrepreneurs(1),technologists(1),non-profits(1),reputation(2),portfolio(2), </v>
      </c>
      <c r="JO154" s="47" t="str">
        <f t="shared" si="557"/>
        <v xml:space="preserve"> </v>
      </c>
      <c r="JP154" s="47" t="str">
        <f t="shared" si="557"/>
        <v xml:space="preserve"> </v>
      </c>
      <c r="JQ154" s="47" t="str">
        <f t="shared" si="557"/>
        <v xml:space="preserve">entrepreneurs(2),technologists(2),non-profits(2),ease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4" s="47" t="str">
        <f t="shared" si="557"/>
        <v xml:space="preserve"> </v>
      </c>
      <c r="JS154" s="47" t="str">
        <f t="shared" si="557"/>
        <v xml:space="preserve"> </v>
      </c>
      <c r="JT154" s="47" t="str">
        <f t="shared" si="557"/>
        <v xml:space="preserve">entrepreneurs(2),technologists(2),non-profits(2),reputation(2),portfolio(3), </v>
      </c>
      <c r="JU154" s="47" t="str">
        <f t="shared" si="557"/>
        <v xml:space="preserve"> </v>
      </c>
      <c r="JV154" s="47" t="str">
        <f t="shared" si="557"/>
        <v xml:space="preserve"> </v>
      </c>
      <c r="JW154" s="47" t="str">
        <f t="shared" si="557"/>
        <v xml:space="preserve">entrepreneurs(3),technologists(3),non-profits(3),reputation(3),efficiency(2),portfolio(4),law(1),finance(1),marketing(1),team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4" s="47" t="str">
        <f t="shared" si="557"/>
        <v xml:space="preserve"> </v>
      </c>
      <c r="JY154" s="47" t="str">
        <f t="shared" si="557"/>
        <v xml:space="preserve"> </v>
      </c>
      <c r="JZ154" s="47" t="str">
        <f t="shared" si="557"/>
        <v xml:space="preserve">non-profits(1),reputation(2),social project(2), </v>
      </c>
      <c r="KA154" s="47" t="str">
        <f t="shared" si="557"/>
        <v xml:space="preserve">non-profits(1), </v>
      </c>
      <c r="KB154" s="47" t="str">
        <f t="shared" si="557"/>
        <v xml:space="preserve">non-profits(25), </v>
      </c>
      <c r="KC154" s="47" t="str">
        <f t="shared" si="557"/>
        <v xml:space="preserve">entrepreneurs(2),technologists(2),non-profits(3),reputation(3),portfolio(1),marketing(1),web(1),mobile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4" s="47" t="str">
        <f t="shared" si="557"/>
        <v xml:space="preserve">non-profits(1), </v>
      </c>
      <c r="KE154" s="47" t="str">
        <f t="shared" si="557"/>
        <v xml:space="preserve">non-profits(6.25), </v>
      </c>
      <c r="KF154" s="47" t="str">
        <f t="shared" si="557"/>
        <v xml:space="preserve"> </v>
      </c>
      <c r="KG154" s="47" t="str">
        <f t="shared" si="557"/>
        <v xml:space="preserve"> </v>
      </c>
      <c r="KH154" s="47" t="str">
        <f t="shared" si="557"/>
        <v xml:space="preserve"> </v>
      </c>
      <c r="KI154" s="47" t="str">
        <f t="shared" si="557"/>
        <v xml:space="preserve"> </v>
      </c>
      <c r="KJ154" s="47" t="str">
        <f t="shared" si="557"/>
        <v xml:space="preserve"> </v>
      </c>
      <c r="KK154" s="47" t="str">
        <f t="shared" si="557"/>
        <v xml:space="preserve"> </v>
      </c>
      <c r="KL154" s="57" t="str">
        <f t="shared" si="557"/>
        <v xml:space="preserve"> </v>
      </c>
      <c r="KM154" s="47" t="str">
        <f t="shared" si="557"/>
        <v xml:space="preserve"> </v>
      </c>
      <c r="KN154" s="47" t="str">
        <f t="shared" si="557"/>
        <v xml:space="preserve"> </v>
      </c>
      <c r="KO154" s="47" t="str">
        <f t="shared" si="557"/>
        <v xml:space="preserve"> </v>
      </c>
      <c r="KP154" s="47" t="str">
        <f t="shared" si="557"/>
        <v xml:space="preserve"> </v>
      </c>
      <c r="KQ154" s="47" t="str">
        <f t="shared" si="557"/>
        <v xml:space="preserve"> </v>
      </c>
      <c r="KR154" s="57" t="str">
        <f t="shared" si="557"/>
        <v xml:space="preserve"> </v>
      </c>
      <c r="KS154" s="47" t="str">
        <f t="shared" si="557"/>
        <v xml:space="preserve"> </v>
      </c>
      <c r="KT154" s="47" t="str">
        <f t="shared" si="557"/>
        <v xml:space="preserve"> </v>
      </c>
      <c r="KU154" s="47" t="str">
        <f t="shared" si="557"/>
        <v xml:space="preserve"> </v>
      </c>
      <c r="KV154" s="47" t="str">
        <f t="shared" si="557"/>
        <v xml:space="preserve"> </v>
      </c>
      <c r="KW154" s="47" t="str">
        <f t="shared" si="557"/>
        <v xml:space="preserve"> </v>
      </c>
      <c r="KX154" s="57" t="str">
        <f t="shared" si="557"/>
        <v xml:space="preserve"> </v>
      </c>
      <c r="KY154" s="47" t="str">
        <f t="shared" si="557"/>
        <v xml:space="preserve"> </v>
      </c>
      <c r="KZ154" s="47" t="str">
        <f t="shared" si="557"/>
        <v xml:space="preserve"> </v>
      </c>
      <c r="LA154" s="47" t="str">
        <f t="shared" si="557"/>
        <v xml:space="preserve"> </v>
      </c>
      <c r="LB154" s="47" t="str">
        <f t="shared" si="557"/>
        <v xml:space="preserve"> </v>
      </c>
      <c r="LC154" s="47" t="str">
        <f t="shared" si="557"/>
        <v xml:space="preserve"> </v>
      </c>
      <c r="LD154" s="57" t="str">
        <f t="shared" si="557"/>
        <v xml:space="preserve"> </v>
      </c>
      <c r="LE154" s="47" t="str">
        <f t="shared" si="557"/>
        <v xml:space="preserve"> </v>
      </c>
      <c r="LF154" s="47" t="str">
        <f t="shared" si="557"/>
        <v xml:space="preserve"> </v>
      </c>
      <c r="LG154" s="47" t="str">
        <f t="shared" si="557"/>
        <v xml:space="preserve"> </v>
      </c>
      <c r="LH154" s="47" t="str">
        <f t="shared" ref="LH154:NM154" si="558">IF(LH52="",LH155,$C154&amp;"("&amp;LH52&amp;"),"&amp;LH155)</f>
        <v xml:space="preserve"> </v>
      </c>
      <c r="LI154" s="47" t="str">
        <f t="shared" si="558"/>
        <v xml:space="preserve"> </v>
      </c>
      <c r="LJ154" s="57" t="str">
        <f t="shared" si="558"/>
        <v xml:space="preserve"> </v>
      </c>
      <c r="LK154" s="47" t="str">
        <f t="shared" si="558"/>
        <v xml:space="preserve"> </v>
      </c>
      <c r="LL154" s="47" t="str">
        <f t="shared" si="558"/>
        <v xml:space="preserve"> </v>
      </c>
      <c r="LM154" s="47" t="str">
        <f t="shared" si="558"/>
        <v xml:space="preserve"> </v>
      </c>
      <c r="LN154" s="47" t="str">
        <f t="shared" si="558"/>
        <v xml:space="preserve"> </v>
      </c>
      <c r="LO154" s="47" t="str">
        <f t="shared" si="558"/>
        <v xml:space="preserve"> </v>
      </c>
      <c r="LP154" s="57" t="str">
        <f t="shared" si="558"/>
        <v xml:space="preserve"> </v>
      </c>
      <c r="LQ154" s="47" t="str">
        <f t="shared" si="558"/>
        <v xml:space="preserve"> </v>
      </c>
      <c r="LR154" s="47" t="str">
        <f t="shared" si="558"/>
        <v xml:space="preserve"> </v>
      </c>
      <c r="LS154" s="47" t="str">
        <f t="shared" si="558"/>
        <v xml:space="preserve"> </v>
      </c>
      <c r="LT154" s="47" t="str">
        <f t="shared" si="558"/>
        <v xml:space="preserve"> </v>
      </c>
      <c r="LU154" s="47" t="str">
        <f t="shared" si="558"/>
        <v xml:space="preserve"> </v>
      </c>
      <c r="LV154" s="57" t="str">
        <f t="shared" si="558"/>
        <v xml:space="preserve"> </v>
      </c>
      <c r="LW154" s="47" t="str">
        <f t="shared" si="558"/>
        <v xml:space="preserve"> </v>
      </c>
      <c r="LX154" s="47" t="str">
        <f t="shared" si="558"/>
        <v xml:space="preserve"> </v>
      </c>
      <c r="LY154" s="47" t="str">
        <f t="shared" si="558"/>
        <v xml:space="preserve"> </v>
      </c>
      <c r="LZ154" s="47" t="str">
        <f t="shared" si="558"/>
        <v xml:space="preserve"> </v>
      </c>
      <c r="MA154" s="47" t="str">
        <f t="shared" si="558"/>
        <v xml:space="preserve"> </v>
      </c>
      <c r="MB154" s="57" t="str">
        <f t="shared" si="558"/>
        <v xml:space="preserve"> </v>
      </c>
      <c r="MC154" s="47" t="str">
        <f t="shared" si="558"/>
        <v xml:space="preserve"> </v>
      </c>
      <c r="MD154" s="47" t="str">
        <f t="shared" si="558"/>
        <v xml:space="preserve"> </v>
      </c>
      <c r="ME154" s="47" t="str">
        <f t="shared" si="558"/>
        <v xml:space="preserve"> </v>
      </c>
      <c r="MF154" s="47" t="str">
        <f t="shared" si="558"/>
        <v xml:space="preserve"> </v>
      </c>
      <c r="MG154" s="47" t="str">
        <f t="shared" si="558"/>
        <v xml:space="preserve"> </v>
      </c>
      <c r="MH154" s="57" t="str">
        <f t="shared" si="558"/>
        <v xml:space="preserve"> </v>
      </c>
      <c r="MI154" s="47" t="str">
        <f t="shared" si="558"/>
        <v xml:space="preserve"> </v>
      </c>
      <c r="MJ154" s="47" t="str">
        <f t="shared" si="558"/>
        <v xml:space="preserve"> </v>
      </c>
      <c r="MK154" s="47" t="str">
        <f t="shared" si="558"/>
        <v xml:space="preserve"> </v>
      </c>
      <c r="ML154" s="47" t="str">
        <f t="shared" si="558"/>
        <v xml:space="preserve"> </v>
      </c>
      <c r="MM154" s="47" t="str">
        <f t="shared" si="558"/>
        <v xml:space="preserve"> </v>
      </c>
      <c r="MN154" s="57" t="str">
        <f t="shared" si="558"/>
        <v xml:space="preserve"> </v>
      </c>
      <c r="MO154" s="47" t="str">
        <f t="shared" si="558"/>
        <v xml:space="preserve"> </v>
      </c>
      <c r="MP154" s="47" t="str">
        <f t="shared" si="558"/>
        <v xml:space="preserve"> </v>
      </c>
      <c r="MQ154" s="47" t="str">
        <f t="shared" si="558"/>
        <v xml:space="preserve"> </v>
      </c>
      <c r="MR154" s="47" t="str">
        <f t="shared" si="558"/>
        <v xml:space="preserve"> </v>
      </c>
      <c r="MS154" s="47" t="str">
        <f t="shared" si="558"/>
        <v xml:space="preserve"> </v>
      </c>
      <c r="MT154" s="57" t="str">
        <f t="shared" si="558"/>
        <v xml:space="preserve"> </v>
      </c>
      <c r="MU154" s="47" t="str">
        <f t="shared" si="558"/>
        <v xml:space="preserve"> </v>
      </c>
      <c r="MV154" s="47" t="str">
        <f t="shared" si="558"/>
        <v xml:space="preserve"> </v>
      </c>
      <c r="MW154" s="47" t="str">
        <f t="shared" si="558"/>
        <v xml:space="preserve"> </v>
      </c>
      <c r="MX154" s="47" t="str">
        <f t="shared" si="558"/>
        <v xml:space="preserve"> </v>
      </c>
      <c r="MY154" s="47" t="str">
        <f t="shared" si="558"/>
        <v xml:space="preserve"> </v>
      </c>
      <c r="MZ154" s="57" t="str">
        <f t="shared" si="558"/>
        <v xml:space="preserve"> </v>
      </c>
      <c r="NA154" s="47" t="str">
        <f t="shared" si="558"/>
        <v xml:space="preserve"> </v>
      </c>
      <c r="NB154" s="47" t="str">
        <f t="shared" si="558"/>
        <v xml:space="preserve"> </v>
      </c>
      <c r="NC154" s="47" t="str">
        <f t="shared" si="558"/>
        <v xml:space="preserve"> </v>
      </c>
      <c r="ND154" s="47" t="str">
        <f t="shared" si="558"/>
        <v xml:space="preserve"> </v>
      </c>
      <c r="NE154" s="47" t="str">
        <f t="shared" si="558"/>
        <v xml:space="preserve"> </v>
      </c>
      <c r="NF154" s="57" t="str">
        <f t="shared" si="558"/>
        <v xml:space="preserve"> </v>
      </c>
      <c r="NG154" s="47" t="str">
        <f t="shared" si="558"/>
        <v xml:space="preserve"> </v>
      </c>
      <c r="NH154" s="47" t="str">
        <f t="shared" si="558"/>
        <v xml:space="preserve"> </v>
      </c>
      <c r="NI154" s="47" t="str">
        <f t="shared" si="558"/>
        <v xml:space="preserve"> </v>
      </c>
      <c r="NJ154" s="47" t="str">
        <f t="shared" si="558"/>
        <v xml:space="preserve"> </v>
      </c>
      <c r="NK154" s="47" t="str">
        <f t="shared" si="558"/>
        <v xml:space="preserve"> </v>
      </c>
      <c r="NL154" s="57" t="str">
        <f t="shared" si="558"/>
        <v xml:space="preserve"> </v>
      </c>
      <c r="NM154" s="47" t="str">
        <f t="shared" si="558"/>
        <v xml:space="preserve"> </v>
      </c>
    </row>
    <row r="155" spans="3:377" ht="15.75" customHeight="1">
      <c r="C155" s="7" t="str">
        <f t="shared" si="296"/>
        <v>technologists</v>
      </c>
      <c r="D155" s="21" t="str">
        <f t="shared" si="169"/>
        <v xml:space="preserve"> </v>
      </c>
      <c r="E155" s="21" t="str">
        <f t="shared" si="297"/>
        <v xml:space="preserve"> </v>
      </c>
      <c r="F155" s="21" t="str">
        <f t="shared" si="170"/>
        <v xml:space="preserve"> </v>
      </c>
      <c r="G155" s="21" t="str">
        <f t="shared" si="298"/>
        <v xml:space="preserve">ease of access(1), reputation(2), social media(1),  </v>
      </c>
      <c r="H155" s="21" t="str">
        <f t="shared" si="299"/>
        <v xml:space="preserve"> </v>
      </c>
      <c r="I155" s="21" t="str">
        <f t="shared" ref="I155" si="559">IF(I53="",I156,$C155&amp;"("&amp;I53&amp;"),"&amp;I156)</f>
        <v xml:space="preserve"> </v>
      </c>
      <c r="J155" s="21" t="str">
        <f t="shared" ref="J155:BR170" si="560">IF(J53="",J156,$C155&amp;" "&amp;J53&amp;CHAR(10)&amp;J156)</f>
        <v xml:space="preserve">interaction 1
 </v>
      </c>
      <c r="K155" s="21" t="str">
        <f t="shared" si="173"/>
        <v xml:space="preserve">reputation(1,75),  </v>
      </c>
      <c r="L155" s="21" t="str">
        <f t="shared" ref="L155:BT170" si="561">IF(L53="",L156,$C155&amp;" "&amp;L53&amp;CHAR(10)&amp;L156)</f>
        <v xml:space="preserve">reputation 75
 </v>
      </c>
      <c r="M155" s="21" t="str">
        <f t="shared" si="175"/>
        <v xml:space="preserve">portfolio(1), social innovation(1), non-profit biz(1),  </v>
      </c>
      <c r="N155" s="21" t="str">
        <f t="shared" si="176"/>
        <v xml:space="preserve">non-profits(1,12.5), reputation(1,75), marketing(1,12.5),  </v>
      </c>
      <c r="O155" s="21" t="str">
        <f t="shared" ref="O155:BW170" si="562">IF(O53="",O156,$C155&amp;"("&amp;O53&amp;"),"&amp;O156)</f>
        <v xml:space="preserve">non-profits(12.5),reputation(75),marketing(12.5), </v>
      </c>
      <c r="P155" s="21" t="str">
        <f t="shared" si="560"/>
        <v xml:space="preserve">biz project 1
 </v>
      </c>
      <c r="Q155" s="21" t="str">
        <f t="shared" si="178"/>
        <v xml:space="preserve"> </v>
      </c>
      <c r="R155" s="21" t="str">
        <f t="shared" si="561"/>
        <v xml:space="preserve"> </v>
      </c>
      <c r="S155" s="21" t="str">
        <f t="shared" si="179"/>
        <v xml:space="preserve">portfolio(1), biz enhancement(1), business(1), start-up(1),  </v>
      </c>
      <c r="T155" s="21" t="str">
        <f t="shared" si="180"/>
        <v xml:space="preserve">reputation(1,6.25),  </v>
      </c>
      <c r="U155" s="21" t="str">
        <f t="shared" si="562"/>
        <v xml:space="preserve">reputation(6.25), </v>
      </c>
      <c r="V155" s="21" t="str">
        <f t="shared" si="560"/>
        <v xml:space="preserve"> </v>
      </c>
      <c r="W155" s="21" t="str">
        <f t="shared" si="181"/>
        <v xml:space="preserve"> </v>
      </c>
      <c r="X155" s="21" t="str">
        <f t="shared" si="561"/>
        <v xml:space="preserve"> </v>
      </c>
      <c r="Y155" s="21" t="str">
        <f t="shared" si="182"/>
        <v xml:space="preserve">ease of access(1), reputation(1), portfolio(1), biz project(1), biz enhancement(1), job creation(1), business(1),  </v>
      </c>
      <c r="Z155" s="21" t="str">
        <f t="shared" si="183"/>
        <v xml:space="preserve"> </v>
      </c>
      <c r="AA155" s="21" t="str">
        <f t="shared" si="562"/>
        <v xml:space="preserve"> </v>
      </c>
      <c r="AB155" s="21" t="str">
        <f t="shared" si="560"/>
        <v xml:space="preserve"> </v>
      </c>
      <c r="AC155" s="21" t="str">
        <f t="shared" si="184"/>
        <v xml:space="preserve">non-profits(1,100),  </v>
      </c>
      <c r="AD155" s="21" t="str">
        <f t="shared" si="561"/>
        <v xml:space="preserve">non-profits 100
 </v>
      </c>
      <c r="AE155" s="21" t="str">
        <f t="shared" si="185"/>
        <v xml:space="preserve">ease of access(1), reputation(1), portfolio(1), social project(1), social innovation(1), non-profit biz(1),  </v>
      </c>
      <c r="AF155" s="21" t="str">
        <f t="shared" si="186"/>
        <v xml:space="preserve">non-profits(1,6.25),  </v>
      </c>
      <c r="AG155" s="21" t="str">
        <f t="shared" si="562"/>
        <v xml:space="preserve">non-profits(6.25), </v>
      </c>
      <c r="AH155" s="21" t="str">
        <f t="shared" si="560"/>
        <v xml:space="preserve"> </v>
      </c>
      <c r="AI155" s="21" t="str">
        <f t="shared" si="187"/>
        <v xml:space="preserve"> </v>
      </c>
      <c r="AJ155" s="21" t="str">
        <f t="shared" si="561"/>
        <v xml:space="preserve"> </v>
      </c>
      <c r="AK155" s="21" t="str">
        <f t="shared" si="188"/>
        <v xml:space="preserve">ease of access(1), reputation(2), portfolio(1), social project(1), social innovation(1), non-profit biz(1),  </v>
      </c>
      <c r="AL155" s="21" t="str">
        <f t="shared" si="189"/>
        <v xml:space="preserve"> </v>
      </c>
      <c r="AM155" s="21" t="str">
        <f t="shared" si="562"/>
        <v xml:space="preserve"> </v>
      </c>
      <c r="AN155" s="21" t="str">
        <f t="shared" si="560"/>
        <v xml:space="preserve"> </v>
      </c>
      <c r="AO155" s="21" t="str">
        <f t="shared" si="190"/>
        <v xml:space="preserve"> </v>
      </c>
      <c r="AP155" s="21" t="str">
        <f t="shared" si="561"/>
        <v xml:space="preserve"> </v>
      </c>
      <c r="AQ155" s="21" t="str">
        <f t="shared" si="191"/>
        <v xml:space="preserve">ease of access(1), reputation(1), portfolio(1), start-up(1), start-up with mvp(1), start-up with customers(1),  </v>
      </c>
      <c r="AR155" s="21" t="str">
        <f t="shared" si="192"/>
        <v xml:space="preserve"> </v>
      </c>
      <c r="AS155" s="21" t="str">
        <f t="shared" si="562"/>
        <v xml:space="preserve"> </v>
      </c>
      <c r="AT155" s="21" t="str">
        <f t="shared" si="560"/>
        <v xml:space="preserve">non-profits 2
reputation 1
portfolio 1
social project 1
 </v>
      </c>
      <c r="AU155" s="21" t="str">
        <f t="shared" si="193"/>
        <v xml:space="preserve"> </v>
      </c>
      <c r="AV155" s="21" t="str">
        <f t="shared" si="561"/>
        <v xml:space="preserve"> </v>
      </c>
      <c r="AW155" s="21" t="str">
        <f t="shared" si="194"/>
        <v xml:space="preserve">project management(2),  </v>
      </c>
      <c r="AX155" s="21" t="str">
        <f t="shared" si="195"/>
        <v xml:space="preserve">organizational rules and manuals(1,12.5), project management(1,12.5),  </v>
      </c>
      <c r="AY155" s="21" t="str">
        <f t="shared" si="562"/>
        <v xml:space="preserve">organizational rules and manuals(12.5),project management(12.5), </v>
      </c>
      <c r="AZ155" s="21" t="str">
        <f t="shared" si="560"/>
        <v xml:space="preserve">non-profits 1
 </v>
      </c>
      <c r="BA155" s="21" t="str">
        <f t="shared" si="196"/>
        <v xml:space="preserve"> </v>
      </c>
      <c r="BB155" s="21" t="str">
        <f t="shared" si="561"/>
        <v xml:space="preserve"> </v>
      </c>
      <c r="BC155" s="21" t="str">
        <f t="shared" si="197"/>
        <v xml:space="preserve"> </v>
      </c>
      <c r="BD155" s="21" t="str">
        <f t="shared" si="198"/>
        <v xml:space="preserve"> </v>
      </c>
      <c r="BE155" s="21" t="str">
        <f t="shared" si="562"/>
        <v xml:space="preserve"> </v>
      </c>
      <c r="BF155" s="21" t="str">
        <f t="shared" si="560"/>
        <v xml:space="preserve">reputation 1
portfolio 1
biz project 1
 </v>
      </c>
      <c r="BG155" s="21" t="str">
        <f t="shared" si="199"/>
        <v xml:space="preserve"> </v>
      </c>
      <c r="BH155" s="21" t="str">
        <f t="shared" si="561"/>
        <v xml:space="preserve"> </v>
      </c>
      <c r="BI155" s="21" t="str">
        <f t="shared" si="200"/>
        <v xml:space="preserve">project management(2),  </v>
      </c>
      <c r="BJ155" s="21" t="str">
        <f t="shared" si="201"/>
        <v xml:space="preserve">organizational rules and manuals(1,12.5), project management(1,12.5),  </v>
      </c>
      <c r="BK155" s="21" t="str">
        <f t="shared" si="562"/>
        <v xml:space="preserve">organizational rules and manuals(12.5),project management(12.5), </v>
      </c>
      <c r="BL155" s="21" t="str">
        <f t="shared" si="560"/>
        <v xml:space="preserve">reputation 1
portfolio 1
biz enhancement 1
 </v>
      </c>
      <c r="BM155" s="21" t="str">
        <f t="shared" si="202"/>
        <v xml:space="preserve"> </v>
      </c>
      <c r="BN155" s="21" t="str">
        <f t="shared" si="561"/>
        <v xml:space="preserve"> </v>
      </c>
      <c r="BO155" s="21" t="str">
        <f t="shared" si="203"/>
        <v xml:space="preserve"> </v>
      </c>
      <c r="BP155" s="21" t="str">
        <f t="shared" si="204"/>
        <v xml:space="preserve"> </v>
      </c>
      <c r="BQ155" s="21" t="str">
        <f t="shared" si="562"/>
        <v xml:space="preserve"> </v>
      </c>
      <c r="BR155" s="21" t="str">
        <f t="shared" si="560"/>
        <v xml:space="preserve"> </v>
      </c>
      <c r="BS155" s="21" t="str">
        <f t="shared" si="205"/>
        <v xml:space="preserve"> </v>
      </c>
      <c r="BT155" s="21" t="str">
        <f t="shared" si="561"/>
        <v xml:space="preserve"> </v>
      </c>
      <c r="BU155" s="21" t="str">
        <f t="shared" si="206"/>
        <v xml:space="preserve"> </v>
      </c>
      <c r="BV155" s="21" t="str">
        <f t="shared" si="207"/>
        <v xml:space="preserve"> </v>
      </c>
      <c r="BW155" s="21" t="str">
        <f t="shared" si="562"/>
        <v xml:space="preserve"> </v>
      </c>
      <c r="BX155" s="21" t="str">
        <f t="shared" ref="BX155:EF170" si="563">IF(BX53="",BX156,$C155&amp;" "&amp;BX53&amp;CHAR(10)&amp;BX156)</f>
        <v xml:space="preserve"> </v>
      </c>
      <c r="BY155" s="21" t="str">
        <f t="shared" si="209"/>
        <v xml:space="preserve">efficiency(1,),  </v>
      </c>
      <c r="BZ155" s="21" t="str">
        <f t="shared" ref="BZ155:EH170" si="564">IF(BZ53="",BZ156,$C155&amp;" "&amp;BZ53&amp;CHAR(10)&amp;BZ156)</f>
        <v xml:space="preserve"> </v>
      </c>
      <c r="CA155" s="21" t="str">
        <f t="shared" si="211"/>
        <v xml:space="preserve">negotiation(1),  </v>
      </c>
      <c r="CB155" s="21" t="str">
        <f t="shared" si="212"/>
        <v xml:space="preserve">user rules and manuals(1,50), organizational rules and manuals(1,50),  </v>
      </c>
      <c r="CC155" s="21" t="str">
        <f t="shared" ref="CC155:EK170" si="565">IF(CC53="",CC156,$C155&amp;"("&amp;CC53&amp;"),"&amp;CC156)</f>
        <v xml:space="preserve">user rules and manuals(50),organizational rules and manuals(50), </v>
      </c>
      <c r="CD155" s="21" t="str">
        <f t="shared" si="563"/>
        <v xml:space="preserve"> </v>
      </c>
      <c r="CE155" s="21" t="str">
        <f t="shared" si="214"/>
        <v xml:space="preserve">non-profits(1,),  </v>
      </c>
      <c r="CF155" s="21" t="str">
        <f t="shared" si="564"/>
        <v xml:space="preserve"> </v>
      </c>
      <c r="CG155" s="21" t="str">
        <f t="shared" si="215"/>
        <v xml:space="preserve">ease of access(1), portfolio(1), user rules and manuals(1), negotiation(1), social project(1), biz project(1), for basic literacy(1), for the elites(1), for entrepreneurs(1),  </v>
      </c>
      <c r="CH155" s="21" t="str">
        <f t="shared" si="216"/>
        <v xml:space="preserve">technologists(1,6.25), non-profits(1,6.25),  </v>
      </c>
      <c r="CI155" s="21" t="str">
        <f t="shared" si="565"/>
        <v xml:space="preserve">technologists(6.25),non-profits(6.25), </v>
      </c>
      <c r="CJ155" s="21" t="str">
        <f t="shared" si="563"/>
        <v xml:space="preserve"> </v>
      </c>
      <c r="CK155" s="21" t="str">
        <f t="shared" si="217"/>
        <v xml:space="preserve">suppliers(1,),  </v>
      </c>
      <c r="CL155" s="21" t="str">
        <f t="shared" si="564"/>
        <v xml:space="preserve"> </v>
      </c>
      <c r="CM155" s="21" t="str">
        <f t="shared" si="218"/>
        <v xml:space="preserve">reputation(1), negotiation(1),  </v>
      </c>
      <c r="CN155" s="21" t="str">
        <f t="shared" si="219"/>
        <v xml:space="preserve">efficiency(1,6.25),  </v>
      </c>
      <c r="CO155" s="21" t="str">
        <f t="shared" si="565"/>
        <v xml:space="preserve">efficiency(6.25), </v>
      </c>
      <c r="CP155" s="21" t="str">
        <f t="shared" si="563"/>
        <v xml:space="preserve"> </v>
      </c>
      <c r="CQ155" s="21" t="str">
        <f t="shared" si="220"/>
        <v xml:space="preserve">technologists(1,),  </v>
      </c>
      <c r="CR155" s="21" t="str">
        <f t="shared" si="564"/>
        <v xml:space="preserve"> </v>
      </c>
      <c r="CS155" s="21" t="str">
        <f t="shared" si="221"/>
        <v xml:space="preserve">portfolio(1), negotiation(1), web(1), infrastructrue(1), database(1), mobile apps(1), sensors(1), security(1), AI&amp; data analysis(1), mobile comm(1), VR&amp;AR(1), wood processing(1), metal processing(1), plastic processing(1), electronics(1), fabric(1),  </v>
      </c>
      <c r="CT155" s="21" t="str">
        <f t="shared" si="222"/>
        <v xml:space="preserve">efficiency(1,6.25),  </v>
      </c>
      <c r="CU155" s="21" t="str">
        <f t="shared" si="565"/>
        <v xml:space="preserve">efficiency(6.25), </v>
      </c>
      <c r="CV155" s="21" t="str">
        <f t="shared" si="563"/>
        <v xml:space="preserve"> </v>
      </c>
      <c r="CW155" s="21" t="str">
        <f t="shared" si="223"/>
        <v xml:space="preserve"> </v>
      </c>
      <c r="CX155" s="21" t="str">
        <f t="shared" si="564"/>
        <v xml:space="preserve"> </v>
      </c>
      <c r="CY155" s="21" t="str">
        <f t="shared" si="224"/>
        <v xml:space="preserve">ease of access(1), reputation(1), portfolio(1), negotiation(1),  </v>
      </c>
      <c r="CZ155" s="21" t="str">
        <f t="shared" si="225"/>
        <v xml:space="preserve">non-profits(1,6.25),  </v>
      </c>
      <c r="DA155" s="21" t="str">
        <f t="shared" si="565"/>
        <v xml:space="preserve">non-profits(6.25), </v>
      </c>
      <c r="DB155" s="21" t="str">
        <f t="shared" si="563"/>
        <v xml:space="preserve"> </v>
      </c>
      <c r="DC155" s="21" t="str">
        <f t="shared" si="226"/>
        <v xml:space="preserve"> </v>
      </c>
      <c r="DD155" s="21" t="str">
        <f t="shared" si="564"/>
        <v xml:space="preserve"> </v>
      </c>
      <c r="DE155"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5" s="21" t="str">
        <f t="shared" si="228"/>
        <v xml:space="preserve"> </v>
      </c>
      <c r="DG155" s="21" t="str">
        <f t="shared" si="565"/>
        <v xml:space="preserve"> </v>
      </c>
      <c r="DH155" s="21" t="str">
        <f t="shared" si="563"/>
        <v xml:space="preserve">non-profits 1
reputation 1
social project 1
 </v>
      </c>
      <c r="DI155" s="21" t="str">
        <f t="shared" si="229"/>
        <v xml:space="preserve"> </v>
      </c>
      <c r="DJ155" s="21" t="str">
        <f t="shared" si="564"/>
        <v xml:space="preserve"> </v>
      </c>
      <c r="DK155"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5" s="21" t="str">
        <f t="shared" si="231"/>
        <v xml:space="preserve">reputation(1,6.25),  </v>
      </c>
      <c r="DM155" s="21" t="str">
        <f t="shared" si="565"/>
        <v xml:space="preserve">reputation(6.25), </v>
      </c>
      <c r="DN155" s="21" t="str">
        <f t="shared" si="563"/>
        <v xml:space="preserve">reputation 1
biz project 1
 </v>
      </c>
      <c r="DO155" s="21" t="str">
        <f t="shared" si="232"/>
        <v xml:space="preserve"> </v>
      </c>
      <c r="DP155" s="21" t="str">
        <f t="shared" si="564"/>
        <v xml:space="preserve"> </v>
      </c>
      <c r="DQ155" s="21" t="str">
        <f t="shared" si="233"/>
        <v xml:space="preserve">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5" s="21" t="str">
        <f t="shared" si="234"/>
        <v xml:space="preserve">reputation(1,6.25),  </v>
      </c>
      <c r="DS155" s="21" t="str">
        <f t="shared" si="565"/>
        <v xml:space="preserve">reputation(6.25), </v>
      </c>
      <c r="DT155" s="21" t="str">
        <f t="shared" si="563"/>
        <v xml:space="preserve">reputation 1
 </v>
      </c>
      <c r="DU155" s="21" t="str">
        <f t="shared" si="235"/>
        <v xml:space="preserve"> </v>
      </c>
      <c r="DV155" s="21" t="str">
        <f t="shared" si="564"/>
        <v xml:space="preserve"> </v>
      </c>
      <c r="DW155" s="21" t="str">
        <f t="shared" si="236"/>
        <v xml:space="preserve">technologists(1), non-profits(1), spaciousness(1), ease of access(1), reputation(2), efficiency(1), organizational rules and manuals(1), marketing(1), social media(1), for basic literacy(1),  </v>
      </c>
      <c r="DX155" s="21" t="str">
        <f t="shared" si="237"/>
        <v xml:space="preserve">reputation(1,6.25), for basic literacy(1,6.25),  </v>
      </c>
      <c r="DY155" s="21" t="str">
        <f t="shared" si="565"/>
        <v xml:space="preserve">reputation(6.25),for basic literacy(6.25), </v>
      </c>
      <c r="DZ155" s="21" t="str">
        <f t="shared" si="563"/>
        <v xml:space="preserve">reputation 1
 </v>
      </c>
      <c r="EA155" s="21" t="str">
        <f t="shared" si="238"/>
        <v xml:space="preserve"> </v>
      </c>
      <c r="EB155" s="21" t="str">
        <f t="shared" si="564"/>
        <v xml:space="preserve"> </v>
      </c>
      <c r="EC155" s="21" t="str">
        <f t="shared" si="239"/>
        <v xml:space="preserve">technologists(1), 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5" s="21" t="str">
        <f t="shared" si="240"/>
        <v xml:space="preserve">reputation(1,6.25), for basic literacy(1,6.25),  </v>
      </c>
      <c r="EE155" s="21" t="str">
        <f t="shared" si="565"/>
        <v xml:space="preserve">reputation(6.25),for basic literacy(6.25), </v>
      </c>
      <c r="EF155" s="21" t="str">
        <f t="shared" si="563"/>
        <v xml:space="preserve">technologists 1
reputation 1
 </v>
      </c>
      <c r="EG155" s="21" t="str">
        <f t="shared" si="241"/>
        <v xml:space="preserve">web(1,50), mobile apps(1,50), interaction(1,50),  </v>
      </c>
      <c r="EH155" s="21" t="str">
        <f t="shared" si="564"/>
        <v xml:space="preserve">web 50
mobile apps 50
interaction 50
 </v>
      </c>
      <c r="EI155" s="21" t="str">
        <f t="shared" si="242"/>
        <v xml:space="preserve">technologists(2), ease of access(1), reputation(2), infrastructrue(1), database(1), mobile comm(1), for entrepreneurs(1),  </v>
      </c>
      <c r="EJ155" s="21" t="str">
        <f t="shared" si="243"/>
        <v xml:space="preserve">technologists(1,12.5), infrastructrue(1,12.5), database(1,12.5), mobile comm(1,12.5), for entrepreneurs(1,6.25),  </v>
      </c>
      <c r="EK155" s="21" t="str">
        <f t="shared" si="565"/>
        <v xml:space="preserve">technologists(12.5),infrastructrue(12.5),database(12.5),mobile comm(12.5),for entrepreneurs(6.25), </v>
      </c>
      <c r="EL155" s="21" t="str">
        <f t="shared" ref="EL155:GT170" si="566">IF(EL53="",EL156,$C155&amp;" "&amp;EL53&amp;CHAR(10)&amp;EL156)</f>
        <v xml:space="preserve">technologists 1
reputation 1
 </v>
      </c>
      <c r="EM155" s="21" t="str">
        <f t="shared" si="245"/>
        <v xml:space="preserve">sensors(1,50),  </v>
      </c>
      <c r="EN155" s="21" t="str">
        <f t="shared" ref="EN155:GV170" si="567">IF(EN53="",EN156,$C155&amp;" "&amp;EN53&amp;CHAR(10)&amp;EN156)</f>
        <v xml:space="preserve">sensors 50
 </v>
      </c>
      <c r="EO155" s="21" t="str">
        <f t="shared" si="247"/>
        <v xml:space="preserve">technologists(2), ease of access(1), reputation(2), project management(2), infrastructrue(1), database(1), mobile comm(1), for entrepreneurs(1),  </v>
      </c>
      <c r="EP155" s="21" t="str">
        <f t="shared" si="248"/>
        <v xml:space="preserve">technologists(1,12.5), infrastructrue(1,12.5), database(1,12.5), mobile comm(1,12.5), electronics(1,6.25), for entrepreneurs(1,6.25),  </v>
      </c>
      <c r="EQ155" s="21" t="str">
        <f t="shared" ref="EQ155:GY170" si="568">IF(EQ53="",EQ156,$C155&amp;"("&amp;EQ53&amp;"),"&amp;EQ156)</f>
        <v xml:space="preserve">technologists(12.5),infrastructrue(12.5),database(12.5),mobile comm(12.5),electronics(6.25),for entrepreneurs(6.25), </v>
      </c>
      <c r="ER155" s="21" t="str">
        <f t="shared" si="566"/>
        <v xml:space="preserve">technologists 1
 </v>
      </c>
      <c r="ES155" s="21" t="str">
        <f t="shared" si="250"/>
        <v xml:space="preserve">AI&amp; data analysis(1,50),  </v>
      </c>
      <c r="ET155" s="21" t="str">
        <f t="shared" si="567"/>
        <v xml:space="preserve">AI&amp; data analysis 50
 </v>
      </c>
      <c r="EU155" s="21" t="str">
        <f t="shared" si="251"/>
        <v xml:space="preserve">technologists(2), ease of access(1), reputation(2), database(1), sensors(1), mobile comm(1), for entrepreneurs(1),  </v>
      </c>
      <c r="EV155" s="21" t="str">
        <f t="shared" si="252"/>
        <v xml:space="preserve">technologists(1,12.5), database(1,12.5), sensors(1,12.5), mobile comm(1,12.5), for entrepreneurs(1,6.25),  </v>
      </c>
      <c r="EW155" s="21" t="str">
        <f t="shared" si="568"/>
        <v xml:space="preserve">technologists(12.5),database(12.5),sensors(12.5),mobile comm(12.5),for entrepreneurs(6.25), </v>
      </c>
      <c r="EX155" s="21" t="str">
        <f t="shared" si="566"/>
        <v xml:space="preserve">technologists 1
 </v>
      </c>
      <c r="EY155" s="21" t="str">
        <f t="shared" si="253"/>
        <v xml:space="preserve">law(1,50), security(1,50), interaction(1,25),  </v>
      </c>
      <c r="EZ155" s="21" t="str">
        <f t="shared" si="567"/>
        <v xml:space="preserve">law 50
security 50
interaction 25
 </v>
      </c>
      <c r="FA155" s="21" t="str">
        <f t="shared" si="254"/>
        <v xml:space="preserve">technologists(2), ease of access(1), reputation(2), law(2), for entrepreneurs(1),  </v>
      </c>
      <c r="FB155" s="21" t="str">
        <f t="shared" si="255"/>
        <v xml:space="preserve">technologists(1,12.5), law(1,6.25), database(1,12.5), mobile apps(1,12.5), security(1,12.5), mobile comm(1,12.5), for entrepreneurs(1,6.25),  </v>
      </c>
      <c r="FC155" s="21" t="str">
        <f t="shared" si="568"/>
        <v xml:space="preserve">technologists(12.5),law(6.25),database(12.5),mobile apps(12.5),security(12.5),mobile comm(12.5),for entrepreneurs(6.25), </v>
      </c>
      <c r="FD155" s="21" t="str">
        <f t="shared" si="566"/>
        <v xml:space="preserve">technologists 1
 </v>
      </c>
      <c r="FE155" s="21" t="str">
        <f t="shared" si="256"/>
        <v xml:space="preserve">law(1,50), sensors(1,50), security(1,50),  </v>
      </c>
      <c r="FF155" s="21" t="str">
        <f t="shared" si="567"/>
        <v xml:space="preserve">law 50
sensors 50
security 50
 </v>
      </c>
      <c r="FG155" s="21" t="str">
        <f t="shared" si="257"/>
        <v xml:space="preserve">technologists(2), ease of access(1), reputation(2), law(2), project management(2), for entrepreneurs(1),  </v>
      </c>
      <c r="FH155" s="21" t="str">
        <f t="shared" si="258"/>
        <v xml:space="preserve">technologists(1,12.5), law(1,6.25), database(1,6.25), mobile apps(1,6.25), AI&amp; data analysis(1,6.25), mobile comm(1,6.25), for entrepreneurs(1,6.25),  </v>
      </c>
      <c r="FI155" s="21" t="str">
        <f t="shared" si="568"/>
        <v xml:space="preserve">technologists(12.5),law(6.25),database(6.25),mobile apps(6.25),AI&amp; data analysis(6.25),mobile comm(6.25),for entrepreneurs(6.25), </v>
      </c>
      <c r="FJ155" s="21" t="str">
        <f t="shared" si="566"/>
        <v xml:space="preserve">technologists 1
 </v>
      </c>
      <c r="FK155" s="21" t="str">
        <f t="shared" si="259"/>
        <v xml:space="preserve">wood processing(1,25), metal processing(1,25), plastic processing(1,25), fabric(1,25), safety(1,25), interaction(1,25),  </v>
      </c>
      <c r="FL155" s="21" t="str">
        <f t="shared" si="567"/>
        <v xml:space="preserve">project management 2
wood processing 25
metal processing 25
plastic processing 25
fabric 25
safety 25
interaction 25
 </v>
      </c>
      <c r="FM155" s="21" t="str">
        <f t="shared" si="260"/>
        <v xml:space="preserve">technologists(2), spaciousness(1), ease of access(1), reputation(2), for entrepreneurs(1),  </v>
      </c>
      <c r="FN155" s="21" t="str">
        <f t="shared" si="261"/>
        <v xml:space="preserve">technologists(1,12.5), for entrepreneurs(1,6.25),  </v>
      </c>
      <c r="FO155" s="21" t="str">
        <f t="shared" si="568"/>
        <v xml:space="preserve">technologists(12.5),for entrepreneurs(6.25), </v>
      </c>
      <c r="FP155" s="21" t="str">
        <f t="shared" si="566"/>
        <v xml:space="preserve">technologists 1
 </v>
      </c>
      <c r="FQ155" s="21" t="str">
        <f t="shared" si="262"/>
        <v xml:space="preserve">web(1,25), mobile apps(1,50), functions(1,25), interaction(1,25),  </v>
      </c>
      <c r="FR155" s="21" t="str">
        <f t="shared" si="567"/>
        <v xml:space="preserve">web 25
mobile apps 50
functions 25
interaction 25
 </v>
      </c>
      <c r="FS155" s="21" t="str">
        <f t="shared" si="263"/>
        <v xml:space="preserve">technologists(2), spaciousness(1), ease of access(1), reputation(2), for entrepreneurs(1),  </v>
      </c>
      <c r="FT155" s="21" t="str">
        <f t="shared" si="264"/>
        <v xml:space="preserve">technologists(1,12.5), for entrepreneurs(1,6.25),  </v>
      </c>
      <c r="FU155" s="21" t="str">
        <f t="shared" si="568"/>
        <v xml:space="preserve">technologists(12.5),for entrepreneurs(6.25), </v>
      </c>
      <c r="FV155" s="21" t="str">
        <f t="shared" si="566"/>
        <v xml:space="preserve">technologists 1
 </v>
      </c>
      <c r="FW155" s="21" t="str">
        <f t="shared" si="265"/>
        <v xml:space="preserve">mobile apps(1,50), sensors(1,50), wood processing(1,25), plastic processing(1,25), electronics(1,25), functions(1,25), interaction(1,25),  </v>
      </c>
      <c r="FX155" s="21" t="str">
        <f t="shared" si="567"/>
        <v xml:space="preserve">mobile apps 50
sensors 50
wood processing 25
plastic processing 25
electronics 25
functions 25
interaction 25
 </v>
      </c>
      <c r="FY155" s="21" t="str">
        <f t="shared" si="266"/>
        <v xml:space="preserve">technologists(2), spaciousness(1), ease of access(1), reputation(2), project management(2), for entrepreneurs(1),  </v>
      </c>
      <c r="FZ155" s="21" t="str">
        <f t="shared" si="267"/>
        <v xml:space="preserve">technologists(1,12.5), web(1,6.25), database(1,6.25), AI&amp; data analysis(1,6.25), mobile comm(1,6.25), for entrepreneurs(1,6.25),  </v>
      </c>
      <c r="GA155" s="21" t="str">
        <f t="shared" si="568"/>
        <v xml:space="preserve">technologists(12.5),web(6.25),database(6.25),AI&amp; data analysis(6.25),mobile comm(6.25),for entrepreneurs(6.25), </v>
      </c>
      <c r="GB155" s="21" t="str">
        <f t="shared" si="566"/>
        <v xml:space="preserve">technologists 1
 </v>
      </c>
      <c r="GC155" s="21" t="str">
        <f t="shared" si="268"/>
        <v xml:space="preserve">sensors(1,25), mobile comm(1,25), electronics(1,50), functions(1,25), safety(1,25),  </v>
      </c>
      <c r="GD155" s="21" t="str">
        <f t="shared" si="567"/>
        <v xml:space="preserve">sensors 25
mobile comm 25
electronics 50
functions 25
safety 25
 </v>
      </c>
      <c r="GE155" s="21" t="str">
        <f t="shared" si="269"/>
        <v xml:space="preserve">technologists(2), spaciousness(1), ease of access(1), reputation(2), project management(2), for entrepreneurs(1),  </v>
      </c>
      <c r="GF155" s="21" t="str">
        <f t="shared" si="270"/>
        <v xml:space="preserve">technologists(1,12.5), database(1,6.25), mobile apps(1,6.25), AI&amp; data analysis(1,6.25), plastic processing(1,6.25), interaction(1,6.25), for entrepreneurs(1,6.25),  </v>
      </c>
      <c r="GG155" s="21" t="str">
        <f t="shared" si="568"/>
        <v xml:space="preserve">technologists(12.5),database(6.25),mobile apps(6.25),AI&amp; data analysis(6.25),plastic processing(6.25),interaction(6.25),for entrepreneurs(6.25), </v>
      </c>
      <c r="GH155" s="21" t="str">
        <f t="shared" si="566"/>
        <v xml:space="preserve">technologists 1
 </v>
      </c>
      <c r="GI155" s="21" t="str">
        <f t="shared" si="271"/>
        <v xml:space="preserve">web(1,25), mobile apps(1,50), functions(1,25), interaction(1,25),  </v>
      </c>
      <c r="GJ155" s="21" t="str">
        <f t="shared" si="567"/>
        <v xml:space="preserve">web 25
mobile apps 50
functions 25
interaction 25
 </v>
      </c>
      <c r="GK155" s="21" t="str">
        <f t="shared" si="272"/>
        <v xml:space="preserve">technologists(2), spaciousness(1), ease of access(1), reputation(2), project management(2), for entrepreneurs(1),  </v>
      </c>
      <c r="GL155" s="21" t="str">
        <f t="shared" si="273"/>
        <v xml:space="preserve">technologists(1,12.5), for entrepreneurs(1,6.25),  </v>
      </c>
      <c r="GM155" s="21" t="str">
        <f t="shared" si="568"/>
        <v xml:space="preserve">technologists(12.5),for entrepreneurs(6.25), </v>
      </c>
      <c r="GN155" s="21" t="str">
        <f t="shared" si="566"/>
        <v xml:space="preserve">technologists 1
 </v>
      </c>
      <c r="GO155" s="21" t="str">
        <f t="shared" si="274"/>
        <v xml:space="preserve">web(1,25), mobile apps(1,25), VR&amp;AR(1,25), aesthetics(1,25), functions(1,25), interaction(1,50),  </v>
      </c>
      <c r="GP155" s="21" t="str">
        <f t="shared" si="567"/>
        <v xml:space="preserve">web 25
mobile apps 25
VR&amp;AR 25
aesthetics 25
functions 25
interaction 50
 </v>
      </c>
      <c r="GQ155" s="21" t="str">
        <f t="shared" si="275"/>
        <v xml:space="preserve">technologists(2), spaciousness(1), ease of access(1), reputation(2), project management(2), for entrepreneurs(1),  </v>
      </c>
      <c r="GR155" s="21" t="str">
        <f t="shared" si="276"/>
        <v xml:space="preserve">technologists(1,12.5), for entrepreneurs(1,6.25),  </v>
      </c>
      <c r="GS155" s="21" t="str">
        <f t="shared" si="568"/>
        <v xml:space="preserve">technologists(12.5),for entrepreneurs(6.25), </v>
      </c>
      <c r="GT155" s="21" t="str">
        <f t="shared" si="566"/>
        <v xml:space="preserve">ease of access 1
reputation 2
web 1
mobile apps 1
mobile comm 1
 </v>
      </c>
      <c r="GU155" s="21" t="str">
        <f t="shared" si="277"/>
        <v xml:space="preserve"> </v>
      </c>
      <c r="GV155" s="21" t="str">
        <f t="shared" si="567"/>
        <v xml:space="preserve"> </v>
      </c>
      <c r="GW155" s="21" t="str">
        <f t="shared" si="278"/>
        <v xml:space="preserve">technologists(1), 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5" s="21" t="str">
        <f t="shared" si="279"/>
        <v xml:space="preserve">technologists(1,6.25), project management(1,6.25), social media(1,6.25), web(1,6.25), mobile apps(1,6.25),  </v>
      </c>
      <c r="GY155" s="21" t="str">
        <f t="shared" si="568"/>
        <v xml:space="preserve">technologists(6.25),project management(6.25),social media(6.25),web(6.25),mobile apps(6.25), </v>
      </c>
      <c r="GZ155" s="21" t="str">
        <f t="shared" ref="GZ155:HL170" si="569">IF(GZ53="",GZ156,$C155&amp;" "&amp;GZ53&amp;CHAR(10)&amp;GZ156)</f>
        <v xml:space="preserve">non-profits 1
reputation 2
portfolio 1
 </v>
      </c>
      <c r="HA155" s="21" t="str">
        <f t="shared" si="281"/>
        <v xml:space="preserve"> </v>
      </c>
      <c r="HB155" s="21" t="str">
        <f t="shared" ref="HB155:HN170" si="570">IF(HB53="",HB156,$C155&amp;" "&amp;HB53&amp;CHAR(10)&amp;HB156)</f>
        <v xml:space="preserve"> </v>
      </c>
      <c r="HC155" s="21" t="str">
        <f t="shared" si="283"/>
        <v xml:space="preserve">non-profits(3), reputation(4), portfolio(3), social media(2), web(2), mobile apps(2), sensors(2), AI&amp; data analysis(2), VR&amp;AR(2), plastic processing(2), electronics(2), aesthetics(2), interaction(2),  </v>
      </c>
      <c r="HD155" s="21" t="str">
        <f t="shared" si="284"/>
        <v xml:space="preserve">technologists(1,6.25), non-profits(1,6.25), reputation(1,6.25), start-up with customers(1,6.25), for basic literacy(1,6.25),  </v>
      </c>
      <c r="HE155" s="21" t="str">
        <f t="shared" ref="HE155:HQ170" si="571">IF(HE53="",HE156,$C155&amp;"("&amp;HE53&amp;"),"&amp;HE156)</f>
        <v xml:space="preserve">technologists(6.25),non-profits(6.25),reputation(6.25),start-up with customers(6.25),for basic literacy(6.25), </v>
      </c>
      <c r="HF155" s="21" t="str">
        <f t="shared" si="569"/>
        <v xml:space="preserve"> </v>
      </c>
      <c r="HG155" s="21" t="str">
        <f t="shared" si="286"/>
        <v xml:space="preserve"> </v>
      </c>
      <c r="HH155" s="21" t="str">
        <f t="shared" si="570"/>
        <v xml:space="preserve"> </v>
      </c>
      <c r="HI155" s="21" t="str">
        <f t="shared" si="287"/>
        <v xml:space="preserve">portfolio(3), marketing(2), team building(3), project management(2), mobile apps(3), sensors(2), plastic processing(2), electronics(2), aesthetics(2), functions(2), interaction(2),  </v>
      </c>
      <c r="HJ155" s="21" t="str">
        <f t="shared" si="288"/>
        <v xml:space="preserve">non-profits(1,6.25), start-up with customers(1,6.25),  </v>
      </c>
      <c r="HK155" s="21" t="str">
        <f t="shared" si="571"/>
        <v xml:space="preserve">non-profits(6.25),start-up with customers(6.25), </v>
      </c>
      <c r="HL155" s="21" t="str">
        <f t="shared" si="569"/>
        <v xml:space="preserve">non-profits 1
reputation 2
portfolio 2
 </v>
      </c>
      <c r="HM155" s="21" t="str">
        <f t="shared" si="289"/>
        <v xml:space="preserve"> </v>
      </c>
      <c r="HN155" s="21" t="str">
        <f t="shared" si="570"/>
        <v xml:space="preserve"> </v>
      </c>
      <c r="HO155" s="21" t="str">
        <f t="shared" si="290"/>
        <v xml:space="preserve">spaciousness(2), ease of access(2), reputation(3), efficiency(2), portfolio(4), finance(2), marketing(2), project management(2), social media(2), web(3), mobile apps(2), wood processing(3), plastic processing(3), electronics(3), aesthetics(2), interaction(2),  </v>
      </c>
      <c r="HP155" s="21" t="str">
        <f t="shared" si="291"/>
        <v xml:space="preserve">technologists(1,6.25), suppliers(1,6.25), non-profits(1,6.25), reputation(1,6.25),  </v>
      </c>
      <c r="HQ155" s="47" t="str">
        <f t="shared" si="571"/>
        <v xml:space="preserve">technologists(6.25),suppliers(6.25),non-profits(6.25),reputation(6.25), </v>
      </c>
      <c r="HR155" s="47" t="str">
        <f t="shared" ref="HR155:HW155" si="572">IF(HR53="",HR156,$C155&amp;"("&amp;HR53&amp;"),"&amp;HR156)</f>
        <v xml:space="preserve">reputation(2),portfolio(2),mobile apps(1),sensors(1),wood processing(1),aesthetics(1), </v>
      </c>
      <c r="HS155" s="47" t="str">
        <f t="shared" si="572"/>
        <v xml:space="preserve"> </v>
      </c>
      <c r="HT155" s="47" t="str">
        <f t="shared" si="572"/>
        <v xml:space="preserve"> </v>
      </c>
      <c r="HU155" s="47" t="str">
        <f t="shared" si="572"/>
        <v xml:space="preserve">technologists(2),non-profits(2),reputation(3),efficiency(2),portfolio(3),project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5" s="47" t="str">
        <f t="shared" si="572"/>
        <v xml:space="preserve">technologists(1),suppliers(1),non-profits(1),reputation(1), </v>
      </c>
      <c r="HW155" s="47" t="str">
        <f t="shared" si="572"/>
        <v xml:space="preserve">technologists(12.5),suppliers(6.25),non-profits(6.25),reputation(6.25), </v>
      </c>
      <c r="HX155" s="47" t="str">
        <f t="shared" ref="HX155:IU155" si="573">IF(HX53="",HX156,$C155&amp;"("&amp;HX53&amp;"),"&amp;HX156)</f>
        <v xml:space="preserve">technologists(3),non-profits(3),reputation(3),portfolio(2),web(1),infrastructrue(1),database(2),mobile apps(1),sensors(1),AI&amp; data analysis(2),VR&amp;AR(1),wood processing(1),metal processing(1),plastic processing(1),electronics(1),aesthetics(1),functions(1),interaction(1), </v>
      </c>
      <c r="HY155" s="47" t="str">
        <f t="shared" si="573"/>
        <v xml:space="preserve">biz enhancement(1), </v>
      </c>
      <c r="HZ155" s="47" t="str">
        <f t="shared" si="573"/>
        <v xml:space="preserve">biz enhancement(100), </v>
      </c>
      <c r="IA155" s="47" t="str">
        <f t="shared" si="573"/>
        <v xml:space="preserve">spaciousness(2),ease of access(3),efficiency(2),portfolio(4),finance(2),business model(2),marketing(3),team building(2),project management(2),social media(3),negotiation(3), </v>
      </c>
      <c r="IB155" s="47" t="str">
        <f t="shared" si="573"/>
        <v xml:space="preserve">technologists(1),non-profits(1),reputation(1),team building(1),database(1),AI&amp; data analysis(1),electronics(1),functions(1), </v>
      </c>
      <c r="IC155" s="47" t="str">
        <f t="shared" si="573"/>
        <v xml:space="preserve">technologists(6.25),non-profits(6.25),reputation(6.25),team building(6.25),database(6.25),AI&amp; data analysis(6.25),electronics(6.25),functions(6.25), </v>
      </c>
      <c r="ID155" s="47" t="str">
        <f t="shared" si="573"/>
        <v xml:space="preserve">technologists(2), </v>
      </c>
      <c r="IE155" s="47" t="str">
        <f t="shared" si="573"/>
        <v xml:space="preserve">web(1),mobile apps(1),security(1),AI&amp; data analysis(1), </v>
      </c>
      <c r="IF155" s="47" t="str">
        <f t="shared" si="573"/>
        <v xml:space="preserve">web(25),mobile apps(25),security(25),AI&amp; data analysis(25), </v>
      </c>
      <c r="IG155" s="47" t="str">
        <f t="shared" si="573"/>
        <v xml:space="preserve">technologists(4),spaciousness(2),ease of access(2),reputation(3),efficiency(2),portfolio(3),web(2),database(2),mobile apps(2),security(2),AI&amp; data analysis(2), </v>
      </c>
      <c r="IH155" s="47" t="str">
        <f t="shared" si="573"/>
        <v xml:space="preserve">technologists(1),web(1),database(1),mobile apps(1),security(1),AI&amp; data analysis(1), </v>
      </c>
      <c r="II155" s="47" t="str">
        <f t="shared" si="573"/>
        <v xml:space="preserve">technologists(6.25),web(6.25),database(6.25),mobile apps(6.25),security(6.25),AI&amp; data analysis(6.25), </v>
      </c>
      <c r="IJ155" s="47" t="str">
        <f t="shared" si="573"/>
        <v xml:space="preserve">technologists(2), </v>
      </c>
      <c r="IK155" s="47" t="str">
        <f t="shared" si="573"/>
        <v xml:space="preserve">wood processing(1),metal processing(1),functions(1),safety(1), </v>
      </c>
      <c r="IL155" s="47" t="str">
        <f t="shared" si="573"/>
        <v xml:space="preserve">wood processing(25),metal processing(25),functions(25),safety(25), </v>
      </c>
      <c r="IM155" s="47" t="str">
        <f t="shared" si="573"/>
        <v xml:space="preserve">technologists(4),spaciousness(2),ease of access(2),reputation(3),efficiency(2),portfolio(3),wood processing(2),metal processing(2),functions(2),safety(2), </v>
      </c>
      <c r="IN155" s="47" t="str">
        <f t="shared" si="573"/>
        <v xml:space="preserve">technologists(1),wood processing(1),metal processing(1),functions(1),safety(1),interaction(1), </v>
      </c>
      <c r="IO155" s="47" t="str">
        <f t="shared" si="573"/>
        <v xml:space="preserve">technologists(6.25),wood processing(6.25),metal processing(6.25),functions(6.25),safety(6.25),interaction(6.25), </v>
      </c>
      <c r="IP155" s="57" t="str">
        <f t="shared" si="573"/>
        <v xml:space="preserve">reputation(1), </v>
      </c>
      <c r="IQ155" s="47" t="str">
        <f t="shared" si="573"/>
        <v xml:space="preserve">marketing(1), </v>
      </c>
      <c r="IR155" s="47" t="str">
        <f t="shared" si="573"/>
        <v xml:space="preserve">marketing(25), </v>
      </c>
      <c r="IS155" s="47" t="str">
        <f t="shared" si="573"/>
        <v xml:space="preserve">non-profits(2),reputation(3),efficiency(2),marketing(2), </v>
      </c>
      <c r="IT155" s="47" t="str">
        <f t="shared" si="573"/>
        <v xml:space="preserve">non-profits(1),marketing(1), </v>
      </c>
      <c r="IU155" s="47" t="str">
        <f t="shared" si="573"/>
        <v xml:space="preserve">non-profits(6.25),marketing(6.25), </v>
      </c>
      <c r="IV155" s="57" t="str">
        <f t="shared" ref="IV155:LG155" si="574">IF(IV53="",IV156,$C155&amp;"("&amp;IV53&amp;"),"&amp;IV156)</f>
        <v xml:space="preserve">reputation(1), </v>
      </c>
      <c r="IW155" s="47" t="str">
        <f t="shared" si="574"/>
        <v xml:space="preserve">marketing(1), </v>
      </c>
      <c r="IX155" s="47" t="str">
        <f t="shared" si="574"/>
        <v xml:space="preserve">marketing(25), </v>
      </c>
      <c r="IY155" s="47" t="str">
        <f t="shared" si="574"/>
        <v xml:space="preserve">reputation(3),efficiency(2),marketing(2), </v>
      </c>
      <c r="IZ155" s="47" t="str">
        <f t="shared" si="574"/>
        <v xml:space="preserve">marketing(1), </v>
      </c>
      <c r="JA155" s="47" t="str">
        <f t="shared" si="574"/>
        <v xml:space="preserve">marketing(6.25), </v>
      </c>
      <c r="JB155" s="47" t="str">
        <f t="shared" si="574"/>
        <v xml:space="preserve"> </v>
      </c>
      <c r="JC155" s="47" t="str">
        <f t="shared" si="574"/>
        <v xml:space="preserve"> </v>
      </c>
      <c r="JD155" s="47" t="str">
        <f t="shared" si="574"/>
        <v xml:space="preserve"> </v>
      </c>
      <c r="JE155" s="47" t="str">
        <f t="shared" si="574"/>
        <v xml:space="preserve">technologists(2),spaciousness(1),ease of access(1),reputation(3),efficiency(2), </v>
      </c>
      <c r="JF155" s="47" t="str">
        <f t="shared" si="574"/>
        <v xml:space="preserve">web(1),infrastructrue(1),database(1),mobile apps(1),sensors(1),security(1),AI&amp; data analysis(1),mobile comm(1),VR&amp;AR(1),wood processing(1),metal processing(1),plastic processing(1),electronics(1),fabric(1),aesthetics(1),functions(1),safety(1),interaction(1), </v>
      </c>
      <c r="JG155" s="47" t="str">
        <f t="shared" si="574"/>
        <v xml:space="preserve">web(6.25),infrastructrue(6.25),database(6.25),mobile apps(6.25),sensors(6.25),security(6.25),AI&amp; data analysis(6.25),mobile comm(6.25),VR&amp;AR(6.25),wood processing(6.25),metal processing(6.25),plastic processing(6.25),electronics(6.25),fabric(6.25),aesthetics(6.25),functions(6.25),safety(6.25),interaction(6.25), </v>
      </c>
      <c r="JH155" s="47" t="str">
        <f t="shared" si="574"/>
        <v xml:space="preserve">non-profits(1),reputation(2), </v>
      </c>
      <c r="JI155" s="47" t="str">
        <f t="shared" si="574"/>
        <v xml:space="preserve"> </v>
      </c>
      <c r="JJ155" s="47" t="str">
        <f t="shared" si="574"/>
        <v xml:space="preserve"> </v>
      </c>
      <c r="JK155" s="47" t="str">
        <f t="shared" si="574"/>
        <v xml:space="preserve">technologists(2),suppliers(2),non-profits(1),reputation(3),portfolio(2),social media(2),negotiation(2),social project(1),social innovation(1),non-profit biz(1),biz project(1),biz enhancement(1),job creation(1),business(1),start-up(1),start-up with mvp(1),start-up with customers(1),for basic literacy(1),for the elites(1),for entrepreneurs(1), </v>
      </c>
      <c r="JL155" s="47" t="str">
        <f t="shared" si="574"/>
        <v xml:space="preserve">non-profits(1), </v>
      </c>
      <c r="JM155" s="47" t="str">
        <f t="shared" si="574"/>
        <v xml:space="preserve">non-profits(6.25), </v>
      </c>
      <c r="JN155" s="47" t="str">
        <f t="shared" si="574"/>
        <v xml:space="preserve">technologists(1),non-profits(1),reputation(2),portfolio(2), </v>
      </c>
      <c r="JO155" s="47" t="str">
        <f t="shared" si="574"/>
        <v xml:space="preserve"> </v>
      </c>
      <c r="JP155" s="47" t="str">
        <f t="shared" si="574"/>
        <v xml:space="preserve"> </v>
      </c>
      <c r="JQ155" s="47" t="str">
        <f t="shared" si="574"/>
        <v xml:space="preserve">technologists(2),non-profits(2),ease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5" s="47" t="str">
        <f t="shared" si="574"/>
        <v xml:space="preserve"> </v>
      </c>
      <c r="JS155" s="47" t="str">
        <f t="shared" si="574"/>
        <v xml:space="preserve"> </v>
      </c>
      <c r="JT155" s="47" t="str">
        <f t="shared" si="574"/>
        <v xml:space="preserve">technologists(2),non-profits(2),reputation(2),portfolio(3), </v>
      </c>
      <c r="JU155" s="47" t="str">
        <f t="shared" si="574"/>
        <v xml:space="preserve"> </v>
      </c>
      <c r="JV155" s="47" t="str">
        <f t="shared" si="574"/>
        <v xml:space="preserve"> </v>
      </c>
      <c r="JW155" s="47" t="str">
        <f t="shared" si="574"/>
        <v xml:space="preserve">technologists(3),non-profits(3),reputation(3),efficiency(2),portfolio(4),law(1),finance(1),marketing(1),team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5" s="47" t="str">
        <f t="shared" si="574"/>
        <v xml:space="preserve"> </v>
      </c>
      <c r="JY155" s="47" t="str">
        <f t="shared" si="574"/>
        <v xml:space="preserve"> </v>
      </c>
      <c r="JZ155" s="47" t="str">
        <f t="shared" si="574"/>
        <v xml:space="preserve">non-profits(1),reputation(2),social project(2), </v>
      </c>
      <c r="KA155" s="47" t="str">
        <f t="shared" si="574"/>
        <v xml:space="preserve">non-profits(1), </v>
      </c>
      <c r="KB155" s="47" t="str">
        <f t="shared" si="574"/>
        <v xml:space="preserve">non-profits(25), </v>
      </c>
      <c r="KC155" s="47" t="str">
        <f t="shared" si="574"/>
        <v xml:space="preserve">technologists(2),non-profits(3),reputation(3),portfolio(1),marketing(1),web(1),mobile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5" s="47" t="str">
        <f t="shared" si="574"/>
        <v xml:space="preserve">non-profits(1), </v>
      </c>
      <c r="KE155" s="47" t="str">
        <f t="shared" si="574"/>
        <v xml:space="preserve">non-profits(6.25), </v>
      </c>
      <c r="KF155" s="47" t="str">
        <f t="shared" si="574"/>
        <v xml:space="preserve"> </v>
      </c>
      <c r="KG155" s="47" t="str">
        <f t="shared" si="574"/>
        <v xml:space="preserve"> </v>
      </c>
      <c r="KH155" s="47" t="str">
        <f t="shared" si="574"/>
        <v xml:space="preserve"> </v>
      </c>
      <c r="KI155" s="47" t="str">
        <f t="shared" si="574"/>
        <v xml:space="preserve"> </v>
      </c>
      <c r="KJ155" s="47" t="str">
        <f t="shared" si="574"/>
        <v xml:space="preserve"> </v>
      </c>
      <c r="KK155" s="47" t="str">
        <f t="shared" si="574"/>
        <v xml:space="preserve"> </v>
      </c>
      <c r="KL155" s="57" t="str">
        <f t="shared" si="574"/>
        <v xml:space="preserve"> </v>
      </c>
      <c r="KM155" s="47" t="str">
        <f t="shared" si="574"/>
        <v xml:space="preserve"> </v>
      </c>
      <c r="KN155" s="47" t="str">
        <f t="shared" si="574"/>
        <v xml:space="preserve"> </v>
      </c>
      <c r="KO155" s="47" t="str">
        <f t="shared" si="574"/>
        <v xml:space="preserve"> </v>
      </c>
      <c r="KP155" s="47" t="str">
        <f t="shared" si="574"/>
        <v xml:space="preserve"> </v>
      </c>
      <c r="KQ155" s="47" t="str">
        <f t="shared" si="574"/>
        <v xml:space="preserve"> </v>
      </c>
      <c r="KR155" s="57" t="str">
        <f t="shared" si="574"/>
        <v xml:space="preserve"> </v>
      </c>
      <c r="KS155" s="47" t="str">
        <f t="shared" si="574"/>
        <v xml:space="preserve"> </v>
      </c>
      <c r="KT155" s="47" t="str">
        <f t="shared" si="574"/>
        <v xml:space="preserve"> </v>
      </c>
      <c r="KU155" s="47" t="str">
        <f t="shared" si="574"/>
        <v xml:space="preserve"> </v>
      </c>
      <c r="KV155" s="47" t="str">
        <f t="shared" si="574"/>
        <v xml:space="preserve"> </v>
      </c>
      <c r="KW155" s="47" t="str">
        <f t="shared" si="574"/>
        <v xml:space="preserve"> </v>
      </c>
      <c r="KX155" s="57" t="str">
        <f t="shared" si="574"/>
        <v xml:space="preserve"> </v>
      </c>
      <c r="KY155" s="47" t="str">
        <f t="shared" si="574"/>
        <v xml:space="preserve"> </v>
      </c>
      <c r="KZ155" s="47" t="str">
        <f t="shared" si="574"/>
        <v xml:space="preserve"> </v>
      </c>
      <c r="LA155" s="47" t="str">
        <f t="shared" si="574"/>
        <v xml:space="preserve"> </v>
      </c>
      <c r="LB155" s="47" t="str">
        <f t="shared" si="574"/>
        <v xml:space="preserve"> </v>
      </c>
      <c r="LC155" s="47" t="str">
        <f t="shared" si="574"/>
        <v xml:space="preserve"> </v>
      </c>
      <c r="LD155" s="57" t="str">
        <f t="shared" si="574"/>
        <v xml:space="preserve"> </v>
      </c>
      <c r="LE155" s="47" t="str">
        <f t="shared" si="574"/>
        <v xml:space="preserve"> </v>
      </c>
      <c r="LF155" s="47" t="str">
        <f t="shared" si="574"/>
        <v xml:space="preserve"> </v>
      </c>
      <c r="LG155" s="47" t="str">
        <f t="shared" si="574"/>
        <v xml:space="preserve"> </v>
      </c>
      <c r="LH155" s="47" t="str">
        <f t="shared" ref="LH155:NM155" si="575">IF(LH53="",LH156,$C155&amp;"("&amp;LH53&amp;"),"&amp;LH156)</f>
        <v xml:space="preserve"> </v>
      </c>
      <c r="LI155" s="47" t="str">
        <f t="shared" si="575"/>
        <v xml:space="preserve"> </v>
      </c>
      <c r="LJ155" s="57" t="str">
        <f t="shared" si="575"/>
        <v xml:space="preserve"> </v>
      </c>
      <c r="LK155" s="47" t="str">
        <f t="shared" si="575"/>
        <v xml:space="preserve"> </v>
      </c>
      <c r="LL155" s="47" t="str">
        <f t="shared" si="575"/>
        <v xml:space="preserve"> </v>
      </c>
      <c r="LM155" s="47" t="str">
        <f t="shared" si="575"/>
        <v xml:space="preserve"> </v>
      </c>
      <c r="LN155" s="47" t="str">
        <f t="shared" si="575"/>
        <v xml:space="preserve"> </v>
      </c>
      <c r="LO155" s="47" t="str">
        <f t="shared" si="575"/>
        <v xml:space="preserve"> </v>
      </c>
      <c r="LP155" s="57" t="str">
        <f t="shared" si="575"/>
        <v xml:space="preserve"> </v>
      </c>
      <c r="LQ155" s="47" t="str">
        <f t="shared" si="575"/>
        <v xml:space="preserve"> </v>
      </c>
      <c r="LR155" s="47" t="str">
        <f t="shared" si="575"/>
        <v xml:space="preserve"> </v>
      </c>
      <c r="LS155" s="47" t="str">
        <f t="shared" si="575"/>
        <v xml:space="preserve"> </v>
      </c>
      <c r="LT155" s="47" t="str">
        <f t="shared" si="575"/>
        <v xml:space="preserve"> </v>
      </c>
      <c r="LU155" s="47" t="str">
        <f t="shared" si="575"/>
        <v xml:space="preserve"> </v>
      </c>
      <c r="LV155" s="57" t="str">
        <f t="shared" si="575"/>
        <v xml:space="preserve"> </v>
      </c>
      <c r="LW155" s="47" t="str">
        <f t="shared" si="575"/>
        <v xml:space="preserve"> </v>
      </c>
      <c r="LX155" s="47" t="str">
        <f t="shared" si="575"/>
        <v xml:space="preserve"> </v>
      </c>
      <c r="LY155" s="47" t="str">
        <f t="shared" si="575"/>
        <v xml:space="preserve"> </v>
      </c>
      <c r="LZ155" s="47" t="str">
        <f t="shared" si="575"/>
        <v xml:space="preserve"> </v>
      </c>
      <c r="MA155" s="47" t="str">
        <f t="shared" si="575"/>
        <v xml:space="preserve"> </v>
      </c>
      <c r="MB155" s="57" t="str">
        <f t="shared" si="575"/>
        <v xml:space="preserve"> </v>
      </c>
      <c r="MC155" s="47" t="str">
        <f t="shared" si="575"/>
        <v xml:space="preserve"> </v>
      </c>
      <c r="MD155" s="47" t="str">
        <f t="shared" si="575"/>
        <v xml:space="preserve"> </v>
      </c>
      <c r="ME155" s="47" t="str">
        <f t="shared" si="575"/>
        <v xml:space="preserve"> </v>
      </c>
      <c r="MF155" s="47" t="str">
        <f t="shared" si="575"/>
        <v xml:space="preserve"> </v>
      </c>
      <c r="MG155" s="47" t="str">
        <f t="shared" si="575"/>
        <v xml:space="preserve"> </v>
      </c>
      <c r="MH155" s="57" t="str">
        <f t="shared" si="575"/>
        <v xml:space="preserve"> </v>
      </c>
      <c r="MI155" s="47" t="str">
        <f t="shared" si="575"/>
        <v xml:space="preserve"> </v>
      </c>
      <c r="MJ155" s="47" t="str">
        <f t="shared" si="575"/>
        <v xml:space="preserve"> </v>
      </c>
      <c r="MK155" s="47" t="str">
        <f t="shared" si="575"/>
        <v xml:space="preserve"> </v>
      </c>
      <c r="ML155" s="47" t="str">
        <f t="shared" si="575"/>
        <v xml:space="preserve"> </v>
      </c>
      <c r="MM155" s="47" t="str">
        <f t="shared" si="575"/>
        <v xml:space="preserve"> </v>
      </c>
      <c r="MN155" s="57" t="str">
        <f t="shared" si="575"/>
        <v xml:space="preserve"> </v>
      </c>
      <c r="MO155" s="47" t="str">
        <f t="shared" si="575"/>
        <v xml:space="preserve"> </v>
      </c>
      <c r="MP155" s="47" t="str">
        <f t="shared" si="575"/>
        <v xml:space="preserve"> </v>
      </c>
      <c r="MQ155" s="47" t="str">
        <f t="shared" si="575"/>
        <v xml:space="preserve"> </v>
      </c>
      <c r="MR155" s="47" t="str">
        <f t="shared" si="575"/>
        <v xml:space="preserve"> </v>
      </c>
      <c r="MS155" s="47" t="str">
        <f t="shared" si="575"/>
        <v xml:space="preserve"> </v>
      </c>
      <c r="MT155" s="57" t="str">
        <f t="shared" si="575"/>
        <v xml:space="preserve"> </v>
      </c>
      <c r="MU155" s="47" t="str">
        <f t="shared" si="575"/>
        <v xml:space="preserve"> </v>
      </c>
      <c r="MV155" s="47" t="str">
        <f t="shared" si="575"/>
        <v xml:space="preserve"> </v>
      </c>
      <c r="MW155" s="47" t="str">
        <f t="shared" si="575"/>
        <v xml:space="preserve"> </v>
      </c>
      <c r="MX155" s="47" t="str">
        <f t="shared" si="575"/>
        <v xml:space="preserve"> </v>
      </c>
      <c r="MY155" s="47" t="str">
        <f t="shared" si="575"/>
        <v xml:space="preserve"> </v>
      </c>
      <c r="MZ155" s="57" t="str">
        <f t="shared" si="575"/>
        <v xml:space="preserve"> </v>
      </c>
      <c r="NA155" s="47" t="str">
        <f t="shared" si="575"/>
        <v xml:space="preserve"> </v>
      </c>
      <c r="NB155" s="47" t="str">
        <f t="shared" si="575"/>
        <v xml:space="preserve"> </v>
      </c>
      <c r="NC155" s="47" t="str">
        <f t="shared" si="575"/>
        <v xml:space="preserve"> </v>
      </c>
      <c r="ND155" s="47" t="str">
        <f t="shared" si="575"/>
        <v xml:space="preserve"> </v>
      </c>
      <c r="NE155" s="47" t="str">
        <f t="shared" si="575"/>
        <v xml:space="preserve"> </v>
      </c>
      <c r="NF155" s="57" t="str">
        <f t="shared" si="575"/>
        <v xml:space="preserve"> </v>
      </c>
      <c r="NG155" s="47" t="str">
        <f t="shared" si="575"/>
        <v xml:space="preserve"> </v>
      </c>
      <c r="NH155" s="47" t="str">
        <f t="shared" si="575"/>
        <v xml:space="preserve"> </v>
      </c>
      <c r="NI155" s="47" t="str">
        <f t="shared" si="575"/>
        <v xml:space="preserve"> </v>
      </c>
      <c r="NJ155" s="47" t="str">
        <f t="shared" si="575"/>
        <v xml:space="preserve"> </v>
      </c>
      <c r="NK155" s="47" t="str">
        <f t="shared" si="575"/>
        <v xml:space="preserve"> </v>
      </c>
      <c r="NL155" s="57" t="str">
        <f t="shared" si="575"/>
        <v xml:space="preserve"> </v>
      </c>
      <c r="NM155" s="47" t="str">
        <f t="shared" si="575"/>
        <v xml:space="preserve"> </v>
      </c>
    </row>
    <row r="156" spans="3:377" ht="15.75" customHeight="1">
      <c r="C156" s="7" t="str">
        <f t="shared" si="296"/>
        <v>suppliers</v>
      </c>
      <c r="D156" s="21" t="str">
        <f t="shared" si="169"/>
        <v xml:space="preserve"> </v>
      </c>
      <c r="E156" s="21" t="str">
        <f t="shared" si="297"/>
        <v xml:space="preserve"> </v>
      </c>
      <c r="F156" s="21" t="str">
        <f t="shared" si="170"/>
        <v xml:space="preserve"> </v>
      </c>
      <c r="G156" s="21" t="str">
        <f t="shared" si="298"/>
        <v xml:space="preserve">ease of access(1), reputation(2), social media(1),  </v>
      </c>
      <c r="H156" s="21" t="str">
        <f t="shared" si="299"/>
        <v xml:space="preserve"> </v>
      </c>
      <c r="I156" s="21" t="str">
        <f t="shared" ref="I156" si="576">IF(I54="",I157,$C156&amp;"("&amp;I54&amp;"),"&amp;I157)</f>
        <v xml:space="preserve"> </v>
      </c>
      <c r="J156" s="21" t="str">
        <f t="shared" si="560"/>
        <v xml:space="preserve">interaction 1
 </v>
      </c>
      <c r="K156" s="21" t="str">
        <f t="shared" si="173"/>
        <v xml:space="preserve">reputation(1,75),  </v>
      </c>
      <c r="L156" s="21" t="str">
        <f t="shared" si="561"/>
        <v xml:space="preserve">reputation 75
 </v>
      </c>
      <c r="M156" s="21" t="str">
        <f t="shared" si="175"/>
        <v xml:space="preserve">portfolio(1), social innovation(1), non-profit biz(1),  </v>
      </c>
      <c r="N156" s="21" t="str">
        <f t="shared" si="176"/>
        <v xml:space="preserve">non-profits(1,12.5), reputation(1,75), marketing(1,12.5),  </v>
      </c>
      <c r="O156" s="21" t="str">
        <f t="shared" si="562"/>
        <v xml:space="preserve">non-profits(12.5),reputation(75),marketing(12.5), </v>
      </c>
      <c r="P156" s="21" t="str">
        <f t="shared" si="560"/>
        <v xml:space="preserve">biz project 1
 </v>
      </c>
      <c r="Q156" s="21" t="str">
        <f t="shared" si="178"/>
        <v xml:space="preserve"> </v>
      </c>
      <c r="R156" s="21" t="str">
        <f t="shared" si="561"/>
        <v xml:space="preserve"> </v>
      </c>
      <c r="S156" s="21" t="str">
        <f t="shared" si="179"/>
        <v xml:space="preserve">portfolio(1), biz enhancement(1), business(1), start-up(1),  </v>
      </c>
      <c r="T156" s="21" t="str">
        <f t="shared" si="180"/>
        <v xml:space="preserve">reputation(1,6.25),  </v>
      </c>
      <c r="U156" s="21" t="str">
        <f t="shared" si="562"/>
        <v xml:space="preserve">reputation(6.25), </v>
      </c>
      <c r="V156" s="21" t="str">
        <f t="shared" si="560"/>
        <v xml:space="preserve"> </v>
      </c>
      <c r="W156" s="21" t="str">
        <f t="shared" si="181"/>
        <v xml:space="preserve"> </v>
      </c>
      <c r="X156" s="21" t="str">
        <f t="shared" si="561"/>
        <v xml:space="preserve"> </v>
      </c>
      <c r="Y156" s="21" t="str">
        <f t="shared" si="182"/>
        <v xml:space="preserve">ease of access(1), reputation(1), portfolio(1), biz project(1), biz enhancement(1), job creation(1), business(1),  </v>
      </c>
      <c r="Z156" s="21" t="str">
        <f t="shared" si="183"/>
        <v xml:space="preserve"> </v>
      </c>
      <c r="AA156" s="21" t="str">
        <f t="shared" si="562"/>
        <v xml:space="preserve"> </v>
      </c>
      <c r="AB156" s="21" t="str">
        <f t="shared" si="560"/>
        <v xml:space="preserve"> </v>
      </c>
      <c r="AC156" s="21" t="str">
        <f t="shared" si="184"/>
        <v xml:space="preserve">non-profits(1,100),  </v>
      </c>
      <c r="AD156" s="21" t="str">
        <f t="shared" si="561"/>
        <v xml:space="preserve">non-profits 100
 </v>
      </c>
      <c r="AE156" s="21" t="str">
        <f t="shared" si="185"/>
        <v xml:space="preserve">ease of access(1), reputation(1), portfolio(1), social project(1), social innovation(1), non-profit biz(1),  </v>
      </c>
      <c r="AF156" s="21" t="str">
        <f t="shared" si="186"/>
        <v xml:space="preserve">non-profits(1,6.25),  </v>
      </c>
      <c r="AG156" s="21" t="str">
        <f t="shared" si="562"/>
        <v xml:space="preserve">non-profits(6.25), </v>
      </c>
      <c r="AH156" s="21" t="str">
        <f t="shared" si="560"/>
        <v xml:space="preserve"> </v>
      </c>
      <c r="AI156" s="21" t="str">
        <f t="shared" si="187"/>
        <v xml:space="preserve"> </v>
      </c>
      <c r="AJ156" s="21" t="str">
        <f t="shared" si="561"/>
        <v xml:space="preserve"> </v>
      </c>
      <c r="AK156" s="21" t="str">
        <f t="shared" si="188"/>
        <v xml:space="preserve">ease of access(1), reputation(2), portfolio(1), social project(1), social innovation(1), non-profit biz(1),  </v>
      </c>
      <c r="AL156" s="21" t="str">
        <f t="shared" si="189"/>
        <v xml:space="preserve"> </v>
      </c>
      <c r="AM156" s="21" t="str">
        <f t="shared" si="562"/>
        <v xml:space="preserve"> </v>
      </c>
      <c r="AN156" s="21" t="str">
        <f t="shared" si="560"/>
        <v xml:space="preserve"> </v>
      </c>
      <c r="AO156" s="21" t="str">
        <f t="shared" si="190"/>
        <v xml:space="preserve"> </v>
      </c>
      <c r="AP156" s="21" t="str">
        <f t="shared" si="561"/>
        <v xml:space="preserve"> </v>
      </c>
      <c r="AQ156" s="21" t="str">
        <f t="shared" si="191"/>
        <v xml:space="preserve">ease of access(1), reputation(1), portfolio(1), start-up(1), start-up with mvp(1), start-up with customers(1),  </v>
      </c>
      <c r="AR156" s="21" t="str">
        <f t="shared" si="192"/>
        <v xml:space="preserve"> </v>
      </c>
      <c r="AS156" s="21" t="str">
        <f t="shared" si="562"/>
        <v xml:space="preserve"> </v>
      </c>
      <c r="AT156" s="21" t="str">
        <f t="shared" si="560"/>
        <v xml:space="preserve">non-profits 2
reputation 1
portfolio 1
social project 1
 </v>
      </c>
      <c r="AU156" s="21" t="str">
        <f t="shared" si="193"/>
        <v xml:space="preserve"> </v>
      </c>
      <c r="AV156" s="21" t="str">
        <f t="shared" si="561"/>
        <v xml:space="preserve"> </v>
      </c>
      <c r="AW156" s="21" t="str">
        <f t="shared" si="194"/>
        <v xml:space="preserve">project management(2),  </v>
      </c>
      <c r="AX156" s="21" t="str">
        <f t="shared" si="195"/>
        <v xml:space="preserve">organizational rules and manuals(1,12.5), project management(1,12.5),  </v>
      </c>
      <c r="AY156" s="21" t="str">
        <f t="shared" si="562"/>
        <v xml:space="preserve">organizational rules and manuals(12.5),project management(12.5), </v>
      </c>
      <c r="AZ156" s="21" t="str">
        <f t="shared" si="560"/>
        <v xml:space="preserve">non-profits 1
 </v>
      </c>
      <c r="BA156" s="21" t="str">
        <f t="shared" si="196"/>
        <v xml:space="preserve"> </v>
      </c>
      <c r="BB156" s="21" t="str">
        <f t="shared" si="561"/>
        <v xml:space="preserve"> </v>
      </c>
      <c r="BC156" s="21" t="str">
        <f t="shared" si="197"/>
        <v xml:space="preserve"> </v>
      </c>
      <c r="BD156" s="21" t="str">
        <f t="shared" si="198"/>
        <v xml:space="preserve"> </v>
      </c>
      <c r="BE156" s="21" t="str">
        <f t="shared" si="562"/>
        <v xml:space="preserve"> </v>
      </c>
      <c r="BF156" s="21" t="str">
        <f t="shared" si="560"/>
        <v xml:space="preserve">reputation 1
portfolio 1
biz project 1
 </v>
      </c>
      <c r="BG156" s="21" t="str">
        <f t="shared" si="199"/>
        <v xml:space="preserve"> </v>
      </c>
      <c r="BH156" s="21" t="str">
        <f t="shared" si="561"/>
        <v xml:space="preserve"> </v>
      </c>
      <c r="BI156" s="21" t="str">
        <f t="shared" si="200"/>
        <v xml:space="preserve">project management(2),  </v>
      </c>
      <c r="BJ156" s="21" t="str">
        <f t="shared" si="201"/>
        <v xml:space="preserve">organizational rules and manuals(1,12.5), project management(1,12.5),  </v>
      </c>
      <c r="BK156" s="21" t="str">
        <f t="shared" si="562"/>
        <v xml:space="preserve">organizational rules and manuals(12.5),project management(12.5), </v>
      </c>
      <c r="BL156" s="21" t="str">
        <f t="shared" si="560"/>
        <v xml:space="preserve">reputation 1
portfolio 1
biz enhancement 1
 </v>
      </c>
      <c r="BM156" s="21" t="str">
        <f t="shared" si="202"/>
        <v xml:space="preserve"> </v>
      </c>
      <c r="BN156" s="21" t="str">
        <f t="shared" si="561"/>
        <v xml:space="preserve"> </v>
      </c>
      <c r="BO156" s="21" t="str">
        <f t="shared" si="203"/>
        <v xml:space="preserve"> </v>
      </c>
      <c r="BP156" s="21" t="str">
        <f t="shared" si="204"/>
        <v xml:space="preserve"> </v>
      </c>
      <c r="BQ156" s="21" t="str">
        <f t="shared" si="562"/>
        <v xml:space="preserve"> </v>
      </c>
      <c r="BR156" s="21" t="str">
        <f t="shared" si="560"/>
        <v xml:space="preserve"> </v>
      </c>
      <c r="BS156" s="21" t="str">
        <f t="shared" si="205"/>
        <v xml:space="preserve"> </v>
      </c>
      <c r="BT156" s="21" t="str">
        <f t="shared" si="561"/>
        <v xml:space="preserve"> </v>
      </c>
      <c r="BU156" s="21" t="str">
        <f t="shared" si="206"/>
        <v xml:space="preserve"> </v>
      </c>
      <c r="BV156" s="21" t="str">
        <f t="shared" si="207"/>
        <v xml:space="preserve"> </v>
      </c>
      <c r="BW156" s="21" t="str">
        <f t="shared" si="562"/>
        <v xml:space="preserve"> </v>
      </c>
      <c r="BX156" s="21" t="str">
        <f t="shared" si="563"/>
        <v xml:space="preserve"> </v>
      </c>
      <c r="BY156" s="21" t="str">
        <f t="shared" si="209"/>
        <v xml:space="preserve">efficiency(1,),  </v>
      </c>
      <c r="BZ156" s="21" t="str">
        <f t="shared" si="564"/>
        <v xml:space="preserve"> </v>
      </c>
      <c r="CA156" s="21" t="str">
        <f t="shared" si="211"/>
        <v xml:space="preserve">negotiation(1),  </v>
      </c>
      <c r="CB156" s="21" t="str">
        <f t="shared" si="212"/>
        <v xml:space="preserve">user rules and manuals(1,50), organizational rules and manuals(1,50),  </v>
      </c>
      <c r="CC156" s="21" t="str">
        <f t="shared" si="565"/>
        <v xml:space="preserve">user rules and manuals(50),organizational rules and manuals(50), </v>
      </c>
      <c r="CD156" s="21" t="str">
        <f t="shared" si="563"/>
        <v xml:space="preserve"> </v>
      </c>
      <c r="CE156" s="21" t="str">
        <f t="shared" si="214"/>
        <v xml:space="preserve">non-profits(1,),  </v>
      </c>
      <c r="CF156" s="21" t="str">
        <f t="shared" si="564"/>
        <v xml:space="preserve"> </v>
      </c>
      <c r="CG156" s="21" t="str">
        <f t="shared" si="215"/>
        <v xml:space="preserve">ease of access(1), portfolio(1), user rules and manuals(1), negotiation(1), social project(1), biz project(1), for basic literacy(1), for the elites(1), for entrepreneurs(1),  </v>
      </c>
      <c r="CH156" s="21" t="str">
        <f t="shared" si="216"/>
        <v xml:space="preserve">non-profits(1,6.25),  </v>
      </c>
      <c r="CI156" s="21" t="str">
        <f t="shared" si="565"/>
        <v xml:space="preserve">non-profits(6.25), </v>
      </c>
      <c r="CJ156" s="21" t="str">
        <f t="shared" si="563"/>
        <v xml:space="preserve"> </v>
      </c>
      <c r="CK156" s="21" t="str">
        <f t="shared" si="217"/>
        <v xml:space="preserve">suppliers(1,),  </v>
      </c>
      <c r="CL156" s="21" t="str">
        <f t="shared" si="564"/>
        <v xml:space="preserve"> </v>
      </c>
      <c r="CM156" s="21" t="str">
        <f t="shared" si="218"/>
        <v xml:space="preserve">reputation(1), negotiation(1),  </v>
      </c>
      <c r="CN156" s="21" t="str">
        <f t="shared" si="219"/>
        <v xml:space="preserve">efficiency(1,6.25),  </v>
      </c>
      <c r="CO156" s="21" t="str">
        <f t="shared" si="565"/>
        <v xml:space="preserve">efficiency(6.25), </v>
      </c>
      <c r="CP156" s="21" t="str">
        <f t="shared" si="563"/>
        <v xml:space="preserve"> </v>
      </c>
      <c r="CQ156" s="21" t="str">
        <f t="shared" si="220"/>
        <v xml:space="preserve"> </v>
      </c>
      <c r="CR156" s="21" t="str">
        <f t="shared" si="564"/>
        <v xml:space="preserve"> </v>
      </c>
      <c r="CS156" s="21" t="str">
        <f t="shared" si="221"/>
        <v xml:space="preserve">portfolio(1), negotiation(1), web(1), infrastructrue(1), database(1), mobile apps(1), sensors(1), security(1), AI&amp; data analysis(1), mobile comm(1), VR&amp;AR(1), wood processing(1), metal processing(1), plastic processing(1), electronics(1), fabric(1),  </v>
      </c>
      <c r="CT156" s="21" t="str">
        <f t="shared" si="222"/>
        <v xml:space="preserve">efficiency(1,6.25),  </v>
      </c>
      <c r="CU156" s="21" t="str">
        <f t="shared" si="565"/>
        <v xml:space="preserve">efficiency(6.25), </v>
      </c>
      <c r="CV156" s="21" t="str">
        <f t="shared" si="563"/>
        <v xml:space="preserve"> </v>
      </c>
      <c r="CW156" s="21" t="str">
        <f t="shared" si="223"/>
        <v xml:space="preserve"> </v>
      </c>
      <c r="CX156" s="21" t="str">
        <f t="shared" si="564"/>
        <v xml:space="preserve"> </v>
      </c>
      <c r="CY156" s="21" t="str">
        <f t="shared" si="224"/>
        <v xml:space="preserve">ease of access(1), reputation(1), portfolio(1), negotiation(1),  </v>
      </c>
      <c r="CZ156" s="21" t="str">
        <f t="shared" si="225"/>
        <v xml:space="preserve">non-profits(1,6.25),  </v>
      </c>
      <c r="DA156" s="21" t="str">
        <f t="shared" si="565"/>
        <v xml:space="preserve">non-profits(6.25), </v>
      </c>
      <c r="DB156" s="21" t="str">
        <f t="shared" si="563"/>
        <v xml:space="preserve"> </v>
      </c>
      <c r="DC156" s="21" t="str">
        <f t="shared" si="226"/>
        <v xml:space="preserve"> </v>
      </c>
      <c r="DD156" s="21" t="str">
        <f t="shared" si="564"/>
        <v xml:space="preserve"> </v>
      </c>
      <c r="DE156"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6" s="21" t="str">
        <f t="shared" si="228"/>
        <v xml:space="preserve"> </v>
      </c>
      <c r="DG156" s="21" t="str">
        <f t="shared" si="565"/>
        <v xml:space="preserve"> </v>
      </c>
      <c r="DH156" s="21" t="str">
        <f t="shared" si="563"/>
        <v xml:space="preserve">non-profits 1
reputation 1
social project 1
 </v>
      </c>
      <c r="DI156" s="21" t="str">
        <f t="shared" si="229"/>
        <v xml:space="preserve"> </v>
      </c>
      <c r="DJ156" s="21" t="str">
        <f t="shared" si="564"/>
        <v xml:space="preserve"> </v>
      </c>
      <c r="DK156"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6" s="21" t="str">
        <f t="shared" si="231"/>
        <v xml:space="preserve">reputation(1,6.25),  </v>
      </c>
      <c r="DM156" s="21" t="str">
        <f t="shared" si="565"/>
        <v xml:space="preserve">reputation(6.25), </v>
      </c>
      <c r="DN156" s="21" t="str">
        <f t="shared" si="563"/>
        <v xml:space="preserve">reputation 1
biz project 1
 </v>
      </c>
      <c r="DO156" s="21" t="str">
        <f t="shared" si="232"/>
        <v xml:space="preserve"> </v>
      </c>
      <c r="DP156" s="21" t="str">
        <f t="shared" si="564"/>
        <v xml:space="preserve"> </v>
      </c>
      <c r="DQ156" s="21" t="str">
        <f t="shared" si="233"/>
        <v xml:space="preserve">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6" s="21" t="str">
        <f t="shared" si="234"/>
        <v xml:space="preserve">reputation(1,6.25),  </v>
      </c>
      <c r="DS156" s="21" t="str">
        <f t="shared" si="565"/>
        <v xml:space="preserve">reputation(6.25), </v>
      </c>
      <c r="DT156" s="21" t="str">
        <f t="shared" si="563"/>
        <v xml:space="preserve">reputation 1
 </v>
      </c>
      <c r="DU156" s="21" t="str">
        <f t="shared" si="235"/>
        <v xml:space="preserve"> </v>
      </c>
      <c r="DV156" s="21" t="str">
        <f t="shared" si="564"/>
        <v xml:space="preserve"> </v>
      </c>
      <c r="DW156" s="21" t="str">
        <f t="shared" si="236"/>
        <v xml:space="preserve">non-profits(1), spaciousness(1), ease of access(1), reputation(2), efficiency(1), organizational rules and manuals(1), marketing(1), social media(1), for basic literacy(1),  </v>
      </c>
      <c r="DX156" s="21" t="str">
        <f t="shared" si="237"/>
        <v xml:space="preserve">reputation(1,6.25), for basic literacy(1,6.25),  </v>
      </c>
      <c r="DY156" s="21" t="str">
        <f t="shared" si="565"/>
        <v xml:space="preserve">reputation(6.25),for basic literacy(6.25), </v>
      </c>
      <c r="DZ156" s="21" t="str">
        <f t="shared" si="563"/>
        <v xml:space="preserve">reputation 1
 </v>
      </c>
      <c r="EA156" s="21" t="str">
        <f t="shared" si="238"/>
        <v xml:space="preserve"> </v>
      </c>
      <c r="EB156" s="21" t="str">
        <f t="shared" si="564"/>
        <v xml:space="preserve"> </v>
      </c>
      <c r="EC156" s="21" t="str">
        <f t="shared" si="239"/>
        <v xml:space="preserve">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6" s="21" t="str">
        <f t="shared" si="240"/>
        <v xml:space="preserve">reputation(1,6.25), for basic literacy(1,6.25),  </v>
      </c>
      <c r="EE156" s="21" t="str">
        <f t="shared" si="565"/>
        <v xml:space="preserve">reputation(6.25),for basic literacy(6.25), </v>
      </c>
      <c r="EF156" s="21" t="str">
        <f t="shared" si="563"/>
        <v xml:space="preserve">reputation 1
 </v>
      </c>
      <c r="EG156" s="21" t="str">
        <f t="shared" si="241"/>
        <v xml:space="preserve">web(1,50), mobile apps(1,50), interaction(1,50),  </v>
      </c>
      <c r="EH156" s="21" t="str">
        <f t="shared" si="564"/>
        <v xml:space="preserve">web 50
mobile apps 50
interaction 50
 </v>
      </c>
      <c r="EI156" s="21" t="str">
        <f t="shared" si="242"/>
        <v xml:space="preserve">ease of access(1), reputation(2), infrastructrue(1), database(1), mobile comm(1), for entrepreneurs(1),  </v>
      </c>
      <c r="EJ156" s="21" t="str">
        <f t="shared" si="243"/>
        <v xml:space="preserve">infrastructrue(1,12.5), database(1,12.5), mobile comm(1,12.5), for entrepreneurs(1,6.25),  </v>
      </c>
      <c r="EK156" s="21" t="str">
        <f t="shared" si="565"/>
        <v xml:space="preserve">infrastructrue(12.5),database(12.5),mobile comm(12.5),for entrepreneurs(6.25), </v>
      </c>
      <c r="EL156" s="21" t="str">
        <f t="shared" si="566"/>
        <v xml:space="preserve">reputation 1
 </v>
      </c>
      <c r="EM156" s="21" t="str">
        <f t="shared" si="245"/>
        <v xml:space="preserve">sensors(1,50),  </v>
      </c>
      <c r="EN156" s="21" t="str">
        <f t="shared" si="567"/>
        <v xml:space="preserve">sensors 50
 </v>
      </c>
      <c r="EO156" s="21" t="str">
        <f t="shared" si="247"/>
        <v xml:space="preserve">ease of access(1), reputation(2), project management(2), infrastructrue(1), database(1), mobile comm(1), for entrepreneurs(1),  </v>
      </c>
      <c r="EP156" s="21" t="str">
        <f t="shared" si="248"/>
        <v xml:space="preserve">infrastructrue(1,12.5), database(1,12.5), mobile comm(1,12.5), electronics(1,6.25), for entrepreneurs(1,6.25),  </v>
      </c>
      <c r="EQ156" s="21" t="str">
        <f t="shared" si="568"/>
        <v xml:space="preserve">infrastructrue(12.5),database(12.5),mobile comm(12.5),electronics(6.25),for entrepreneurs(6.25), </v>
      </c>
      <c r="ER156" s="21" t="str">
        <f t="shared" si="566"/>
        <v xml:space="preserve"> </v>
      </c>
      <c r="ES156" s="21" t="str">
        <f t="shared" si="250"/>
        <v xml:space="preserve">AI&amp; data analysis(1,50),  </v>
      </c>
      <c r="ET156" s="21" t="str">
        <f t="shared" si="567"/>
        <v xml:space="preserve">AI&amp; data analysis 50
 </v>
      </c>
      <c r="EU156" s="21" t="str">
        <f t="shared" si="251"/>
        <v xml:space="preserve">ease of access(1), reputation(2), database(1), sensors(1), mobile comm(1), for entrepreneurs(1),  </v>
      </c>
      <c r="EV156" s="21" t="str">
        <f t="shared" si="252"/>
        <v xml:space="preserve">database(1,12.5), sensors(1,12.5), mobile comm(1,12.5), for entrepreneurs(1,6.25),  </v>
      </c>
      <c r="EW156" s="21" t="str">
        <f t="shared" si="568"/>
        <v xml:space="preserve">database(12.5),sensors(12.5),mobile comm(12.5),for entrepreneurs(6.25), </v>
      </c>
      <c r="EX156" s="21" t="str">
        <f t="shared" si="566"/>
        <v xml:space="preserve"> </v>
      </c>
      <c r="EY156" s="21" t="str">
        <f t="shared" si="253"/>
        <v xml:space="preserve">law(1,50), security(1,50), interaction(1,25),  </v>
      </c>
      <c r="EZ156" s="21" t="str">
        <f t="shared" si="567"/>
        <v xml:space="preserve">law 50
security 50
interaction 25
 </v>
      </c>
      <c r="FA156" s="21" t="str">
        <f t="shared" si="254"/>
        <v xml:space="preserve">ease of access(1), reputation(2), law(2), for entrepreneurs(1),  </v>
      </c>
      <c r="FB156" s="21" t="str">
        <f t="shared" si="255"/>
        <v xml:space="preserve">law(1,6.25), database(1,12.5), mobile apps(1,12.5), security(1,12.5), mobile comm(1,12.5), for entrepreneurs(1,6.25),  </v>
      </c>
      <c r="FC156" s="21" t="str">
        <f t="shared" si="568"/>
        <v xml:space="preserve">law(6.25),database(12.5),mobile apps(12.5),security(12.5),mobile comm(12.5),for entrepreneurs(6.25), </v>
      </c>
      <c r="FD156" s="21" t="str">
        <f t="shared" si="566"/>
        <v xml:space="preserve"> </v>
      </c>
      <c r="FE156" s="21" t="str">
        <f t="shared" si="256"/>
        <v xml:space="preserve">law(1,50), sensors(1,50), security(1,50),  </v>
      </c>
      <c r="FF156" s="21" t="str">
        <f t="shared" si="567"/>
        <v xml:space="preserve">law 50
sensors 50
security 50
 </v>
      </c>
      <c r="FG156" s="21" t="str">
        <f t="shared" si="257"/>
        <v xml:space="preserve">ease of access(1), reputation(2), law(2), project management(2), for entrepreneurs(1),  </v>
      </c>
      <c r="FH156" s="21" t="str">
        <f t="shared" si="258"/>
        <v xml:space="preserve">law(1,6.25), database(1,6.25), mobile apps(1,6.25), AI&amp; data analysis(1,6.25), mobile comm(1,6.25), for entrepreneurs(1,6.25),  </v>
      </c>
      <c r="FI156" s="21" t="str">
        <f t="shared" si="568"/>
        <v xml:space="preserve">law(6.25),database(6.25),mobile apps(6.25),AI&amp; data analysis(6.25),mobile comm(6.25),for entrepreneurs(6.25), </v>
      </c>
      <c r="FJ156" s="21" t="str">
        <f t="shared" si="566"/>
        <v xml:space="preserve"> </v>
      </c>
      <c r="FK156" s="21" t="str">
        <f t="shared" si="259"/>
        <v xml:space="preserve">wood processing(1,25), metal processing(1,25), plastic processing(1,25), fabric(1,25), safety(1,25), interaction(1,25),  </v>
      </c>
      <c r="FL156" s="21" t="str">
        <f t="shared" si="567"/>
        <v xml:space="preserve">project management 2
wood processing 25
metal processing 25
plastic processing 25
fabric 25
safety 25
interaction 25
 </v>
      </c>
      <c r="FM156" s="21" t="str">
        <f t="shared" si="260"/>
        <v xml:space="preserve">spaciousness(1), ease of access(1), reputation(2), for entrepreneurs(1),  </v>
      </c>
      <c r="FN156" s="21" t="str">
        <f t="shared" si="261"/>
        <v xml:space="preserve">for entrepreneurs(1,6.25),  </v>
      </c>
      <c r="FO156" s="21" t="str">
        <f t="shared" si="568"/>
        <v xml:space="preserve">for entrepreneurs(6.25), </v>
      </c>
      <c r="FP156" s="21" t="str">
        <f t="shared" si="566"/>
        <v xml:space="preserve"> </v>
      </c>
      <c r="FQ156" s="21" t="str">
        <f t="shared" si="262"/>
        <v xml:space="preserve">web(1,25), mobile apps(1,50), functions(1,25), interaction(1,25),  </v>
      </c>
      <c r="FR156" s="21" t="str">
        <f t="shared" si="567"/>
        <v xml:space="preserve">web 25
mobile apps 50
functions 25
interaction 25
 </v>
      </c>
      <c r="FS156" s="21" t="str">
        <f t="shared" si="263"/>
        <v xml:space="preserve">spaciousness(1), ease of access(1), reputation(2), for entrepreneurs(1),  </v>
      </c>
      <c r="FT156" s="21" t="str">
        <f t="shared" si="264"/>
        <v xml:space="preserve">for entrepreneurs(1,6.25),  </v>
      </c>
      <c r="FU156" s="21" t="str">
        <f t="shared" si="568"/>
        <v xml:space="preserve">for entrepreneurs(6.25), </v>
      </c>
      <c r="FV156" s="21" t="str">
        <f t="shared" si="566"/>
        <v xml:space="preserve"> </v>
      </c>
      <c r="FW156" s="21" t="str">
        <f t="shared" si="265"/>
        <v xml:space="preserve">mobile apps(1,50), sensors(1,50), wood processing(1,25), plastic processing(1,25), electronics(1,25), functions(1,25), interaction(1,25),  </v>
      </c>
      <c r="FX156" s="21" t="str">
        <f t="shared" si="567"/>
        <v xml:space="preserve">mobile apps 50
sensors 50
wood processing 25
plastic processing 25
electronics 25
functions 25
interaction 25
 </v>
      </c>
      <c r="FY156" s="21" t="str">
        <f t="shared" si="266"/>
        <v xml:space="preserve">spaciousness(1), ease of access(1), reputation(2), project management(2), for entrepreneurs(1),  </v>
      </c>
      <c r="FZ156" s="21" t="str">
        <f t="shared" si="267"/>
        <v xml:space="preserve">web(1,6.25), database(1,6.25), AI&amp; data analysis(1,6.25), mobile comm(1,6.25), for entrepreneurs(1,6.25),  </v>
      </c>
      <c r="GA156" s="21" t="str">
        <f t="shared" si="568"/>
        <v xml:space="preserve">web(6.25),database(6.25),AI&amp; data analysis(6.25),mobile comm(6.25),for entrepreneurs(6.25), </v>
      </c>
      <c r="GB156" s="21" t="str">
        <f t="shared" si="566"/>
        <v xml:space="preserve"> </v>
      </c>
      <c r="GC156" s="21" t="str">
        <f t="shared" si="268"/>
        <v xml:space="preserve">sensors(1,25), mobile comm(1,25), electronics(1,50), functions(1,25), safety(1,25),  </v>
      </c>
      <c r="GD156" s="21" t="str">
        <f t="shared" si="567"/>
        <v xml:space="preserve">sensors 25
mobile comm 25
electronics 50
functions 25
safety 25
 </v>
      </c>
      <c r="GE156" s="21" t="str">
        <f t="shared" si="269"/>
        <v xml:space="preserve">spaciousness(1), ease of access(1), reputation(2), project management(2), for entrepreneurs(1),  </v>
      </c>
      <c r="GF156" s="21" t="str">
        <f t="shared" si="270"/>
        <v xml:space="preserve">database(1,6.25), mobile apps(1,6.25), AI&amp; data analysis(1,6.25), plastic processing(1,6.25), interaction(1,6.25), for entrepreneurs(1,6.25),  </v>
      </c>
      <c r="GG156" s="21" t="str">
        <f t="shared" si="568"/>
        <v xml:space="preserve">database(6.25),mobile apps(6.25),AI&amp; data analysis(6.25),plastic processing(6.25),interaction(6.25),for entrepreneurs(6.25), </v>
      </c>
      <c r="GH156" s="21" t="str">
        <f t="shared" si="566"/>
        <v xml:space="preserve"> </v>
      </c>
      <c r="GI156" s="21" t="str">
        <f t="shared" si="271"/>
        <v xml:space="preserve">web(1,25), mobile apps(1,50), functions(1,25), interaction(1,25),  </v>
      </c>
      <c r="GJ156" s="21" t="str">
        <f t="shared" si="567"/>
        <v xml:space="preserve">web 25
mobile apps 50
functions 25
interaction 25
 </v>
      </c>
      <c r="GK156" s="21" t="str">
        <f t="shared" si="272"/>
        <v xml:space="preserve">spaciousness(1), ease of access(1), reputation(2), project management(2), for entrepreneurs(1),  </v>
      </c>
      <c r="GL156" s="21" t="str">
        <f t="shared" si="273"/>
        <v xml:space="preserve">for entrepreneurs(1,6.25),  </v>
      </c>
      <c r="GM156" s="21" t="str">
        <f t="shared" si="568"/>
        <v xml:space="preserve">for entrepreneurs(6.25), </v>
      </c>
      <c r="GN156" s="21" t="str">
        <f t="shared" si="566"/>
        <v xml:space="preserve"> </v>
      </c>
      <c r="GO156" s="21" t="str">
        <f t="shared" si="274"/>
        <v xml:space="preserve">web(1,25), mobile apps(1,25), VR&amp;AR(1,25), aesthetics(1,25), functions(1,25), interaction(1,50),  </v>
      </c>
      <c r="GP156" s="21" t="str">
        <f t="shared" si="567"/>
        <v xml:space="preserve">web 25
mobile apps 25
VR&amp;AR 25
aesthetics 25
functions 25
interaction 50
 </v>
      </c>
      <c r="GQ156" s="21" t="str">
        <f t="shared" si="275"/>
        <v xml:space="preserve">spaciousness(1), ease of access(1), reputation(2), project management(2), for entrepreneurs(1),  </v>
      </c>
      <c r="GR156" s="21" t="str">
        <f t="shared" si="276"/>
        <v xml:space="preserve">for entrepreneurs(1,6.25),  </v>
      </c>
      <c r="GS156" s="21" t="str">
        <f t="shared" si="568"/>
        <v xml:space="preserve">for entrepreneurs(6.25), </v>
      </c>
      <c r="GT156" s="21" t="str">
        <f t="shared" si="566"/>
        <v xml:space="preserve">ease of access 1
reputation 2
web 1
mobile apps 1
mobile comm 1
 </v>
      </c>
      <c r="GU156" s="21" t="str">
        <f t="shared" si="277"/>
        <v xml:space="preserve"> </v>
      </c>
      <c r="GV156" s="21" t="str">
        <f t="shared" si="567"/>
        <v xml:space="preserve"> </v>
      </c>
      <c r="GW156" s="21" t="str">
        <f t="shared" si="278"/>
        <v xml:space="preserve">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6" s="21" t="str">
        <f t="shared" si="279"/>
        <v xml:space="preserve">project management(1,6.25), social media(1,6.25), web(1,6.25), mobile apps(1,6.25),  </v>
      </c>
      <c r="GY156" s="21" t="str">
        <f t="shared" si="568"/>
        <v xml:space="preserve">project management(6.25),social media(6.25),web(6.25),mobile apps(6.25), </v>
      </c>
      <c r="GZ156" s="21" t="str">
        <f t="shared" si="569"/>
        <v xml:space="preserve">non-profits 1
reputation 2
portfolio 1
 </v>
      </c>
      <c r="HA156" s="21" t="str">
        <f t="shared" si="281"/>
        <v xml:space="preserve"> </v>
      </c>
      <c r="HB156" s="21" t="str">
        <f t="shared" si="570"/>
        <v xml:space="preserve"> </v>
      </c>
      <c r="HC156" s="21" t="str">
        <f t="shared" si="283"/>
        <v xml:space="preserve">non-profits(3), reputation(4), portfolio(3), social media(2), web(2), mobile apps(2), sensors(2), AI&amp; data analysis(2), VR&amp;AR(2), plastic processing(2), electronics(2), aesthetics(2), interaction(2),  </v>
      </c>
      <c r="HD156" s="21" t="str">
        <f t="shared" si="284"/>
        <v xml:space="preserve">non-profits(1,6.25), reputation(1,6.25), start-up with customers(1,6.25), for basic literacy(1,6.25),  </v>
      </c>
      <c r="HE156" s="21" t="str">
        <f t="shared" si="571"/>
        <v xml:space="preserve">non-profits(6.25),reputation(6.25),start-up with customers(6.25),for basic literacy(6.25), </v>
      </c>
      <c r="HF156" s="21" t="str">
        <f t="shared" si="569"/>
        <v xml:space="preserve"> </v>
      </c>
      <c r="HG156" s="21" t="str">
        <f t="shared" si="286"/>
        <v xml:space="preserve"> </v>
      </c>
      <c r="HH156" s="21" t="str">
        <f t="shared" si="570"/>
        <v xml:space="preserve"> </v>
      </c>
      <c r="HI156" s="21" t="str">
        <f t="shared" si="287"/>
        <v xml:space="preserve">portfolio(3), marketing(2), team building(3), project management(2), mobile apps(3), sensors(2), plastic processing(2), electronics(2), aesthetics(2), functions(2), interaction(2),  </v>
      </c>
      <c r="HJ156" s="21" t="str">
        <f t="shared" si="288"/>
        <v xml:space="preserve">non-profits(1,6.25), start-up with customers(1,6.25),  </v>
      </c>
      <c r="HK156" s="21" t="str">
        <f t="shared" si="571"/>
        <v xml:space="preserve">non-profits(6.25),start-up with customers(6.25), </v>
      </c>
      <c r="HL156" s="21" t="str">
        <f t="shared" si="569"/>
        <v xml:space="preserve">non-profits 1
reputation 2
portfolio 2
 </v>
      </c>
      <c r="HM156" s="21" t="str">
        <f t="shared" si="289"/>
        <v xml:space="preserve"> </v>
      </c>
      <c r="HN156" s="21" t="str">
        <f t="shared" si="570"/>
        <v xml:space="preserve"> </v>
      </c>
      <c r="HO156" s="21" t="str">
        <f t="shared" si="290"/>
        <v xml:space="preserve">spaciousness(2), ease of access(2), reputation(3), efficiency(2), portfolio(4), finance(2), marketing(2), project management(2), social media(2), web(3), mobile apps(2), wood processing(3), plastic processing(3), electronics(3), aesthetics(2), interaction(2),  </v>
      </c>
      <c r="HP156" s="21" t="str">
        <f t="shared" si="291"/>
        <v xml:space="preserve">suppliers(1,6.25), non-profits(1,6.25), reputation(1,6.25),  </v>
      </c>
      <c r="HQ156" s="47" t="str">
        <f t="shared" si="571"/>
        <v xml:space="preserve">suppliers(6.25),non-profits(6.25),reputation(6.25), </v>
      </c>
      <c r="HR156" s="47" t="str">
        <f t="shared" ref="HR156:HW156" si="577">IF(HR54="",HR157,$C156&amp;"("&amp;HR54&amp;"),"&amp;HR157)</f>
        <v xml:space="preserve">reputation(2),portfolio(2),mobile apps(1),sensors(1),wood processing(1),aesthetics(1), </v>
      </c>
      <c r="HS156" s="47" t="str">
        <f t="shared" si="577"/>
        <v xml:space="preserve"> </v>
      </c>
      <c r="HT156" s="47" t="str">
        <f t="shared" si="577"/>
        <v xml:space="preserve"> </v>
      </c>
      <c r="HU156" s="47" t="str">
        <f t="shared" si="577"/>
        <v xml:space="preserve">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6" s="47" t="str">
        <f t="shared" si="577"/>
        <v xml:space="preserve">suppliers(1),non-profits(1),reputation(1), </v>
      </c>
      <c r="HW156" s="47" t="str">
        <f t="shared" si="577"/>
        <v xml:space="preserve">suppliers(6.25),non-profits(6.25),reputation(6.25), </v>
      </c>
      <c r="HX156" s="47" t="str">
        <f t="shared" ref="HX156:IU156" si="578">IF(HX54="",HX157,$C156&amp;"("&amp;HX54&amp;"),"&amp;HX157)</f>
        <v xml:space="preserve">non-profits(3),reputation(3),portfolio(2),web(1),infrastructrue(1),database(2),mobile apps(1),sensors(1),AI&amp; data analysis(2),VR&amp;AR(1),wood processing(1),metal processing(1),plastic processing(1),electronics(1),aesthetics(1),functions(1),interaction(1), </v>
      </c>
      <c r="HY156" s="47" t="str">
        <f t="shared" si="578"/>
        <v xml:space="preserve">biz enhancement(1), </v>
      </c>
      <c r="HZ156" s="47" t="str">
        <f t="shared" si="578"/>
        <v xml:space="preserve">biz enhancement(100), </v>
      </c>
      <c r="IA156" s="47" t="str">
        <f t="shared" si="578"/>
        <v xml:space="preserve">spaciousness(2),ease of access(3),efficiency(2),portfolio(4),finance(2),business model(2),marketing(3),team building(2),project management(2),social media(3),negotiation(3), </v>
      </c>
      <c r="IB156" s="47" t="str">
        <f t="shared" si="578"/>
        <v xml:space="preserve">non-profits(1),reputation(1),team building(1),database(1),AI&amp; data analysis(1),electronics(1),functions(1), </v>
      </c>
      <c r="IC156" s="47" t="str">
        <f t="shared" si="578"/>
        <v xml:space="preserve">non-profits(6.25),reputation(6.25),team building(6.25),database(6.25),AI&amp; data analysis(6.25),electronics(6.25),functions(6.25), </v>
      </c>
      <c r="ID156" s="47" t="str">
        <f t="shared" si="578"/>
        <v xml:space="preserve"> </v>
      </c>
      <c r="IE156" s="47" t="str">
        <f t="shared" si="578"/>
        <v xml:space="preserve">web(1),mobile apps(1),security(1),AI&amp; data analysis(1), </v>
      </c>
      <c r="IF156" s="47" t="str">
        <f t="shared" si="578"/>
        <v xml:space="preserve">web(25),mobile apps(25),security(25),AI&amp; data analysis(25), </v>
      </c>
      <c r="IG156" s="47" t="str">
        <f t="shared" si="578"/>
        <v xml:space="preserve">spaciousness(2),ease of access(2),reputation(3),efficiency(2),portfolio(3),web(2),database(2),mobile apps(2),security(2),AI&amp; data analysis(2), </v>
      </c>
      <c r="IH156" s="47" t="str">
        <f t="shared" si="578"/>
        <v xml:space="preserve">web(1),database(1),mobile apps(1),security(1),AI&amp; data analysis(1), </v>
      </c>
      <c r="II156" s="47" t="str">
        <f t="shared" si="578"/>
        <v xml:space="preserve">web(6.25),database(6.25),mobile apps(6.25),security(6.25),AI&amp; data analysis(6.25), </v>
      </c>
      <c r="IJ156" s="47" t="str">
        <f t="shared" si="578"/>
        <v xml:space="preserve"> </v>
      </c>
      <c r="IK156" s="47" t="str">
        <f t="shared" si="578"/>
        <v xml:space="preserve">wood processing(1),metal processing(1),functions(1),safety(1), </v>
      </c>
      <c r="IL156" s="47" t="str">
        <f t="shared" si="578"/>
        <v xml:space="preserve">wood processing(25),metal processing(25),functions(25),safety(25), </v>
      </c>
      <c r="IM156" s="47" t="str">
        <f t="shared" si="578"/>
        <v xml:space="preserve">spaciousness(2),ease of access(2),reputation(3),efficiency(2),portfolio(3),wood processing(2),metal processing(2),functions(2),safety(2), </v>
      </c>
      <c r="IN156" s="47" t="str">
        <f t="shared" si="578"/>
        <v xml:space="preserve">wood processing(1),metal processing(1),functions(1),safety(1),interaction(1), </v>
      </c>
      <c r="IO156" s="47" t="str">
        <f t="shared" si="578"/>
        <v xml:space="preserve">wood processing(6.25),metal processing(6.25),functions(6.25),safety(6.25),interaction(6.25), </v>
      </c>
      <c r="IP156" s="57" t="str">
        <f t="shared" si="578"/>
        <v xml:space="preserve">reputation(1), </v>
      </c>
      <c r="IQ156" s="47" t="str">
        <f t="shared" si="578"/>
        <v xml:space="preserve">marketing(1), </v>
      </c>
      <c r="IR156" s="47" t="str">
        <f t="shared" si="578"/>
        <v xml:space="preserve">marketing(25), </v>
      </c>
      <c r="IS156" s="47" t="str">
        <f t="shared" si="578"/>
        <v xml:space="preserve">non-profits(2),reputation(3),efficiency(2),marketing(2), </v>
      </c>
      <c r="IT156" s="47" t="str">
        <f t="shared" si="578"/>
        <v xml:space="preserve">non-profits(1),marketing(1), </v>
      </c>
      <c r="IU156" s="47" t="str">
        <f t="shared" si="578"/>
        <v xml:space="preserve">non-profits(6.25),marketing(6.25), </v>
      </c>
      <c r="IV156" s="57" t="str">
        <f t="shared" ref="IV156:LG156" si="579">IF(IV54="",IV157,$C156&amp;"("&amp;IV54&amp;"),"&amp;IV157)</f>
        <v xml:space="preserve">reputation(1), </v>
      </c>
      <c r="IW156" s="47" t="str">
        <f t="shared" si="579"/>
        <v xml:space="preserve">marketing(1), </v>
      </c>
      <c r="IX156" s="47" t="str">
        <f t="shared" si="579"/>
        <v xml:space="preserve">marketing(25), </v>
      </c>
      <c r="IY156" s="47" t="str">
        <f t="shared" si="579"/>
        <v xml:space="preserve">reputation(3),efficiency(2),marketing(2), </v>
      </c>
      <c r="IZ156" s="47" t="str">
        <f t="shared" si="579"/>
        <v xml:space="preserve">marketing(1), </v>
      </c>
      <c r="JA156" s="47" t="str">
        <f t="shared" si="579"/>
        <v xml:space="preserve">marketing(6.25), </v>
      </c>
      <c r="JB156" s="47" t="str">
        <f t="shared" si="579"/>
        <v xml:space="preserve"> </v>
      </c>
      <c r="JC156" s="47" t="str">
        <f t="shared" si="579"/>
        <v xml:space="preserve"> </v>
      </c>
      <c r="JD156" s="47" t="str">
        <f t="shared" si="579"/>
        <v xml:space="preserve"> </v>
      </c>
      <c r="JE156" s="47" t="str">
        <f t="shared" si="579"/>
        <v xml:space="preserve">spaciousness(1),ease of access(1),reputation(3),efficiency(2), </v>
      </c>
      <c r="JF156" s="47" t="str">
        <f t="shared" si="579"/>
        <v xml:space="preserve">web(1),infrastructrue(1),database(1),mobile apps(1),sensors(1),security(1),AI&amp; data analysis(1),mobile comm(1),VR&amp;AR(1),wood processing(1),metal processing(1),plastic processing(1),electronics(1),fabric(1),aesthetics(1),functions(1),safety(1),interaction(1), </v>
      </c>
      <c r="JG156" s="47" t="str">
        <f t="shared" si="579"/>
        <v xml:space="preserve">web(6.25),infrastructrue(6.25),database(6.25),mobile apps(6.25),sensors(6.25),security(6.25),AI&amp; data analysis(6.25),mobile comm(6.25),VR&amp;AR(6.25),wood processing(6.25),metal processing(6.25),plastic processing(6.25),electronics(6.25),fabric(6.25),aesthetics(6.25),functions(6.25),safety(6.25),interaction(6.25), </v>
      </c>
      <c r="JH156" s="47" t="str">
        <f t="shared" si="579"/>
        <v xml:space="preserve">non-profits(1),reputation(2), </v>
      </c>
      <c r="JI156" s="47" t="str">
        <f t="shared" si="579"/>
        <v xml:space="preserve"> </v>
      </c>
      <c r="JJ156" s="47" t="str">
        <f t="shared" si="579"/>
        <v xml:space="preserve"> </v>
      </c>
      <c r="JK156" s="47" t="str">
        <f t="shared" si="579"/>
        <v xml:space="preserve">suppliers(2),non-profits(1),reputation(3),portfolio(2),social media(2),negotiation(2),social project(1),social innovation(1),non-profit biz(1),biz project(1),biz enhancement(1),job creation(1),business(1),start-up(1),start-up with mvp(1),start-up with customers(1),for basic literacy(1),for the elites(1),for entrepreneurs(1), </v>
      </c>
      <c r="JL156" s="47" t="str">
        <f t="shared" si="579"/>
        <v xml:space="preserve">non-profits(1), </v>
      </c>
      <c r="JM156" s="47" t="str">
        <f t="shared" si="579"/>
        <v xml:space="preserve">non-profits(6.25), </v>
      </c>
      <c r="JN156" s="47" t="str">
        <f t="shared" si="579"/>
        <v xml:space="preserve">non-profits(1),reputation(2),portfolio(2), </v>
      </c>
      <c r="JO156" s="47" t="str">
        <f t="shared" si="579"/>
        <v xml:space="preserve"> </v>
      </c>
      <c r="JP156" s="47" t="str">
        <f t="shared" si="579"/>
        <v xml:space="preserve"> </v>
      </c>
      <c r="JQ156" s="47" t="str">
        <f t="shared" si="579"/>
        <v xml:space="preserve">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6" s="47" t="str">
        <f t="shared" si="579"/>
        <v xml:space="preserve"> </v>
      </c>
      <c r="JS156" s="47" t="str">
        <f t="shared" si="579"/>
        <v xml:space="preserve"> </v>
      </c>
      <c r="JT156" s="47" t="str">
        <f t="shared" si="579"/>
        <v xml:space="preserve">non-profits(2),reputation(2),portfolio(3), </v>
      </c>
      <c r="JU156" s="47" t="str">
        <f t="shared" si="579"/>
        <v xml:space="preserve"> </v>
      </c>
      <c r="JV156" s="47" t="str">
        <f t="shared" si="579"/>
        <v xml:space="preserve"> </v>
      </c>
      <c r="JW156" s="47" t="str">
        <f t="shared" si="579"/>
        <v xml:space="preserve">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6" s="47" t="str">
        <f t="shared" si="579"/>
        <v xml:space="preserve"> </v>
      </c>
      <c r="JY156" s="47" t="str">
        <f t="shared" si="579"/>
        <v xml:space="preserve"> </v>
      </c>
      <c r="JZ156" s="47" t="str">
        <f t="shared" si="579"/>
        <v xml:space="preserve">non-profits(1),reputation(2),social project(2), </v>
      </c>
      <c r="KA156" s="47" t="str">
        <f t="shared" si="579"/>
        <v xml:space="preserve">non-profits(1), </v>
      </c>
      <c r="KB156" s="47" t="str">
        <f t="shared" si="579"/>
        <v xml:space="preserve">non-profits(25), </v>
      </c>
      <c r="KC156" s="47" t="str">
        <f t="shared" si="579"/>
        <v xml:space="preserve">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6" s="47" t="str">
        <f t="shared" si="579"/>
        <v xml:space="preserve">non-profits(1), </v>
      </c>
      <c r="KE156" s="47" t="str">
        <f t="shared" si="579"/>
        <v xml:space="preserve">non-profits(6.25), </v>
      </c>
      <c r="KF156" s="47" t="str">
        <f t="shared" si="579"/>
        <v xml:space="preserve"> </v>
      </c>
      <c r="KG156" s="47" t="str">
        <f t="shared" si="579"/>
        <v xml:space="preserve"> </v>
      </c>
      <c r="KH156" s="47" t="str">
        <f t="shared" si="579"/>
        <v xml:space="preserve"> </v>
      </c>
      <c r="KI156" s="47" t="str">
        <f t="shared" si="579"/>
        <v xml:space="preserve"> </v>
      </c>
      <c r="KJ156" s="47" t="str">
        <f t="shared" si="579"/>
        <v xml:space="preserve"> </v>
      </c>
      <c r="KK156" s="47" t="str">
        <f t="shared" si="579"/>
        <v xml:space="preserve"> </v>
      </c>
      <c r="KL156" s="57" t="str">
        <f t="shared" si="579"/>
        <v xml:space="preserve"> </v>
      </c>
      <c r="KM156" s="47" t="str">
        <f t="shared" si="579"/>
        <v xml:space="preserve"> </v>
      </c>
      <c r="KN156" s="47" t="str">
        <f t="shared" si="579"/>
        <v xml:space="preserve"> </v>
      </c>
      <c r="KO156" s="47" t="str">
        <f t="shared" si="579"/>
        <v xml:space="preserve"> </v>
      </c>
      <c r="KP156" s="47" t="str">
        <f t="shared" si="579"/>
        <v xml:space="preserve"> </v>
      </c>
      <c r="KQ156" s="47" t="str">
        <f t="shared" si="579"/>
        <v xml:space="preserve"> </v>
      </c>
      <c r="KR156" s="57" t="str">
        <f t="shared" si="579"/>
        <v xml:space="preserve"> </v>
      </c>
      <c r="KS156" s="47" t="str">
        <f t="shared" si="579"/>
        <v xml:space="preserve"> </v>
      </c>
      <c r="KT156" s="47" t="str">
        <f t="shared" si="579"/>
        <v xml:space="preserve"> </v>
      </c>
      <c r="KU156" s="47" t="str">
        <f t="shared" si="579"/>
        <v xml:space="preserve"> </v>
      </c>
      <c r="KV156" s="47" t="str">
        <f t="shared" si="579"/>
        <v xml:space="preserve"> </v>
      </c>
      <c r="KW156" s="47" t="str">
        <f t="shared" si="579"/>
        <v xml:space="preserve"> </v>
      </c>
      <c r="KX156" s="57" t="str">
        <f t="shared" si="579"/>
        <v xml:space="preserve"> </v>
      </c>
      <c r="KY156" s="47" t="str">
        <f t="shared" si="579"/>
        <v xml:space="preserve"> </v>
      </c>
      <c r="KZ156" s="47" t="str">
        <f t="shared" si="579"/>
        <v xml:space="preserve"> </v>
      </c>
      <c r="LA156" s="47" t="str">
        <f t="shared" si="579"/>
        <v xml:space="preserve"> </v>
      </c>
      <c r="LB156" s="47" t="str">
        <f t="shared" si="579"/>
        <v xml:space="preserve"> </v>
      </c>
      <c r="LC156" s="47" t="str">
        <f t="shared" si="579"/>
        <v xml:space="preserve"> </v>
      </c>
      <c r="LD156" s="57" t="str">
        <f t="shared" si="579"/>
        <v xml:space="preserve"> </v>
      </c>
      <c r="LE156" s="47" t="str">
        <f t="shared" si="579"/>
        <v xml:space="preserve"> </v>
      </c>
      <c r="LF156" s="47" t="str">
        <f t="shared" si="579"/>
        <v xml:space="preserve"> </v>
      </c>
      <c r="LG156" s="47" t="str">
        <f t="shared" si="579"/>
        <v xml:space="preserve"> </v>
      </c>
      <c r="LH156" s="47" t="str">
        <f t="shared" ref="LH156:NM156" si="580">IF(LH54="",LH157,$C156&amp;"("&amp;LH54&amp;"),"&amp;LH157)</f>
        <v xml:space="preserve"> </v>
      </c>
      <c r="LI156" s="47" t="str">
        <f t="shared" si="580"/>
        <v xml:space="preserve"> </v>
      </c>
      <c r="LJ156" s="57" t="str">
        <f t="shared" si="580"/>
        <v xml:space="preserve"> </v>
      </c>
      <c r="LK156" s="47" t="str">
        <f t="shared" si="580"/>
        <v xml:space="preserve"> </v>
      </c>
      <c r="LL156" s="47" t="str">
        <f t="shared" si="580"/>
        <v xml:space="preserve"> </v>
      </c>
      <c r="LM156" s="47" t="str">
        <f t="shared" si="580"/>
        <v xml:space="preserve"> </v>
      </c>
      <c r="LN156" s="47" t="str">
        <f t="shared" si="580"/>
        <v xml:space="preserve"> </v>
      </c>
      <c r="LO156" s="47" t="str">
        <f t="shared" si="580"/>
        <v xml:space="preserve"> </v>
      </c>
      <c r="LP156" s="57" t="str">
        <f t="shared" si="580"/>
        <v xml:space="preserve"> </v>
      </c>
      <c r="LQ156" s="47" t="str">
        <f t="shared" si="580"/>
        <v xml:space="preserve"> </v>
      </c>
      <c r="LR156" s="47" t="str">
        <f t="shared" si="580"/>
        <v xml:space="preserve"> </v>
      </c>
      <c r="LS156" s="47" t="str">
        <f t="shared" si="580"/>
        <v xml:space="preserve"> </v>
      </c>
      <c r="LT156" s="47" t="str">
        <f t="shared" si="580"/>
        <v xml:space="preserve"> </v>
      </c>
      <c r="LU156" s="47" t="str">
        <f t="shared" si="580"/>
        <v xml:space="preserve"> </v>
      </c>
      <c r="LV156" s="57" t="str">
        <f t="shared" si="580"/>
        <v xml:space="preserve"> </v>
      </c>
      <c r="LW156" s="47" t="str">
        <f t="shared" si="580"/>
        <v xml:space="preserve"> </v>
      </c>
      <c r="LX156" s="47" t="str">
        <f t="shared" si="580"/>
        <v xml:space="preserve"> </v>
      </c>
      <c r="LY156" s="47" t="str">
        <f t="shared" si="580"/>
        <v xml:space="preserve"> </v>
      </c>
      <c r="LZ156" s="47" t="str">
        <f t="shared" si="580"/>
        <v xml:space="preserve"> </v>
      </c>
      <c r="MA156" s="47" t="str">
        <f t="shared" si="580"/>
        <v xml:space="preserve"> </v>
      </c>
      <c r="MB156" s="57" t="str">
        <f t="shared" si="580"/>
        <v xml:space="preserve"> </v>
      </c>
      <c r="MC156" s="47" t="str">
        <f t="shared" si="580"/>
        <v xml:space="preserve"> </v>
      </c>
      <c r="MD156" s="47" t="str">
        <f t="shared" si="580"/>
        <v xml:space="preserve"> </v>
      </c>
      <c r="ME156" s="47" t="str">
        <f t="shared" si="580"/>
        <v xml:space="preserve"> </v>
      </c>
      <c r="MF156" s="47" t="str">
        <f t="shared" si="580"/>
        <v xml:space="preserve"> </v>
      </c>
      <c r="MG156" s="47" t="str">
        <f t="shared" si="580"/>
        <v xml:space="preserve"> </v>
      </c>
      <c r="MH156" s="57" t="str">
        <f t="shared" si="580"/>
        <v xml:space="preserve"> </v>
      </c>
      <c r="MI156" s="47" t="str">
        <f t="shared" si="580"/>
        <v xml:space="preserve"> </v>
      </c>
      <c r="MJ156" s="47" t="str">
        <f t="shared" si="580"/>
        <v xml:space="preserve"> </v>
      </c>
      <c r="MK156" s="47" t="str">
        <f t="shared" si="580"/>
        <v xml:space="preserve"> </v>
      </c>
      <c r="ML156" s="47" t="str">
        <f t="shared" si="580"/>
        <v xml:space="preserve"> </v>
      </c>
      <c r="MM156" s="47" t="str">
        <f t="shared" si="580"/>
        <v xml:space="preserve"> </v>
      </c>
      <c r="MN156" s="57" t="str">
        <f t="shared" si="580"/>
        <v xml:space="preserve"> </v>
      </c>
      <c r="MO156" s="47" t="str">
        <f t="shared" si="580"/>
        <v xml:space="preserve"> </v>
      </c>
      <c r="MP156" s="47" t="str">
        <f t="shared" si="580"/>
        <v xml:space="preserve"> </v>
      </c>
      <c r="MQ156" s="47" t="str">
        <f t="shared" si="580"/>
        <v xml:space="preserve"> </v>
      </c>
      <c r="MR156" s="47" t="str">
        <f t="shared" si="580"/>
        <v xml:space="preserve"> </v>
      </c>
      <c r="MS156" s="47" t="str">
        <f t="shared" si="580"/>
        <v xml:space="preserve"> </v>
      </c>
      <c r="MT156" s="57" t="str">
        <f t="shared" si="580"/>
        <v xml:space="preserve"> </v>
      </c>
      <c r="MU156" s="47" t="str">
        <f t="shared" si="580"/>
        <v xml:space="preserve"> </v>
      </c>
      <c r="MV156" s="47" t="str">
        <f t="shared" si="580"/>
        <v xml:space="preserve"> </v>
      </c>
      <c r="MW156" s="47" t="str">
        <f t="shared" si="580"/>
        <v xml:space="preserve"> </v>
      </c>
      <c r="MX156" s="47" t="str">
        <f t="shared" si="580"/>
        <v xml:space="preserve"> </v>
      </c>
      <c r="MY156" s="47" t="str">
        <f t="shared" si="580"/>
        <v xml:space="preserve"> </v>
      </c>
      <c r="MZ156" s="57" t="str">
        <f t="shared" si="580"/>
        <v xml:space="preserve"> </v>
      </c>
      <c r="NA156" s="47" t="str">
        <f t="shared" si="580"/>
        <v xml:space="preserve"> </v>
      </c>
      <c r="NB156" s="47" t="str">
        <f t="shared" si="580"/>
        <v xml:space="preserve"> </v>
      </c>
      <c r="NC156" s="47" t="str">
        <f t="shared" si="580"/>
        <v xml:space="preserve"> </v>
      </c>
      <c r="ND156" s="47" t="str">
        <f t="shared" si="580"/>
        <v xml:space="preserve"> </v>
      </c>
      <c r="NE156" s="47" t="str">
        <f t="shared" si="580"/>
        <v xml:space="preserve"> </v>
      </c>
      <c r="NF156" s="57" t="str">
        <f t="shared" si="580"/>
        <v xml:space="preserve"> </v>
      </c>
      <c r="NG156" s="47" t="str">
        <f t="shared" si="580"/>
        <v xml:space="preserve"> </v>
      </c>
      <c r="NH156" s="47" t="str">
        <f t="shared" si="580"/>
        <v xml:space="preserve"> </v>
      </c>
      <c r="NI156" s="47" t="str">
        <f t="shared" si="580"/>
        <v xml:space="preserve"> </v>
      </c>
      <c r="NJ156" s="47" t="str">
        <f t="shared" si="580"/>
        <v xml:space="preserve"> </v>
      </c>
      <c r="NK156" s="47" t="str">
        <f t="shared" si="580"/>
        <v xml:space="preserve"> </v>
      </c>
      <c r="NL156" s="57" t="str">
        <f t="shared" si="580"/>
        <v xml:space="preserve"> </v>
      </c>
      <c r="NM156" s="47" t="str">
        <f t="shared" si="580"/>
        <v xml:space="preserve"> </v>
      </c>
    </row>
    <row r="157" spans="3:377" ht="15.75" customHeight="1">
      <c r="C157" s="7" t="str">
        <f t="shared" si="296"/>
        <v>non-profits</v>
      </c>
      <c r="D157" s="21" t="str">
        <f t="shared" si="169"/>
        <v xml:space="preserve"> </v>
      </c>
      <c r="E157" s="21" t="str">
        <f t="shared" si="297"/>
        <v xml:space="preserve"> </v>
      </c>
      <c r="F157" s="21" t="str">
        <f t="shared" si="170"/>
        <v xml:space="preserve"> </v>
      </c>
      <c r="G157" s="21" t="str">
        <f t="shared" si="298"/>
        <v xml:space="preserve">ease of access(1), reputation(2), social media(1),  </v>
      </c>
      <c r="H157" s="21" t="str">
        <f t="shared" si="299"/>
        <v xml:space="preserve"> </v>
      </c>
      <c r="I157" s="21" t="str">
        <f t="shared" ref="I157" si="581">IF(I55="",I158,$C157&amp;"("&amp;I55&amp;"),"&amp;I158)</f>
        <v xml:space="preserve"> </v>
      </c>
      <c r="J157" s="21" t="str">
        <f t="shared" si="560"/>
        <v xml:space="preserve">interaction 1
 </v>
      </c>
      <c r="K157" s="21" t="str">
        <f t="shared" si="173"/>
        <v xml:space="preserve">reputation(1,75),  </v>
      </c>
      <c r="L157" s="21" t="str">
        <f t="shared" si="561"/>
        <v xml:space="preserve">reputation 75
 </v>
      </c>
      <c r="M157" s="21" t="str">
        <f t="shared" si="175"/>
        <v xml:space="preserve">portfolio(1), social innovation(1), non-profit biz(1),  </v>
      </c>
      <c r="N157" s="21" t="str">
        <f t="shared" si="176"/>
        <v xml:space="preserve">non-profits(1,12.5), reputation(1,75), marketing(1,12.5),  </v>
      </c>
      <c r="O157" s="21" t="str">
        <f t="shared" si="562"/>
        <v xml:space="preserve">non-profits(12.5),reputation(75),marketing(12.5), </v>
      </c>
      <c r="P157" s="21" t="str">
        <f t="shared" si="560"/>
        <v xml:space="preserve">biz project 1
 </v>
      </c>
      <c r="Q157" s="21" t="str">
        <f t="shared" si="178"/>
        <v xml:space="preserve"> </v>
      </c>
      <c r="R157" s="21" t="str">
        <f t="shared" si="561"/>
        <v xml:space="preserve"> </v>
      </c>
      <c r="S157" s="21" t="str">
        <f t="shared" si="179"/>
        <v xml:space="preserve">portfolio(1), biz enhancement(1), business(1), start-up(1),  </v>
      </c>
      <c r="T157" s="21" t="str">
        <f t="shared" si="180"/>
        <v xml:space="preserve">reputation(1,6.25),  </v>
      </c>
      <c r="U157" s="21" t="str">
        <f t="shared" si="562"/>
        <v xml:space="preserve">reputation(6.25), </v>
      </c>
      <c r="V157" s="21" t="str">
        <f t="shared" si="560"/>
        <v xml:space="preserve"> </v>
      </c>
      <c r="W157" s="21" t="str">
        <f t="shared" si="181"/>
        <v xml:space="preserve"> </v>
      </c>
      <c r="X157" s="21" t="str">
        <f t="shared" si="561"/>
        <v xml:space="preserve"> </v>
      </c>
      <c r="Y157" s="21" t="str">
        <f t="shared" si="182"/>
        <v xml:space="preserve">ease of access(1), reputation(1), portfolio(1), biz project(1), biz enhancement(1), job creation(1), business(1),  </v>
      </c>
      <c r="Z157" s="21" t="str">
        <f t="shared" si="183"/>
        <v xml:space="preserve"> </v>
      </c>
      <c r="AA157" s="21" t="str">
        <f t="shared" si="562"/>
        <v xml:space="preserve"> </v>
      </c>
      <c r="AB157" s="21" t="str">
        <f t="shared" si="560"/>
        <v xml:space="preserve"> </v>
      </c>
      <c r="AC157" s="21" t="str">
        <f t="shared" si="184"/>
        <v xml:space="preserve">non-profits(1,100),  </v>
      </c>
      <c r="AD157" s="21" t="str">
        <f t="shared" si="561"/>
        <v xml:space="preserve">non-profits 100
 </v>
      </c>
      <c r="AE157" s="21" t="str">
        <f t="shared" si="185"/>
        <v xml:space="preserve">ease of access(1), reputation(1), portfolio(1), social project(1), social innovation(1), non-profit biz(1),  </v>
      </c>
      <c r="AF157" s="21" t="str">
        <f t="shared" si="186"/>
        <v xml:space="preserve">non-profits(1,6.25),  </v>
      </c>
      <c r="AG157" s="21" t="str">
        <f t="shared" si="562"/>
        <v xml:space="preserve">non-profits(6.25), </v>
      </c>
      <c r="AH157" s="21" t="str">
        <f t="shared" si="560"/>
        <v xml:space="preserve"> </v>
      </c>
      <c r="AI157" s="21" t="str">
        <f t="shared" si="187"/>
        <v xml:space="preserve"> </v>
      </c>
      <c r="AJ157" s="21" t="str">
        <f t="shared" si="561"/>
        <v xml:space="preserve"> </v>
      </c>
      <c r="AK157" s="21" t="str">
        <f t="shared" si="188"/>
        <v xml:space="preserve">ease of access(1), reputation(2), portfolio(1), social project(1), social innovation(1), non-profit biz(1),  </v>
      </c>
      <c r="AL157" s="21" t="str">
        <f t="shared" si="189"/>
        <v xml:space="preserve"> </v>
      </c>
      <c r="AM157" s="21" t="str">
        <f t="shared" si="562"/>
        <v xml:space="preserve"> </v>
      </c>
      <c r="AN157" s="21" t="str">
        <f t="shared" si="560"/>
        <v xml:space="preserve"> </v>
      </c>
      <c r="AO157" s="21" t="str">
        <f t="shared" si="190"/>
        <v xml:space="preserve"> </v>
      </c>
      <c r="AP157" s="21" t="str">
        <f t="shared" si="561"/>
        <v xml:space="preserve"> </v>
      </c>
      <c r="AQ157" s="21" t="str">
        <f t="shared" si="191"/>
        <v xml:space="preserve">ease of access(1), reputation(1), portfolio(1), start-up(1), start-up with mvp(1), start-up with customers(1),  </v>
      </c>
      <c r="AR157" s="21" t="str">
        <f t="shared" si="192"/>
        <v xml:space="preserve"> </v>
      </c>
      <c r="AS157" s="21" t="str">
        <f t="shared" si="562"/>
        <v xml:space="preserve"> </v>
      </c>
      <c r="AT157" s="21" t="str">
        <f t="shared" si="560"/>
        <v xml:space="preserve">non-profits 2
reputation 1
portfolio 1
social project 1
 </v>
      </c>
      <c r="AU157" s="21" t="str">
        <f t="shared" si="193"/>
        <v xml:space="preserve"> </v>
      </c>
      <c r="AV157" s="21" t="str">
        <f t="shared" si="561"/>
        <v xml:space="preserve"> </v>
      </c>
      <c r="AW157" s="21" t="str">
        <f t="shared" si="194"/>
        <v xml:space="preserve">project management(2),  </v>
      </c>
      <c r="AX157" s="21" t="str">
        <f t="shared" si="195"/>
        <v xml:space="preserve">organizational rules and manuals(1,12.5), project management(1,12.5),  </v>
      </c>
      <c r="AY157" s="21" t="str">
        <f t="shared" si="562"/>
        <v xml:space="preserve">organizational rules and manuals(12.5),project management(12.5), </v>
      </c>
      <c r="AZ157" s="21" t="str">
        <f t="shared" si="560"/>
        <v xml:space="preserve">non-profits 1
 </v>
      </c>
      <c r="BA157" s="21" t="str">
        <f t="shared" si="196"/>
        <v xml:space="preserve"> </v>
      </c>
      <c r="BB157" s="21" t="str">
        <f t="shared" si="561"/>
        <v xml:space="preserve"> </v>
      </c>
      <c r="BC157" s="21" t="str">
        <f t="shared" si="197"/>
        <v xml:space="preserve"> </v>
      </c>
      <c r="BD157" s="21" t="str">
        <f t="shared" si="198"/>
        <v xml:space="preserve"> </v>
      </c>
      <c r="BE157" s="21" t="str">
        <f t="shared" si="562"/>
        <v xml:space="preserve"> </v>
      </c>
      <c r="BF157" s="21" t="str">
        <f t="shared" si="560"/>
        <v xml:space="preserve">reputation 1
portfolio 1
biz project 1
 </v>
      </c>
      <c r="BG157" s="21" t="str">
        <f t="shared" si="199"/>
        <v xml:space="preserve"> </v>
      </c>
      <c r="BH157" s="21" t="str">
        <f t="shared" si="561"/>
        <v xml:space="preserve"> </v>
      </c>
      <c r="BI157" s="21" t="str">
        <f t="shared" si="200"/>
        <v xml:space="preserve">project management(2),  </v>
      </c>
      <c r="BJ157" s="21" t="str">
        <f t="shared" si="201"/>
        <v xml:space="preserve">organizational rules and manuals(1,12.5), project management(1,12.5),  </v>
      </c>
      <c r="BK157" s="21" t="str">
        <f t="shared" si="562"/>
        <v xml:space="preserve">organizational rules and manuals(12.5),project management(12.5), </v>
      </c>
      <c r="BL157" s="21" t="str">
        <f t="shared" si="560"/>
        <v xml:space="preserve">reputation 1
portfolio 1
biz enhancement 1
 </v>
      </c>
      <c r="BM157" s="21" t="str">
        <f t="shared" si="202"/>
        <v xml:space="preserve"> </v>
      </c>
      <c r="BN157" s="21" t="str">
        <f t="shared" si="561"/>
        <v xml:space="preserve"> </v>
      </c>
      <c r="BO157" s="21" t="str">
        <f t="shared" si="203"/>
        <v xml:space="preserve"> </v>
      </c>
      <c r="BP157" s="21" t="str">
        <f t="shared" si="204"/>
        <v xml:space="preserve"> </v>
      </c>
      <c r="BQ157" s="21" t="str">
        <f t="shared" si="562"/>
        <v xml:space="preserve"> </v>
      </c>
      <c r="BR157" s="21" t="str">
        <f t="shared" si="560"/>
        <v xml:space="preserve"> </v>
      </c>
      <c r="BS157" s="21" t="str">
        <f t="shared" si="205"/>
        <v xml:space="preserve"> </v>
      </c>
      <c r="BT157" s="21" t="str">
        <f t="shared" si="561"/>
        <v xml:space="preserve"> </v>
      </c>
      <c r="BU157" s="21" t="str">
        <f t="shared" si="206"/>
        <v xml:space="preserve"> </v>
      </c>
      <c r="BV157" s="21" t="str">
        <f t="shared" si="207"/>
        <v xml:space="preserve"> </v>
      </c>
      <c r="BW157" s="21" t="str">
        <f t="shared" si="562"/>
        <v xml:space="preserve"> </v>
      </c>
      <c r="BX157" s="21" t="str">
        <f t="shared" si="563"/>
        <v xml:space="preserve"> </v>
      </c>
      <c r="BY157" s="21" t="str">
        <f t="shared" si="209"/>
        <v xml:space="preserve">efficiency(1,),  </v>
      </c>
      <c r="BZ157" s="21" t="str">
        <f t="shared" si="564"/>
        <v xml:space="preserve"> </v>
      </c>
      <c r="CA157" s="21" t="str">
        <f t="shared" si="211"/>
        <v xml:space="preserve">negotiation(1),  </v>
      </c>
      <c r="CB157" s="21" t="str">
        <f t="shared" si="212"/>
        <v xml:space="preserve">user rules and manuals(1,50), organizational rules and manuals(1,50),  </v>
      </c>
      <c r="CC157" s="21" t="str">
        <f t="shared" si="565"/>
        <v xml:space="preserve">user rules and manuals(50),organizational rules and manuals(50), </v>
      </c>
      <c r="CD157" s="21" t="str">
        <f t="shared" si="563"/>
        <v xml:space="preserve"> </v>
      </c>
      <c r="CE157" s="21" t="str">
        <f t="shared" si="214"/>
        <v xml:space="preserve">non-profits(1,),  </v>
      </c>
      <c r="CF157" s="21" t="str">
        <f t="shared" si="564"/>
        <v xml:space="preserve"> </v>
      </c>
      <c r="CG157" s="21" t="str">
        <f t="shared" si="215"/>
        <v xml:space="preserve">ease of access(1), portfolio(1), user rules and manuals(1), negotiation(1), social project(1), biz project(1), for basic literacy(1), for the elites(1), for entrepreneurs(1),  </v>
      </c>
      <c r="CH157" s="21" t="str">
        <f t="shared" si="216"/>
        <v xml:space="preserve">non-profits(1,6.25),  </v>
      </c>
      <c r="CI157" s="21" t="str">
        <f t="shared" si="565"/>
        <v xml:space="preserve">non-profits(6.25), </v>
      </c>
      <c r="CJ157" s="21" t="str">
        <f t="shared" si="563"/>
        <v xml:space="preserve"> </v>
      </c>
      <c r="CK157" s="21" t="str">
        <f t="shared" si="217"/>
        <v xml:space="preserve"> </v>
      </c>
      <c r="CL157" s="21" t="str">
        <f t="shared" si="564"/>
        <v xml:space="preserve"> </v>
      </c>
      <c r="CM157" s="21" t="str">
        <f t="shared" si="218"/>
        <v xml:space="preserve">reputation(1), negotiation(1),  </v>
      </c>
      <c r="CN157" s="21" t="str">
        <f t="shared" si="219"/>
        <v xml:space="preserve">efficiency(1,6.25),  </v>
      </c>
      <c r="CO157" s="21" t="str">
        <f t="shared" si="565"/>
        <v xml:space="preserve">efficiency(6.25), </v>
      </c>
      <c r="CP157" s="21" t="str">
        <f t="shared" si="563"/>
        <v xml:space="preserve"> </v>
      </c>
      <c r="CQ157" s="21" t="str">
        <f t="shared" si="220"/>
        <v xml:space="preserve"> </v>
      </c>
      <c r="CR157" s="21" t="str">
        <f t="shared" si="564"/>
        <v xml:space="preserve"> </v>
      </c>
      <c r="CS157" s="21" t="str">
        <f t="shared" si="221"/>
        <v xml:space="preserve">portfolio(1), negotiation(1), web(1), infrastructrue(1), database(1), mobile apps(1), sensors(1), security(1), AI&amp; data analysis(1), mobile comm(1), VR&amp;AR(1), wood processing(1), metal processing(1), plastic processing(1), electronics(1), fabric(1),  </v>
      </c>
      <c r="CT157" s="21" t="str">
        <f t="shared" si="222"/>
        <v xml:space="preserve">efficiency(1,6.25),  </v>
      </c>
      <c r="CU157" s="21" t="str">
        <f t="shared" si="565"/>
        <v xml:space="preserve">efficiency(6.25), </v>
      </c>
      <c r="CV157" s="21" t="str">
        <f t="shared" si="563"/>
        <v xml:space="preserve"> </v>
      </c>
      <c r="CW157" s="21" t="str">
        <f t="shared" si="223"/>
        <v xml:space="preserve"> </v>
      </c>
      <c r="CX157" s="21" t="str">
        <f t="shared" si="564"/>
        <v xml:space="preserve"> </v>
      </c>
      <c r="CY157" s="21" t="str">
        <f t="shared" si="224"/>
        <v xml:space="preserve">ease of access(1), reputation(1), portfolio(1), negotiation(1),  </v>
      </c>
      <c r="CZ157" s="21" t="str">
        <f t="shared" si="225"/>
        <v xml:space="preserve">non-profits(1,6.25),  </v>
      </c>
      <c r="DA157" s="21" t="str">
        <f t="shared" si="565"/>
        <v xml:space="preserve">non-profits(6.25), </v>
      </c>
      <c r="DB157" s="21" t="str">
        <f t="shared" si="563"/>
        <v xml:space="preserve"> </v>
      </c>
      <c r="DC157" s="21" t="str">
        <f t="shared" si="226"/>
        <v xml:space="preserve"> </v>
      </c>
      <c r="DD157" s="21" t="str">
        <f t="shared" si="564"/>
        <v xml:space="preserve"> </v>
      </c>
      <c r="DE157"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7" s="21" t="str">
        <f t="shared" si="228"/>
        <v xml:space="preserve"> </v>
      </c>
      <c r="DG157" s="21" t="str">
        <f t="shared" si="565"/>
        <v xml:space="preserve"> </v>
      </c>
      <c r="DH157" s="21" t="str">
        <f t="shared" si="563"/>
        <v xml:space="preserve">non-profits 1
reputation 1
social project 1
 </v>
      </c>
      <c r="DI157" s="21" t="str">
        <f t="shared" si="229"/>
        <v xml:space="preserve"> </v>
      </c>
      <c r="DJ157" s="21" t="str">
        <f t="shared" si="564"/>
        <v xml:space="preserve"> </v>
      </c>
      <c r="DK157"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7" s="21" t="str">
        <f t="shared" si="231"/>
        <v xml:space="preserve">reputation(1,6.25),  </v>
      </c>
      <c r="DM157" s="21" t="str">
        <f t="shared" si="565"/>
        <v xml:space="preserve">reputation(6.25), </v>
      </c>
      <c r="DN157" s="21" t="str">
        <f t="shared" si="563"/>
        <v xml:space="preserve">reputation 1
biz project 1
 </v>
      </c>
      <c r="DO157" s="21" t="str">
        <f t="shared" si="232"/>
        <v xml:space="preserve"> </v>
      </c>
      <c r="DP157" s="21" t="str">
        <f t="shared" si="564"/>
        <v xml:space="preserve"> </v>
      </c>
      <c r="DQ157" s="21" t="str">
        <f t="shared" si="233"/>
        <v xml:space="preserve">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7" s="21" t="str">
        <f t="shared" si="234"/>
        <v xml:space="preserve">reputation(1,6.25),  </v>
      </c>
      <c r="DS157" s="21" t="str">
        <f t="shared" si="565"/>
        <v xml:space="preserve">reputation(6.25), </v>
      </c>
      <c r="DT157" s="21" t="str">
        <f t="shared" si="563"/>
        <v xml:space="preserve">reputation 1
 </v>
      </c>
      <c r="DU157" s="21" t="str">
        <f t="shared" si="235"/>
        <v xml:space="preserve"> </v>
      </c>
      <c r="DV157" s="21" t="str">
        <f t="shared" si="564"/>
        <v xml:space="preserve"> </v>
      </c>
      <c r="DW157" s="21" t="str">
        <f t="shared" si="236"/>
        <v xml:space="preserve">non-profits(1), spaciousness(1), ease of access(1), reputation(2), efficiency(1), organizational rules and manuals(1), marketing(1), social media(1), for basic literacy(1),  </v>
      </c>
      <c r="DX157" s="21" t="str">
        <f t="shared" si="237"/>
        <v xml:space="preserve">reputation(1,6.25), for basic literacy(1,6.25),  </v>
      </c>
      <c r="DY157" s="21" t="str">
        <f t="shared" si="565"/>
        <v xml:space="preserve">reputation(6.25),for basic literacy(6.25), </v>
      </c>
      <c r="DZ157" s="21" t="str">
        <f t="shared" si="563"/>
        <v xml:space="preserve">reputation 1
 </v>
      </c>
      <c r="EA157" s="21" t="str">
        <f t="shared" si="238"/>
        <v xml:space="preserve"> </v>
      </c>
      <c r="EB157" s="21" t="str">
        <f t="shared" si="564"/>
        <v xml:space="preserve"> </v>
      </c>
      <c r="EC157" s="21" t="str">
        <f t="shared" si="239"/>
        <v xml:space="preserve">non-profits(2), 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7" s="21" t="str">
        <f t="shared" si="240"/>
        <v xml:space="preserve">reputation(1,6.25), for basic literacy(1,6.25),  </v>
      </c>
      <c r="EE157" s="21" t="str">
        <f t="shared" si="565"/>
        <v xml:space="preserve">reputation(6.25),for basic literacy(6.25), </v>
      </c>
      <c r="EF157" s="21" t="str">
        <f t="shared" si="563"/>
        <v xml:space="preserve">reputation 1
 </v>
      </c>
      <c r="EG157" s="21" t="str">
        <f t="shared" si="241"/>
        <v xml:space="preserve">web(1,50), mobile apps(1,50), interaction(1,50),  </v>
      </c>
      <c r="EH157" s="21" t="str">
        <f t="shared" si="564"/>
        <v xml:space="preserve">web 50
mobile apps 50
interaction 50
 </v>
      </c>
      <c r="EI157" s="21" t="str">
        <f t="shared" si="242"/>
        <v xml:space="preserve">ease of access(1), reputation(2), infrastructrue(1), database(1), mobile comm(1), for entrepreneurs(1),  </v>
      </c>
      <c r="EJ157" s="21" t="str">
        <f t="shared" si="243"/>
        <v xml:space="preserve">infrastructrue(1,12.5), database(1,12.5), mobile comm(1,12.5), for entrepreneurs(1,6.25),  </v>
      </c>
      <c r="EK157" s="21" t="str">
        <f t="shared" si="565"/>
        <v xml:space="preserve">infrastructrue(12.5),database(12.5),mobile comm(12.5),for entrepreneurs(6.25), </v>
      </c>
      <c r="EL157" s="21" t="str">
        <f t="shared" si="566"/>
        <v xml:space="preserve">reputation 1
 </v>
      </c>
      <c r="EM157" s="21" t="str">
        <f t="shared" si="245"/>
        <v xml:space="preserve">sensors(1,50),  </v>
      </c>
      <c r="EN157" s="21" t="str">
        <f t="shared" si="567"/>
        <v xml:space="preserve">sensors 50
 </v>
      </c>
      <c r="EO157" s="21" t="str">
        <f t="shared" si="247"/>
        <v xml:space="preserve">ease of access(1), reputation(2), project management(2), infrastructrue(1), database(1), mobile comm(1), for entrepreneurs(1),  </v>
      </c>
      <c r="EP157" s="21" t="str">
        <f t="shared" si="248"/>
        <v xml:space="preserve">infrastructrue(1,12.5), database(1,12.5), mobile comm(1,12.5), electronics(1,6.25), for entrepreneurs(1,6.25),  </v>
      </c>
      <c r="EQ157" s="21" t="str">
        <f t="shared" si="568"/>
        <v xml:space="preserve">infrastructrue(12.5),database(12.5),mobile comm(12.5),electronics(6.25),for entrepreneurs(6.25), </v>
      </c>
      <c r="ER157" s="21" t="str">
        <f t="shared" si="566"/>
        <v xml:space="preserve"> </v>
      </c>
      <c r="ES157" s="21" t="str">
        <f t="shared" si="250"/>
        <v xml:space="preserve">AI&amp; data analysis(1,50),  </v>
      </c>
      <c r="ET157" s="21" t="str">
        <f t="shared" si="567"/>
        <v xml:space="preserve">AI&amp; data analysis 50
 </v>
      </c>
      <c r="EU157" s="21" t="str">
        <f t="shared" si="251"/>
        <v xml:space="preserve">ease of access(1), reputation(2), database(1), sensors(1), mobile comm(1), for entrepreneurs(1),  </v>
      </c>
      <c r="EV157" s="21" t="str">
        <f t="shared" si="252"/>
        <v xml:space="preserve">database(1,12.5), sensors(1,12.5), mobile comm(1,12.5), for entrepreneurs(1,6.25),  </v>
      </c>
      <c r="EW157" s="21" t="str">
        <f t="shared" si="568"/>
        <v xml:space="preserve">database(12.5),sensors(12.5),mobile comm(12.5),for entrepreneurs(6.25), </v>
      </c>
      <c r="EX157" s="21" t="str">
        <f t="shared" si="566"/>
        <v xml:space="preserve"> </v>
      </c>
      <c r="EY157" s="21" t="str">
        <f t="shared" si="253"/>
        <v xml:space="preserve">law(1,50), security(1,50), interaction(1,25),  </v>
      </c>
      <c r="EZ157" s="21" t="str">
        <f t="shared" si="567"/>
        <v xml:space="preserve">law 50
security 50
interaction 25
 </v>
      </c>
      <c r="FA157" s="21" t="str">
        <f t="shared" si="254"/>
        <v xml:space="preserve">ease of access(1), reputation(2), law(2), for entrepreneurs(1),  </v>
      </c>
      <c r="FB157" s="21" t="str">
        <f t="shared" si="255"/>
        <v xml:space="preserve">law(1,6.25), database(1,12.5), mobile apps(1,12.5), security(1,12.5), mobile comm(1,12.5), for entrepreneurs(1,6.25),  </v>
      </c>
      <c r="FC157" s="21" t="str">
        <f t="shared" si="568"/>
        <v xml:space="preserve">law(6.25),database(12.5),mobile apps(12.5),security(12.5),mobile comm(12.5),for entrepreneurs(6.25), </v>
      </c>
      <c r="FD157" s="21" t="str">
        <f t="shared" si="566"/>
        <v xml:space="preserve"> </v>
      </c>
      <c r="FE157" s="21" t="str">
        <f t="shared" si="256"/>
        <v xml:space="preserve">law(1,50), sensors(1,50), security(1,50),  </v>
      </c>
      <c r="FF157" s="21" t="str">
        <f t="shared" si="567"/>
        <v xml:space="preserve">law 50
sensors 50
security 50
 </v>
      </c>
      <c r="FG157" s="21" t="str">
        <f t="shared" si="257"/>
        <v xml:space="preserve">ease of access(1), reputation(2), law(2), project management(2), for entrepreneurs(1),  </v>
      </c>
      <c r="FH157" s="21" t="str">
        <f t="shared" si="258"/>
        <v xml:space="preserve">law(1,6.25), database(1,6.25), mobile apps(1,6.25), AI&amp; data analysis(1,6.25), mobile comm(1,6.25), for entrepreneurs(1,6.25),  </v>
      </c>
      <c r="FI157" s="21" t="str">
        <f t="shared" si="568"/>
        <v xml:space="preserve">law(6.25),database(6.25),mobile apps(6.25),AI&amp; data analysis(6.25),mobile comm(6.25),for entrepreneurs(6.25), </v>
      </c>
      <c r="FJ157" s="21" t="str">
        <f t="shared" si="566"/>
        <v xml:space="preserve"> </v>
      </c>
      <c r="FK157" s="21" t="str">
        <f t="shared" si="259"/>
        <v xml:space="preserve">wood processing(1,25), metal processing(1,25), plastic processing(1,25), fabric(1,25), safety(1,25), interaction(1,25),  </v>
      </c>
      <c r="FL157" s="21" t="str">
        <f t="shared" si="567"/>
        <v xml:space="preserve">project management 2
wood processing 25
metal processing 25
plastic processing 25
fabric 25
safety 25
interaction 25
 </v>
      </c>
      <c r="FM157" s="21" t="str">
        <f t="shared" si="260"/>
        <v xml:space="preserve">spaciousness(1), ease of access(1), reputation(2), for entrepreneurs(1),  </v>
      </c>
      <c r="FN157" s="21" t="str">
        <f t="shared" si="261"/>
        <v xml:space="preserve">for entrepreneurs(1,6.25),  </v>
      </c>
      <c r="FO157" s="21" t="str">
        <f t="shared" si="568"/>
        <v xml:space="preserve">for entrepreneurs(6.25), </v>
      </c>
      <c r="FP157" s="21" t="str">
        <f t="shared" si="566"/>
        <v xml:space="preserve"> </v>
      </c>
      <c r="FQ157" s="21" t="str">
        <f t="shared" si="262"/>
        <v xml:space="preserve">web(1,25), mobile apps(1,50), functions(1,25), interaction(1,25),  </v>
      </c>
      <c r="FR157" s="21" t="str">
        <f t="shared" si="567"/>
        <v xml:space="preserve">web 25
mobile apps 50
functions 25
interaction 25
 </v>
      </c>
      <c r="FS157" s="21" t="str">
        <f t="shared" si="263"/>
        <v xml:space="preserve">spaciousness(1), ease of access(1), reputation(2), for entrepreneurs(1),  </v>
      </c>
      <c r="FT157" s="21" t="str">
        <f t="shared" si="264"/>
        <v xml:space="preserve">for entrepreneurs(1,6.25),  </v>
      </c>
      <c r="FU157" s="21" t="str">
        <f t="shared" si="568"/>
        <v xml:space="preserve">for entrepreneurs(6.25), </v>
      </c>
      <c r="FV157" s="21" t="str">
        <f t="shared" si="566"/>
        <v xml:space="preserve"> </v>
      </c>
      <c r="FW157" s="21" t="str">
        <f t="shared" si="265"/>
        <v xml:space="preserve">mobile apps(1,50), sensors(1,50), wood processing(1,25), plastic processing(1,25), electronics(1,25), functions(1,25), interaction(1,25),  </v>
      </c>
      <c r="FX157" s="21" t="str">
        <f t="shared" si="567"/>
        <v xml:space="preserve">mobile apps 50
sensors 50
wood processing 25
plastic processing 25
electronics 25
functions 25
interaction 25
 </v>
      </c>
      <c r="FY157" s="21" t="str">
        <f t="shared" si="266"/>
        <v xml:space="preserve">spaciousness(1), ease of access(1), reputation(2), project management(2), for entrepreneurs(1),  </v>
      </c>
      <c r="FZ157" s="21" t="str">
        <f t="shared" si="267"/>
        <v xml:space="preserve">web(1,6.25), database(1,6.25), AI&amp; data analysis(1,6.25), mobile comm(1,6.25), for entrepreneurs(1,6.25),  </v>
      </c>
      <c r="GA157" s="21" t="str">
        <f t="shared" si="568"/>
        <v xml:space="preserve">web(6.25),database(6.25),AI&amp; data analysis(6.25),mobile comm(6.25),for entrepreneurs(6.25), </v>
      </c>
      <c r="GB157" s="21" t="str">
        <f t="shared" si="566"/>
        <v xml:space="preserve"> </v>
      </c>
      <c r="GC157" s="21" t="str">
        <f t="shared" si="268"/>
        <v xml:space="preserve">sensors(1,25), mobile comm(1,25), electronics(1,50), functions(1,25), safety(1,25),  </v>
      </c>
      <c r="GD157" s="21" t="str">
        <f t="shared" si="567"/>
        <v xml:space="preserve">sensors 25
mobile comm 25
electronics 50
functions 25
safety 25
 </v>
      </c>
      <c r="GE157" s="21" t="str">
        <f t="shared" si="269"/>
        <v xml:space="preserve">spaciousness(1), ease of access(1), reputation(2), project management(2), for entrepreneurs(1),  </v>
      </c>
      <c r="GF157" s="21" t="str">
        <f t="shared" si="270"/>
        <v xml:space="preserve">database(1,6.25), mobile apps(1,6.25), AI&amp; data analysis(1,6.25), plastic processing(1,6.25), interaction(1,6.25), for entrepreneurs(1,6.25),  </v>
      </c>
      <c r="GG157" s="21" t="str">
        <f t="shared" si="568"/>
        <v xml:space="preserve">database(6.25),mobile apps(6.25),AI&amp; data analysis(6.25),plastic processing(6.25),interaction(6.25),for entrepreneurs(6.25), </v>
      </c>
      <c r="GH157" s="21" t="str">
        <f t="shared" si="566"/>
        <v xml:space="preserve"> </v>
      </c>
      <c r="GI157" s="21" t="str">
        <f t="shared" si="271"/>
        <v xml:space="preserve">web(1,25), mobile apps(1,50), functions(1,25), interaction(1,25),  </v>
      </c>
      <c r="GJ157" s="21" t="str">
        <f t="shared" si="567"/>
        <v xml:space="preserve">web 25
mobile apps 50
functions 25
interaction 25
 </v>
      </c>
      <c r="GK157" s="21" t="str">
        <f t="shared" si="272"/>
        <v xml:space="preserve">spaciousness(1), ease of access(1), reputation(2), project management(2), for entrepreneurs(1),  </v>
      </c>
      <c r="GL157" s="21" t="str">
        <f t="shared" si="273"/>
        <v xml:space="preserve">for entrepreneurs(1,6.25),  </v>
      </c>
      <c r="GM157" s="21" t="str">
        <f t="shared" si="568"/>
        <v xml:space="preserve">for entrepreneurs(6.25), </v>
      </c>
      <c r="GN157" s="21" t="str">
        <f t="shared" si="566"/>
        <v xml:space="preserve"> </v>
      </c>
      <c r="GO157" s="21" t="str">
        <f t="shared" si="274"/>
        <v xml:space="preserve">web(1,25), mobile apps(1,25), VR&amp;AR(1,25), aesthetics(1,25), functions(1,25), interaction(1,50),  </v>
      </c>
      <c r="GP157" s="21" t="str">
        <f t="shared" si="567"/>
        <v xml:space="preserve">web 25
mobile apps 25
VR&amp;AR 25
aesthetics 25
functions 25
interaction 50
 </v>
      </c>
      <c r="GQ157" s="21" t="str">
        <f t="shared" si="275"/>
        <v xml:space="preserve">spaciousness(1), ease of access(1), reputation(2), project management(2), for entrepreneurs(1),  </v>
      </c>
      <c r="GR157" s="21" t="str">
        <f t="shared" si="276"/>
        <v xml:space="preserve">for entrepreneurs(1,6.25),  </v>
      </c>
      <c r="GS157" s="21" t="str">
        <f t="shared" si="568"/>
        <v xml:space="preserve">for entrepreneurs(6.25), </v>
      </c>
      <c r="GT157" s="21" t="str">
        <f t="shared" si="566"/>
        <v xml:space="preserve">ease of access 1
reputation 2
web 1
mobile apps 1
mobile comm 1
 </v>
      </c>
      <c r="GU157" s="21" t="str">
        <f t="shared" si="277"/>
        <v xml:space="preserve"> </v>
      </c>
      <c r="GV157" s="21" t="str">
        <f t="shared" si="567"/>
        <v xml:space="preserve"> </v>
      </c>
      <c r="GW157" s="21" t="str">
        <f t="shared" si="278"/>
        <v xml:space="preserve">non-profits(1), spaciousness(1), ease of access(1), reputation(3), efficiency(2), user rules and manuals(1), organizational rules and manuals(1), business model(2), marketing(1), team building(1), project management(1), social media(1), infrastructrue(1), database(1), sensors(1), security(1), AI&amp; data analysis(1), electronics(1),  </v>
      </c>
      <c r="GX157" s="21" t="str">
        <f t="shared" si="279"/>
        <v xml:space="preserve">project management(1,6.25), social media(1,6.25), web(1,6.25), mobile apps(1,6.25),  </v>
      </c>
      <c r="GY157" s="21" t="str">
        <f t="shared" si="568"/>
        <v xml:space="preserve">project management(6.25),social media(6.25),web(6.25),mobile apps(6.25), </v>
      </c>
      <c r="GZ157" s="21" t="str">
        <f t="shared" si="569"/>
        <v xml:space="preserve">non-profits 1
reputation 2
portfolio 1
 </v>
      </c>
      <c r="HA157" s="21" t="str">
        <f t="shared" si="281"/>
        <v xml:space="preserve"> </v>
      </c>
      <c r="HB157" s="21" t="str">
        <f t="shared" si="570"/>
        <v xml:space="preserve"> </v>
      </c>
      <c r="HC157" s="21" t="str">
        <f t="shared" si="283"/>
        <v xml:space="preserve">non-profits(3), reputation(4), portfolio(3), social media(2), web(2), mobile apps(2), sensors(2), AI&amp; data analysis(2), VR&amp;AR(2), plastic processing(2), electronics(2), aesthetics(2), interaction(2),  </v>
      </c>
      <c r="HD157" s="21" t="str">
        <f t="shared" si="284"/>
        <v xml:space="preserve">non-profits(1,6.25), reputation(1,6.25), start-up with customers(1,6.25), for basic literacy(1,6.25),  </v>
      </c>
      <c r="HE157" s="21" t="str">
        <f t="shared" si="571"/>
        <v xml:space="preserve">non-profits(6.25),reputation(6.25),start-up with customers(6.25),for basic literacy(6.25), </v>
      </c>
      <c r="HF157" s="21" t="str">
        <f t="shared" si="569"/>
        <v xml:space="preserve"> </v>
      </c>
      <c r="HG157" s="21" t="str">
        <f t="shared" si="286"/>
        <v xml:space="preserve"> </v>
      </c>
      <c r="HH157" s="21" t="str">
        <f t="shared" si="570"/>
        <v xml:space="preserve"> </v>
      </c>
      <c r="HI157" s="21" t="str">
        <f t="shared" si="287"/>
        <v xml:space="preserve">portfolio(3), marketing(2), team building(3), project management(2), mobile apps(3), sensors(2), plastic processing(2), electronics(2), aesthetics(2), functions(2), interaction(2),  </v>
      </c>
      <c r="HJ157" s="21" t="str">
        <f t="shared" si="288"/>
        <v xml:space="preserve">non-profits(1,6.25), start-up with customers(1,6.25),  </v>
      </c>
      <c r="HK157" s="21" t="str">
        <f t="shared" si="571"/>
        <v xml:space="preserve">non-profits(6.25),start-up with customers(6.25), </v>
      </c>
      <c r="HL157" s="21" t="str">
        <f t="shared" si="569"/>
        <v xml:space="preserve">non-profits 1
reputation 2
portfolio 2
 </v>
      </c>
      <c r="HM157" s="21" t="str">
        <f t="shared" si="289"/>
        <v xml:space="preserve"> </v>
      </c>
      <c r="HN157" s="21" t="str">
        <f t="shared" si="570"/>
        <v xml:space="preserve"> </v>
      </c>
      <c r="HO157" s="21" t="str">
        <f t="shared" si="290"/>
        <v xml:space="preserve">spaciousness(2), ease of access(2), reputation(3), efficiency(2), portfolio(4), finance(2), marketing(2), project management(2), social media(2), web(3), mobile apps(2), wood processing(3), plastic processing(3), electronics(3), aesthetics(2), interaction(2),  </v>
      </c>
      <c r="HP157" s="21" t="str">
        <f t="shared" si="291"/>
        <v xml:space="preserve">non-profits(1,6.25), reputation(1,6.25),  </v>
      </c>
      <c r="HQ157" s="47" t="str">
        <f t="shared" si="571"/>
        <v xml:space="preserve">non-profits(6.25),reputation(6.25), </v>
      </c>
      <c r="HR157" s="47" t="str">
        <f t="shared" ref="HR157:HW157" si="582">IF(HR55="",HR158,$C157&amp;"("&amp;HR55&amp;"),"&amp;HR158)</f>
        <v xml:space="preserve">reputation(2),portfolio(2),mobile apps(1),sensors(1),wood processing(1),aesthetics(1), </v>
      </c>
      <c r="HS157" s="47" t="str">
        <f t="shared" si="582"/>
        <v xml:space="preserve"> </v>
      </c>
      <c r="HT157" s="47" t="str">
        <f t="shared" si="582"/>
        <v xml:space="preserve"> </v>
      </c>
      <c r="HU157" s="47" t="str">
        <f t="shared" si="582"/>
        <v xml:space="preserve">non-profits(2),reputation(3),efficiency(2),portfolio(3),project management(2),social media(2),web(3),infrastructrue(3),database(3),mobile apps(3),sensors(3),AI&amp; data analysis(3),mobile comm(3),VR&amp;AR(3),wood processing(3),metal processing(2),plastic processing(2),electronics(2),fabric(2),aesthetics(2),interaction(2),start-up with mvp(1), </v>
      </c>
      <c r="HV157" s="47" t="str">
        <f t="shared" si="582"/>
        <v xml:space="preserve">non-profits(1),reputation(1), </v>
      </c>
      <c r="HW157" s="47" t="str">
        <f t="shared" si="582"/>
        <v xml:space="preserve">non-profits(6.25),reputation(6.25), </v>
      </c>
      <c r="HX157" s="47" t="str">
        <f t="shared" ref="HX157:IU157" si="583">IF(HX55="",HX158,$C157&amp;"("&amp;HX55&amp;"),"&amp;HX158)</f>
        <v xml:space="preserve">non-profits(3),reputation(3),portfolio(2),web(1),infrastructrue(1),database(2),mobile apps(1),sensors(1),AI&amp; data analysis(2),VR&amp;AR(1),wood processing(1),metal processing(1),plastic processing(1),electronics(1),aesthetics(1),functions(1),interaction(1), </v>
      </c>
      <c r="HY157" s="47" t="str">
        <f t="shared" si="583"/>
        <v xml:space="preserve">biz enhancement(1), </v>
      </c>
      <c r="HZ157" s="47" t="str">
        <f t="shared" si="583"/>
        <v xml:space="preserve">biz enhancement(100), </v>
      </c>
      <c r="IA157" s="47" t="str">
        <f t="shared" si="583"/>
        <v xml:space="preserve">spaciousness(2),ease of access(3),efficiency(2),portfolio(4),finance(2),business model(2),marketing(3),team building(2),project management(2),social media(3),negotiation(3), </v>
      </c>
      <c r="IB157" s="47" t="str">
        <f t="shared" si="583"/>
        <v xml:space="preserve">non-profits(1),reputation(1),team building(1),database(1),AI&amp; data analysis(1),electronics(1),functions(1), </v>
      </c>
      <c r="IC157" s="47" t="str">
        <f t="shared" si="583"/>
        <v xml:space="preserve">non-profits(6.25),reputation(6.25),team building(6.25),database(6.25),AI&amp; data analysis(6.25),electronics(6.25),functions(6.25), </v>
      </c>
      <c r="ID157" s="47" t="str">
        <f t="shared" si="583"/>
        <v xml:space="preserve"> </v>
      </c>
      <c r="IE157" s="47" t="str">
        <f t="shared" si="583"/>
        <v xml:space="preserve">web(1),mobile apps(1),security(1),AI&amp; data analysis(1), </v>
      </c>
      <c r="IF157" s="47" t="str">
        <f t="shared" si="583"/>
        <v xml:space="preserve">web(25),mobile apps(25),security(25),AI&amp; data analysis(25), </v>
      </c>
      <c r="IG157" s="47" t="str">
        <f t="shared" si="583"/>
        <v xml:space="preserve">spaciousness(2),ease of access(2),reputation(3),efficiency(2),portfolio(3),web(2),database(2),mobile apps(2),security(2),AI&amp; data analysis(2), </v>
      </c>
      <c r="IH157" s="47" t="str">
        <f t="shared" si="583"/>
        <v xml:space="preserve">web(1),database(1),mobile apps(1),security(1),AI&amp; data analysis(1), </v>
      </c>
      <c r="II157" s="47" t="str">
        <f t="shared" si="583"/>
        <v xml:space="preserve">web(6.25),database(6.25),mobile apps(6.25),security(6.25),AI&amp; data analysis(6.25), </v>
      </c>
      <c r="IJ157" s="47" t="str">
        <f t="shared" si="583"/>
        <v xml:space="preserve"> </v>
      </c>
      <c r="IK157" s="47" t="str">
        <f t="shared" si="583"/>
        <v xml:space="preserve">wood processing(1),metal processing(1),functions(1),safety(1), </v>
      </c>
      <c r="IL157" s="47" t="str">
        <f t="shared" si="583"/>
        <v xml:space="preserve">wood processing(25),metal processing(25),functions(25),safety(25), </v>
      </c>
      <c r="IM157" s="47" t="str">
        <f t="shared" si="583"/>
        <v xml:space="preserve">spaciousness(2),ease of access(2),reputation(3),efficiency(2),portfolio(3),wood processing(2),metal processing(2),functions(2),safety(2), </v>
      </c>
      <c r="IN157" s="47" t="str">
        <f t="shared" si="583"/>
        <v xml:space="preserve">wood processing(1),metal processing(1),functions(1),safety(1),interaction(1), </v>
      </c>
      <c r="IO157" s="47" t="str">
        <f t="shared" si="583"/>
        <v xml:space="preserve">wood processing(6.25),metal processing(6.25),functions(6.25),safety(6.25),interaction(6.25), </v>
      </c>
      <c r="IP157" s="57" t="str">
        <f t="shared" si="583"/>
        <v xml:space="preserve">reputation(1), </v>
      </c>
      <c r="IQ157" s="47" t="str">
        <f t="shared" si="583"/>
        <v xml:space="preserve">marketing(1), </v>
      </c>
      <c r="IR157" s="47" t="str">
        <f t="shared" si="583"/>
        <v xml:space="preserve">marketing(25), </v>
      </c>
      <c r="IS157" s="47" t="str">
        <f t="shared" si="583"/>
        <v xml:space="preserve">non-profits(2),reputation(3),efficiency(2),marketing(2), </v>
      </c>
      <c r="IT157" s="47" t="str">
        <f t="shared" si="583"/>
        <v xml:space="preserve">non-profits(1),marketing(1), </v>
      </c>
      <c r="IU157" s="47" t="str">
        <f t="shared" si="583"/>
        <v xml:space="preserve">non-profits(6.25),marketing(6.25), </v>
      </c>
      <c r="IV157" s="57" t="str">
        <f t="shared" ref="IV157:LG157" si="584">IF(IV55="",IV158,$C157&amp;"("&amp;IV55&amp;"),"&amp;IV158)</f>
        <v xml:space="preserve">reputation(1), </v>
      </c>
      <c r="IW157" s="47" t="str">
        <f t="shared" si="584"/>
        <v xml:space="preserve">marketing(1), </v>
      </c>
      <c r="IX157" s="47" t="str">
        <f t="shared" si="584"/>
        <v xml:space="preserve">marketing(25), </v>
      </c>
      <c r="IY157" s="47" t="str">
        <f t="shared" si="584"/>
        <v xml:space="preserve">reputation(3),efficiency(2),marketing(2), </v>
      </c>
      <c r="IZ157" s="47" t="str">
        <f t="shared" si="584"/>
        <v xml:space="preserve">marketing(1), </v>
      </c>
      <c r="JA157" s="47" t="str">
        <f t="shared" si="584"/>
        <v xml:space="preserve">marketing(6.25), </v>
      </c>
      <c r="JB157" s="47" t="str">
        <f t="shared" si="584"/>
        <v xml:space="preserve"> </v>
      </c>
      <c r="JC157" s="47" t="str">
        <f t="shared" si="584"/>
        <v xml:space="preserve"> </v>
      </c>
      <c r="JD157" s="47" t="str">
        <f t="shared" si="584"/>
        <v xml:space="preserve"> </v>
      </c>
      <c r="JE157" s="47" t="str">
        <f t="shared" si="584"/>
        <v xml:space="preserve">spaciousness(1),ease of access(1),reputation(3),efficiency(2), </v>
      </c>
      <c r="JF157" s="47" t="str">
        <f t="shared" si="584"/>
        <v xml:space="preserve">web(1),infrastructrue(1),database(1),mobile apps(1),sensors(1),security(1),AI&amp; data analysis(1),mobile comm(1),VR&amp;AR(1),wood processing(1),metal processing(1),plastic processing(1),electronics(1),fabric(1),aesthetics(1),functions(1),safety(1),interaction(1), </v>
      </c>
      <c r="JG157" s="47" t="str">
        <f t="shared" si="584"/>
        <v xml:space="preserve">web(6.25),infrastructrue(6.25),database(6.25),mobile apps(6.25),sensors(6.25),security(6.25),AI&amp; data analysis(6.25),mobile comm(6.25),VR&amp;AR(6.25),wood processing(6.25),metal processing(6.25),plastic processing(6.25),electronics(6.25),fabric(6.25),aesthetics(6.25),functions(6.25),safety(6.25),interaction(6.25), </v>
      </c>
      <c r="JH157" s="47" t="str">
        <f t="shared" si="584"/>
        <v xml:space="preserve">non-profits(1),reputation(2), </v>
      </c>
      <c r="JI157" s="47" t="str">
        <f t="shared" si="584"/>
        <v xml:space="preserve"> </v>
      </c>
      <c r="JJ157" s="47" t="str">
        <f t="shared" si="584"/>
        <v xml:space="preserve"> </v>
      </c>
      <c r="JK157" s="47" t="str">
        <f t="shared" si="584"/>
        <v xml:space="preserve">non-profits(1),reputation(3),portfolio(2),social media(2),negotiation(2),social project(1),social innovation(1),non-profit biz(1),biz project(1),biz enhancement(1),job creation(1),business(1),start-up(1),start-up with mvp(1),start-up with customers(1),for basic literacy(1),for the elites(1),for entrepreneurs(1), </v>
      </c>
      <c r="JL157" s="47" t="str">
        <f t="shared" si="584"/>
        <v xml:space="preserve">non-profits(1), </v>
      </c>
      <c r="JM157" s="47" t="str">
        <f t="shared" si="584"/>
        <v xml:space="preserve">non-profits(6.25), </v>
      </c>
      <c r="JN157" s="47" t="str">
        <f t="shared" si="584"/>
        <v xml:space="preserve">non-profits(1),reputation(2),portfolio(2), </v>
      </c>
      <c r="JO157" s="47" t="str">
        <f t="shared" si="584"/>
        <v xml:space="preserve"> </v>
      </c>
      <c r="JP157" s="47" t="str">
        <f t="shared" si="584"/>
        <v xml:space="preserve"> </v>
      </c>
      <c r="JQ157" s="47" t="str">
        <f t="shared" si="584"/>
        <v xml:space="preserve">non-profits(2),ease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7" s="47" t="str">
        <f t="shared" si="584"/>
        <v xml:space="preserve"> </v>
      </c>
      <c r="JS157" s="47" t="str">
        <f t="shared" si="584"/>
        <v xml:space="preserve"> </v>
      </c>
      <c r="JT157" s="47" t="str">
        <f t="shared" si="584"/>
        <v xml:space="preserve">non-profits(2),reputation(2),portfolio(3), </v>
      </c>
      <c r="JU157" s="47" t="str">
        <f t="shared" si="584"/>
        <v xml:space="preserve"> </v>
      </c>
      <c r="JV157" s="47" t="str">
        <f t="shared" si="584"/>
        <v xml:space="preserve"> </v>
      </c>
      <c r="JW157" s="47" t="str">
        <f t="shared" si="584"/>
        <v xml:space="preserve">non-profits(3),reputation(3),efficiency(2),portfolio(4),law(1),finance(1),marketing(1),team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7" s="47" t="str">
        <f t="shared" si="584"/>
        <v xml:space="preserve"> </v>
      </c>
      <c r="JY157" s="47" t="str">
        <f t="shared" si="584"/>
        <v xml:space="preserve"> </v>
      </c>
      <c r="JZ157" s="47" t="str">
        <f t="shared" si="584"/>
        <v xml:space="preserve">non-profits(1),reputation(2),social project(2), </v>
      </c>
      <c r="KA157" s="47" t="str">
        <f t="shared" si="584"/>
        <v xml:space="preserve">non-profits(1), </v>
      </c>
      <c r="KB157" s="47" t="str">
        <f t="shared" si="584"/>
        <v xml:space="preserve">non-profits(25), </v>
      </c>
      <c r="KC157" s="47" t="str">
        <f t="shared" si="584"/>
        <v xml:space="preserve">non-profits(3),reputation(3),portfolio(1),marketing(1),web(1),mobile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7" s="47" t="str">
        <f t="shared" si="584"/>
        <v xml:space="preserve">non-profits(1), </v>
      </c>
      <c r="KE157" s="47" t="str">
        <f t="shared" si="584"/>
        <v xml:space="preserve">non-profits(6.25), </v>
      </c>
      <c r="KF157" s="47" t="str">
        <f t="shared" si="584"/>
        <v xml:space="preserve"> </v>
      </c>
      <c r="KG157" s="47" t="str">
        <f t="shared" si="584"/>
        <v xml:space="preserve"> </v>
      </c>
      <c r="KH157" s="47" t="str">
        <f t="shared" si="584"/>
        <v xml:space="preserve"> </v>
      </c>
      <c r="KI157" s="47" t="str">
        <f t="shared" si="584"/>
        <v xml:space="preserve"> </v>
      </c>
      <c r="KJ157" s="47" t="str">
        <f t="shared" si="584"/>
        <v xml:space="preserve"> </v>
      </c>
      <c r="KK157" s="47" t="str">
        <f t="shared" si="584"/>
        <v xml:space="preserve"> </v>
      </c>
      <c r="KL157" s="57" t="str">
        <f t="shared" si="584"/>
        <v xml:space="preserve"> </v>
      </c>
      <c r="KM157" s="47" t="str">
        <f t="shared" si="584"/>
        <v xml:space="preserve"> </v>
      </c>
      <c r="KN157" s="47" t="str">
        <f t="shared" si="584"/>
        <v xml:space="preserve"> </v>
      </c>
      <c r="KO157" s="47" t="str">
        <f t="shared" si="584"/>
        <v xml:space="preserve"> </v>
      </c>
      <c r="KP157" s="47" t="str">
        <f t="shared" si="584"/>
        <v xml:space="preserve"> </v>
      </c>
      <c r="KQ157" s="47" t="str">
        <f t="shared" si="584"/>
        <v xml:space="preserve"> </v>
      </c>
      <c r="KR157" s="57" t="str">
        <f t="shared" si="584"/>
        <v xml:space="preserve"> </v>
      </c>
      <c r="KS157" s="47" t="str">
        <f t="shared" si="584"/>
        <v xml:space="preserve"> </v>
      </c>
      <c r="KT157" s="47" t="str">
        <f t="shared" si="584"/>
        <v xml:space="preserve"> </v>
      </c>
      <c r="KU157" s="47" t="str">
        <f t="shared" si="584"/>
        <v xml:space="preserve"> </v>
      </c>
      <c r="KV157" s="47" t="str">
        <f t="shared" si="584"/>
        <v xml:space="preserve"> </v>
      </c>
      <c r="KW157" s="47" t="str">
        <f t="shared" si="584"/>
        <v xml:space="preserve"> </v>
      </c>
      <c r="KX157" s="57" t="str">
        <f t="shared" si="584"/>
        <v xml:space="preserve"> </v>
      </c>
      <c r="KY157" s="47" t="str">
        <f t="shared" si="584"/>
        <v xml:space="preserve"> </v>
      </c>
      <c r="KZ157" s="47" t="str">
        <f t="shared" si="584"/>
        <v xml:space="preserve"> </v>
      </c>
      <c r="LA157" s="47" t="str">
        <f t="shared" si="584"/>
        <v xml:space="preserve"> </v>
      </c>
      <c r="LB157" s="47" t="str">
        <f t="shared" si="584"/>
        <v xml:space="preserve"> </v>
      </c>
      <c r="LC157" s="47" t="str">
        <f t="shared" si="584"/>
        <v xml:space="preserve"> </v>
      </c>
      <c r="LD157" s="57" t="str">
        <f t="shared" si="584"/>
        <v xml:space="preserve"> </v>
      </c>
      <c r="LE157" s="47" t="str">
        <f t="shared" si="584"/>
        <v xml:space="preserve"> </v>
      </c>
      <c r="LF157" s="47" t="str">
        <f t="shared" si="584"/>
        <v xml:space="preserve"> </v>
      </c>
      <c r="LG157" s="47" t="str">
        <f t="shared" si="584"/>
        <v xml:space="preserve"> </v>
      </c>
      <c r="LH157" s="47" t="str">
        <f t="shared" ref="LH157:NM157" si="585">IF(LH55="",LH158,$C157&amp;"("&amp;LH55&amp;"),"&amp;LH158)</f>
        <v xml:space="preserve"> </v>
      </c>
      <c r="LI157" s="47" t="str">
        <f t="shared" si="585"/>
        <v xml:space="preserve"> </v>
      </c>
      <c r="LJ157" s="57" t="str">
        <f t="shared" si="585"/>
        <v xml:space="preserve"> </v>
      </c>
      <c r="LK157" s="47" t="str">
        <f t="shared" si="585"/>
        <v xml:space="preserve"> </v>
      </c>
      <c r="LL157" s="47" t="str">
        <f t="shared" si="585"/>
        <v xml:space="preserve"> </v>
      </c>
      <c r="LM157" s="47" t="str">
        <f t="shared" si="585"/>
        <v xml:space="preserve"> </v>
      </c>
      <c r="LN157" s="47" t="str">
        <f t="shared" si="585"/>
        <v xml:space="preserve"> </v>
      </c>
      <c r="LO157" s="47" t="str">
        <f t="shared" si="585"/>
        <v xml:space="preserve"> </v>
      </c>
      <c r="LP157" s="57" t="str">
        <f t="shared" si="585"/>
        <v xml:space="preserve"> </v>
      </c>
      <c r="LQ157" s="47" t="str">
        <f t="shared" si="585"/>
        <v xml:space="preserve"> </v>
      </c>
      <c r="LR157" s="47" t="str">
        <f t="shared" si="585"/>
        <v xml:space="preserve"> </v>
      </c>
      <c r="LS157" s="47" t="str">
        <f t="shared" si="585"/>
        <v xml:space="preserve"> </v>
      </c>
      <c r="LT157" s="47" t="str">
        <f t="shared" si="585"/>
        <v xml:space="preserve"> </v>
      </c>
      <c r="LU157" s="47" t="str">
        <f t="shared" si="585"/>
        <v xml:space="preserve"> </v>
      </c>
      <c r="LV157" s="57" t="str">
        <f t="shared" si="585"/>
        <v xml:space="preserve"> </v>
      </c>
      <c r="LW157" s="47" t="str">
        <f t="shared" si="585"/>
        <v xml:space="preserve"> </v>
      </c>
      <c r="LX157" s="47" t="str">
        <f t="shared" si="585"/>
        <v xml:space="preserve"> </v>
      </c>
      <c r="LY157" s="47" t="str">
        <f t="shared" si="585"/>
        <v xml:space="preserve"> </v>
      </c>
      <c r="LZ157" s="47" t="str">
        <f t="shared" si="585"/>
        <v xml:space="preserve"> </v>
      </c>
      <c r="MA157" s="47" t="str">
        <f t="shared" si="585"/>
        <v xml:space="preserve"> </v>
      </c>
      <c r="MB157" s="57" t="str">
        <f t="shared" si="585"/>
        <v xml:space="preserve"> </v>
      </c>
      <c r="MC157" s="47" t="str">
        <f t="shared" si="585"/>
        <v xml:space="preserve"> </v>
      </c>
      <c r="MD157" s="47" t="str">
        <f t="shared" si="585"/>
        <v xml:space="preserve"> </v>
      </c>
      <c r="ME157" s="47" t="str">
        <f t="shared" si="585"/>
        <v xml:space="preserve"> </v>
      </c>
      <c r="MF157" s="47" t="str">
        <f t="shared" si="585"/>
        <v xml:space="preserve"> </v>
      </c>
      <c r="MG157" s="47" t="str">
        <f t="shared" si="585"/>
        <v xml:space="preserve"> </v>
      </c>
      <c r="MH157" s="57" t="str">
        <f t="shared" si="585"/>
        <v xml:space="preserve"> </v>
      </c>
      <c r="MI157" s="47" t="str">
        <f t="shared" si="585"/>
        <v xml:space="preserve"> </v>
      </c>
      <c r="MJ157" s="47" t="str">
        <f t="shared" si="585"/>
        <v xml:space="preserve"> </v>
      </c>
      <c r="MK157" s="47" t="str">
        <f t="shared" si="585"/>
        <v xml:space="preserve"> </v>
      </c>
      <c r="ML157" s="47" t="str">
        <f t="shared" si="585"/>
        <v xml:space="preserve"> </v>
      </c>
      <c r="MM157" s="47" t="str">
        <f t="shared" si="585"/>
        <v xml:space="preserve"> </v>
      </c>
      <c r="MN157" s="57" t="str">
        <f t="shared" si="585"/>
        <v xml:space="preserve"> </v>
      </c>
      <c r="MO157" s="47" t="str">
        <f t="shared" si="585"/>
        <v xml:space="preserve"> </v>
      </c>
      <c r="MP157" s="47" t="str">
        <f t="shared" si="585"/>
        <v xml:space="preserve"> </v>
      </c>
      <c r="MQ157" s="47" t="str">
        <f t="shared" si="585"/>
        <v xml:space="preserve"> </v>
      </c>
      <c r="MR157" s="47" t="str">
        <f t="shared" si="585"/>
        <v xml:space="preserve"> </v>
      </c>
      <c r="MS157" s="47" t="str">
        <f t="shared" si="585"/>
        <v xml:space="preserve"> </v>
      </c>
      <c r="MT157" s="57" t="str">
        <f t="shared" si="585"/>
        <v xml:space="preserve"> </v>
      </c>
      <c r="MU157" s="47" t="str">
        <f t="shared" si="585"/>
        <v xml:space="preserve"> </v>
      </c>
      <c r="MV157" s="47" t="str">
        <f t="shared" si="585"/>
        <v xml:space="preserve"> </v>
      </c>
      <c r="MW157" s="47" t="str">
        <f t="shared" si="585"/>
        <v xml:space="preserve"> </v>
      </c>
      <c r="MX157" s="47" t="str">
        <f t="shared" si="585"/>
        <v xml:space="preserve"> </v>
      </c>
      <c r="MY157" s="47" t="str">
        <f t="shared" si="585"/>
        <v xml:space="preserve"> </v>
      </c>
      <c r="MZ157" s="57" t="str">
        <f t="shared" si="585"/>
        <v xml:space="preserve"> </v>
      </c>
      <c r="NA157" s="47" t="str">
        <f t="shared" si="585"/>
        <v xml:space="preserve"> </v>
      </c>
      <c r="NB157" s="47" t="str">
        <f t="shared" si="585"/>
        <v xml:space="preserve"> </v>
      </c>
      <c r="NC157" s="47" t="str">
        <f t="shared" si="585"/>
        <v xml:space="preserve"> </v>
      </c>
      <c r="ND157" s="47" t="str">
        <f t="shared" si="585"/>
        <v xml:space="preserve"> </v>
      </c>
      <c r="NE157" s="47" t="str">
        <f t="shared" si="585"/>
        <v xml:space="preserve"> </v>
      </c>
      <c r="NF157" s="57" t="str">
        <f t="shared" si="585"/>
        <v xml:space="preserve"> </v>
      </c>
      <c r="NG157" s="47" t="str">
        <f t="shared" si="585"/>
        <v xml:space="preserve"> </v>
      </c>
      <c r="NH157" s="47" t="str">
        <f t="shared" si="585"/>
        <v xml:space="preserve"> </v>
      </c>
      <c r="NI157" s="47" t="str">
        <f t="shared" si="585"/>
        <v xml:space="preserve"> </v>
      </c>
      <c r="NJ157" s="47" t="str">
        <f t="shared" si="585"/>
        <v xml:space="preserve"> </v>
      </c>
      <c r="NK157" s="47" t="str">
        <f t="shared" si="585"/>
        <v xml:space="preserve"> </v>
      </c>
      <c r="NL157" s="57" t="str">
        <f t="shared" si="585"/>
        <v xml:space="preserve"> </v>
      </c>
      <c r="NM157" s="47" t="str">
        <f t="shared" si="585"/>
        <v xml:space="preserve"> </v>
      </c>
    </row>
    <row r="158" spans="3:377" ht="15.75" customHeight="1">
      <c r="C158" s="7" t="str">
        <f t="shared" si="296"/>
        <v>spaciousness</v>
      </c>
      <c r="D158" s="21" t="str">
        <f t="shared" si="169"/>
        <v xml:space="preserve"> </v>
      </c>
      <c r="E158" s="21" t="str">
        <f t="shared" si="297"/>
        <v xml:space="preserve"> </v>
      </c>
      <c r="F158" s="21" t="str">
        <f t="shared" si="170"/>
        <v xml:space="preserve"> </v>
      </c>
      <c r="G158" s="21" t="str">
        <f t="shared" si="298"/>
        <v xml:space="preserve">ease of access(1), reputation(2), social media(1),  </v>
      </c>
      <c r="H158" s="21" t="str">
        <f t="shared" si="299"/>
        <v xml:space="preserve"> </v>
      </c>
      <c r="I158" s="21" t="str">
        <f t="shared" ref="I158" si="586">IF(I56="",I159,$C158&amp;"("&amp;I56&amp;"),"&amp;I159)</f>
        <v xml:space="preserve"> </v>
      </c>
      <c r="J158" s="21" t="str">
        <f t="shared" si="560"/>
        <v xml:space="preserve">interaction 1
 </v>
      </c>
      <c r="K158" s="21" t="str">
        <f t="shared" si="173"/>
        <v xml:space="preserve">reputation(1,75),  </v>
      </c>
      <c r="L158" s="21" t="str">
        <f t="shared" si="561"/>
        <v xml:space="preserve">reputation 75
 </v>
      </c>
      <c r="M158" s="21" t="str">
        <f t="shared" si="175"/>
        <v xml:space="preserve">portfolio(1), social innovation(1), non-profit biz(1),  </v>
      </c>
      <c r="N158" s="21" t="str">
        <f t="shared" si="176"/>
        <v xml:space="preserve">reputation(1,75), marketing(1,12.5),  </v>
      </c>
      <c r="O158" s="21" t="str">
        <f t="shared" si="562"/>
        <v xml:space="preserve">reputation(75),marketing(12.5), </v>
      </c>
      <c r="P158" s="21" t="str">
        <f t="shared" si="560"/>
        <v xml:space="preserve">biz project 1
 </v>
      </c>
      <c r="Q158" s="21" t="str">
        <f t="shared" si="178"/>
        <v xml:space="preserve"> </v>
      </c>
      <c r="R158" s="21" t="str">
        <f t="shared" si="561"/>
        <v xml:space="preserve"> </v>
      </c>
      <c r="S158" s="21" t="str">
        <f t="shared" si="179"/>
        <v xml:space="preserve">portfolio(1), biz enhancement(1), business(1), start-up(1),  </v>
      </c>
      <c r="T158" s="21" t="str">
        <f t="shared" si="180"/>
        <v xml:space="preserve">reputation(1,6.25),  </v>
      </c>
      <c r="U158" s="21" t="str">
        <f t="shared" si="562"/>
        <v xml:space="preserve">reputation(6.25), </v>
      </c>
      <c r="V158" s="21" t="str">
        <f t="shared" si="560"/>
        <v xml:space="preserve"> </v>
      </c>
      <c r="W158" s="21" t="str">
        <f t="shared" si="181"/>
        <v xml:space="preserve"> </v>
      </c>
      <c r="X158" s="21" t="str">
        <f t="shared" si="561"/>
        <v xml:space="preserve"> </v>
      </c>
      <c r="Y158" s="21" t="str">
        <f t="shared" si="182"/>
        <v xml:space="preserve">ease of access(1), reputation(1), portfolio(1), biz project(1), biz enhancement(1), job creation(1), business(1),  </v>
      </c>
      <c r="Z158" s="21" t="str">
        <f t="shared" si="183"/>
        <v xml:space="preserve"> </v>
      </c>
      <c r="AA158" s="21" t="str">
        <f t="shared" si="562"/>
        <v xml:space="preserve"> </v>
      </c>
      <c r="AB158" s="21" t="str">
        <f t="shared" si="560"/>
        <v xml:space="preserve"> </v>
      </c>
      <c r="AC158" s="21" t="str">
        <f t="shared" si="184"/>
        <v xml:space="preserve"> </v>
      </c>
      <c r="AD158" s="21" t="str">
        <f t="shared" si="561"/>
        <v xml:space="preserve"> </v>
      </c>
      <c r="AE158" s="21" t="str">
        <f t="shared" si="185"/>
        <v xml:space="preserve">ease of access(1), reputation(1), portfolio(1), social project(1), social innovation(1), non-profit biz(1),  </v>
      </c>
      <c r="AF158" s="21" t="str">
        <f t="shared" si="186"/>
        <v xml:space="preserve"> </v>
      </c>
      <c r="AG158" s="21" t="str">
        <f t="shared" si="562"/>
        <v xml:space="preserve"> </v>
      </c>
      <c r="AH158" s="21" t="str">
        <f t="shared" si="560"/>
        <v xml:space="preserve"> </v>
      </c>
      <c r="AI158" s="21" t="str">
        <f t="shared" si="187"/>
        <v xml:space="preserve"> </v>
      </c>
      <c r="AJ158" s="21" t="str">
        <f t="shared" si="561"/>
        <v xml:space="preserve"> </v>
      </c>
      <c r="AK158" s="21" t="str">
        <f t="shared" si="188"/>
        <v xml:space="preserve">ease of access(1), reputation(2), portfolio(1), social project(1), social innovation(1), non-profit biz(1),  </v>
      </c>
      <c r="AL158" s="21" t="str">
        <f t="shared" si="189"/>
        <v xml:space="preserve"> </v>
      </c>
      <c r="AM158" s="21" t="str">
        <f t="shared" si="562"/>
        <v xml:space="preserve"> </v>
      </c>
      <c r="AN158" s="21" t="str">
        <f t="shared" si="560"/>
        <v xml:space="preserve"> </v>
      </c>
      <c r="AO158" s="21" t="str">
        <f t="shared" si="190"/>
        <v xml:space="preserve"> </v>
      </c>
      <c r="AP158" s="21" t="str">
        <f t="shared" si="561"/>
        <v xml:space="preserve"> </v>
      </c>
      <c r="AQ158" s="21" t="str">
        <f t="shared" si="191"/>
        <v xml:space="preserve">ease of access(1), reputation(1), portfolio(1), start-up(1), start-up with mvp(1), start-up with customers(1),  </v>
      </c>
      <c r="AR158" s="21" t="str">
        <f t="shared" si="192"/>
        <v xml:space="preserve"> </v>
      </c>
      <c r="AS158" s="21" t="str">
        <f t="shared" si="562"/>
        <v xml:space="preserve"> </v>
      </c>
      <c r="AT158" s="21" t="str">
        <f t="shared" si="560"/>
        <v xml:space="preserve">reputation 1
portfolio 1
social project 1
 </v>
      </c>
      <c r="AU158" s="21" t="str">
        <f t="shared" si="193"/>
        <v xml:space="preserve"> </v>
      </c>
      <c r="AV158" s="21" t="str">
        <f t="shared" si="561"/>
        <v xml:space="preserve"> </v>
      </c>
      <c r="AW158" s="21" t="str">
        <f t="shared" si="194"/>
        <v xml:space="preserve">project management(2),  </v>
      </c>
      <c r="AX158" s="21" t="str">
        <f t="shared" si="195"/>
        <v xml:space="preserve">organizational rules and manuals(1,12.5), project management(1,12.5),  </v>
      </c>
      <c r="AY158" s="21" t="str">
        <f t="shared" si="562"/>
        <v xml:space="preserve">organizational rules and manuals(12.5),project management(12.5), </v>
      </c>
      <c r="AZ158" s="21" t="str">
        <f t="shared" si="560"/>
        <v xml:space="preserve"> </v>
      </c>
      <c r="BA158" s="21" t="str">
        <f t="shared" si="196"/>
        <v xml:space="preserve"> </v>
      </c>
      <c r="BB158" s="21" t="str">
        <f t="shared" si="561"/>
        <v xml:space="preserve"> </v>
      </c>
      <c r="BC158" s="21" t="str">
        <f t="shared" si="197"/>
        <v xml:space="preserve"> </v>
      </c>
      <c r="BD158" s="21" t="str">
        <f t="shared" si="198"/>
        <v xml:space="preserve"> </v>
      </c>
      <c r="BE158" s="21" t="str">
        <f t="shared" si="562"/>
        <v xml:space="preserve"> </v>
      </c>
      <c r="BF158" s="21" t="str">
        <f t="shared" si="560"/>
        <v xml:space="preserve">reputation 1
portfolio 1
biz project 1
 </v>
      </c>
      <c r="BG158" s="21" t="str">
        <f t="shared" si="199"/>
        <v xml:space="preserve"> </v>
      </c>
      <c r="BH158" s="21" t="str">
        <f t="shared" si="561"/>
        <v xml:space="preserve"> </v>
      </c>
      <c r="BI158" s="21" t="str">
        <f t="shared" si="200"/>
        <v xml:space="preserve">project management(2),  </v>
      </c>
      <c r="BJ158" s="21" t="str">
        <f t="shared" si="201"/>
        <v xml:space="preserve">organizational rules and manuals(1,12.5), project management(1,12.5),  </v>
      </c>
      <c r="BK158" s="21" t="str">
        <f t="shared" si="562"/>
        <v xml:space="preserve">organizational rules and manuals(12.5),project management(12.5), </v>
      </c>
      <c r="BL158" s="21" t="str">
        <f t="shared" si="560"/>
        <v xml:space="preserve">reputation 1
portfolio 1
biz enhancement 1
 </v>
      </c>
      <c r="BM158" s="21" t="str">
        <f t="shared" si="202"/>
        <v xml:space="preserve"> </v>
      </c>
      <c r="BN158" s="21" t="str">
        <f t="shared" si="561"/>
        <v xml:space="preserve"> </v>
      </c>
      <c r="BO158" s="21" t="str">
        <f t="shared" si="203"/>
        <v xml:space="preserve"> </v>
      </c>
      <c r="BP158" s="21" t="str">
        <f t="shared" si="204"/>
        <v xml:space="preserve"> </v>
      </c>
      <c r="BQ158" s="21" t="str">
        <f t="shared" si="562"/>
        <v xml:space="preserve"> </v>
      </c>
      <c r="BR158" s="21" t="str">
        <f t="shared" si="560"/>
        <v xml:space="preserve"> </v>
      </c>
      <c r="BS158" s="21" t="str">
        <f t="shared" si="205"/>
        <v xml:space="preserve"> </v>
      </c>
      <c r="BT158" s="21" t="str">
        <f t="shared" si="561"/>
        <v xml:space="preserve"> </v>
      </c>
      <c r="BU158" s="21" t="str">
        <f t="shared" si="206"/>
        <v xml:space="preserve"> </v>
      </c>
      <c r="BV158" s="21" t="str">
        <f t="shared" si="207"/>
        <v xml:space="preserve"> </v>
      </c>
      <c r="BW158" s="21" t="str">
        <f t="shared" si="562"/>
        <v xml:space="preserve"> </v>
      </c>
      <c r="BX158" s="21" t="str">
        <f t="shared" si="563"/>
        <v xml:space="preserve"> </v>
      </c>
      <c r="BY158" s="21" t="str">
        <f t="shared" si="209"/>
        <v xml:space="preserve">efficiency(1,),  </v>
      </c>
      <c r="BZ158" s="21" t="str">
        <f t="shared" si="564"/>
        <v xml:space="preserve"> </v>
      </c>
      <c r="CA158" s="21" t="str">
        <f t="shared" si="211"/>
        <v xml:space="preserve">negotiation(1),  </v>
      </c>
      <c r="CB158" s="21" t="str">
        <f t="shared" si="212"/>
        <v xml:space="preserve">user rules and manuals(1,50), organizational rules and manuals(1,50),  </v>
      </c>
      <c r="CC158" s="21" t="str">
        <f t="shared" si="565"/>
        <v xml:space="preserve">user rules and manuals(50),organizational rules and manuals(50), </v>
      </c>
      <c r="CD158" s="21" t="str">
        <f t="shared" si="563"/>
        <v xml:space="preserve"> </v>
      </c>
      <c r="CE158" s="21" t="str">
        <f t="shared" si="214"/>
        <v xml:space="preserve"> </v>
      </c>
      <c r="CF158" s="21" t="str">
        <f t="shared" si="564"/>
        <v xml:space="preserve"> </v>
      </c>
      <c r="CG158" s="21" t="str">
        <f t="shared" si="215"/>
        <v xml:space="preserve">ease of access(1), portfolio(1), user rules and manuals(1), negotiation(1), social project(1), biz project(1), for basic literacy(1), for the elites(1), for entrepreneurs(1),  </v>
      </c>
      <c r="CH158" s="21" t="str">
        <f t="shared" si="216"/>
        <v xml:space="preserve"> </v>
      </c>
      <c r="CI158" s="21" t="str">
        <f t="shared" si="565"/>
        <v xml:space="preserve"> </v>
      </c>
      <c r="CJ158" s="21" t="str">
        <f t="shared" si="563"/>
        <v xml:space="preserve"> </v>
      </c>
      <c r="CK158" s="21" t="str">
        <f t="shared" si="217"/>
        <v xml:space="preserve"> </v>
      </c>
      <c r="CL158" s="21" t="str">
        <f t="shared" si="564"/>
        <v xml:space="preserve"> </v>
      </c>
      <c r="CM158" s="21" t="str">
        <f t="shared" si="218"/>
        <v xml:space="preserve">reputation(1), negotiation(1),  </v>
      </c>
      <c r="CN158" s="21" t="str">
        <f t="shared" si="219"/>
        <v xml:space="preserve">efficiency(1,6.25),  </v>
      </c>
      <c r="CO158" s="21" t="str">
        <f t="shared" si="565"/>
        <v xml:space="preserve">efficiency(6.25), </v>
      </c>
      <c r="CP158" s="21" t="str">
        <f t="shared" si="563"/>
        <v xml:space="preserve"> </v>
      </c>
      <c r="CQ158" s="21" t="str">
        <f t="shared" si="220"/>
        <v xml:space="preserve"> </v>
      </c>
      <c r="CR158" s="21" t="str">
        <f t="shared" si="564"/>
        <v xml:space="preserve"> </v>
      </c>
      <c r="CS158" s="21" t="str">
        <f t="shared" si="221"/>
        <v xml:space="preserve">portfolio(1), negotiation(1), web(1), infrastructrue(1), database(1), mobile apps(1), sensors(1), security(1), AI&amp; data analysis(1), mobile comm(1), VR&amp;AR(1), wood processing(1), metal processing(1), plastic processing(1), electronics(1), fabric(1),  </v>
      </c>
      <c r="CT158" s="21" t="str">
        <f t="shared" si="222"/>
        <v xml:space="preserve">efficiency(1,6.25),  </v>
      </c>
      <c r="CU158" s="21" t="str">
        <f t="shared" si="565"/>
        <v xml:space="preserve">efficiency(6.25), </v>
      </c>
      <c r="CV158" s="21" t="str">
        <f t="shared" si="563"/>
        <v xml:space="preserve"> </v>
      </c>
      <c r="CW158" s="21" t="str">
        <f t="shared" si="223"/>
        <v xml:space="preserve"> </v>
      </c>
      <c r="CX158" s="21" t="str">
        <f t="shared" si="564"/>
        <v xml:space="preserve"> </v>
      </c>
      <c r="CY158" s="21" t="str">
        <f t="shared" si="224"/>
        <v xml:space="preserve">ease of access(1), reputation(1), portfolio(1), negotiation(1),  </v>
      </c>
      <c r="CZ158" s="21" t="str">
        <f t="shared" si="225"/>
        <v xml:space="preserve"> </v>
      </c>
      <c r="DA158" s="21" t="str">
        <f t="shared" si="565"/>
        <v xml:space="preserve"> </v>
      </c>
      <c r="DB158" s="21" t="str">
        <f t="shared" si="563"/>
        <v xml:space="preserve"> </v>
      </c>
      <c r="DC158" s="21" t="str">
        <f t="shared" si="226"/>
        <v xml:space="preserve"> </v>
      </c>
      <c r="DD158" s="21" t="str">
        <f t="shared" si="564"/>
        <v xml:space="preserve"> </v>
      </c>
      <c r="DE158"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8" s="21" t="str">
        <f t="shared" si="228"/>
        <v xml:space="preserve"> </v>
      </c>
      <c r="DG158" s="21" t="str">
        <f t="shared" si="565"/>
        <v xml:space="preserve"> </v>
      </c>
      <c r="DH158" s="21" t="str">
        <f t="shared" si="563"/>
        <v xml:space="preserve">reputation 1
social project 1
 </v>
      </c>
      <c r="DI158" s="21" t="str">
        <f t="shared" si="229"/>
        <v xml:space="preserve"> </v>
      </c>
      <c r="DJ158" s="21" t="str">
        <f t="shared" si="564"/>
        <v xml:space="preserve"> </v>
      </c>
      <c r="DK158" s="21" t="str">
        <f t="shared" si="230"/>
        <v xml:space="preserve">spaciousness(1), 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8" s="21" t="str">
        <f t="shared" si="231"/>
        <v xml:space="preserve">reputation(1,6.25),  </v>
      </c>
      <c r="DM158" s="21" t="str">
        <f t="shared" si="565"/>
        <v xml:space="preserve">reputation(6.25), </v>
      </c>
      <c r="DN158" s="21" t="str">
        <f t="shared" si="563"/>
        <v xml:space="preserve">reputation 1
biz project 1
 </v>
      </c>
      <c r="DO158" s="21" t="str">
        <f t="shared" si="232"/>
        <v xml:space="preserve"> </v>
      </c>
      <c r="DP158" s="21" t="str">
        <f t="shared" si="564"/>
        <v xml:space="preserve"> </v>
      </c>
      <c r="DQ158" s="21" t="str">
        <f t="shared" si="233"/>
        <v xml:space="preserve">spaciousness(1), 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8" s="21" t="str">
        <f t="shared" si="234"/>
        <v xml:space="preserve">reputation(1,6.25),  </v>
      </c>
      <c r="DS158" s="21" t="str">
        <f t="shared" si="565"/>
        <v xml:space="preserve">reputation(6.25), </v>
      </c>
      <c r="DT158" s="21" t="str">
        <f t="shared" si="563"/>
        <v xml:space="preserve">reputation 1
 </v>
      </c>
      <c r="DU158" s="21" t="str">
        <f t="shared" si="235"/>
        <v xml:space="preserve"> </v>
      </c>
      <c r="DV158" s="21" t="str">
        <f t="shared" si="564"/>
        <v xml:space="preserve"> </v>
      </c>
      <c r="DW158" s="21" t="str">
        <f t="shared" si="236"/>
        <v xml:space="preserve">spaciousness(1), ease of access(1), reputation(2), efficiency(1), organizational rules and manuals(1), marketing(1), social media(1), for basic literacy(1),  </v>
      </c>
      <c r="DX158" s="21" t="str">
        <f t="shared" si="237"/>
        <v xml:space="preserve">reputation(1,6.25), for basic literacy(1,6.25),  </v>
      </c>
      <c r="DY158" s="21" t="str">
        <f t="shared" si="565"/>
        <v xml:space="preserve">reputation(6.25),for basic literacy(6.25), </v>
      </c>
      <c r="DZ158" s="21" t="str">
        <f t="shared" si="563"/>
        <v xml:space="preserve">reputation 1
 </v>
      </c>
      <c r="EA158" s="21" t="str">
        <f t="shared" si="238"/>
        <v xml:space="preserve"> </v>
      </c>
      <c r="EB158" s="21" t="str">
        <f t="shared" si="564"/>
        <v xml:space="preserve"> </v>
      </c>
      <c r="EC158" s="21" t="str">
        <f t="shared" si="239"/>
        <v xml:space="preserve">spaciousness(1), 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8" s="21" t="str">
        <f t="shared" si="240"/>
        <v xml:space="preserve">reputation(1,6.25), for basic literacy(1,6.25),  </v>
      </c>
      <c r="EE158" s="21" t="str">
        <f t="shared" si="565"/>
        <v xml:space="preserve">reputation(6.25),for basic literacy(6.25), </v>
      </c>
      <c r="EF158" s="21" t="str">
        <f t="shared" si="563"/>
        <v xml:space="preserve">reputation 1
 </v>
      </c>
      <c r="EG158" s="21" t="str">
        <f t="shared" si="241"/>
        <v xml:space="preserve">web(1,50), mobile apps(1,50), interaction(1,50),  </v>
      </c>
      <c r="EH158" s="21" t="str">
        <f t="shared" si="564"/>
        <v xml:space="preserve">web 50
mobile apps 50
interaction 50
 </v>
      </c>
      <c r="EI158" s="21" t="str">
        <f t="shared" si="242"/>
        <v xml:space="preserve">ease of access(1), reputation(2), infrastructrue(1), database(1), mobile comm(1), for entrepreneurs(1),  </v>
      </c>
      <c r="EJ158" s="21" t="str">
        <f t="shared" si="243"/>
        <v xml:space="preserve">infrastructrue(1,12.5), database(1,12.5), mobile comm(1,12.5), for entrepreneurs(1,6.25),  </v>
      </c>
      <c r="EK158" s="21" t="str">
        <f t="shared" si="565"/>
        <v xml:space="preserve">infrastructrue(12.5),database(12.5),mobile comm(12.5),for entrepreneurs(6.25), </v>
      </c>
      <c r="EL158" s="21" t="str">
        <f t="shared" si="566"/>
        <v xml:space="preserve">reputation 1
 </v>
      </c>
      <c r="EM158" s="21" t="str">
        <f t="shared" si="245"/>
        <v xml:space="preserve">sensors(1,50),  </v>
      </c>
      <c r="EN158" s="21" t="str">
        <f t="shared" si="567"/>
        <v xml:space="preserve">sensors 50
 </v>
      </c>
      <c r="EO158" s="21" t="str">
        <f t="shared" si="247"/>
        <v xml:space="preserve">ease of access(1), reputation(2), project management(2), infrastructrue(1), database(1), mobile comm(1), for entrepreneurs(1),  </v>
      </c>
      <c r="EP158" s="21" t="str">
        <f t="shared" si="248"/>
        <v xml:space="preserve">infrastructrue(1,12.5), database(1,12.5), mobile comm(1,12.5), electronics(1,6.25), for entrepreneurs(1,6.25),  </v>
      </c>
      <c r="EQ158" s="21" t="str">
        <f t="shared" si="568"/>
        <v xml:space="preserve">infrastructrue(12.5),database(12.5),mobile comm(12.5),electronics(6.25),for entrepreneurs(6.25), </v>
      </c>
      <c r="ER158" s="21" t="str">
        <f t="shared" si="566"/>
        <v xml:space="preserve"> </v>
      </c>
      <c r="ES158" s="21" t="str">
        <f t="shared" si="250"/>
        <v xml:space="preserve">AI&amp; data analysis(1,50),  </v>
      </c>
      <c r="ET158" s="21" t="str">
        <f t="shared" si="567"/>
        <v xml:space="preserve">AI&amp; data analysis 50
 </v>
      </c>
      <c r="EU158" s="21" t="str">
        <f t="shared" si="251"/>
        <v xml:space="preserve">ease of access(1), reputation(2), database(1), sensors(1), mobile comm(1), for entrepreneurs(1),  </v>
      </c>
      <c r="EV158" s="21" t="str">
        <f t="shared" si="252"/>
        <v xml:space="preserve">database(1,12.5), sensors(1,12.5), mobile comm(1,12.5), for entrepreneurs(1,6.25),  </v>
      </c>
      <c r="EW158" s="21" t="str">
        <f t="shared" si="568"/>
        <v xml:space="preserve">database(12.5),sensors(12.5),mobile comm(12.5),for entrepreneurs(6.25), </v>
      </c>
      <c r="EX158" s="21" t="str">
        <f t="shared" si="566"/>
        <v xml:space="preserve"> </v>
      </c>
      <c r="EY158" s="21" t="str">
        <f t="shared" si="253"/>
        <v xml:space="preserve">law(1,50), security(1,50), interaction(1,25),  </v>
      </c>
      <c r="EZ158" s="21" t="str">
        <f t="shared" si="567"/>
        <v xml:space="preserve">law 50
security 50
interaction 25
 </v>
      </c>
      <c r="FA158" s="21" t="str">
        <f t="shared" si="254"/>
        <v xml:space="preserve">ease of access(1), reputation(2), law(2), for entrepreneurs(1),  </v>
      </c>
      <c r="FB158" s="21" t="str">
        <f t="shared" si="255"/>
        <v xml:space="preserve">law(1,6.25), database(1,12.5), mobile apps(1,12.5), security(1,12.5), mobile comm(1,12.5), for entrepreneurs(1,6.25),  </v>
      </c>
      <c r="FC158" s="21" t="str">
        <f t="shared" si="568"/>
        <v xml:space="preserve">law(6.25),database(12.5),mobile apps(12.5),security(12.5),mobile comm(12.5),for entrepreneurs(6.25), </v>
      </c>
      <c r="FD158" s="21" t="str">
        <f t="shared" si="566"/>
        <v xml:space="preserve"> </v>
      </c>
      <c r="FE158" s="21" t="str">
        <f t="shared" si="256"/>
        <v xml:space="preserve">law(1,50), sensors(1,50), security(1,50),  </v>
      </c>
      <c r="FF158" s="21" t="str">
        <f t="shared" si="567"/>
        <v xml:space="preserve">law 50
sensors 50
security 50
 </v>
      </c>
      <c r="FG158" s="21" t="str">
        <f t="shared" si="257"/>
        <v xml:space="preserve">ease of access(1), reputation(2), law(2), project management(2), for entrepreneurs(1),  </v>
      </c>
      <c r="FH158" s="21" t="str">
        <f t="shared" si="258"/>
        <v xml:space="preserve">law(1,6.25), database(1,6.25), mobile apps(1,6.25), AI&amp; data analysis(1,6.25), mobile comm(1,6.25), for entrepreneurs(1,6.25),  </v>
      </c>
      <c r="FI158" s="21" t="str">
        <f t="shared" si="568"/>
        <v xml:space="preserve">law(6.25),database(6.25),mobile apps(6.25),AI&amp; data analysis(6.25),mobile comm(6.25),for entrepreneurs(6.25), </v>
      </c>
      <c r="FJ158" s="21" t="str">
        <f t="shared" si="566"/>
        <v xml:space="preserve"> </v>
      </c>
      <c r="FK158" s="21" t="str">
        <f t="shared" si="259"/>
        <v xml:space="preserve">wood processing(1,25), metal processing(1,25), plastic processing(1,25), fabric(1,25), safety(1,25), interaction(1,25),  </v>
      </c>
      <c r="FL158" s="21" t="str">
        <f t="shared" si="567"/>
        <v xml:space="preserve">project management 2
wood processing 25
metal processing 25
plastic processing 25
fabric 25
safety 25
interaction 25
 </v>
      </c>
      <c r="FM158" s="21" t="str">
        <f t="shared" si="260"/>
        <v xml:space="preserve">spaciousness(1), ease of access(1), reputation(2), for entrepreneurs(1),  </v>
      </c>
      <c r="FN158" s="21" t="str">
        <f t="shared" si="261"/>
        <v xml:space="preserve">for entrepreneurs(1,6.25),  </v>
      </c>
      <c r="FO158" s="21" t="str">
        <f t="shared" si="568"/>
        <v xml:space="preserve">for entrepreneurs(6.25), </v>
      </c>
      <c r="FP158" s="21" t="str">
        <f t="shared" si="566"/>
        <v xml:space="preserve"> </v>
      </c>
      <c r="FQ158" s="21" t="str">
        <f t="shared" si="262"/>
        <v xml:space="preserve">web(1,25), mobile apps(1,50), functions(1,25), interaction(1,25),  </v>
      </c>
      <c r="FR158" s="21" t="str">
        <f t="shared" si="567"/>
        <v xml:space="preserve">web 25
mobile apps 50
functions 25
interaction 25
 </v>
      </c>
      <c r="FS158" s="21" t="str">
        <f t="shared" si="263"/>
        <v xml:space="preserve">spaciousness(1), ease of access(1), reputation(2), for entrepreneurs(1),  </v>
      </c>
      <c r="FT158" s="21" t="str">
        <f t="shared" si="264"/>
        <v xml:space="preserve">for entrepreneurs(1,6.25),  </v>
      </c>
      <c r="FU158" s="21" t="str">
        <f t="shared" si="568"/>
        <v xml:space="preserve">for entrepreneurs(6.25), </v>
      </c>
      <c r="FV158" s="21" t="str">
        <f t="shared" si="566"/>
        <v xml:space="preserve"> </v>
      </c>
      <c r="FW158" s="21" t="str">
        <f t="shared" si="265"/>
        <v xml:space="preserve">mobile apps(1,50), sensors(1,50), wood processing(1,25), plastic processing(1,25), electronics(1,25), functions(1,25), interaction(1,25),  </v>
      </c>
      <c r="FX158" s="21" t="str">
        <f t="shared" si="567"/>
        <v xml:space="preserve">mobile apps 50
sensors 50
wood processing 25
plastic processing 25
electronics 25
functions 25
interaction 25
 </v>
      </c>
      <c r="FY158" s="21" t="str">
        <f t="shared" si="266"/>
        <v xml:space="preserve">spaciousness(1), ease of access(1), reputation(2), project management(2), for entrepreneurs(1),  </v>
      </c>
      <c r="FZ158" s="21" t="str">
        <f t="shared" si="267"/>
        <v xml:space="preserve">web(1,6.25), database(1,6.25), AI&amp; data analysis(1,6.25), mobile comm(1,6.25), for entrepreneurs(1,6.25),  </v>
      </c>
      <c r="GA158" s="21" t="str">
        <f t="shared" si="568"/>
        <v xml:space="preserve">web(6.25),database(6.25),AI&amp; data analysis(6.25),mobile comm(6.25),for entrepreneurs(6.25), </v>
      </c>
      <c r="GB158" s="21" t="str">
        <f t="shared" si="566"/>
        <v xml:space="preserve"> </v>
      </c>
      <c r="GC158" s="21" t="str">
        <f t="shared" si="268"/>
        <v xml:space="preserve">sensors(1,25), mobile comm(1,25), electronics(1,50), functions(1,25), safety(1,25),  </v>
      </c>
      <c r="GD158" s="21" t="str">
        <f t="shared" si="567"/>
        <v xml:space="preserve">sensors 25
mobile comm 25
electronics 50
functions 25
safety 25
 </v>
      </c>
      <c r="GE158" s="21" t="str">
        <f t="shared" si="269"/>
        <v xml:space="preserve">spaciousness(1), ease of access(1), reputation(2), project management(2), for entrepreneurs(1),  </v>
      </c>
      <c r="GF158" s="21" t="str">
        <f t="shared" si="270"/>
        <v xml:space="preserve">database(1,6.25), mobile apps(1,6.25), AI&amp; data analysis(1,6.25), plastic processing(1,6.25), interaction(1,6.25), for entrepreneurs(1,6.25),  </v>
      </c>
      <c r="GG158" s="21" t="str">
        <f t="shared" si="568"/>
        <v xml:space="preserve">database(6.25),mobile apps(6.25),AI&amp; data analysis(6.25),plastic processing(6.25),interaction(6.25),for entrepreneurs(6.25), </v>
      </c>
      <c r="GH158" s="21" t="str">
        <f t="shared" si="566"/>
        <v xml:space="preserve"> </v>
      </c>
      <c r="GI158" s="21" t="str">
        <f t="shared" si="271"/>
        <v xml:space="preserve">web(1,25), mobile apps(1,50), functions(1,25), interaction(1,25),  </v>
      </c>
      <c r="GJ158" s="21" t="str">
        <f t="shared" si="567"/>
        <v xml:space="preserve">web 25
mobile apps 50
functions 25
interaction 25
 </v>
      </c>
      <c r="GK158" s="21" t="str">
        <f t="shared" si="272"/>
        <v xml:space="preserve">spaciousness(1), ease of access(1), reputation(2), project management(2), for entrepreneurs(1),  </v>
      </c>
      <c r="GL158" s="21" t="str">
        <f t="shared" si="273"/>
        <v xml:space="preserve">for entrepreneurs(1,6.25),  </v>
      </c>
      <c r="GM158" s="21" t="str">
        <f t="shared" si="568"/>
        <v xml:space="preserve">for entrepreneurs(6.25), </v>
      </c>
      <c r="GN158" s="21" t="str">
        <f t="shared" si="566"/>
        <v xml:space="preserve"> </v>
      </c>
      <c r="GO158" s="21" t="str">
        <f t="shared" si="274"/>
        <v xml:space="preserve">web(1,25), mobile apps(1,25), VR&amp;AR(1,25), aesthetics(1,25), functions(1,25), interaction(1,50),  </v>
      </c>
      <c r="GP158" s="21" t="str">
        <f t="shared" si="567"/>
        <v xml:space="preserve">web 25
mobile apps 25
VR&amp;AR 25
aesthetics 25
functions 25
interaction 50
 </v>
      </c>
      <c r="GQ158" s="21" t="str">
        <f t="shared" si="275"/>
        <v xml:space="preserve">spaciousness(1), ease of access(1), reputation(2), project management(2), for entrepreneurs(1),  </v>
      </c>
      <c r="GR158" s="21" t="str">
        <f t="shared" si="276"/>
        <v xml:space="preserve">for entrepreneurs(1,6.25),  </v>
      </c>
      <c r="GS158" s="21" t="str">
        <f t="shared" si="568"/>
        <v xml:space="preserve">for entrepreneurs(6.25), </v>
      </c>
      <c r="GT158" s="21" t="str">
        <f t="shared" si="566"/>
        <v xml:space="preserve">ease of access 1
reputation 2
web 1
mobile apps 1
mobile comm 1
 </v>
      </c>
      <c r="GU158" s="21" t="str">
        <f t="shared" si="277"/>
        <v xml:space="preserve"> </v>
      </c>
      <c r="GV158" s="21" t="str">
        <f t="shared" si="567"/>
        <v xml:space="preserve"> </v>
      </c>
      <c r="GW158" s="21" t="str">
        <f t="shared" si="278"/>
        <v xml:space="preserve">spaciousness(1), ease of access(1), reputation(3), efficiency(2), user rules and manuals(1), organizational rules and manuals(1), business model(2), marketing(1), team building(1), project management(1), social media(1), infrastructrue(1), database(1), sensors(1), security(1), AI&amp; data analysis(1), electronics(1),  </v>
      </c>
      <c r="GX158" s="21" t="str">
        <f t="shared" si="279"/>
        <v xml:space="preserve">project management(1,6.25), social media(1,6.25), web(1,6.25), mobile apps(1,6.25),  </v>
      </c>
      <c r="GY158" s="21" t="str">
        <f t="shared" si="568"/>
        <v xml:space="preserve">project management(6.25),social media(6.25),web(6.25),mobile apps(6.25), </v>
      </c>
      <c r="GZ158" s="21" t="str">
        <f t="shared" si="569"/>
        <v xml:space="preserve">reputation 2
portfolio 1
 </v>
      </c>
      <c r="HA158" s="21" t="str">
        <f t="shared" si="281"/>
        <v xml:space="preserve"> </v>
      </c>
      <c r="HB158" s="21" t="str">
        <f t="shared" si="570"/>
        <v xml:space="preserve"> </v>
      </c>
      <c r="HC158" s="21" t="str">
        <f t="shared" si="283"/>
        <v xml:space="preserve">reputation(4), portfolio(3), social media(2), web(2), mobile apps(2), sensors(2), AI&amp; data analysis(2), VR&amp;AR(2), plastic processing(2), electronics(2), aesthetics(2), interaction(2),  </v>
      </c>
      <c r="HD158" s="21" t="str">
        <f t="shared" si="284"/>
        <v xml:space="preserve">reputation(1,6.25), start-up with customers(1,6.25), for basic literacy(1,6.25),  </v>
      </c>
      <c r="HE158" s="21" t="str">
        <f t="shared" si="571"/>
        <v xml:space="preserve">reputation(6.25),start-up with customers(6.25),for basic literacy(6.25), </v>
      </c>
      <c r="HF158" s="21" t="str">
        <f t="shared" si="569"/>
        <v xml:space="preserve"> </v>
      </c>
      <c r="HG158" s="21" t="str">
        <f t="shared" si="286"/>
        <v xml:space="preserve"> </v>
      </c>
      <c r="HH158" s="21" t="str">
        <f t="shared" si="570"/>
        <v xml:space="preserve"> </v>
      </c>
      <c r="HI158" s="21" t="str">
        <f t="shared" si="287"/>
        <v xml:space="preserve">portfolio(3), marketing(2), team building(3), project management(2), mobile apps(3), sensors(2), plastic processing(2), electronics(2), aesthetics(2), functions(2), interaction(2),  </v>
      </c>
      <c r="HJ158" s="21" t="str">
        <f t="shared" si="288"/>
        <v xml:space="preserve">start-up with customers(1,6.25),  </v>
      </c>
      <c r="HK158" s="21" t="str">
        <f t="shared" si="571"/>
        <v xml:space="preserve">start-up with customers(6.25), </v>
      </c>
      <c r="HL158" s="21" t="str">
        <f t="shared" si="569"/>
        <v xml:space="preserve">reputation 2
portfolio 2
 </v>
      </c>
      <c r="HM158" s="21" t="str">
        <f t="shared" si="289"/>
        <v xml:space="preserve"> </v>
      </c>
      <c r="HN158" s="21" t="str">
        <f t="shared" si="570"/>
        <v xml:space="preserve"> </v>
      </c>
      <c r="HO158" s="21" t="str">
        <f t="shared" si="290"/>
        <v xml:space="preserve">spaciousness(2), ease of access(2), reputation(3), efficiency(2), portfolio(4), finance(2), marketing(2), project management(2), social media(2), web(3), mobile apps(2), wood processing(3), plastic processing(3), electronics(3), aesthetics(2), interaction(2),  </v>
      </c>
      <c r="HP158" s="21" t="str">
        <f t="shared" si="291"/>
        <v xml:space="preserve">reputation(1,6.25),  </v>
      </c>
      <c r="HQ158" s="47" t="str">
        <f t="shared" si="571"/>
        <v xml:space="preserve">reputation(6.25), </v>
      </c>
      <c r="HR158" s="47" t="str">
        <f t="shared" ref="HR158:HW158" si="587">IF(HR56="",HR159,$C158&amp;"("&amp;HR56&amp;"),"&amp;HR159)</f>
        <v xml:space="preserve">reputation(2),portfolio(2),mobile apps(1),sensors(1),wood processing(1),aesthetics(1), </v>
      </c>
      <c r="HS158" s="47" t="str">
        <f t="shared" si="587"/>
        <v xml:space="preserve"> </v>
      </c>
      <c r="HT158" s="47" t="str">
        <f t="shared" si="587"/>
        <v xml:space="preserve"> </v>
      </c>
      <c r="HU158" s="47" t="str">
        <f t="shared" si="587"/>
        <v xml:space="preserve">reputation(3),efficiency(2),portfolio(3),project management(2),social media(2),web(3),infrastructrue(3),database(3),mobile apps(3),sensors(3),AI&amp; data analysis(3),mobile comm(3),VR&amp;AR(3),wood processing(3),metal processing(2),plastic processing(2),electronics(2),fabric(2),aesthetics(2),interaction(2),start-up with mvp(1), </v>
      </c>
      <c r="HV158" s="47" t="str">
        <f t="shared" si="587"/>
        <v xml:space="preserve">reputation(1), </v>
      </c>
      <c r="HW158" s="47" t="str">
        <f t="shared" si="587"/>
        <v xml:space="preserve">reputation(6.25), </v>
      </c>
      <c r="HX158" s="47" t="str">
        <f t="shared" ref="HX158:IU158" si="588">IF(HX56="",HX159,$C158&amp;"("&amp;HX56&amp;"),"&amp;HX159)</f>
        <v xml:space="preserve">reputation(3),portfolio(2),web(1),infrastructrue(1),database(2),mobile apps(1),sensors(1),AI&amp; data analysis(2),VR&amp;AR(1),wood processing(1),metal processing(1),plastic processing(1),electronics(1),aesthetics(1),functions(1),interaction(1), </v>
      </c>
      <c r="HY158" s="47" t="str">
        <f t="shared" si="588"/>
        <v xml:space="preserve">biz enhancement(1), </v>
      </c>
      <c r="HZ158" s="47" t="str">
        <f t="shared" si="588"/>
        <v xml:space="preserve">biz enhancement(100), </v>
      </c>
      <c r="IA158" s="47" t="str">
        <f t="shared" si="588"/>
        <v xml:space="preserve">spaciousness(2),ease of access(3),efficiency(2),portfolio(4),finance(2),business model(2),marketing(3),team building(2),project management(2),social media(3),negotiation(3), </v>
      </c>
      <c r="IB158" s="47" t="str">
        <f t="shared" si="588"/>
        <v xml:space="preserve">reputation(1),team building(1),database(1),AI&amp; data analysis(1),electronics(1),functions(1), </v>
      </c>
      <c r="IC158" s="47" t="str">
        <f t="shared" si="588"/>
        <v xml:space="preserve">reputation(6.25),team building(6.25),database(6.25),AI&amp; data analysis(6.25),electronics(6.25),functions(6.25), </v>
      </c>
      <c r="ID158" s="47" t="str">
        <f t="shared" si="588"/>
        <v xml:space="preserve"> </v>
      </c>
      <c r="IE158" s="47" t="str">
        <f t="shared" si="588"/>
        <v xml:space="preserve">web(1),mobile apps(1),security(1),AI&amp; data analysis(1), </v>
      </c>
      <c r="IF158" s="47" t="str">
        <f t="shared" si="588"/>
        <v xml:space="preserve">web(25),mobile apps(25),security(25),AI&amp; data analysis(25), </v>
      </c>
      <c r="IG158" s="47" t="str">
        <f t="shared" si="588"/>
        <v xml:space="preserve">spaciousness(2),ease of access(2),reputation(3),efficiency(2),portfolio(3),web(2),database(2),mobile apps(2),security(2),AI&amp; data analysis(2), </v>
      </c>
      <c r="IH158" s="47" t="str">
        <f t="shared" si="588"/>
        <v xml:space="preserve">web(1),database(1),mobile apps(1),security(1),AI&amp; data analysis(1), </v>
      </c>
      <c r="II158" s="47" t="str">
        <f t="shared" si="588"/>
        <v xml:space="preserve">web(6.25),database(6.25),mobile apps(6.25),security(6.25),AI&amp; data analysis(6.25), </v>
      </c>
      <c r="IJ158" s="47" t="str">
        <f t="shared" si="588"/>
        <v xml:space="preserve"> </v>
      </c>
      <c r="IK158" s="47" t="str">
        <f t="shared" si="588"/>
        <v xml:space="preserve">wood processing(1),metal processing(1),functions(1),safety(1), </v>
      </c>
      <c r="IL158" s="47" t="str">
        <f t="shared" si="588"/>
        <v xml:space="preserve">wood processing(25),metal processing(25),functions(25),safety(25), </v>
      </c>
      <c r="IM158" s="47" t="str">
        <f t="shared" si="588"/>
        <v xml:space="preserve">spaciousness(2),ease of access(2),reputation(3),efficiency(2),portfolio(3),wood processing(2),metal processing(2),functions(2),safety(2), </v>
      </c>
      <c r="IN158" s="47" t="str">
        <f t="shared" si="588"/>
        <v xml:space="preserve">wood processing(1),metal processing(1),functions(1),safety(1),interaction(1), </v>
      </c>
      <c r="IO158" s="47" t="str">
        <f t="shared" si="588"/>
        <v xml:space="preserve">wood processing(6.25),metal processing(6.25),functions(6.25),safety(6.25),interaction(6.25), </v>
      </c>
      <c r="IP158" s="57" t="str">
        <f t="shared" si="588"/>
        <v xml:space="preserve">reputation(1), </v>
      </c>
      <c r="IQ158" s="47" t="str">
        <f t="shared" si="588"/>
        <v xml:space="preserve">marketing(1), </v>
      </c>
      <c r="IR158" s="47" t="str">
        <f t="shared" si="588"/>
        <v xml:space="preserve">marketing(25), </v>
      </c>
      <c r="IS158" s="47" t="str">
        <f t="shared" si="588"/>
        <v xml:space="preserve">reputation(3),efficiency(2),marketing(2), </v>
      </c>
      <c r="IT158" s="47" t="str">
        <f t="shared" si="588"/>
        <v xml:space="preserve">marketing(1), </v>
      </c>
      <c r="IU158" s="47" t="str">
        <f t="shared" si="588"/>
        <v xml:space="preserve">marketing(6.25), </v>
      </c>
      <c r="IV158" s="57" t="str">
        <f t="shared" ref="IV158:LG158" si="589">IF(IV56="",IV159,$C158&amp;"("&amp;IV56&amp;"),"&amp;IV159)</f>
        <v xml:space="preserve">reputation(1), </v>
      </c>
      <c r="IW158" s="47" t="str">
        <f t="shared" si="589"/>
        <v xml:space="preserve">marketing(1), </v>
      </c>
      <c r="IX158" s="47" t="str">
        <f t="shared" si="589"/>
        <v xml:space="preserve">marketing(25), </v>
      </c>
      <c r="IY158" s="47" t="str">
        <f t="shared" si="589"/>
        <v xml:space="preserve">reputation(3),efficiency(2),marketing(2), </v>
      </c>
      <c r="IZ158" s="47" t="str">
        <f t="shared" si="589"/>
        <v xml:space="preserve">marketing(1), </v>
      </c>
      <c r="JA158" s="47" t="str">
        <f t="shared" si="589"/>
        <v xml:space="preserve">marketing(6.25), </v>
      </c>
      <c r="JB158" s="47" t="str">
        <f t="shared" si="589"/>
        <v xml:space="preserve"> </v>
      </c>
      <c r="JC158" s="47" t="str">
        <f t="shared" si="589"/>
        <v xml:space="preserve"> </v>
      </c>
      <c r="JD158" s="47" t="str">
        <f t="shared" si="589"/>
        <v xml:space="preserve"> </v>
      </c>
      <c r="JE158" s="47" t="str">
        <f t="shared" si="589"/>
        <v xml:space="preserve">spaciousness(1),ease of access(1),reputation(3),efficiency(2), </v>
      </c>
      <c r="JF158" s="47" t="str">
        <f t="shared" si="589"/>
        <v xml:space="preserve">web(1),infrastructrue(1),database(1),mobile apps(1),sensors(1),security(1),AI&amp; data analysis(1),mobile comm(1),VR&amp;AR(1),wood processing(1),metal processing(1),plastic processing(1),electronics(1),fabric(1),aesthetics(1),functions(1),safety(1),interaction(1), </v>
      </c>
      <c r="JG158" s="47" t="str">
        <f t="shared" si="589"/>
        <v xml:space="preserve">web(6.25),infrastructrue(6.25),database(6.25),mobile apps(6.25),sensors(6.25),security(6.25),AI&amp; data analysis(6.25),mobile comm(6.25),VR&amp;AR(6.25),wood processing(6.25),metal processing(6.25),plastic processing(6.25),electronics(6.25),fabric(6.25),aesthetics(6.25),functions(6.25),safety(6.25),interaction(6.25), </v>
      </c>
      <c r="JH158" s="47" t="str">
        <f t="shared" si="589"/>
        <v xml:space="preserve">reputation(2), </v>
      </c>
      <c r="JI158" s="47" t="str">
        <f t="shared" si="589"/>
        <v xml:space="preserve"> </v>
      </c>
      <c r="JJ158" s="47" t="str">
        <f t="shared" si="589"/>
        <v xml:space="preserve"> </v>
      </c>
      <c r="JK158" s="47" t="str">
        <f t="shared" si="589"/>
        <v xml:space="preserve">reputation(3),portfolio(2),social media(2),negotiation(2),social project(1),social innovation(1),non-profit biz(1),biz project(1),biz enhancement(1),job creation(1),business(1),start-up(1),start-up with mvp(1),start-up with customers(1),for basic literacy(1),for the elites(1),for entrepreneurs(1), </v>
      </c>
      <c r="JL158" s="47" t="str">
        <f t="shared" si="589"/>
        <v xml:space="preserve"> </v>
      </c>
      <c r="JM158" s="47" t="str">
        <f t="shared" si="589"/>
        <v xml:space="preserve"> </v>
      </c>
      <c r="JN158" s="47" t="str">
        <f t="shared" si="589"/>
        <v xml:space="preserve">reputation(2),portfolio(2), </v>
      </c>
      <c r="JO158" s="47" t="str">
        <f t="shared" si="589"/>
        <v xml:space="preserve"> </v>
      </c>
      <c r="JP158" s="47" t="str">
        <f t="shared" si="589"/>
        <v xml:space="preserve"> </v>
      </c>
      <c r="JQ158" s="47" t="str">
        <f t="shared" si="589"/>
        <v xml:space="preserve">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8" s="47" t="str">
        <f t="shared" si="589"/>
        <v xml:space="preserve"> </v>
      </c>
      <c r="JS158" s="47" t="str">
        <f t="shared" si="589"/>
        <v xml:space="preserve"> </v>
      </c>
      <c r="JT158" s="47" t="str">
        <f t="shared" si="589"/>
        <v xml:space="preserve">reputation(2),portfolio(3), </v>
      </c>
      <c r="JU158" s="47" t="str">
        <f t="shared" si="589"/>
        <v xml:space="preserve"> </v>
      </c>
      <c r="JV158" s="47" t="str">
        <f t="shared" si="589"/>
        <v xml:space="preserve"> </v>
      </c>
      <c r="JW158" s="47" t="str">
        <f t="shared" si="589"/>
        <v xml:space="preserve">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8" s="47" t="str">
        <f t="shared" si="589"/>
        <v xml:space="preserve"> </v>
      </c>
      <c r="JY158" s="47" t="str">
        <f t="shared" si="589"/>
        <v xml:space="preserve"> </v>
      </c>
      <c r="JZ158" s="47" t="str">
        <f t="shared" si="589"/>
        <v xml:space="preserve">reputation(2),social project(2), </v>
      </c>
      <c r="KA158" s="47" t="str">
        <f t="shared" si="589"/>
        <v xml:space="preserve"> </v>
      </c>
      <c r="KB158" s="47" t="str">
        <f t="shared" si="589"/>
        <v xml:space="preserve"> </v>
      </c>
      <c r="KC158" s="47" t="str">
        <f t="shared" si="589"/>
        <v xml:space="preserve">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8" s="47" t="str">
        <f t="shared" si="589"/>
        <v xml:space="preserve"> </v>
      </c>
      <c r="KE158" s="47" t="str">
        <f t="shared" si="589"/>
        <v xml:space="preserve"> </v>
      </c>
      <c r="KF158" s="47" t="str">
        <f t="shared" si="589"/>
        <v xml:space="preserve"> </v>
      </c>
      <c r="KG158" s="47" t="str">
        <f t="shared" si="589"/>
        <v xml:space="preserve"> </v>
      </c>
      <c r="KH158" s="47" t="str">
        <f t="shared" si="589"/>
        <v xml:space="preserve"> </v>
      </c>
      <c r="KI158" s="47" t="str">
        <f t="shared" si="589"/>
        <v xml:space="preserve"> </v>
      </c>
      <c r="KJ158" s="47" t="str">
        <f t="shared" si="589"/>
        <v xml:space="preserve"> </v>
      </c>
      <c r="KK158" s="47" t="str">
        <f t="shared" si="589"/>
        <v xml:space="preserve"> </v>
      </c>
      <c r="KL158" s="57" t="str">
        <f t="shared" si="589"/>
        <v xml:space="preserve"> </v>
      </c>
      <c r="KM158" s="47" t="str">
        <f t="shared" si="589"/>
        <v xml:space="preserve"> </v>
      </c>
      <c r="KN158" s="47" t="str">
        <f t="shared" si="589"/>
        <v xml:space="preserve"> </v>
      </c>
      <c r="KO158" s="47" t="str">
        <f t="shared" si="589"/>
        <v xml:space="preserve"> </v>
      </c>
      <c r="KP158" s="47" t="str">
        <f t="shared" si="589"/>
        <v xml:space="preserve"> </v>
      </c>
      <c r="KQ158" s="47" t="str">
        <f t="shared" si="589"/>
        <v xml:space="preserve"> </v>
      </c>
      <c r="KR158" s="57" t="str">
        <f t="shared" si="589"/>
        <v xml:space="preserve"> </v>
      </c>
      <c r="KS158" s="47" t="str">
        <f t="shared" si="589"/>
        <v xml:space="preserve"> </v>
      </c>
      <c r="KT158" s="47" t="str">
        <f t="shared" si="589"/>
        <v xml:space="preserve"> </v>
      </c>
      <c r="KU158" s="47" t="str">
        <f t="shared" si="589"/>
        <v xml:space="preserve"> </v>
      </c>
      <c r="KV158" s="47" t="str">
        <f t="shared" si="589"/>
        <v xml:space="preserve"> </v>
      </c>
      <c r="KW158" s="47" t="str">
        <f t="shared" si="589"/>
        <v xml:space="preserve"> </v>
      </c>
      <c r="KX158" s="57" t="str">
        <f t="shared" si="589"/>
        <v xml:space="preserve"> </v>
      </c>
      <c r="KY158" s="47" t="str">
        <f t="shared" si="589"/>
        <v xml:space="preserve"> </v>
      </c>
      <c r="KZ158" s="47" t="str">
        <f t="shared" si="589"/>
        <v xml:space="preserve"> </v>
      </c>
      <c r="LA158" s="47" t="str">
        <f t="shared" si="589"/>
        <v xml:space="preserve"> </v>
      </c>
      <c r="LB158" s="47" t="str">
        <f t="shared" si="589"/>
        <v xml:space="preserve"> </v>
      </c>
      <c r="LC158" s="47" t="str">
        <f t="shared" si="589"/>
        <v xml:space="preserve"> </v>
      </c>
      <c r="LD158" s="57" t="str">
        <f t="shared" si="589"/>
        <v xml:space="preserve"> </v>
      </c>
      <c r="LE158" s="47" t="str">
        <f t="shared" si="589"/>
        <v xml:space="preserve"> </v>
      </c>
      <c r="LF158" s="47" t="str">
        <f t="shared" si="589"/>
        <v xml:space="preserve"> </v>
      </c>
      <c r="LG158" s="47" t="str">
        <f t="shared" si="589"/>
        <v xml:space="preserve"> </v>
      </c>
      <c r="LH158" s="47" t="str">
        <f t="shared" ref="LH158:NM158" si="590">IF(LH56="",LH159,$C158&amp;"("&amp;LH56&amp;"),"&amp;LH159)</f>
        <v xml:space="preserve"> </v>
      </c>
      <c r="LI158" s="47" t="str">
        <f t="shared" si="590"/>
        <v xml:space="preserve"> </v>
      </c>
      <c r="LJ158" s="57" t="str">
        <f t="shared" si="590"/>
        <v xml:space="preserve"> </v>
      </c>
      <c r="LK158" s="47" t="str">
        <f t="shared" si="590"/>
        <v xml:space="preserve"> </v>
      </c>
      <c r="LL158" s="47" t="str">
        <f t="shared" si="590"/>
        <v xml:space="preserve"> </v>
      </c>
      <c r="LM158" s="47" t="str">
        <f t="shared" si="590"/>
        <v xml:space="preserve"> </v>
      </c>
      <c r="LN158" s="47" t="str">
        <f t="shared" si="590"/>
        <v xml:space="preserve"> </v>
      </c>
      <c r="LO158" s="47" t="str">
        <f t="shared" si="590"/>
        <v xml:space="preserve"> </v>
      </c>
      <c r="LP158" s="57" t="str">
        <f t="shared" si="590"/>
        <v xml:space="preserve"> </v>
      </c>
      <c r="LQ158" s="47" t="str">
        <f t="shared" si="590"/>
        <v xml:space="preserve"> </v>
      </c>
      <c r="LR158" s="47" t="str">
        <f t="shared" si="590"/>
        <v xml:space="preserve"> </v>
      </c>
      <c r="LS158" s="47" t="str">
        <f t="shared" si="590"/>
        <v xml:space="preserve"> </v>
      </c>
      <c r="LT158" s="47" t="str">
        <f t="shared" si="590"/>
        <v xml:space="preserve"> </v>
      </c>
      <c r="LU158" s="47" t="str">
        <f t="shared" si="590"/>
        <v xml:space="preserve"> </v>
      </c>
      <c r="LV158" s="57" t="str">
        <f t="shared" si="590"/>
        <v xml:space="preserve"> </v>
      </c>
      <c r="LW158" s="47" t="str">
        <f t="shared" si="590"/>
        <v xml:space="preserve"> </v>
      </c>
      <c r="LX158" s="47" t="str">
        <f t="shared" si="590"/>
        <v xml:space="preserve"> </v>
      </c>
      <c r="LY158" s="47" t="str">
        <f t="shared" si="590"/>
        <v xml:space="preserve"> </v>
      </c>
      <c r="LZ158" s="47" t="str">
        <f t="shared" si="590"/>
        <v xml:space="preserve"> </v>
      </c>
      <c r="MA158" s="47" t="str">
        <f t="shared" si="590"/>
        <v xml:space="preserve"> </v>
      </c>
      <c r="MB158" s="57" t="str">
        <f t="shared" si="590"/>
        <v xml:space="preserve"> </v>
      </c>
      <c r="MC158" s="47" t="str">
        <f t="shared" si="590"/>
        <v xml:space="preserve"> </v>
      </c>
      <c r="MD158" s="47" t="str">
        <f t="shared" si="590"/>
        <v xml:space="preserve"> </v>
      </c>
      <c r="ME158" s="47" t="str">
        <f t="shared" si="590"/>
        <v xml:space="preserve"> </v>
      </c>
      <c r="MF158" s="47" t="str">
        <f t="shared" si="590"/>
        <v xml:space="preserve"> </v>
      </c>
      <c r="MG158" s="47" t="str">
        <f t="shared" si="590"/>
        <v xml:space="preserve"> </v>
      </c>
      <c r="MH158" s="57" t="str">
        <f t="shared" si="590"/>
        <v xml:space="preserve"> </v>
      </c>
      <c r="MI158" s="47" t="str">
        <f t="shared" si="590"/>
        <v xml:space="preserve"> </v>
      </c>
      <c r="MJ158" s="47" t="str">
        <f t="shared" si="590"/>
        <v xml:space="preserve"> </v>
      </c>
      <c r="MK158" s="47" t="str">
        <f t="shared" si="590"/>
        <v xml:space="preserve"> </v>
      </c>
      <c r="ML158" s="47" t="str">
        <f t="shared" si="590"/>
        <v xml:space="preserve"> </v>
      </c>
      <c r="MM158" s="47" t="str">
        <f t="shared" si="590"/>
        <v xml:space="preserve"> </v>
      </c>
      <c r="MN158" s="57" t="str">
        <f t="shared" si="590"/>
        <v xml:space="preserve"> </v>
      </c>
      <c r="MO158" s="47" t="str">
        <f t="shared" si="590"/>
        <v xml:space="preserve"> </v>
      </c>
      <c r="MP158" s="47" t="str">
        <f t="shared" si="590"/>
        <v xml:space="preserve"> </v>
      </c>
      <c r="MQ158" s="47" t="str">
        <f t="shared" si="590"/>
        <v xml:space="preserve"> </v>
      </c>
      <c r="MR158" s="47" t="str">
        <f t="shared" si="590"/>
        <v xml:space="preserve"> </v>
      </c>
      <c r="MS158" s="47" t="str">
        <f t="shared" si="590"/>
        <v xml:space="preserve"> </v>
      </c>
      <c r="MT158" s="57" t="str">
        <f t="shared" si="590"/>
        <v xml:space="preserve"> </v>
      </c>
      <c r="MU158" s="47" t="str">
        <f t="shared" si="590"/>
        <v xml:space="preserve"> </v>
      </c>
      <c r="MV158" s="47" t="str">
        <f t="shared" si="590"/>
        <v xml:space="preserve"> </v>
      </c>
      <c r="MW158" s="47" t="str">
        <f t="shared" si="590"/>
        <v xml:space="preserve"> </v>
      </c>
      <c r="MX158" s="47" t="str">
        <f t="shared" si="590"/>
        <v xml:space="preserve"> </v>
      </c>
      <c r="MY158" s="47" t="str">
        <f t="shared" si="590"/>
        <v xml:space="preserve"> </v>
      </c>
      <c r="MZ158" s="57" t="str">
        <f t="shared" si="590"/>
        <v xml:space="preserve"> </v>
      </c>
      <c r="NA158" s="47" t="str">
        <f t="shared" si="590"/>
        <v xml:space="preserve"> </v>
      </c>
      <c r="NB158" s="47" t="str">
        <f t="shared" si="590"/>
        <v xml:space="preserve"> </v>
      </c>
      <c r="NC158" s="47" t="str">
        <f t="shared" si="590"/>
        <v xml:space="preserve"> </v>
      </c>
      <c r="ND158" s="47" t="str">
        <f t="shared" si="590"/>
        <v xml:space="preserve"> </v>
      </c>
      <c r="NE158" s="47" t="str">
        <f t="shared" si="590"/>
        <v xml:space="preserve"> </v>
      </c>
      <c r="NF158" s="57" t="str">
        <f t="shared" si="590"/>
        <v xml:space="preserve"> </v>
      </c>
      <c r="NG158" s="47" t="str">
        <f t="shared" si="590"/>
        <v xml:space="preserve"> </v>
      </c>
      <c r="NH158" s="47" t="str">
        <f t="shared" si="590"/>
        <v xml:space="preserve"> </v>
      </c>
      <c r="NI158" s="47" t="str">
        <f t="shared" si="590"/>
        <v xml:space="preserve"> </v>
      </c>
      <c r="NJ158" s="47" t="str">
        <f t="shared" si="590"/>
        <v xml:space="preserve"> </v>
      </c>
      <c r="NK158" s="47" t="str">
        <f t="shared" si="590"/>
        <v xml:space="preserve"> </v>
      </c>
      <c r="NL158" s="57" t="str">
        <f t="shared" si="590"/>
        <v xml:space="preserve"> </v>
      </c>
      <c r="NM158" s="47" t="str">
        <f t="shared" si="590"/>
        <v xml:space="preserve"> </v>
      </c>
    </row>
    <row r="159" spans="3:377" ht="15.75" customHeight="1">
      <c r="C159" s="7" t="str">
        <f t="shared" si="296"/>
        <v>ease of access</v>
      </c>
      <c r="D159" s="21" t="str">
        <f t="shared" si="169"/>
        <v xml:space="preserve"> </v>
      </c>
      <c r="E159" s="21" t="str">
        <f t="shared" si="297"/>
        <v xml:space="preserve"> </v>
      </c>
      <c r="F159" s="21" t="str">
        <f t="shared" si="170"/>
        <v xml:space="preserve"> </v>
      </c>
      <c r="G159" s="21" t="str">
        <f t="shared" si="298"/>
        <v xml:space="preserve">ease of access(1), reputation(2), social media(1),  </v>
      </c>
      <c r="H159" s="21" t="str">
        <f t="shared" si="299"/>
        <v xml:space="preserve"> </v>
      </c>
      <c r="I159" s="21" t="str">
        <f t="shared" ref="I159" si="591">IF(I57="",I160,$C159&amp;"("&amp;I57&amp;"),"&amp;I160)</f>
        <v xml:space="preserve"> </v>
      </c>
      <c r="J159" s="21" t="str">
        <f t="shared" si="560"/>
        <v xml:space="preserve">interaction 1
 </v>
      </c>
      <c r="K159" s="21" t="str">
        <f t="shared" si="173"/>
        <v xml:space="preserve">reputation(1,75),  </v>
      </c>
      <c r="L159" s="21" t="str">
        <f t="shared" si="561"/>
        <v xml:space="preserve">reputation 75
 </v>
      </c>
      <c r="M159" s="21" t="str">
        <f t="shared" si="175"/>
        <v xml:space="preserve">portfolio(1), social innovation(1), non-profit biz(1),  </v>
      </c>
      <c r="N159" s="21" t="str">
        <f t="shared" si="176"/>
        <v xml:space="preserve">reputation(1,75), marketing(1,12.5),  </v>
      </c>
      <c r="O159" s="21" t="str">
        <f t="shared" si="562"/>
        <v xml:space="preserve">reputation(75),marketing(12.5), </v>
      </c>
      <c r="P159" s="21" t="str">
        <f t="shared" si="560"/>
        <v xml:space="preserve">biz project 1
 </v>
      </c>
      <c r="Q159" s="21" t="str">
        <f t="shared" si="178"/>
        <v xml:space="preserve"> </v>
      </c>
      <c r="R159" s="21" t="str">
        <f t="shared" si="561"/>
        <v xml:space="preserve"> </v>
      </c>
      <c r="S159" s="21" t="str">
        <f t="shared" si="179"/>
        <v xml:space="preserve">portfolio(1), biz enhancement(1), business(1), start-up(1),  </v>
      </c>
      <c r="T159" s="21" t="str">
        <f t="shared" si="180"/>
        <v xml:space="preserve">reputation(1,6.25),  </v>
      </c>
      <c r="U159" s="21" t="str">
        <f t="shared" si="562"/>
        <v xml:space="preserve">reputation(6.25), </v>
      </c>
      <c r="V159" s="21" t="str">
        <f t="shared" si="560"/>
        <v xml:space="preserve"> </v>
      </c>
      <c r="W159" s="21" t="str">
        <f t="shared" si="181"/>
        <v xml:space="preserve"> </v>
      </c>
      <c r="X159" s="21" t="str">
        <f t="shared" si="561"/>
        <v xml:space="preserve"> </v>
      </c>
      <c r="Y159" s="21" t="str">
        <f t="shared" si="182"/>
        <v xml:space="preserve">ease of access(1), reputation(1), portfolio(1), biz project(1), biz enhancement(1), job creation(1), business(1),  </v>
      </c>
      <c r="Z159" s="21" t="str">
        <f t="shared" si="183"/>
        <v xml:space="preserve"> </v>
      </c>
      <c r="AA159" s="21" t="str">
        <f t="shared" si="562"/>
        <v xml:space="preserve"> </v>
      </c>
      <c r="AB159" s="21" t="str">
        <f t="shared" si="560"/>
        <v xml:space="preserve"> </v>
      </c>
      <c r="AC159" s="21" t="str">
        <f t="shared" si="184"/>
        <v xml:space="preserve"> </v>
      </c>
      <c r="AD159" s="21" t="str">
        <f t="shared" si="561"/>
        <v xml:space="preserve"> </v>
      </c>
      <c r="AE159" s="21" t="str">
        <f t="shared" si="185"/>
        <v xml:space="preserve">ease of access(1), reputation(1), portfolio(1), social project(1), social innovation(1), non-profit biz(1),  </v>
      </c>
      <c r="AF159" s="21" t="str">
        <f t="shared" si="186"/>
        <v xml:space="preserve"> </v>
      </c>
      <c r="AG159" s="21" t="str">
        <f t="shared" si="562"/>
        <v xml:space="preserve"> </v>
      </c>
      <c r="AH159" s="21" t="str">
        <f t="shared" si="560"/>
        <v xml:space="preserve"> </v>
      </c>
      <c r="AI159" s="21" t="str">
        <f t="shared" si="187"/>
        <v xml:space="preserve"> </v>
      </c>
      <c r="AJ159" s="21" t="str">
        <f t="shared" si="561"/>
        <v xml:space="preserve"> </v>
      </c>
      <c r="AK159" s="21" t="str">
        <f t="shared" si="188"/>
        <v xml:space="preserve">ease of access(1), reputation(2), portfolio(1), social project(1), social innovation(1), non-profit biz(1),  </v>
      </c>
      <c r="AL159" s="21" t="str">
        <f t="shared" si="189"/>
        <v xml:space="preserve"> </v>
      </c>
      <c r="AM159" s="21" t="str">
        <f t="shared" si="562"/>
        <v xml:space="preserve"> </v>
      </c>
      <c r="AN159" s="21" t="str">
        <f t="shared" si="560"/>
        <v xml:space="preserve"> </v>
      </c>
      <c r="AO159" s="21" t="str">
        <f t="shared" si="190"/>
        <v xml:space="preserve"> </v>
      </c>
      <c r="AP159" s="21" t="str">
        <f t="shared" si="561"/>
        <v xml:space="preserve"> </v>
      </c>
      <c r="AQ159" s="21" t="str">
        <f t="shared" si="191"/>
        <v xml:space="preserve">ease of access(1), reputation(1), portfolio(1), start-up(1), start-up with mvp(1), start-up with customers(1),  </v>
      </c>
      <c r="AR159" s="21" t="str">
        <f t="shared" si="192"/>
        <v xml:space="preserve"> </v>
      </c>
      <c r="AS159" s="21" t="str">
        <f t="shared" si="562"/>
        <v xml:space="preserve"> </v>
      </c>
      <c r="AT159" s="21" t="str">
        <f t="shared" si="560"/>
        <v xml:space="preserve">reputation 1
portfolio 1
social project 1
 </v>
      </c>
      <c r="AU159" s="21" t="str">
        <f t="shared" si="193"/>
        <v xml:space="preserve"> </v>
      </c>
      <c r="AV159" s="21" t="str">
        <f t="shared" si="561"/>
        <v xml:space="preserve"> </v>
      </c>
      <c r="AW159" s="21" t="str">
        <f t="shared" si="194"/>
        <v xml:space="preserve">project management(2),  </v>
      </c>
      <c r="AX159" s="21" t="str">
        <f t="shared" si="195"/>
        <v xml:space="preserve">organizational rules and manuals(1,12.5), project management(1,12.5),  </v>
      </c>
      <c r="AY159" s="21" t="str">
        <f t="shared" si="562"/>
        <v xml:space="preserve">organizational rules and manuals(12.5),project management(12.5), </v>
      </c>
      <c r="AZ159" s="21" t="str">
        <f t="shared" si="560"/>
        <v xml:space="preserve"> </v>
      </c>
      <c r="BA159" s="21" t="str">
        <f t="shared" si="196"/>
        <v xml:space="preserve"> </v>
      </c>
      <c r="BB159" s="21" t="str">
        <f t="shared" si="561"/>
        <v xml:space="preserve"> </v>
      </c>
      <c r="BC159" s="21" t="str">
        <f t="shared" si="197"/>
        <v xml:space="preserve"> </v>
      </c>
      <c r="BD159" s="21" t="str">
        <f t="shared" si="198"/>
        <v xml:space="preserve"> </v>
      </c>
      <c r="BE159" s="21" t="str">
        <f t="shared" si="562"/>
        <v xml:space="preserve"> </v>
      </c>
      <c r="BF159" s="21" t="str">
        <f t="shared" si="560"/>
        <v xml:space="preserve">reputation 1
portfolio 1
biz project 1
 </v>
      </c>
      <c r="BG159" s="21" t="str">
        <f t="shared" si="199"/>
        <v xml:space="preserve"> </v>
      </c>
      <c r="BH159" s="21" t="str">
        <f t="shared" si="561"/>
        <v xml:space="preserve"> </v>
      </c>
      <c r="BI159" s="21" t="str">
        <f t="shared" si="200"/>
        <v xml:space="preserve">project management(2),  </v>
      </c>
      <c r="BJ159" s="21" t="str">
        <f t="shared" si="201"/>
        <v xml:space="preserve">organizational rules and manuals(1,12.5), project management(1,12.5),  </v>
      </c>
      <c r="BK159" s="21" t="str">
        <f t="shared" si="562"/>
        <v xml:space="preserve">organizational rules and manuals(12.5),project management(12.5), </v>
      </c>
      <c r="BL159" s="21" t="str">
        <f t="shared" si="560"/>
        <v xml:space="preserve">reputation 1
portfolio 1
biz enhancement 1
 </v>
      </c>
      <c r="BM159" s="21" t="str">
        <f t="shared" si="202"/>
        <v xml:space="preserve"> </v>
      </c>
      <c r="BN159" s="21" t="str">
        <f t="shared" si="561"/>
        <v xml:space="preserve"> </v>
      </c>
      <c r="BO159" s="21" t="str">
        <f t="shared" si="203"/>
        <v xml:space="preserve"> </v>
      </c>
      <c r="BP159" s="21" t="str">
        <f t="shared" si="204"/>
        <v xml:space="preserve"> </v>
      </c>
      <c r="BQ159" s="21" t="str">
        <f t="shared" si="562"/>
        <v xml:space="preserve"> </v>
      </c>
      <c r="BR159" s="21" t="str">
        <f t="shared" si="560"/>
        <v xml:space="preserve"> </v>
      </c>
      <c r="BS159" s="21" t="str">
        <f t="shared" si="205"/>
        <v xml:space="preserve"> </v>
      </c>
      <c r="BT159" s="21" t="str">
        <f t="shared" si="561"/>
        <v xml:space="preserve"> </v>
      </c>
      <c r="BU159" s="21" t="str">
        <f t="shared" si="206"/>
        <v xml:space="preserve"> </v>
      </c>
      <c r="BV159" s="21" t="str">
        <f t="shared" si="207"/>
        <v xml:space="preserve"> </v>
      </c>
      <c r="BW159" s="21" t="str">
        <f t="shared" si="562"/>
        <v xml:space="preserve"> </v>
      </c>
      <c r="BX159" s="21" t="str">
        <f t="shared" si="563"/>
        <v xml:space="preserve"> </v>
      </c>
      <c r="BY159" s="21" t="str">
        <f t="shared" si="209"/>
        <v xml:space="preserve">efficiency(1,),  </v>
      </c>
      <c r="BZ159" s="21" t="str">
        <f t="shared" si="564"/>
        <v xml:space="preserve"> </v>
      </c>
      <c r="CA159" s="21" t="str">
        <f t="shared" si="211"/>
        <v xml:space="preserve">negotiation(1),  </v>
      </c>
      <c r="CB159" s="21" t="str">
        <f t="shared" si="212"/>
        <v xml:space="preserve">user rules and manuals(1,50), organizational rules and manuals(1,50),  </v>
      </c>
      <c r="CC159" s="21" t="str">
        <f t="shared" si="565"/>
        <v xml:space="preserve">user rules and manuals(50),organizational rules and manuals(50), </v>
      </c>
      <c r="CD159" s="21" t="str">
        <f t="shared" si="563"/>
        <v xml:space="preserve"> </v>
      </c>
      <c r="CE159" s="21" t="str">
        <f t="shared" si="214"/>
        <v xml:space="preserve"> </v>
      </c>
      <c r="CF159" s="21" t="str">
        <f t="shared" si="564"/>
        <v xml:space="preserve"> </v>
      </c>
      <c r="CG159" s="21" t="str">
        <f t="shared" si="215"/>
        <v xml:space="preserve">ease of access(1), portfolio(1), user rules and manuals(1), negotiation(1), social project(1), biz project(1), for basic literacy(1), for the elites(1), for entrepreneurs(1),  </v>
      </c>
      <c r="CH159" s="21" t="str">
        <f t="shared" si="216"/>
        <v xml:space="preserve"> </v>
      </c>
      <c r="CI159" s="21" t="str">
        <f t="shared" si="565"/>
        <v xml:space="preserve"> </v>
      </c>
      <c r="CJ159" s="21" t="str">
        <f t="shared" si="563"/>
        <v xml:space="preserve"> </v>
      </c>
      <c r="CK159" s="21" t="str">
        <f t="shared" si="217"/>
        <v xml:space="preserve"> </v>
      </c>
      <c r="CL159" s="21" t="str">
        <f t="shared" si="564"/>
        <v xml:space="preserve"> </v>
      </c>
      <c r="CM159" s="21" t="str">
        <f t="shared" si="218"/>
        <v xml:space="preserve">reputation(1), negotiation(1),  </v>
      </c>
      <c r="CN159" s="21" t="str">
        <f t="shared" si="219"/>
        <v xml:space="preserve">efficiency(1,6.25),  </v>
      </c>
      <c r="CO159" s="21" t="str">
        <f t="shared" si="565"/>
        <v xml:space="preserve">efficiency(6.25), </v>
      </c>
      <c r="CP159" s="21" t="str">
        <f t="shared" si="563"/>
        <v xml:space="preserve"> </v>
      </c>
      <c r="CQ159" s="21" t="str">
        <f t="shared" si="220"/>
        <v xml:space="preserve"> </v>
      </c>
      <c r="CR159" s="21" t="str">
        <f t="shared" si="564"/>
        <v xml:space="preserve"> </v>
      </c>
      <c r="CS159" s="21" t="str">
        <f t="shared" si="221"/>
        <v xml:space="preserve">portfolio(1), negotiation(1), web(1), infrastructrue(1), database(1), mobile apps(1), sensors(1), security(1), AI&amp; data analysis(1), mobile comm(1), VR&amp;AR(1), wood processing(1), metal processing(1), plastic processing(1), electronics(1), fabric(1),  </v>
      </c>
      <c r="CT159" s="21" t="str">
        <f t="shared" si="222"/>
        <v xml:space="preserve">efficiency(1,6.25),  </v>
      </c>
      <c r="CU159" s="21" t="str">
        <f t="shared" si="565"/>
        <v xml:space="preserve">efficiency(6.25), </v>
      </c>
      <c r="CV159" s="21" t="str">
        <f t="shared" si="563"/>
        <v xml:space="preserve"> </v>
      </c>
      <c r="CW159" s="21" t="str">
        <f t="shared" si="223"/>
        <v xml:space="preserve"> </v>
      </c>
      <c r="CX159" s="21" t="str">
        <f t="shared" si="564"/>
        <v xml:space="preserve"> </v>
      </c>
      <c r="CY159" s="21" t="str">
        <f t="shared" si="224"/>
        <v xml:space="preserve">ease of access(1), reputation(1), portfolio(1), negotiation(1),  </v>
      </c>
      <c r="CZ159" s="21" t="str">
        <f t="shared" si="225"/>
        <v xml:space="preserve"> </v>
      </c>
      <c r="DA159" s="21" t="str">
        <f t="shared" si="565"/>
        <v xml:space="preserve"> </v>
      </c>
      <c r="DB159" s="21" t="str">
        <f t="shared" si="563"/>
        <v xml:space="preserve"> </v>
      </c>
      <c r="DC159" s="21" t="str">
        <f t="shared" si="226"/>
        <v xml:space="preserve"> </v>
      </c>
      <c r="DD159" s="21" t="str">
        <f t="shared" si="564"/>
        <v xml:space="preserve"> </v>
      </c>
      <c r="DE159"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59" s="21" t="str">
        <f t="shared" si="228"/>
        <v xml:space="preserve"> </v>
      </c>
      <c r="DG159" s="21" t="str">
        <f t="shared" si="565"/>
        <v xml:space="preserve"> </v>
      </c>
      <c r="DH159" s="21" t="str">
        <f t="shared" si="563"/>
        <v xml:space="preserve">reputation 1
social project 1
 </v>
      </c>
      <c r="DI159" s="21" t="str">
        <f t="shared" si="229"/>
        <v xml:space="preserve"> </v>
      </c>
      <c r="DJ159" s="21" t="str">
        <f t="shared" si="564"/>
        <v xml:space="preserve"> </v>
      </c>
      <c r="DK159" s="21" t="str">
        <f t="shared" si="230"/>
        <v xml:space="preserve">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59" s="21" t="str">
        <f t="shared" si="231"/>
        <v xml:space="preserve">reputation(1,6.25),  </v>
      </c>
      <c r="DM159" s="21" t="str">
        <f t="shared" si="565"/>
        <v xml:space="preserve">reputation(6.25), </v>
      </c>
      <c r="DN159" s="21" t="str">
        <f t="shared" si="563"/>
        <v xml:space="preserve">reputation 1
biz project 1
 </v>
      </c>
      <c r="DO159" s="21" t="str">
        <f t="shared" si="232"/>
        <v xml:space="preserve"> </v>
      </c>
      <c r="DP159" s="21" t="str">
        <f t="shared" si="564"/>
        <v xml:space="preserve"> </v>
      </c>
      <c r="DQ159" s="21" t="str">
        <f t="shared" si="233"/>
        <v xml:space="preserve">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59" s="21" t="str">
        <f t="shared" si="234"/>
        <v xml:space="preserve">reputation(1,6.25),  </v>
      </c>
      <c r="DS159" s="21" t="str">
        <f t="shared" si="565"/>
        <v xml:space="preserve">reputation(6.25), </v>
      </c>
      <c r="DT159" s="21" t="str">
        <f t="shared" si="563"/>
        <v xml:space="preserve">reputation 1
 </v>
      </c>
      <c r="DU159" s="21" t="str">
        <f t="shared" si="235"/>
        <v xml:space="preserve"> </v>
      </c>
      <c r="DV159" s="21" t="str">
        <f t="shared" si="564"/>
        <v xml:space="preserve"> </v>
      </c>
      <c r="DW159" s="21" t="str">
        <f t="shared" si="236"/>
        <v xml:space="preserve">ease of access(1), reputation(2), efficiency(1), organizational rules and manuals(1), marketing(1), social media(1), for basic literacy(1),  </v>
      </c>
      <c r="DX159" s="21" t="str">
        <f t="shared" si="237"/>
        <v xml:space="preserve">reputation(1,6.25), for basic literacy(1,6.25),  </v>
      </c>
      <c r="DY159" s="21" t="str">
        <f t="shared" si="565"/>
        <v xml:space="preserve">reputation(6.25),for basic literacy(6.25), </v>
      </c>
      <c r="DZ159" s="21" t="str">
        <f t="shared" si="563"/>
        <v xml:space="preserve">reputation 1
 </v>
      </c>
      <c r="EA159" s="21" t="str">
        <f t="shared" si="238"/>
        <v xml:space="preserve"> </v>
      </c>
      <c r="EB159" s="21" t="str">
        <f t="shared" si="564"/>
        <v xml:space="preserve"> </v>
      </c>
      <c r="EC159" s="21" t="str">
        <f t="shared" si="239"/>
        <v xml:space="preserve">ease of access(1), 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59" s="21" t="str">
        <f t="shared" si="240"/>
        <v xml:space="preserve">reputation(1,6.25), for basic literacy(1,6.25),  </v>
      </c>
      <c r="EE159" s="21" t="str">
        <f t="shared" si="565"/>
        <v xml:space="preserve">reputation(6.25),for basic literacy(6.25), </v>
      </c>
      <c r="EF159" s="21" t="str">
        <f t="shared" si="563"/>
        <v xml:space="preserve">reputation 1
 </v>
      </c>
      <c r="EG159" s="21" t="str">
        <f t="shared" si="241"/>
        <v xml:space="preserve">web(1,50), mobile apps(1,50), interaction(1,50),  </v>
      </c>
      <c r="EH159" s="21" t="str">
        <f t="shared" si="564"/>
        <v xml:space="preserve">web 50
mobile apps 50
interaction 50
 </v>
      </c>
      <c r="EI159" s="21" t="str">
        <f t="shared" si="242"/>
        <v xml:space="preserve">ease of access(1), reputation(2), infrastructrue(1), database(1), mobile comm(1), for entrepreneurs(1),  </v>
      </c>
      <c r="EJ159" s="21" t="str">
        <f t="shared" si="243"/>
        <v xml:space="preserve">infrastructrue(1,12.5), database(1,12.5), mobile comm(1,12.5), for entrepreneurs(1,6.25),  </v>
      </c>
      <c r="EK159" s="21" t="str">
        <f t="shared" si="565"/>
        <v xml:space="preserve">infrastructrue(12.5),database(12.5),mobile comm(12.5),for entrepreneurs(6.25), </v>
      </c>
      <c r="EL159" s="21" t="str">
        <f t="shared" si="566"/>
        <v xml:space="preserve">reputation 1
 </v>
      </c>
      <c r="EM159" s="21" t="str">
        <f t="shared" si="245"/>
        <v xml:space="preserve">sensors(1,50),  </v>
      </c>
      <c r="EN159" s="21" t="str">
        <f t="shared" si="567"/>
        <v xml:space="preserve">sensors 50
 </v>
      </c>
      <c r="EO159" s="21" t="str">
        <f t="shared" si="247"/>
        <v xml:space="preserve">ease of access(1), reputation(2), project management(2), infrastructrue(1), database(1), mobile comm(1), for entrepreneurs(1),  </v>
      </c>
      <c r="EP159" s="21" t="str">
        <f t="shared" si="248"/>
        <v xml:space="preserve">infrastructrue(1,12.5), database(1,12.5), mobile comm(1,12.5), electronics(1,6.25), for entrepreneurs(1,6.25),  </v>
      </c>
      <c r="EQ159" s="21" t="str">
        <f t="shared" si="568"/>
        <v xml:space="preserve">infrastructrue(12.5),database(12.5),mobile comm(12.5),electronics(6.25),for entrepreneurs(6.25), </v>
      </c>
      <c r="ER159" s="21" t="str">
        <f t="shared" si="566"/>
        <v xml:space="preserve"> </v>
      </c>
      <c r="ES159" s="21" t="str">
        <f t="shared" si="250"/>
        <v xml:space="preserve">AI&amp; data analysis(1,50),  </v>
      </c>
      <c r="ET159" s="21" t="str">
        <f t="shared" si="567"/>
        <v xml:space="preserve">AI&amp; data analysis 50
 </v>
      </c>
      <c r="EU159" s="21" t="str">
        <f t="shared" si="251"/>
        <v xml:space="preserve">ease of access(1), reputation(2), database(1), sensors(1), mobile comm(1), for entrepreneurs(1),  </v>
      </c>
      <c r="EV159" s="21" t="str">
        <f t="shared" si="252"/>
        <v xml:space="preserve">database(1,12.5), sensors(1,12.5), mobile comm(1,12.5), for entrepreneurs(1,6.25),  </v>
      </c>
      <c r="EW159" s="21" t="str">
        <f t="shared" si="568"/>
        <v xml:space="preserve">database(12.5),sensors(12.5),mobile comm(12.5),for entrepreneurs(6.25), </v>
      </c>
      <c r="EX159" s="21" t="str">
        <f t="shared" si="566"/>
        <v xml:space="preserve"> </v>
      </c>
      <c r="EY159" s="21" t="str">
        <f t="shared" si="253"/>
        <v xml:space="preserve">law(1,50), security(1,50), interaction(1,25),  </v>
      </c>
      <c r="EZ159" s="21" t="str">
        <f t="shared" si="567"/>
        <v xml:space="preserve">law 50
security 50
interaction 25
 </v>
      </c>
      <c r="FA159" s="21" t="str">
        <f t="shared" si="254"/>
        <v xml:space="preserve">ease of access(1), reputation(2), law(2), for entrepreneurs(1),  </v>
      </c>
      <c r="FB159" s="21" t="str">
        <f t="shared" si="255"/>
        <v xml:space="preserve">law(1,6.25), database(1,12.5), mobile apps(1,12.5), security(1,12.5), mobile comm(1,12.5), for entrepreneurs(1,6.25),  </v>
      </c>
      <c r="FC159" s="21" t="str">
        <f t="shared" si="568"/>
        <v xml:space="preserve">law(6.25),database(12.5),mobile apps(12.5),security(12.5),mobile comm(12.5),for entrepreneurs(6.25), </v>
      </c>
      <c r="FD159" s="21" t="str">
        <f t="shared" si="566"/>
        <v xml:space="preserve"> </v>
      </c>
      <c r="FE159" s="21" t="str">
        <f t="shared" si="256"/>
        <v xml:space="preserve">law(1,50), sensors(1,50), security(1,50),  </v>
      </c>
      <c r="FF159" s="21" t="str">
        <f t="shared" si="567"/>
        <v xml:space="preserve">law 50
sensors 50
security 50
 </v>
      </c>
      <c r="FG159" s="21" t="str">
        <f t="shared" si="257"/>
        <v xml:space="preserve">ease of access(1), reputation(2), law(2), project management(2), for entrepreneurs(1),  </v>
      </c>
      <c r="FH159" s="21" t="str">
        <f t="shared" si="258"/>
        <v xml:space="preserve">law(1,6.25), database(1,6.25), mobile apps(1,6.25), AI&amp; data analysis(1,6.25), mobile comm(1,6.25), for entrepreneurs(1,6.25),  </v>
      </c>
      <c r="FI159" s="21" t="str">
        <f t="shared" si="568"/>
        <v xml:space="preserve">law(6.25),database(6.25),mobile apps(6.25),AI&amp; data analysis(6.25),mobile comm(6.25),for entrepreneurs(6.25), </v>
      </c>
      <c r="FJ159" s="21" t="str">
        <f t="shared" si="566"/>
        <v xml:space="preserve"> </v>
      </c>
      <c r="FK159" s="21" t="str">
        <f t="shared" si="259"/>
        <v xml:space="preserve">wood processing(1,25), metal processing(1,25), plastic processing(1,25), fabric(1,25), safety(1,25), interaction(1,25),  </v>
      </c>
      <c r="FL159" s="21" t="str">
        <f t="shared" si="567"/>
        <v xml:space="preserve">project management 2
wood processing 25
metal processing 25
plastic processing 25
fabric 25
safety 25
interaction 25
 </v>
      </c>
      <c r="FM159" s="21" t="str">
        <f t="shared" si="260"/>
        <v xml:space="preserve">ease of access(1), reputation(2), for entrepreneurs(1),  </v>
      </c>
      <c r="FN159" s="21" t="str">
        <f t="shared" si="261"/>
        <v xml:space="preserve">for entrepreneurs(1,6.25),  </v>
      </c>
      <c r="FO159" s="21" t="str">
        <f t="shared" si="568"/>
        <v xml:space="preserve">for entrepreneurs(6.25), </v>
      </c>
      <c r="FP159" s="21" t="str">
        <f t="shared" si="566"/>
        <v xml:space="preserve"> </v>
      </c>
      <c r="FQ159" s="21" t="str">
        <f t="shared" si="262"/>
        <v xml:space="preserve">web(1,25), mobile apps(1,50), functions(1,25), interaction(1,25),  </v>
      </c>
      <c r="FR159" s="21" t="str">
        <f t="shared" si="567"/>
        <v xml:space="preserve">web 25
mobile apps 50
functions 25
interaction 25
 </v>
      </c>
      <c r="FS159" s="21" t="str">
        <f t="shared" si="263"/>
        <v xml:space="preserve">ease of access(1), reputation(2), for entrepreneurs(1),  </v>
      </c>
      <c r="FT159" s="21" t="str">
        <f t="shared" si="264"/>
        <v xml:space="preserve">for entrepreneurs(1,6.25),  </v>
      </c>
      <c r="FU159" s="21" t="str">
        <f t="shared" si="568"/>
        <v xml:space="preserve">for entrepreneurs(6.25), </v>
      </c>
      <c r="FV159" s="21" t="str">
        <f t="shared" si="566"/>
        <v xml:space="preserve"> </v>
      </c>
      <c r="FW159" s="21" t="str">
        <f t="shared" si="265"/>
        <v xml:space="preserve">mobile apps(1,50), sensors(1,50), wood processing(1,25), plastic processing(1,25), electronics(1,25), functions(1,25), interaction(1,25),  </v>
      </c>
      <c r="FX159" s="21" t="str">
        <f t="shared" si="567"/>
        <v xml:space="preserve">mobile apps 50
sensors 50
wood processing 25
plastic processing 25
electronics 25
functions 25
interaction 25
 </v>
      </c>
      <c r="FY159" s="21" t="str">
        <f t="shared" si="266"/>
        <v xml:space="preserve">ease of access(1), reputation(2), project management(2), for entrepreneurs(1),  </v>
      </c>
      <c r="FZ159" s="21" t="str">
        <f t="shared" si="267"/>
        <v xml:space="preserve">web(1,6.25), database(1,6.25), AI&amp; data analysis(1,6.25), mobile comm(1,6.25), for entrepreneurs(1,6.25),  </v>
      </c>
      <c r="GA159" s="21" t="str">
        <f t="shared" si="568"/>
        <v xml:space="preserve">web(6.25),database(6.25),AI&amp; data analysis(6.25),mobile comm(6.25),for entrepreneurs(6.25), </v>
      </c>
      <c r="GB159" s="21" t="str">
        <f t="shared" si="566"/>
        <v xml:space="preserve"> </v>
      </c>
      <c r="GC159" s="21" t="str">
        <f t="shared" si="268"/>
        <v xml:space="preserve">sensors(1,25), mobile comm(1,25), electronics(1,50), functions(1,25), safety(1,25),  </v>
      </c>
      <c r="GD159" s="21" t="str">
        <f t="shared" si="567"/>
        <v xml:space="preserve">sensors 25
mobile comm 25
electronics 50
functions 25
safety 25
 </v>
      </c>
      <c r="GE159" s="21" t="str">
        <f t="shared" si="269"/>
        <v xml:space="preserve">ease of access(1), reputation(2), project management(2), for entrepreneurs(1),  </v>
      </c>
      <c r="GF159" s="21" t="str">
        <f t="shared" si="270"/>
        <v xml:space="preserve">database(1,6.25), mobile apps(1,6.25), AI&amp; data analysis(1,6.25), plastic processing(1,6.25), interaction(1,6.25), for entrepreneurs(1,6.25),  </v>
      </c>
      <c r="GG159" s="21" t="str">
        <f t="shared" si="568"/>
        <v xml:space="preserve">database(6.25),mobile apps(6.25),AI&amp; data analysis(6.25),plastic processing(6.25),interaction(6.25),for entrepreneurs(6.25), </v>
      </c>
      <c r="GH159" s="21" t="str">
        <f t="shared" si="566"/>
        <v xml:space="preserve"> </v>
      </c>
      <c r="GI159" s="21" t="str">
        <f t="shared" si="271"/>
        <v xml:space="preserve">web(1,25), mobile apps(1,50), functions(1,25), interaction(1,25),  </v>
      </c>
      <c r="GJ159" s="21" t="str">
        <f t="shared" si="567"/>
        <v xml:space="preserve">web 25
mobile apps 50
functions 25
interaction 25
 </v>
      </c>
      <c r="GK159" s="21" t="str">
        <f t="shared" si="272"/>
        <v xml:space="preserve">ease of access(1), reputation(2), project management(2), for entrepreneurs(1),  </v>
      </c>
      <c r="GL159" s="21" t="str">
        <f t="shared" si="273"/>
        <v xml:space="preserve">for entrepreneurs(1,6.25),  </v>
      </c>
      <c r="GM159" s="21" t="str">
        <f t="shared" si="568"/>
        <v xml:space="preserve">for entrepreneurs(6.25), </v>
      </c>
      <c r="GN159" s="21" t="str">
        <f t="shared" si="566"/>
        <v xml:space="preserve"> </v>
      </c>
      <c r="GO159" s="21" t="str">
        <f t="shared" si="274"/>
        <v xml:space="preserve">web(1,25), mobile apps(1,25), VR&amp;AR(1,25), aesthetics(1,25), functions(1,25), interaction(1,50),  </v>
      </c>
      <c r="GP159" s="21" t="str">
        <f t="shared" si="567"/>
        <v xml:space="preserve">web 25
mobile apps 25
VR&amp;AR 25
aesthetics 25
functions 25
interaction 50
 </v>
      </c>
      <c r="GQ159" s="21" t="str">
        <f t="shared" si="275"/>
        <v xml:space="preserve">ease of access(1), reputation(2), project management(2), for entrepreneurs(1),  </v>
      </c>
      <c r="GR159" s="21" t="str">
        <f t="shared" si="276"/>
        <v xml:space="preserve">for entrepreneurs(1,6.25),  </v>
      </c>
      <c r="GS159" s="21" t="str">
        <f t="shared" si="568"/>
        <v xml:space="preserve">for entrepreneurs(6.25), </v>
      </c>
      <c r="GT159" s="21" t="str">
        <f t="shared" si="566"/>
        <v xml:space="preserve">ease of access 1
reputation 2
web 1
mobile apps 1
mobile comm 1
 </v>
      </c>
      <c r="GU159" s="21" t="str">
        <f t="shared" si="277"/>
        <v xml:space="preserve"> </v>
      </c>
      <c r="GV159" s="21" t="str">
        <f t="shared" si="567"/>
        <v xml:space="preserve"> </v>
      </c>
      <c r="GW159" s="21" t="str">
        <f t="shared" si="278"/>
        <v xml:space="preserve">ease of access(1), reputation(3), efficiency(2), user rules and manuals(1), organizational rules and manuals(1), business model(2), marketing(1), team building(1), project management(1), social media(1), infrastructrue(1), database(1), sensors(1), security(1), AI&amp; data analysis(1), electronics(1),  </v>
      </c>
      <c r="GX159" s="21" t="str">
        <f t="shared" si="279"/>
        <v xml:space="preserve">project management(1,6.25), social media(1,6.25), web(1,6.25), mobile apps(1,6.25),  </v>
      </c>
      <c r="GY159" s="21" t="str">
        <f t="shared" si="568"/>
        <v xml:space="preserve">project management(6.25),social media(6.25),web(6.25),mobile apps(6.25), </v>
      </c>
      <c r="GZ159" s="21" t="str">
        <f t="shared" si="569"/>
        <v xml:space="preserve">reputation 2
portfolio 1
 </v>
      </c>
      <c r="HA159" s="21" t="str">
        <f t="shared" si="281"/>
        <v xml:space="preserve"> </v>
      </c>
      <c r="HB159" s="21" t="str">
        <f t="shared" si="570"/>
        <v xml:space="preserve"> </v>
      </c>
      <c r="HC159" s="21" t="str">
        <f t="shared" si="283"/>
        <v xml:space="preserve">reputation(4), portfolio(3), social media(2), web(2), mobile apps(2), sensors(2), AI&amp; data analysis(2), VR&amp;AR(2), plastic processing(2), electronics(2), aesthetics(2), interaction(2),  </v>
      </c>
      <c r="HD159" s="21" t="str">
        <f t="shared" si="284"/>
        <v xml:space="preserve">reputation(1,6.25), start-up with customers(1,6.25), for basic literacy(1,6.25),  </v>
      </c>
      <c r="HE159" s="21" t="str">
        <f t="shared" si="571"/>
        <v xml:space="preserve">reputation(6.25),start-up with customers(6.25),for basic literacy(6.25), </v>
      </c>
      <c r="HF159" s="21" t="str">
        <f t="shared" si="569"/>
        <v xml:space="preserve"> </v>
      </c>
      <c r="HG159" s="21" t="str">
        <f t="shared" si="286"/>
        <v xml:space="preserve"> </v>
      </c>
      <c r="HH159" s="21" t="str">
        <f t="shared" si="570"/>
        <v xml:space="preserve"> </v>
      </c>
      <c r="HI159" s="21" t="str">
        <f t="shared" si="287"/>
        <v xml:space="preserve">portfolio(3), marketing(2), team building(3), project management(2), mobile apps(3), sensors(2), plastic processing(2), electronics(2), aesthetics(2), functions(2), interaction(2),  </v>
      </c>
      <c r="HJ159" s="21" t="str">
        <f t="shared" si="288"/>
        <v xml:space="preserve">start-up with customers(1,6.25),  </v>
      </c>
      <c r="HK159" s="21" t="str">
        <f t="shared" si="571"/>
        <v xml:space="preserve">start-up with customers(6.25), </v>
      </c>
      <c r="HL159" s="21" t="str">
        <f t="shared" si="569"/>
        <v xml:space="preserve">reputation 2
portfolio 2
 </v>
      </c>
      <c r="HM159" s="21" t="str">
        <f t="shared" si="289"/>
        <v xml:space="preserve"> </v>
      </c>
      <c r="HN159" s="21" t="str">
        <f t="shared" si="570"/>
        <v xml:space="preserve"> </v>
      </c>
      <c r="HO159" s="21" t="str">
        <f t="shared" si="290"/>
        <v xml:space="preserve">ease of access(2), reputation(3), efficiency(2), portfolio(4), finance(2), marketing(2), project management(2), social media(2), web(3), mobile apps(2), wood processing(3), plastic processing(3), electronics(3), aesthetics(2), interaction(2),  </v>
      </c>
      <c r="HP159" s="21" t="str">
        <f t="shared" si="291"/>
        <v xml:space="preserve">reputation(1,6.25),  </v>
      </c>
      <c r="HQ159" s="47" t="str">
        <f t="shared" si="571"/>
        <v xml:space="preserve">reputation(6.25), </v>
      </c>
      <c r="HR159" s="47" t="str">
        <f t="shared" ref="HR159:HW159" si="592">IF(HR57="",HR160,$C159&amp;"("&amp;HR57&amp;"),"&amp;HR160)</f>
        <v xml:space="preserve">reputation(2),portfolio(2),mobile apps(1),sensors(1),wood processing(1),aesthetics(1), </v>
      </c>
      <c r="HS159" s="47" t="str">
        <f t="shared" si="592"/>
        <v xml:space="preserve"> </v>
      </c>
      <c r="HT159" s="47" t="str">
        <f t="shared" si="592"/>
        <v xml:space="preserve"> </v>
      </c>
      <c r="HU159" s="47" t="str">
        <f t="shared" si="592"/>
        <v xml:space="preserve">reputation(3),efficiency(2),portfolio(3),project management(2),social media(2),web(3),infrastructrue(3),database(3),mobile apps(3),sensors(3),AI&amp; data analysis(3),mobile comm(3),VR&amp;AR(3),wood processing(3),metal processing(2),plastic processing(2),electronics(2),fabric(2),aesthetics(2),interaction(2),start-up with mvp(1), </v>
      </c>
      <c r="HV159" s="47" t="str">
        <f t="shared" si="592"/>
        <v xml:space="preserve">reputation(1), </v>
      </c>
      <c r="HW159" s="47" t="str">
        <f t="shared" si="592"/>
        <v xml:space="preserve">reputation(6.25), </v>
      </c>
      <c r="HX159" s="47" t="str">
        <f t="shared" ref="HX159:IU159" si="593">IF(HX57="",HX160,$C159&amp;"("&amp;HX57&amp;"),"&amp;HX160)</f>
        <v xml:space="preserve">reputation(3),portfolio(2),web(1),infrastructrue(1),database(2),mobile apps(1),sensors(1),AI&amp; data analysis(2),VR&amp;AR(1),wood processing(1),metal processing(1),plastic processing(1),electronics(1),aesthetics(1),functions(1),interaction(1), </v>
      </c>
      <c r="HY159" s="47" t="str">
        <f t="shared" si="593"/>
        <v xml:space="preserve">biz enhancement(1), </v>
      </c>
      <c r="HZ159" s="47" t="str">
        <f t="shared" si="593"/>
        <v xml:space="preserve">biz enhancement(100), </v>
      </c>
      <c r="IA159" s="47" t="str">
        <f t="shared" si="593"/>
        <v xml:space="preserve">ease of access(3),efficiency(2),portfolio(4),finance(2),business model(2),marketing(3),team building(2),project management(2),social media(3),negotiation(3), </v>
      </c>
      <c r="IB159" s="47" t="str">
        <f t="shared" si="593"/>
        <v xml:space="preserve">reputation(1),team building(1),database(1),AI&amp; data analysis(1),electronics(1),functions(1), </v>
      </c>
      <c r="IC159" s="47" t="str">
        <f t="shared" si="593"/>
        <v xml:space="preserve">reputation(6.25),team building(6.25),database(6.25),AI&amp; data analysis(6.25),electronics(6.25),functions(6.25), </v>
      </c>
      <c r="ID159" s="47" t="str">
        <f t="shared" si="593"/>
        <v xml:space="preserve"> </v>
      </c>
      <c r="IE159" s="47" t="str">
        <f t="shared" si="593"/>
        <v xml:space="preserve">web(1),mobile apps(1),security(1),AI&amp; data analysis(1), </v>
      </c>
      <c r="IF159" s="47" t="str">
        <f t="shared" si="593"/>
        <v xml:space="preserve">web(25),mobile apps(25),security(25),AI&amp; data analysis(25), </v>
      </c>
      <c r="IG159" s="47" t="str">
        <f t="shared" si="593"/>
        <v xml:space="preserve">ease of access(2),reputation(3),efficiency(2),portfolio(3),web(2),database(2),mobile apps(2),security(2),AI&amp; data analysis(2), </v>
      </c>
      <c r="IH159" s="47" t="str">
        <f t="shared" si="593"/>
        <v xml:space="preserve">web(1),database(1),mobile apps(1),security(1),AI&amp; data analysis(1), </v>
      </c>
      <c r="II159" s="47" t="str">
        <f t="shared" si="593"/>
        <v xml:space="preserve">web(6.25),database(6.25),mobile apps(6.25),security(6.25),AI&amp; data analysis(6.25), </v>
      </c>
      <c r="IJ159" s="47" t="str">
        <f t="shared" si="593"/>
        <v xml:space="preserve"> </v>
      </c>
      <c r="IK159" s="47" t="str">
        <f t="shared" si="593"/>
        <v xml:space="preserve">wood processing(1),metal processing(1),functions(1),safety(1), </v>
      </c>
      <c r="IL159" s="47" t="str">
        <f t="shared" si="593"/>
        <v xml:space="preserve">wood processing(25),metal processing(25),functions(25),safety(25), </v>
      </c>
      <c r="IM159" s="47" t="str">
        <f t="shared" si="593"/>
        <v xml:space="preserve">ease of access(2),reputation(3),efficiency(2),portfolio(3),wood processing(2),metal processing(2),functions(2),safety(2), </v>
      </c>
      <c r="IN159" s="47" t="str">
        <f t="shared" si="593"/>
        <v xml:space="preserve">wood processing(1),metal processing(1),functions(1),safety(1),interaction(1), </v>
      </c>
      <c r="IO159" s="47" t="str">
        <f t="shared" si="593"/>
        <v xml:space="preserve">wood processing(6.25),metal processing(6.25),functions(6.25),safety(6.25),interaction(6.25), </v>
      </c>
      <c r="IP159" s="57" t="str">
        <f t="shared" si="593"/>
        <v xml:space="preserve">reputation(1), </v>
      </c>
      <c r="IQ159" s="47" t="str">
        <f t="shared" si="593"/>
        <v xml:space="preserve">marketing(1), </v>
      </c>
      <c r="IR159" s="47" t="str">
        <f t="shared" si="593"/>
        <v xml:space="preserve">marketing(25), </v>
      </c>
      <c r="IS159" s="47" t="str">
        <f t="shared" si="593"/>
        <v xml:space="preserve">reputation(3),efficiency(2),marketing(2), </v>
      </c>
      <c r="IT159" s="47" t="str">
        <f t="shared" si="593"/>
        <v xml:space="preserve">marketing(1), </v>
      </c>
      <c r="IU159" s="47" t="str">
        <f t="shared" si="593"/>
        <v xml:space="preserve">marketing(6.25), </v>
      </c>
      <c r="IV159" s="57" t="str">
        <f t="shared" ref="IV159:LG159" si="594">IF(IV57="",IV160,$C159&amp;"("&amp;IV57&amp;"),"&amp;IV160)</f>
        <v xml:space="preserve">reputation(1), </v>
      </c>
      <c r="IW159" s="47" t="str">
        <f t="shared" si="594"/>
        <v xml:space="preserve">marketing(1), </v>
      </c>
      <c r="IX159" s="47" t="str">
        <f t="shared" si="594"/>
        <v xml:space="preserve">marketing(25), </v>
      </c>
      <c r="IY159" s="47" t="str">
        <f t="shared" si="594"/>
        <v xml:space="preserve">reputation(3),efficiency(2),marketing(2), </v>
      </c>
      <c r="IZ159" s="47" t="str">
        <f t="shared" si="594"/>
        <v xml:space="preserve">marketing(1), </v>
      </c>
      <c r="JA159" s="47" t="str">
        <f t="shared" si="594"/>
        <v xml:space="preserve">marketing(6.25), </v>
      </c>
      <c r="JB159" s="47" t="str">
        <f t="shared" si="594"/>
        <v xml:space="preserve"> </v>
      </c>
      <c r="JC159" s="47" t="str">
        <f t="shared" si="594"/>
        <v xml:space="preserve"> </v>
      </c>
      <c r="JD159" s="47" t="str">
        <f t="shared" si="594"/>
        <v xml:space="preserve"> </v>
      </c>
      <c r="JE159" s="47" t="str">
        <f t="shared" si="594"/>
        <v xml:space="preserve">ease of access(1),reputation(3),efficiency(2), </v>
      </c>
      <c r="JF159" s="47" t="str">
        <f t="shared" si="594"/>
        <v xml:space="preserve">web(1),infrastructrue(1),database(1),mobile apps(1),sensors(1),security(1),AI&amp; data analysis(1),mobile comm(1),VR&amp;AR(1),wood processing(1),metal processing(1),plastic processing(1),electronics(1),fabric(1),aesthetics(1),functions(1),safety(1),interaction(1), </v>
      </c>
      <c r="JG159" s="47" t="str">
        <f t="shared" si="594"/>
        <v xml:space="preserve">web(6.25),infrastructrue(6.25),database(6.25),mobile apps(6.25),sensors(6.25),security(6.25),AI&amp; data analysis(6.25),mobile comm(6.25),VR&amp;AR(6.25),wood processing(6.25),metal processing(6.25),plastic processing(6.25),electronics(6.25),fabric(6.25),aesthetics(6.25),functions(6.25),safety(6.25),interaction(6.25), </v>
      </c>
      <c r="JH159" s="47" t="str">
        <f t="shared" si="594"/>
        <v xml:space="preserve">reputation(2), </v>
      </c>
      <c r="JI159" s="47" t="str">
        <f t="shared" si="594"/>
        <v xml:space="preserve"> </v>
      </c>
      <c r="JJ159" s="47" t="str">
        <f t="shared" si="594"/>
        <v xml:space="preserve"> </v>
      </c>
      <c r="JK159" s="47" t="str">
        <f t="shared" si="594"/>
        <v xml:space="preserve">reputation(3),portfolio(2),social media(2),negotiation(2),social project(1),social innovation(1),non-profit biz(1),biz project(1),biz enhancement(1),job creation(1),business(1),start-up(1),start-up with mvp(1),start-up with customers(1),for basic literacy(1),for the elites(1),for entrepreneurs(1), </v>
      </c>
      <c r="JL159" s="47" t="str">
        <f t="shared" si="594"/>
        <v xml:space="preserve"> </v>
      </c>
      <c r="JM159" s="47" t="str">
        <f t="shared" si="594"/>
        <v xml:space="preserve"> </v>
      </c>
      <c r="JN159" s="47" t="str">
        <f t="shared" si="594"/>
        <v xml:space="preserve">reputation(2),portfolio(2), </v>
      </c>
      <c r="JO159" s="47" t="str">
        <f t="shared" si="594"/>
        <v xml:space="preserve"> </v>
      </c>
      <c r="JP159" s="47" t="str">
        <f t="shared" si="594"/>
        <v xml:space="preserve"> </v>
      </c>
      <c r="JQ159" s="47" t="str">
        <f t="shared" si="594"/>
        <v xml:space="preserve">ease of access(1),reputation(3),efficiency(1),portfolio(3),organizational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59" s="47" t="str">
        <f t="shared" si="594"/>
        <v xml:space="preserve"> </v>
      </c>
      <c r="JS159" s="47" t="str">
        <f t="shared" si="594"/>
        <v xml:space="preserve"> </v>
      </c>
      <c r="JT159" s="47" t="str">
        <f t="shared" si="594"/>
        <v xml:space="preserve">reputation(2),portfolio(3), </v>
      </c>
      <c r="JU159" s="47" t="str">
        <f t="shared" si="594"/>
        <v xml:space="preserve"> </v>
      </c>
      <c r="JV159" s="47" t="str">
        <f t="shared" si="594"/>
        <v xml:space="preserve"> </v>
      </c>
      <c r="JW159" s="47" t="str">
        <f t="shared" si="594"/>
        <v xml:space="preserve">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59" s="47" t="str">
        <f t="shared" si="594"/>
        <v xml:space="preserve"> </v>
      </c>
      <c r="JY159" s="47" t="str">
        <f t="shared" si="594"/>
        <v xml:space="preserve"> </v>
      </c>
      <c r="JZ159" s="47" t="str">
        <f t="shared" si="594"/>
        <v xml:space="preserve">reputation(2),social project(2), </v>
      </c>
      <c r="KA159" s="47" t="str">
        <f t="shared" si="594"/>
        <v xml:space="preserve"> </v>
      </c>
      <c r="KB159" s="47" t="str">
        <f t="shared" si="594"/>
        <v xml:space="preserve"> </v>
      </c>
      <c r="KC159" s="47" t="str">
        <f t="shared" si="594"/>
        <v xml:space="preserve">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59" s="47" t="str">
        <f t="shared" si="594"/>
        <v xml:space="preserve"> </v>
      </c>
      <c r="KE159" s="47" t="str">
        <f t="shared" si="594"/>
        <v xml:space="preserve"> </v>
      </c>
      <c r="KF159" s="47" t="str">
        <f t="shared" si="594"/>
        <v xml:space="preserve"> </v>
      </c>
      <c r="KG159" s="47" t="str">
        <f t="shared" si="594"/>
        <v xml:space="preserve"> </v>
      </c>
      <c r="KH159" s="47" t="str">
        <f t="shared" si="594"/>
        <v xml:space="preserve"> </v>
      </c>
      <c r="KI159" s="47" t="str">
        <f t="shared" si="594"/>
        <v xml:space="preserve"> </v>
      </c>
      <c r="KJ159" s="47" t="str">
        <f t="shared" si="594"/>
        <v xml:space="preserve"> </v>
      </c>
      <c r="KK159" s="47" t="str">
        <f t="shared" si="594"/>
        <v xml:space="preserve"> </v>
      </c>
      <c r="KL159" s="57" t="str">
        <f t="shared" si="594"/>
        <v xml:space="preserve"> </v>
      </c>
      <c r="KM159" s="47" t="str">
        <f t="shared" si="594"/>
        <v xml:space="preserve"> </v>
      </c>
      <c r="KN159" s="47" t="str">
        <f t="shared" si="594"/>
        <v xml:space="preserve"> </v>
      </c>
      <c r="KO159" s="47" t="str">
        <f t="shared" si="594"/>
        <v xml:space="preserve"> </v>
      </c>
      <c r="KP159" s="47" t="str">
        <f t="shared" si="594"/>
        <v xml:space="preserve"> </v>
      </c>
      <c r="KQ159" s="47" t="str">
        <f t="shared" si="594"/>
        <v xml:space="preserve"> </v>
      </c>
      <c r="KR159" s="57" t="str">
        <f t="shared" si="594"/>
        <v xml:space="preserve"> </v>
      </c>
      <c r="KS159" s="47" t="str">
        <f t="shared" si="594"/>
        <v xml:space="preserve"> </v>
      </c>
      <c r="KT159" s="47" t="str">
        <f t="shared" si="594"/>
        <v xml:space="preserve"> </v>
      </c>
      <c r="KU159" s="47" t="str">
        <f t="shared" si="594"/>
        <v xml:space="preserve"> </v>
      </c>
      <c r="KV159" s="47" t="str">
        <f t="shared" si="594"/>
        <v xml:space="preserve"> </v>
      </c>
      <c r="KW159" s="47" t="str">
        <f t="shared" si="594"/>
        <v xml:space="preserve"> </v>
      </c>
      <c r="KX159" s="57" t="str">
        <f t="shared" si="594"/>
        <v xml:space="preserve"> </v>
      </c>
      <c r="KY159" s="47" t="str">
        <f t="shared" si="594"/>
        <v xml:space="preserve"> </v>
      </c>
      <c r="KZ159" s="47" t="str">
        <f t="shared" si="594"/>
        <v xml:space="preserve"> </v>
      </c>
      <c r="LA159" s="47" t="str">
        <f t="shared" si="594"/>
        <v xml:space="preserve"> </v>
      </c>
      <c r="LB159" s="47" t="str">
        <f t="shared" si="594"/>
        <v xml:space="preserve"> </v>
      </c>
      <c r="LC159" s="47" t="str">
        <f t="shared" si="594"/>
        <v xml:space="preserve"> </v>
      </c>
      <c r="LD159" s="57" t="str">
        <f t="shared" si="594"/>
        <v xml:space="preserve"> </v>
      </c>
      <c r="LE159" s="47" t="str">
        <f t="shared" si="594"/>
        <v xml:space="preserve"> </v>
      </c>
      <c r="LF159" s="47" t="str">
        <f t="shared" si="594"/>
        <v xml:space="preserve"> </v>
      </c>
      <c r="LG159" s="47" t="str">
        <f t="shared" si="594"/>
        <v xml:space="preserve"> </v>
      </c>
      <c r="LH159" s="47" t="str">
        <f t="shared" ref="LH159:NM159" si="595">IF(LH57="",LH160,$C159&amp;"("&amp;LH57&amp;"),"&amp;LH160)</f>
        <v xml:space="preserve"> </v>
      </c>
      <c r="LI159" s="47" t="str">
        <f t="shared" si="595"/>
        <v xml:space="preserve"> </v>
      </c>
      <c r="LJ159" s="57" t="str">
        <f t="shared" si="595"/>
        <v xml:space="preserve"> </v>
      </c>
      <c r="LK159" s="47" t="str">
        <f t="shared" si="595"/>
        <v xml:space="preserve"> </v>
      </c>
      <c r="LL159" s="47" t="str">
        <f t="shared" si="595"/>
        <v xml:space="preserve"> </v>
      </c>
      <c r="LM159" s="47" t="str">
        <f t="shared" si="595"/>
        <v xml:space="preserve"> </v>
      </c>
      <c r="LN159" s="47" t="str">
        <f t="shared" si="595"/>
        <v xml:space="preserve"> </v>
      </c>
      <c r="LO159" s="47" t="str">
        <f t="shared" si="595"/>
        <v xml:space="preserve"> </v>
      </c>
      <c r="LP159" s="57" t="str">
        <f t="shared" si="595"/>
        <v xml:space="preserve"> </v>
      </c>
      <c r="LQ159" s="47" t="str">
        <f t="shared" si="595"/>
        <v xml:space="preserve"> </v>
      </c>
      <c r="LR159" s="47" t="str">
        <f t="shared" si="595"/>
        <v xml:space="preserve"> </v>
      </c>
      <c r="LS159" s="47" t="str">
        <f t="shared" si="595"/>
        <v xml:space="preserve"> </v>
      </c>
      <c r="LT159" s="47" t="str">
        <f t="shared" si="595"/>
        <v xml:space="preserve"> </v>
      </c>
      <c r="LU159" s="47" t="str">
        <f t="shared" si="595"/>
        <v xml:space="preserve"> </v>
      </c>
      <c r="LV159" s="57" t="str">
        <f t="shared" si="595"/>
        <v xml:space="preserve"> </v>
      </c>
      <c r="LW159" s="47" t="str">
        <f t="shared" si="595"/>
        <v xml:space="preserve"> </v>
      </c>
      <c r="LX159" s="47" t="str">
        <f t="shared" si="595"/>
        <v xml:space="preserve"> </v>
      </c>
      <c r="LY159" s="47" t="str">
        <f t="shared" si="595"/>
        <v xml:space="preserve"> </v>
      </c>
      <c r="LZ159" s="47" t="str">
        <f t="shared" si="595"/>
        <v xml:space="preserve"> </v>
      </c>
      <c r="MA159" s="47" t="str">
        <f t="shared" si="595"/>
        <v xml:space="preserve"> </v>
      </c>
      <c r="MB159" s="57" t="str">
        <f t="shared" si="595"/>
        <v xml:space="preserve"> </v>
      </c>
      <c r="MC159" s="47" t="str">
        <f t="shared" si="595"/>
        <v xml:space="preserve"> </v>
      </c>
      <c r="MD159" s="47" t="str">
        <f t="shared" si="595"/>
        <v xml:space="preserve"> </v>
      </c>
      <c r="ME159" s="47" t="str">
        <f t="shared" si="595"/>
        <v xml:space="preserve"> </v>
      </c>
      <c r="MF159" s="47" t="str">
        <f t="shared" si="595"/>
        <v xml:space="preserve"> </v>
      </c>
      <c r="MG159" s="47" t="str">
        <f t="shared" si="595"/>
        <v xml:space="preserve"> </v>
      </c>
      <c r="MH159" s="57" t="str">
        <f t="shared" si="595"/>
        <v xml:space="preserve"> </v>
      </c>
      <c r="MI159" s="47" t="str">
        <f t="shared" si="595"/>
        <v xml:space="preserve"> </v>
      </c>
      <c r="MJ159" s="47" t="str">
        <f t="shared" si="595"/>
        <v xml:space="preserve"> </v>
      </c>
      <c r="MK159" s="47" t="str">
        <f t="shared" si="595"/>
        <v xml:space="preserve"> </v>
      </c>
      <c r="ML159" s="47" t="str">
        <f t="shared" si="595"/>
        <v xml:space="preserve"> </v>
      </c>
      <c r="MM159" s="47" t="str">
        <f t="shared" si="595"/>
        <v xml:space="preserve"> </v>
      </c>
      <c r="MN159" s="57" t="str">
        <f t="shared" si="595"/>
        <v xml:space="preserve"> </v>
      </c>
      <c r="MO159" s="47" t="str">
        <f t="shared" si="595"/>
        <v xml:space="preserve"> </v>
      </c>
      <c r="MP159" s="47" t="str">
        <f t="shared" si="595"/>
        <v xml:space="preserve"> </v>
      </c>
      <c r="MQ159" s="47" t="str">
        <f t="shared" si="595"/>
        <v xml:space="preserve"> </v>
      </c>
      <c r="MR159" s="47" t="str">
        <f t="shared" si="595"/>
        <v xml:space="preserve"> </v>
      </c>
      <c r="MS159" s="47" t="str">
        <f t="shared" si="595"/>
        <v xml:space="preserve"> </v>
      </c>
      <c r="MT159" s="57" t="str">
        <f t="shared" si="595"/>
        <v xml:space="preserve"> </v>
      </c>
      <c r="MU159" s="47" t="str">
        <f t="shared" si="595"/>
        <v xml:space="preserve"> </v>
      </c>
      <c r="MV159" s="47" t="str">
        <f t="shared" si="595"/>
        <v xml:space="preserve"> </v>
      </c>
      <c r="MW159" s="47" t="str">
        <f t="shared" si="595"/>
        <v xml:space="preserve"> </v>
      </c>
      <c r="MX159" s="47" t="str">
        <f t="shared" si="595"/>
        <v xml:space="preserve"> </v>
      </c>
      <c r="MY159" s="47" t="str">
        <f t="shared" si="595"/>
        <v xml:space="preserve"> </v>
      </c>
      <c r="MZ159" s="57" t="str">
        <f t="shared" si="595"/>
        <v xml:space="preserve"> </v>
      </c>
      <c r="NA159" s="47" t="str">
        <f t="shared" si="595"/>
        <v xml:space="preserve"> </v>
      </c>
      <c r="NB159" s="47" t="str">
        <f t="shared" si="595"/>
        <v xml:space="preserve"> </v>
      </c>
      <c r="NC159" s="47" t="str">
        <f t="shared" si="595"/>
        <v xml:space="preserve"> </v>
      </c>
      <c r="ND159" s="47" t="str">
        <f t="shared" si="595"/>
        <v xml:space="preserve"> </v>
      </c>
      <c r="NE159" s="47" t="str">
        <f t="shared" si="595"/>
        <v xml:space="preserve"> </v>
      </c>
      <c r="NF159" s="57" t="str">
        <f t="shared" si="595"/>
        <v xml:space="preserve"> </v>
      </c>
      <c r="NG159" s="47" t="str">
        <f t="shared" si="595"/>
        <v xml:space="preserve"> </v>
      </c>
      <c r="NH159" s="47" t="str">
        <f t="shared" si="595"/>
        <v xml:space="preserve"> </v>
      </c>
      <c r="NI159" s="47" t="str">
        <f t="shared" si="595"/>
        <v xml:space="preserve"> </v>
      </c>
      <c r="NJ159" s="47" t="str">
        <f t="shared" si="595"/>
        <v xml:space="preserve"> </v>
      </c>
      <c r="NK159" s="47" t="str">
        <f t="shared" si="595"/>
        <v xml:space="preserve"> </v>
      </c>
      <c r="NL159" s="57" t="str">
        <f t="shared" si="595"/>
        <v xml:space="preserve"> </v>
      </c>
      <c r="NM159" s="47" t="str">
        <f t="shared" si="595"/>
        <v xml:space="preserve"> </v>
      </c>
    </row>
    <row r="160" spans="3:377" ht="15.75" customHeight="1">
      <c r="C160" s="7" t="str">
        <f t="shared" si="296"/>
        <v>reputation</v>
      </c>
      <c r="D160" s="21" t="str">
        <f t="shared" si="169"/>
        <v xml:space="preserve"> </v>
      </c>
      <c r="E160" s="21" t="str">
        <f t="shared" si="297"/>
        <v xml:space="preserve"> </v>
      </c>
      <c r="F160" s="21" t="str">
        <f t="shared" si="170"/>
        <v xml:space="preserve"> </v>
      </c>
      <c r="G160" s="21" t="str">
        <f t="shared" si="298"/>
        <v xml:space="preserve">reputation(2), social media(1),  </v>
      </c>
      <c r="H160" s="21" t="str">
        <f t="shared" si="299"/>
        <v xml:space="preserve"> </v>
      </c>
      <c r="I160" s="21" t="str">
        <f t="shared" ref="I160" si="596">IF(I58="",I161,$C160&amp;"("&amp;I58&amp;"),"&amp;I161)</f>
        <v xml:space="preserve"> </v>
      </c>
      <c r="J160" s="21" t="str">
        <f t="shared" si="560"/>
        <v xml:space="preserve">interaction 1
 </v>
      </c>
      <c r="K160" s="21" t="str">
        <f t="shared" si="173"/>
        <v xml:space="preserve">reputation(1,75),  </v>
      </c>
      <c r="L160" s="21" t="str">
        <f t="shared" si="561"/>
        <v xml:space="preserve">reputation 75
 </v>
      </c>
      <c r="M160" s="21" t="str">
        <f t="shared" si="175"/>
        <v xml:space="preserve">portfolio(1), social innovation(1), non-profit biz(1),  </v>
      </c>
      <c r="N160" s="21" t="str">
        <f t="shared" si="176"/>
        <v xml:space="preserve">reputation(1,75), marketing(1,12.5),  </v>
      </c>
      <c r="O160" s="21" t="str">
        <f t="shared" si="562"/>
        <v xml:space="preserve">reputation(75),marketing(12.5), </v>
      </c>
      <c r="P160" s="21" t="str">
        <f t="shared" si="560"/>
        <v xml:space="preserve">biz project 1
 </v>
      </c>
      <c r="Q160" s="21" t="str">
        <f t="shared" si="178"/>
        <v xml:space="preserve"> </v>
      </c>
      <c r="R160" s="21" t="str">
        <f t="shared" si="561"/>
        <v xml:space="preserve"> </v>
      </c>
      <c r="S160" s="21" t="str">
        <f t="shared" si="179"/>
        <v xml:space="preserve">portfolio(1), biz enhancement(1), business(1), start-up(1),  </v>
      </c>
      <c r="T160" s="21" t="str">
        <f t="shared" si="180"/>
        <v xml:space="preserve">reputation(1,6.25),  </v>
      </c>
      <c r="U160" s="21" t="str">
        <f t="shared" si="562"/>
        <v xml:space="preserve">reputation(6.25), </v>
      </c>
      <c r="V160" s="21" t="str">
        <f t="shared" si="560"/>
        <v xml:space="preserve"> </v>
      </c>
      <c r="W160" s="21" t="str">
        <f t="shared" si="181"/>
        <v xml:space="preserve"> </v>
      </c>
      <c r="X160" s="21" t="str">
        <f t="shared" si="561"/>
        <v xml:space="preserve"> </v>
      </c>
      <c r="Y160" s="21" t="str">
        <f t="shared" si="182"/>
        <v xml:space="preserve">reputation(1), portfolio(1), biz project(1), biz enhancement(1), job creation(1), business(1),  </v>
      </c>
      <c r="Z160" s="21" t="str">
        <f t="shared" si="183"/>
        <v xml:space="preserve"> </v>
      </c>
      <c r="AA160" s="21" t="str">
        <f t="shared" si="562"/>
        <v xml:space="preserve"> </v>
      </c>
      <c r="AB160" s="21" t="str">
        <f t="shared" si="560"/>
        <v xml:space="preserve"> </v>
      </c>
      <c r="AC160" s="21" t="str">
        <f t="shared" si="184"/>
        <v xml:space="preserve"> </v>
      </c>
      <c r="AD160" s="21" t="str">
        <f t="shared" si="561"/>
        <v xml:space="preserve"> </v>
      </c>
      <c r="AE160" s="21" t="str">
        <f t="shared" si="185"/>
        <v xml:space="preserve">reputation(1), portfolio(1), social project(1), social innovation(1), non-profit biz(1),  </v>
      </c>
      <c r="AF160" s="21" t="str">
        <f t="shared" si="186"/>
        <v xml:space="preserve"> </v>
      </c>
      <c r="AG160" s="21" t="str">
        <f t="shared" si="562"/>
        <v xml:space="preserve"> </v>
      </c>
      <c r="AH160" s="21" t="str">
        <f t="shared" si="560"/>
        <v xml:space="preserve"> </v>
      </c>
      <c r="AI160" s="21" t="str">
        <f t="shared" si="187"/>
        <v xml:space="preserve"> </v>
      </c>
      <c r="AJ160" s="21" t="str">
        <f t="shared" si="561"/>
        <v xml:space="preserve"> </v>
      </c>
      <c r="AK160" s="21" t="str">
        <f t="shared" si="188"/>
        <v xml:space="preserve">reputation(2), portfolio(1), social project(1), social innovation(1), non-profit biz(1),  </v>
      </c>
      <c r="AL160" s="21" t="str">
        <f t="shared" si="189"/>
        <v xml:space="preserve"> </v>
      </c>
      <c r="AM160" s="21" t="str">
        <f t="shared" si="562"/>
        <v xml:space="preserve"> </v>
      </c>
      <c r="AN160" s="21" t="str">
        <f t="shared" si="560"/>
        <v xml:space="preserve"> </v>
      </c>
      <c r="AO160" s="21" t="str">
        <f t="shared" si="190"/>
        <v xml:space="preserve"> </v>
      </c>
      <c r="AP160" s="21" t="str">
        <f t="shared" si="561"/>
        <v xml:space="preserve"> </v>
      </c>
      <c r="AQ160" s="21" t="str">
        <f t="shared" si="191"/>
        <v xml:space="preserve">reputation(1), portfolio(1), start-up(1), start-up with mvp(1), start-up with customers(1),  </v>
      </c>
      <c r="AR160" s="21" t="str">
        <f t="shared" si="192"/>
        <v xml:space="preserve"> </v>
      </c>
      <c r="AS160" s="21" t="str">
        <f t="shared" si="562"/>
        <v xml:space="preserve"> </v>
      </c>
      <c r="AT160" s="21" t="str">
        <f t="shared" si="560"/>
        <v xml:space="preserve">reputation 1
portfolio 1
social project 1
 </v>
      </c>
      <c r="AU160" s="21" t="str">
        <f t="shared" si="193"/>
        <v xml:space="preserve"> </v>
      </c>
      <c r="AV160" s="21" t="str">
        <f t="shared" si="561"/>
        <v xml:space="preserve"> </v>
      </c>
      <c r="AW160" s="21" t="str">
        <f t="shared" si="194"/>
        <v xml:space="preserve">project management(2),  </v>
      </c>
      <c r="AX160" s="21" t="str">
        <f t="shared" si="195"/>
        <v xml:space="preserve">organizational rules and manuals(1,12.5), project management(1,12.5),  </v>
      </c>
      <c r="AY160" s="21" t="str">
        <f t="shared" si="562"/>
        <v xml:space="preserve">organizational rules and manuals(12.5),project management(12.5), </v>
      </c>
      <c r="AZ160" s="21" t="str">
        <f t="shared" si="560"/>
        <v xml:space="preserve"> </v>
      </c>
      <c r="BA160" s="21" t="str">
        <f t="shared" si="196"/>
        <v xml:space="preserve"> </v>
      </c>
      <c r="BB160" s="21" t="str">
        <f t="shared" si="561"/>
        <v xml:space="preserve"> </v>
      </c>
      <c r="BC160" s="21" t="str">
        <f t="shared" si="197"/>
        <v xml:space="preserve"> </v>
      </c>
      <c r="BD160" s="21" t="str">
        <f t="shared" si="198"/>
        <v xml:space="preserve"> </v>
      </c>
      <c r="BE160" s="21" t="str">
        <f t="shared" si="562"/>
        <v xml:space="preserve"> </v>
      </c>
      <c r="BF160" s="21" t="str">
        <f t="shared" si="560"/>
        <v xml:space="preserve">reputation 1
portfolio 1
biz project 1
 </v>
      </c>
      <c r="BG160" s="21" t="str">
        <f t="shared" si="199"/>
        <v xml:space="preserve"> </v>
      </c>
      <c r="BH160" s="21" t="str">
        <f t="shared" si="561"/>
        <v xml:space="preserve"> </v>
      </c>
      <c r="BI160" s="21" t="str">
        <f t="shared" si="200"/>
        <v xml:space="preserve">project management(2),  </v>
      </c>
      <c r="BJ160" s="21" t="str">
        <f t="shared" si="201"/>
        <v xml:space="preserve">organizational rules and manuals(1,12.5), project management(1,12.5),  </v>
      </c>
      <c r="BK160" s="21" t="str">
        <f t="shared" si="562"/>
        <v xml:space="preserve">organizational rules and manuals(12.5),project management(12.5), </v>
      </c>
      <c r="BL160" s="21" t="str">
        <f t="shared" si="560"/>
        <v xml:space="preserve">reputation 1
portfolio 1
biz enhancement 1
 </v>
      </c>
      <c r="BM160" s="21" t="str">
        <f t="shared" si="202"/>
        <v xml:space="preserve"> </v>
      </c>
      <c r="BN160" s="21" t="str">
        <f t="shared" si="561"/>
        <v xml:space="preserve"> </v>
      </c>
      <c r="BO160" s="21" t="str">
        <f t="shared" si="203"/>
        <v xml:space="preserve"> </v>
      </c>
      <c r="BP160" s="21" t="str">
        <f t="shared" si="204"/>
        <v xml:space="preserve"> </v>
      </c>
      <c r="BQ160" s="21" t="str">
        <f t="shared" si="562"/>
        <v xml:space="preserve"> </v>
      </c>
      <c r="BR160" s="21" t="str">
        <f t="shared" si="560"/>
        <v xml:space="preserve"> </v>
      </c>
      <c r="BS160" s="21" t="str">
        <f t="shared" si="205"/>
        <v xml:space="preserve"> </v>
      </c>
      <c r="BT160" s="21" t="str">
        <f t="shared" si="561"/>
        <v xml:space="preserve"> </v>
      </c>
      <c r="BU160" s="21" t="str">
        <f t="shared" si="206"/>
        <v xml:space="preserve"> </v>
      </c>
      <c r="BV160" s="21" t="str">
        <f t="shared" si="207"/>
        <v xml:space="preserve"> </v>
      </c>
      <c r="BW160" s="21" t="str">
        <f t="shared" si="562"/>
        <v xml:space="preserve"> </v>
      </c>
      <c r="BX160" s="21" t="str">
        <f t="shared" si="563"/>
        <v xml:space="preserve"> </v>
      </c>
      <c r="BY160" s="21" t="str">
        <f t="shared" si="209"/>
        <v xml:space="preserve">efficiency(1,),  </v>
      </c>
      <c r="BZ160" s="21" t="str">
        <f t="shared" si="564"/>
        <v xml:space="preserve"> </v>
      </c>
      <c r="CA160" s="21" t="str">
        <f t="shared" si="211"/>
        <v xml:space="preserve">negotiation(1),  </v>
      </c>
      <c r="CB160" s="21" t="str">
        <f t="shared" si="212"/>
        <v xml:space="preserve">user rules and manuals(1,50), organizational rules and manuals(1,50),  </v>
      </c>
      <c r="CC160" s="21" t="str">
        <f t="shared" si="565"/>
        <v xml:space="preserve">user rules and manuals(50),organizational rules and manuals(50), </v>
      </c>
      <c r="CD160" s="21" t="str">
        <f t="shared" si="563"/>
        <v xml:space="preserve"> </v>
      </c>
      <c r="CE160" s="21" t="str">
        <f t="shared" si="214"/>
        <v xml:space="preserve"> </v>
      </c>
      <c r="CF160" s="21" t="str">
        <f t="shared" si="564"/>
        <v xml:space="preserve"> </v>
      </c>
      <c r="CG160" s="21" t="str">
        <f t="shared" si="215"/>
        <v xml:space="preserve">portfolio(1), user rules and manuals(1), negotiation(1), social project(1), biz project(1), for basic literacy(1), for the elites(1), for entrepreneurs(1),  </v>
      </c>
      <c r="CH160" s="21" t="str">
        <f t="shared" si="216"/>
        <v xml:space="preserve"> </v>
      </c>
      <c r="CI160" s="21" t="str">
        <f t="shared" si="565"/>
        <v xml:space="preserve"> </v>
      </c>
      <c r="CJ160" s="21" t="str">
        <f t="shared" si="563"/>
        <v xml:space="preserve"> </v>
      </c>
      <c r="CK160" s="21" t="str">
        <f t="shared" si="217"/>
        <v xml:space="preserve"> </v>
      </c>
      <c r="CL160" s="21" t="str">
        <f t="shared" si="564"/>
        <v xml:space="preserve"> </v>
      </c>
      <c r="CM160" s="21" t="str">
        <f t="shared" si="218"/>
        <v xml:space="preserve">reputation(1), negotiation(1),  </v>
      </c>
      <c r="CN160" s="21" t="str">
        <f t="shared" si="219"/>
        <v xml:space="preserve">efficiency(1,6.25),  </v>
      </c>
      <c r="CO160" s="21" t="str">
        <f t="shared" si="565"/>
        <v xml:space="preserve">efficiency(6.25), </v>
      </c>
      <c r="CP160" s="21" t="str">
        <f t="shared" si="563"/>
        <v xml:space="preserve"> </v>
      </c>
      <c r="CQ160" s="21" t="str">
        <f t="shared" si="220"/>
        <v xml:space="preserve"> </v>
      </c>
      <c r="CR160" s="21" t="str">
        <f t="shared" si="564"/>
        <v xml:space="preserve"> </v>
      </c>
      <c r="CS160" s="21" t="str">
        <f t="shared" si="221"/>
        <v xml:space="preserve">portfolio(1), negotiation(1), web(1), infrastructrue(1), database(1), mobile apps(1), sensors(1), security(1), AI&amp; data analysis(1), mobile comm(1), VR&amp;AR(1), wood processing(1), metal processing(1), plastic processing(1), electronics(1), fabric(1),  </v>
      </c>
      <c r="CT160" s="21" t="str">
        <f t="shared" si="222"/>
        <v xml:space="preserve">efficiency(1,6.25),  </v>
      </c>
      <c r="CU160" s="21" t="str">
        <f t="shared" si="565"/>
        <v xml:space="preserve">efficiency(6.25), </v>
      </c>
      <c r="CV160" s="21" t="str">
        <f t="shared" si="563"/>
        <v xml:space="preserve"> </v>
      </c>
      <c r="CW160" s="21" t="str">
        <f t="shared" si="223"/>
        <v xml:space="preserve"> </v>
      </c>
      <c r="CX160" s="21" t="str">
        <f t="shared" si="564"/>
        <v xml:space="preserve"> </v>
      </c>
      <c r="CY160" s="21" t="str">
        <f t="shared" si="224"/>
        <v xml:space="preserve">reputation(1), portfolio(1), negotiation(1),  </v>
      </c>
      <c r="CZ160" s="21" t="str">
        <f t="shared" si="225"/>
        <v xml:space="preserve"> </v>
      </c>
      <c r="DA160" s="21" t="str">
        <f t="shared" si="565"/>
        <v xml:space="preserve"> </v>
      </c>
      <c r="DB160" s="21" t="str">
        <f t="shared" si="563"/>
        <v xml:space="preserve"> </v>
      </c>
      <c r="DC160" s="21" t="str">
        <f t="shared" si="226"/>
        <v xml:space="preserve"> </v>
      </c>
      <c r="DD160" s="21" t="str">
        <f t="shared" si="564"/>
        <v xml:space="preserve"> </v>
      </c>
      <c r="DE160"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0" s="21" t="str">
        <f t="shared" si="228"/>
        <v xml:space="preserve"> </v>
      </c>
      <c r="DG160" s="21" t="str">
        <f t="shared" si="565"/>
        <v xml:space="preserve"> </v>
      </c>
      <c r="DH160" s="21" t="str">
        <f t="shared" si="563"/>
        <v xml:space="preserve">reputation 1
social project 1
 </v>
      </c>
      <c r="DI160" s="21" t="str">
        <f t="shared" si="229"/>
        <v xml:space="preserve"> </v>
      </c>
      <c r="DJ160" s="21" t="str">
        <f t="shared" si="564"/>
        <v xml:space="preserve"> </v>
      </c>
      <c r="DK160" s="21" t="str">
        <f t="shared" si="230"/>
        <v xml:space="preserve">reputation(2), 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0" s="21" t="str">
        <f t="shared" si="231"/>
        <v xml:space="preserve">reputation(1,6.25),  </v>
      </c>
      <c r="DM160" s="21" t="str">
        <f t="shared" si="565"/>
        <v xml:space="preserve">reputation(6.25), </v>
      </c>
      <c r="DN160" s="21" t="str">
        <f t="shared" si="563"/>
        <v xml:space="preserve">reputation 1
biz project 1
 </v>
      </c>
      <c r="DO160" s="21" t="str">
        <f t="shared" si="232"/>
        <v xml:space="preserve"> </v>
      </c>
      <c r="DP160" s="21" t="str">
        <f t="shared" si="564"/>
        <v xml:space="preserve"> </v>
      </c>
      <c r="DQ160" s="21" t="str">
        <f t="shared" si="233"/>
        <v xml:space="preserve">reputation(2), 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0" s="21" t="str">
        <f t="shared" si="234"/>
        <v xml:space="preserve">reputation(1,6.25),  </v>
      </c>
      <c r="DS160" s="21" t="str">
        <f t="shared" si="565"/>
        <v xml:space="preserve">reputation(6.25), </v>
      </c>
      <c r="DT160" s="21" t="str">
        <f t="shared" si="563"/>
        <v xml:space="preserve">reputation 1
 </v>
      </c>
      <c r="DU160" s="21" t="str">
        <f t="shared" si="235"/>
        <v xml:space="preserve"> </v>
      </c>
      <c r="DV160" s="21" t="str">
        <f t="shared" si="564"/>
        <v xml:space="preserve"> </v>
      </c>
      <c r="DW160" s="21" t="str">
        <f t="shared" si="236"/>
        <v xml:space="preserve">reputation(2), efficiency(1), organizational rules and manuals(1), marketing(1), social media(1), for basic literacy(1),  </v>
      </c>
      <c r="DX160" s="21" t="str">
        <f t="shared" si="237"/>
        <v xml:space="preserve">reputation(1,6.25), for basic literacy(1,6.25),  </v>
      </c>
      <c r="DY160" s="21" t="str">
        <f t="shared" si="565"/>
        <v xml:space="preserve">reputation(6.25),for basic literacy(6.25), </v>
      </c>
      <c r="DZ160" s="21" t="str">
        <f t="shared" si="563"/>
        <v xml:space="preserve">reputation 1
 </v>
      </c>
      <c r="EA160" s="21" t="str">
        <f t="shared" si="238"/>
        <v xml:space="preserve"> </v>
      </c>
      <c r="EB160" s="21" t="str">
        <f t="shared" si="564"/>
        <v xml:space="preserve"> </v>
      </c>
      <c r="EC160" s="21" t="str">
        <f t="shared" si="239"/>
        <v xml:space="preserve">reputation(2), 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60" s="21" t="str">
        <f t="shared" si="240"/>
        <v xml:space="preserve">reputation(1,6.25), for basic literacy(1,6.25),  </v>
      </c>
      <c r="EE160" s="21" t="str">
        <f t="shared" si="565"/>
        <v xml:space="preserve">reputation(6.25),for basic literacy(6.25), </v>
      </c>
      <c r="EF160" s="21" t="str">
        <f t="shared" si="563"/>
        <v xml:space="preserve">reputation 1
 </v>
      </c>
      <c r="EG160" s="21" t="str">
        <f t="shared" si="241"/>
        <v xml:space="preserve">web(1,50), mobile apps(1,50), interaction(1,50),  </v>
      </c>
      <c r="EH160" s="21" t="str">
        <f t="shared" si="564"/>
        <v xml:space="preserve">web 50
mobile apps 50
interaction 50
 </v>
      </c>
      <c r="EI160" s="21" t="str">
        <f t="shared" si="242"/>
        <v xml:space="preserve">reputation(2), infrastructrue(1), database(1), mobile comm(1), for entrepreneurs(1),  </v>
      </c>
      <c r="EJ160" s="21" t="str">
        <f t="shared" si="243"/>
        <v xml:space="preserve">infrastructrue(1,12.5), database(1,12.5), mobile comm(1,12.5), for entrepreneurs(1,6.25),  </v>
      </c>
      <c r="EK160" s="21" t="str">
        <f t="shared" si="565"/>
        <v xml:space="preserve">infrastructrue(12.5),database(12.5),mobile comm(12.5),for entrepreneurs(6.25), </v>
      </c>
      <c r="EL160" s="21" t="str">
        <f t="shared" si="566"/>
        <v xml:space="preserve">reputation 1
 </v>
      </c>
      <c r="EM160" s="21" t="str">
        <f t="shared" si="245"/>
        <v xml:space="preserve">sensors(1,50),  </v>
      </c>
      <c r="EN160" s="21" t="str">
        <f t="shared" si="567"/>
        <v xml:space="preserve">sensors 50
 </v>
      </c>
      <c r="EO160" s="21" t="str">
        <f t="shared" si="247"/>
        <v xml:space="preserve">reputation(2), project management(2), infrastructrue(1), database(1), mobile comm(1), for entrepreneurs(1),  </v>
      </c>
      <c r="EP160" s="21" t="str">
        <f t="shared" si="248"/>
        <v xml:space="preserve">infrastructrue(1,12.5), database(1,12.5), mobile comm(1,12.5), electronics(1,6.25), for entrepreneurs(1,6.25),  </v>
      </c>
      <c r="EQ160" s="21" t="str">
        <f t="shared" si="568"/>
        <v xml:space="preserve">infrastructrue(12.5),database(12.5),mobile comm(12.5),electronics(6.25),for entrepreneurs(6.25), </v>
      </c>
      <c r="ER160" s="21" t="str">
        <f t="shared" si="566"/>
        <v xml:space="preserve"> </v>
      </c>
      <c r="ES160" s="21" t="str">
        <f t="shared" si="250"/>
        <v xml:space="preserve">AI&amp; data analysis(1,50),  </v>
      </c>
      <c r="ET160" s="21" t="str">
        <f t="shared" si="567"/>
        <v xml:space="preserve">AI&amp; data analysis 50
 </v>
      </c>
      <c r="EU160" s="21" t="str">
        <f t="shared" si="251"/>
        <v xml:space="preserve">reputation(2), database(1), sensors(1), mobile comm(1), for entrepreneurs(1),  </v>
      </c>
      <c r="EV160" s="21" t="str">
        <f t="shared" si="252"/>
        <v xml:space="preserve">database(1,12.5), sensors(1,12.5), mobile comm(1,12.5), for entrepreneurs(1,6.25),  </v>
      </c>
      <c r="EW160" s="21" t="str">
        <f t="shared" si="568"/>
        <v xml:space="preserve">database(12.5),sensors(12.5),mobile comm(12.5),for entrepreneurs(6.25), </v>
      </c>
      <c r="EX160" s="21" t="str">
        <f t="shared" si="566"/>
        <v xml:space="preserve"> </v>
      </c>
      <c r="EY160" s="21" t="str">
        <f t="shared" si="253"/>
        <v xml:space="preserve">law(1,50), security(1,50), interaction(1,25),  </v>
      </c>
      <c r="EZ160" s="21" t="str">
        <f t="shared" si="567"/>
        <v xml:space="preserve">law 50
security 50
interaction 25
 </v>
      </c>
      <c r="FA160" s="21" t="str">
        <f t="shared" si="254"/>
        <v xml:space="preserve">reputation(2), law(2), for entrepreneurs(1),  </v>
      </c>
      <c r="FB160" s="21" t="str">
        <f t="shared" si="255"/>
        <v xml:space="preserve">law(1,6.25), database(1,12.5), mobile apps(1,12.5), security(1,12.5), mobile comm(1,12.5), for entrepreneurs(1,6.25),  </v>
      </c>
      <c r="FC160" s="21" t="str">
        <f t="shared" si="568"/>
        <v xml:space="preserve">law(6.25),database(12.5),mobile apps(12.5),security(12.5),mobile comm(12.5),for entrepreneurs(6.25), </v>
      </c>
      <c r="FD160" s="21" t="str">
        <f t="shared" si="566"/>
        <v xml:space="preserve"> </v>
      </c>
      <c r="FE160" s="21" t="str">
        <f t="shared" si="256"/>
        <v xml:space="preserve">law(1,50), sensors(1,50), security(1,50),  </v>
      </c>
      <c r="FF160" s="21" t="str">
        <f t="shared" si="567"/>
        <v xml:space="preserve">law 50
sensors 50
security 50
 </v>
      </c>
      <c r="FG160" s="21" t="str">
        <f t="shared" si="257"/>
        <v xml:space="preserve">reputation(2), law(2), project management(2), for entrepreneurs(1),  </v>
      </c>
      <c r="FH160" s="21" t="str">
        <f t="shared" si="258"/>
        <v xml:space="preserve">law(1,6.25), database(1,6.25), mobile apps(1,6.25), AI&amp; data analysis(1,6.25), mobile comm(1,6.25), for entrepreneurs(1,6.25),  </v>
      </c>
      <c r="FI160" s="21" t="str">
        <f t="shared" si="568"/>
        <v xml:space="preserve">law(6.25),database(6.25),mobile apps(6.25),AI&amp; data analysis(6.25),mobile comm(6.25),for entrepreneurs(6.25), </v>
      </c>
      <c r="FJ160" s="21" t="str">
        <f t="shared" si="566"/>
        <v xml:space="preserve"> </v>
      </c>
      <c r="FK160" s="21" t="str">
        <f t="shared" si="259"/>
        <v xml:space="preserve">wood processing(1,25), metal processing(1,25), plastic processing(1,25), fabric(1,25), safety(1,25), interaction(1,25),  </v>
      </c>
      <c r="FL160" s="21" t="str">
        <f t="shared" si="567"/>
        <v xml:space="preserve">project management 2
wood processing 25
metal processing 25
plastic processing 25
fabric 25
safety 25
interaction 25
 </v>
      </c>
      <c r="FM160" s="21" t="str">
        <f t="shared" si="260"/>
        <v xml:space="preserve">reputation(2), for entrepreneurs(1),  </v>
      </c>
      <c r="FN160" s="21" t="str">
        <f t="shared" si="261"/>
        <v xml:space="preserve">for entrepreneurs(1,6.25),  </v>
      </c>
      <c r="FO160" s="21" t="str">
        <f t="shared" si="568"/>
        <v xml:space="preserve">for entrepreneurs(6.25), </v>
      </c>
      <c r="FP160" s="21" t="str">
        <f t="shared" si="566"/>
        <v xml:space="preserve"> </v>
      </c>
      <c r="FQ160" s="21" t="str">
        <f t="shared" si="262"/>
        <v xml:space="preserve">web(1,25), mobile apps(1,50), functions(1,25), interaction(1,25),  </v>
      </c>
      <c r="FR160" s="21" t="str">
        <f t="shared" si="567"/>
        <v xml:space="preserve">web 25
mobile apps 50
functions 25
interaction 25
 </v>
      </c>
      <c r="FS160" s="21" t="str">
        <f t="shared" si="263"/>
        <v xml:space="preserve">reputation(2), for entrepreneurs(1),  </v>
      </c>
      <c r="FT160" s="21" t="str">
        <f t="shared" si="264"/>
        <v xml:space="preserve">for entrepreneurs(1,6.25),  </v>
      </c>
      <c r="FU160" s="21" t="str">
        <f t="shared" si="568"/>
        <v xml:space="preserve">for entrepreneurs(6.25), </v>
      </c>
      <c r="FV160" s="21" t="str">
        <f t="shared" si="566"/>
        <v xml:space="preserve"> </v>
      </c>
      <c r="FW160" s="21" t="str">
        <f t="shared" si="265"/>
        <v xml:space="preserve">mobile apps(1,50), sensors(1,50), wood processing(1,25), plastic processing(1,25), electronics(1,25), functions(1,25), interaction(1,25),  </v>
      </c>
      <c r="FX160" s="21" t="str">
        <f t="shared" si="567"/>
        <v xml:space="preserve">mobile apps 50
sensors 50
wood processing 25
plastic processing 25
electronics 25
functions 25
interaction 25
 </v>
      </c>
      <c r="FY160" s="21" t="str">
        <f t="shared" si="266"/>
        <v xml:space="preserve">reputation(2), project management(2), for entrepreneurs(1),  </v>
      </c>
      <c r="FZ160" s="21" t="str">
        <f t="shared" si="267"/>
        <v xml:space="preserve">web(1,6.25), database(1,6.25), AI&amp; data analysis(1,6.25), mobile comm(1,6.25), for entrepreneurs(1,6.25),  </v>
      </c>
      <c r="GA160" s="21" t="str">
        <f t="shared" si="568"/>
        <v xml:space="preserve">web(6.25),database(6.25),AI&amp; data analysis(6.25),mobile comm(6.25),for entrepreneurs(6.25), </v>
      </c>
      <c r="GB160" s="21" t="str">
        <f t="shared" si="566"/>
        <v xml:space="preserve"> </v>
      </c>
      <c r="GC160" s="21" t="str">
        <f t="shared" si="268"/>
        <v xml:space="preserve">sensors(1,25), mobile comm(1,25), electronics(1,50), functions(1,25), safety(1,25),  </v>
      </c>
      <c r="GD160" s="21" t="str">
        <f t="shared" si="567"/>
        <v xml:space="preserve">sensors 25
mobile comm 25
electronics 50
functions 25
safety 25
 </v>
      </c>
      <c r="GE160" s="21" t="str">
        <f t="shared" si="269"/>
        <v xml:space="preserve">reputation(2), project management(2), for entrepreneurs(1),  </v>
      </c>
      <c r="GF160" s="21" t="str">
        <f t="shared" si="270"/>
        <v xml:space="preserve">database(1,6.25), mobile apps(1,6.25), AI&amp; data analysis(1,6.25), plastic processing(1,6.25), interaction(1,6.25), for entrepreneurs(1,6.25),  </v>
      </c>
      <c r="GG160" s="21" t="str">
        <f t="shared" si="568"/>
        <v xml:space="preserve">database(6.25),mobile apps(6.25),AI&amp; data analysis(6.25),plastic processing(6.25),interaction(6.25),for entrepreneurs(6.25), </v>
      </c>
      <c r="GH160" s="21" t="str">
        <f t="shared" si="566"/>
        <v xml:space="preserve"> </v>
      </c>
      <c r="GI160" s="21" t="str">
        <f t="shared" si="271"/>
        <v xml:space="preserve">web(1,25), mobile apps(1,50), functions(1,25), interaction(1,25),  </v>
      </c>
      <c r="GJ160" s="21" t="str">
        <f t="shared" si="567"/>
        <v xml:space="preserve">web 25
mobile apps 50
functions 25
interaction 25
 </v>
      </c>
      <c r="GK160" s="21" t="str">
        <f t="shared" si="272"/>
        <v xml:space="preserve">reputation(2), project management(2), for entrepreneurs(1),  </v>
      </c>
      <c r="GL160" s="21" t="str">
        <f t="shared" si="273"/>
        <v xml:space="preserve">for entrepreneurs(1,6.25),  </v>
      </c>
      <c r="GM160" s="21" t="str">
        <f t="shared" si="568"/>
        <v xml:space="preserve">for entrepreneurs(6.25), </v>
      </c>
      <c r="GN160" s="21" t="str">
        <f t="shared" si="566"/>
        <v xml:space="preserve"> </v>
      </c>
      <c r="GO160" s="21" t="str">
        <f t="shared" si="274"/>
        <v xml:space="preserve">web(1,25), mobile apps(1,25), VR&amp;AR(1,25), aesthetics(1,25), functions(1,25), interaction(1,50),  </v>
      </c>
      <c r="GP160" s="21" t="str">
        <f t="shared" si="567"/>
        <v xml:space="preserve">web 25
mobile apps 25
VR&amp;AR 25
aesthetics 25
functions 25
interaction 50
 </v>
      </c>
      <c r="GQ160" s="21" t="str">
        <f t="shared" si="275"/>
        <v xml:space="preserve">reputation(2), project management(2), for entrepreneurs(1),  </v>
      </c>
      <c r="GR160" s="21" t="str">
        <f t="shared" si="276"/>
        <v xml:space="preserve">for entrepreneurs(1,6.25),  </v>
      </c>
      <c r="GS160" s="21" t="str">
        <f t="shared" si="568"/>
        <v xml:space="preserve">for entrepreneurs(6.25), </v>
      </c>
      <c r="GT160" s="21" t="str">
        <f t="shared" si="566"/>
        <v xml:space="preserve">reputation 2
web 1
mobile apps 1
mobile comm 1
 </v>
      </c>
      <c r="GU160" s="21" t="str">
        <f t="shared" si="277"/>
        <v xml:space="preserve"> </v>
      </c>
      <c r="GV160" s="21" t="str">
        <f t="shared" si="567"/>
        <v xml:space="preserve"> </v>
      </c>
      <c r="GW160" s="21" t="str">
        <f t="shared" si="278"/>
        <v xml:space="preserve">reputation(3), efficiency(2), user rules and manuals(1), organizational rules and manuals(1), business model(2), marketing(1), team building(1), project management(1), social media(1), infrastructrue(1), database(1), sensors(1), security(1), AI&amp; data analysis(1), electronics(1),  </v>
      </c>
      <c r="GX160" s="21" t="str">
        <f t="shared" si="279"/>
        <v xml:space="preserve">project management(1,6.25), social media(1,6.25), web(1,6.25), mobile apps(1,6.25),  </v>
      </c>
      <c r="GY160" s="21" t="str">
        <f t="shared" si="568"/>
        <v xml:space="preserve">project management(6.25),social media(6.25),web(6.25),mobile apps(6.25), </v>
      </c>
      <c r="GZ160" s="21" t="str">
        <f t="shared" si="569"/>
        <v xml:space="preserve">reputation 2
portfolio 1
 </v>
      </c>
      <c r="HA160" s="21" t="str">
        <f t="shared" si="281"/>
        <v xml:space="preserve"> </v>
      </c>
      <c r="HB160" s="21" t="str">
        <f t="shared" si="570"/>
        <v xml:space="preserve"> </v>
      </c>
      <c r="HC160" s="21" t="str">
        <f t="shared" si="283"/>
        <v xml:space="preserve">reputation(4), portfolio(3), social media(2), web(2), mobile apps(2), sensors(2), AI&amp; data analysis(2), VR&amp;AR(2), plastic processing(2), electronics(2), aesthetics(2), interaction(2),  </v>
      </c>
      <c r="HD160" s="21" t="str">
        <f t="shared" si="284"/>
        <v xml:space="preserve">reputation(1,6.25), start-up with customers(1,6.25), for basic literacy(1,6.25),  </v>
      </c>
      <c r="HE160" s="21" t="str">
        <f t="shared" si="571"/>
        <v xml:space="preserve">reputation(6.25),start-up with customers(6.25),for basic literacy(6.25), </v>
      </c>
      <c r="HF160" s="21" t="str">
        <f t="shared" si="569"/>
        <v xml:space="preserve"> </v>
      </c>
      <c r="HG160" s="21" t="str">
        <f t="shared" si="286"/>
        <v xml:space="preserve"> </v>
      </c>
      <c r="HH160" s="21" t="str">
        <f t="shared" si="570"/>
        <v xml:space="preserve"> </v>
      </c>
      <c r="HI160" s="21" t="str">
        <f t="shared" si="287"/>
        <v xml:space="preserve">portfolio(3), marketing(2), team building(3), project management(2), mobile apps(3), sensors(2), plastic processing(2), electronics(2), aesthetics(2), functions(2), interaction(2),  </v>
      </c>
      <c r="HJ160" s="21" t="str">
        <f t="shared" si="288"/>
        <v xml:space="preserve">start-up with customers(1,6.25),  </v>
      </c>
      <c r="HK160" s="21" t="str">
        <f t="shared" si="571"/>
        <v xml:space="preserve">start-up with customers(6.25), </v>
      </c>
      <c r="HL160" s="21" t="str">
        <f t="shared" si="569"/>
        <v xml:space="preserve">reputation 2
portfolio 2
 </v>
      </c>
      <c r="HM160" s="21" t="str">
        <f t="shared" si="289"/>
        <v xml:space="preserve"> </v>
      </c>
      <c r="HN160" s="21" t="str">
        <f t="shared" si="570"/>
        <v xml:space="preserve"> </v>
      </c>
      <c r="HO160" s="21" t="str">
        <f t="shared" si="290"/>
        <v xml:space="preserve">reputation(3), efficiency(2), portfolio(4), finance(2), marketing(2), project management(2), social media(2), web(3), mobile apps(2), wood processing(3), plastic processing(3), electronics(3), aesthetics(2), interaction(2),  </v>
      </c>
      <c r="HP160" s="21" t="str">
        <f t="shared" si="291"/>
        <v xml:space="preserve">reputation(1,6.25),  </v>
      </c>
      <c r="HQ160" s="47" t="str">
        <f t="shared" si="571"/>
        <v xml:space="preserve">reputation(6.25), </v>
      </c>
      <c r="HR160" s="47" t="str">
        <f t="shared" ref="HR160:HW160" si="597">IF(HR58="",HR161,$C160&amp;"("&amp;HR58&amp;"),"&amp;HR161)</f>
        <v xml:space="preserve">reputation(2),portfolio(2),mobile apps(1),sensors(1),wood processing(1),aesthetics(1), </v>
      </c>
      <c r="HS160" s="47" t="str">
        <f t="shared" si="597"/>
        <v xml:space="preserve"> </v>
      </c>
      <c r="HT160" s="47" t="str">
        <f t="shared" si="597"/>
        <v xml:space="preserve"> </v>
      </c>
      <c r="HU160" s="47" t="str">
        <f t="shared" si="597"/>
        <v xml:space="preserve">reputation(3),efficiency(2),portfolio(3),project management(2),social media(2),web(3),infrastructrue(3),database(3),mobile apps(3),sensors(3),AI&amp; data analysis(3),mobile comm(3),VR&amp;AR(3),wood processing(3),metal processing(2),plastic processing(2),electronics(2),fabric(2),aesthetics(2),interaction(2),start-up with mvp(1), </v>
      </c>
      <c r="HV160" s="47" t="str">
        <f t="shared" si="597"/>
        <v xml:space="preserve">reputation(1), </v>
      </c>
      <c r="HW160" s="47" t="str">
        <f t="shared" si="597"/>
        <v xml:space="preserve">reputation(6.25), </v>
      </c>
      <c r="HX160" s="47" t="str">
        <f t="shared" ref="HX160:IU160" si="598">IF(HX58="",HX161,$C160&amp;"("&amp;HX58&amp;"),"&amp;HX161)</f>
        <v xml:space="preserve">reputation(3),portfolio(2),web(1),infrastructrue(1),database(2),mobile apps(1),sensors(1),AI&amp; data analysis(2),VR&amp;AR(1),wood processing(1),metal processing(1),plastic processing(1),electronics(1),aesthetics(1),functions(1),interaction(1), </v>
      </c>
      <c r="HY160" s="47" t="str">
        <f t="shared" si="598"/>
        <v xml:space="preserve">biz enhancement(1), </v>
      </c>
      <c r="HZ160" s="47" t="str">
        <f t="shared" si="598"/>
        <v xml:space="preserve">biz enhancement(100), </v>
      </c>
      <c r="IA160" s="47" t="str">
        <f t="shared" si="598"/>
        <v xml:space="preserve">efficiency(2),portfolio(4),finance(2),business model(2),marketing(3),team building(2),project management(2),social media(3),negotiation(3), </v>
      </c>
      <c r="IB160" s="47" t="str">
        <f t="shared" si="598"/>
        <v xml:space="preserve">reputation(1),team building(1),database(1),AI&amp; data analysis(1),electronics(1),functions(1), </v>
      </c>
      <c r="IC160" s="47" t="str">
        <f t="shared" si="598"/>
        <v xml:space="preserve">reputation(6.25),team building(6.25),database(6.25),AI&amp; data analysis(6.25),electronics(6.25),functions(6.25), </v>
      </c>
      <c r="ID160" s="47" t="str">
        <f t="shared" si="598"/>
        <v xml:space="preserve"> </v>
      </c>
      <c r="IE160" s="47" t="str">
        <f t="shared" si="598"/>
        <v xml:space="preserve">web(1),mobile apps(1),security(1),AI&amp; data analysis(1), </v>
      </c>
      <c r="IF160" s="47" t="str">
        <f t="shared" si="598"/>
        <v xml:space="preserve">web(25),mobile apps(25),security(25),AI&amp; data analysis(25), </v>
      </c>
      <c r="IG160" s="47" t="str">
        <f t="shared" si="598"/>
        <v xml:space="preserve">reputation(3),efficiency(2),portfolio(3),web(2),database(2),mobile apps(2),security(2),AI&amp; data analysis(2), </v>
      </c>
      <c r="IH160" s="47" t="str">
        <f t="shared" si="598"/>
        <v xml:space="preserve">web(1),database(1),mobile apps(1),security(1),AI&amp; data analysis(1), </v>
      </c>
      <c r="II160" s="47" t="str">
        <f t="shared" si="598"/>
        <v xml:space="preserve">web(6.25),database(6.25),mobile apps(6.25),security(6.25),AI&amp; data analysis(6.25), </v>
      </c>
      <c r="IJ160" s="47" t="str">
        <f t="shared" si="598"/>
        <v xml:space="preserve"> </v>
      </c>
      <c r="IK160" s="47" t="str">
        <f t="shared" si="598"/>
        <v xml:space="preserve">wood processing(1),metal processing(1),functions(1),safety(1), </v>
      </c>
      <c r="IL160" s="47" t="str">
        <f t="shared" si="598"/>
        <v xml:space="preserve">wood processing(25),metal processing(25),functions(25),safety(25), </v>
      </c>
      <c r="IM160" s="47" t="str">
        <f t="shared" si="598"/>
        <v xml:space="preserve">reputation(3),efficiency(2),portfolio(3),wood processing(2),metal processing(2),functions(2),safety(2), </v>
      </c>
      <c r="IN160" s="47" t="str">
        <f t="shared" si="598"/>
        <v xml:space="preserve">wood processing(1),metal processing(1),functions(1),safety(1),interaction(1), </v>
      </c>
      <c r="IO160" s="47" t="str">
        <f t="shared" si="598"/>
        <v xml:space="preserve">wood processing(6.25),metal processing(6.25),functions(6.25),safety(6.25),interaction(6.25), </v>
      </c>
      <c r="IP160" s="57" t="str">
        <f t="shared" si="598"/>
        <v xml:space="preserve">reputation(1), </v>
      </c>
      <c r="IQ160" s="47" t="str">
        <f t="shared" si="598"/>
        <v xml:space="preserve">marketing(1), </v>
      </c>
      <c r="IR160" s="47" t="str">
        <f t="shared" si="598"/>
        <v xml:space="preserve">marketing(25), </v>
      </c>
      <c r="IS160" s="47" t="str">
        <f t="shared" si="598"/>
        <v xml:space="preserve">reputation(3),efficiency(2),marketing(2), </v>
      </c>
      <c r="IT160" s="47" t="str">
        <f t="shared" si="598"/>
        <v xml:space="preserve">marketing(1), </v>
      </c>
      <c r="IU160" s="47" t="str">
        <f t="shared" si="598"/>
        <v xml:space="preserve">marketing(6.25), </v>
      </c>
      <c r="IV160" s="57" t="str">
        <f t="shared" ref="IV160:LG160" si="599">IF(IV58="",IV161,$C160&amp;"("&amp;IV58&amp;"),"&amp;IV161)</f>
        <v xml:space="preserve">reputation(1), </v>
      </c>
      <c r="IW160" s="47" t="str">
        <f t="shared" si="599"/>
        <v xml:space="preserve">marketing(1), </v>
      </c>
      <c r="IX160" s="47" t="str">
        <f t="shared" si="599"/>
        <v xml:space="preserve">marketing(25), </v>
      </c>
      <c r="IY160" s="47" t="str">
        <f t="shared" si="599"/>
        <v xml:space="preserve">reputation(3),efficiency(2),marketing(2), </v>
      </c>
      <c r="IZ160" s="47" t="str">
        <f t="shared" si="599"/>
        <v xml:space="preserve">marketing(1), </v>
      </c>
      <c r="JA160" s="47" t="str">
        <f t="shared" si="599"/>
        <v xml:space="preserve">marketing(6.25), </v>
      </c>
      <c r="JB160" s="47" t="str">
        <f t="shared" si="599"/>
        <v xml:space="preserve"> </v>
      </c>
      <c r="JC160" s="47" t="str">
        <f t="shared" si="599"/>
        <v xml:space="preserve"> </v>
      </c>
      <c r="JD160" s="47" t="str">
        <f t="shared" si="599"/>
        <v xml:space="preserve"> </v>
      </c>
      <c r="JE160" s="47" t="str">
        <f t="shared" si="599"/>
        <v xml:space="preserve">reputation(3),efficiency(2), </v>
      </c>
      <c r="JF160" s="47" t="str">
        <f t="shared" si="599"/>
        <v xml:space="preserve">web(1),infrastructrue(1),database(1),mobile apps(1),sensors(1),security(1),AI&amp; data analysis(1),mobile comm(1),VR&amp;AR(1),wood processing(1),metal processing(1),plastic processing(1),electronics(1),fabric(1),aesthetics(1),functions(1),safety(1),interaction(1), </v>
      </c>
      <c r="JG160" s="47" t="str">
        <f t="shared" si="599"/>
        <v xml:space="preserve">web(6.25),infrastructrue(6.25),database(6.25),mobile apps(6.25),sensors(6.25),security(6.25),AI&amp; data analysis(6.25),mobile comm(6.25),VR&amp;AR(6.25),wood processing(6.25),metal processing(6.25),plastic processing(6.25),electronics(6.25),fabric(6.25),aesthetics(6.25),functions(6.25),safety(6.25),interaction(6.25), </v>
      </c>
      <c r="JH160" s="47" t="str">
        <f t="shared" si="599"/>
        <v xml:space="preserve">reputation(2), </v>
      </c>
      <c r="JI160" s="47" t="str">
        <f t="shared" si="599"/>
        <v xml:space="preserve"> </v>
      </c>
      <c r="JJ160" s="47" t="str">
        <f t="shared" si="599"/>
        <v xml:space="preserve"> </v>
      </c>
      <c r="JK160" s="47" t="str">
        <f t="shared" si="599"/>
        <v xml:space="preserve">reputation(3),portfolio(2),social media(2),negotiation(2),social project(1),social innovation(1),non-profit biz(1),biz project(1),biz enhancement(1),job creation(1),business(1),start-up(1),start-up with mvp(1),start-up with customers(1),for basic literacy(1),for the elites(1),for entrepreneurs(1), </v>
      </c>
      <c r="JL160" s="47" t="str">
        <f t="shared" si="599"/>
        <v xml:space="preserve"> </v>
      </c>
      <c r="JM160" s="47" t="str">
        <f t="shared" si="599"/>
        <v xml:space="preserve"> </v>
      </c>
      <c r="JN160" s="47" t="str">
        <f t="shared" si="599"/>
        <v xml:space="preserve">reputation(2),portfolio(2), </v>
      </c>
      <c r="JO160" s="47" t="str">
        <f t="shared" si="599"/>
        <v xml:space="preserve"> </v>
      </c>
      <c r="JP160" s="47" t="str">
        <f t="shared" si="599"/>
        <v xml:space="preserve"> </v>
      </c>
      <c r="JQ160" s="47" t="str">
        <f t="shared" si="599"/>
        <v xml:space="preserve">reputation(3),efficiency(1),portfolio(3),organizational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60" s="47" t="str">
        <f t="shared" si="599"/>
        <v xml:space="preserve"> </v>
      </c>
      <c r="JS160" s="47" t="str">
        <f t="shared" si="599"/>
        <v xml:space="preserve"> </v>
      </c>
      <c r="JT160" s="47" t="str">
        <f t="shared" si="599"/>
        <v xml:space="preserve">reputation(2),portfolio(3), </v>
      </c>
      <c r="JU160" s="47" t="str">
        <f t="shared" si="599"/>
        <v xml:space="preserve"> </v>
      </c>
      <c r="JV160" s="47" t="str">
        <f t="shared" si="599"/>
        <v xml:space="preserve"> </v>
      </c>
      <c r="JW160" s="47" t="str">
        <f t="shared" si="599"/>
        <v xml:space="preserve">reputation(3),efficiency(2),portfolio(4),law(1),finance(1),marketing(1),team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0" s="47" t="str">
        <f t="shared" si="599"/>
        <v xml:space="preserve"> </v>
      </c>
      <c r="JY160" s="47" t="str">
        <f t="shared" si="599"/>
        <v xml:space="preserve"> </v>
      </c>
      <c r="JZ160" s="47" t="str">
        <f t="shared" si="599"/>
        <v xml:space="preserve">reputation(2),social project(2), </v>
      </c>
      <c r="KA160" s="47" t="str">
        <f t="shared" si="599"/>
        <v xml:space="preserve"> </v>
      </c>
      <c r="KB160" s="47" t="str">
        <f t="shared" si="599"/>
        <v xml:space="preserve"> </v>
      </c>
      <c r="KC160" s="47" t="str">
        <f t="shared" si="599"/>
        <v xml:space="preserve">reputation(3),portfolio(1),marketing(1),web(1),mobile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0" s="47" t="str">
        <f t="shared" si="599"/>
        <v xml:space="preserve"> </v>
      </c>
      <c r="KE160" s="47" t="str">
        <f t="shared" si="599"/>
        <v xml:space="preserve"> </v>
      </c>
      <c r="KF160" s="47" t="str">
        <f t="shared" si="599"/>
        <v xml:space="preserve"> </v>
      </c>
      <c r="KG160" s="47" t="str">
        <f t="shared" si="599"/>
        <v xml:space="preserve"> </v>
      </c>
      <c r="KH160" s="47" t="str">
        <f t="shared" si="599"/>
        <v xml:space="preserve"> </v>
      </c>
      <c r="KI160" s="47" t="str">
        <f t="shared" si="599"/>
        <v xml:space="preserve"> </v>
      </c>
      <c r="KJ160" s="47" t="str">
        <f t="shared" si="599"/>
        <v xml:space="preserve"> </v>
      </c>
      <c r="KK160" s="47" t="str">
        <f t="shared" si="599"/>
        <v xml:space="preserve"> </v>
      </c>
      <c r="KL160" s="57" t="str">
        <f t="shared" si="599"/>
        <v xml:space="preserve"> </v>
      </c>
      <c r="KM160" s="47" t="str">
        <f t="shared" si="599"/>
        <v xml:space="preserve"> </v>
      </c>
      <c r="KN160" s="47" t="str">
        <f t="shared" si="599"/>
        <v xml:space="preserve"> </v>
      </c>
      <c r="KO160" s="47" t="str">
        <f t="shared" si="599"/>
        <v xml:space="preserve"> </v>
      </c>
      <c r="KP160" s="47" t="str">
        <f t="shared" si="599"/>
        <v xml:space="preserve"> </v>
      </c>
      <c r="KQ160" s="47" t="str">
        <f t="shared" si="599"/>
        <v xml:space="preserve"> </v>
      </c>
      <c r="KR160" s="57" t="str">
        <f t="shared" si="599"/>
        <v xml:space="preserve"> </v>
      </c>
      <c r="KS160" s="47" t="str">
        <f t="shared" si="599"/>
        <v xml:space="preserve"> </v>
      </c>
      <c r="KT160" s="47" t="str">
        <f t="shared" si="599"/>
        <v xml:space="preserve"> </v>
      </c>
      <c r="KU160" s="47" t="str">
        <f t="shared" si="599"/>
        <v xml:space="preserve"> </v>
      </c>
      <c r="KV160" s="47" t="str">
        <f t="shared" si="599"/>
        <v xml:space="preserve"> </v>
      </c>
      <c r="KW160" s="47" t="str">
        <f t="shared" si="599"/>
        <v xml:space="preserve"> </v>
      </c>
      <c r="KX160" s="57" t="str">
        <f t="shared" si="599"/>
        <v xml:space="preserve"> </v>
      </c>
      <c r="KY160" s="47" t="str">
        <f t="shared" si="599"/>
        <v xml:space="preserve"> </v>
      </c>
      <c r="KZ160" s="47" t="str">
        <f t="shared" si="599"/>
        <v xml:space="preserve"> </v>
      </c>
      <c r="LA160" s="47" t="str">
        <f t="shared" si="599"/>
        <v xml:space="preserve"> </v>
      </c>
      <c r="LB160" s="47" t="str">
        <f t="shared" si="599"/>
        <v xml:space="preserve"> </v>
      </c>
      <c r="LC160" s="47" t="str">
        <f t="shared" si="599"/>
        <v xml:space="preserve"> </v>
      </c>
      <c r="LD160" s="57" t="str">
        <f t="shared" si="599"/>
        <v xml:space="preserve"> </v>
      </c>
      <c r="LE160" s="47" t="str">
        <f t="shared" si="599"/>
        <v xml:space="preserve"> </v>
      </c>
      <c r="LF160" s="47" t="str">
        <f t="shared" si="599"/>
        <v xml:space="preserve"> </v>
      </c>
      <c r="LG160" s="47" t="str">
        <f t="shared" si="599"/>
        <v xml:space="preserve"> </v>
      </c>
      <c r="LH160" s="47" t="str">
        <f t="shared" ref="LH160:NM160" si="600">IF(LH58="",LH161,$C160&amp;"("&amp;LH58&amp;"),"&amp;LH161)</f>
        <v xml:space="preserve"> </v>
      </c>
      <c r="LI160" s="47" t="str">
        <f t="shared" si="600"/>
        <v xml:space="preserve"> </v>
      </c>
      <c r="LJ160" s="57" t="str">
        <f t="shared" si="600"/>
        <v xml:space="preserve"> </v>
      </c>
      <c r="LK160" s="47" t="str">
        <f t="shared" si="600"/>
        <v xml:space="preserve"> </v>
      </c>
      <c r="LL160" s="47" t="str">
        <f t="shared" si="600"/>
        <v xml:space="preserve"> </v>
      </c>
      <c r="LM160" s="47" t="str">
        <f t="shared" si="600"/>
        <v xml:space="preserve"> </v>
      </c>
      <c r="LN160" s="47" t="str">
        <f t="shared" si="600"/>
        <v xml:space="preserve"> </v>
      </c>
      <c r="LO160" s="47" t="str">
        <f t="shared" si="600"/>
        <v xml:space="preserve"> </v>
      </c>
      <c r="LP160" s="57" t="str">
        <f t="shared" si="600"/>
        <v xml:space="preserve"> </v>
      </c>
      <c r="LQ160" s="47" t="str">
        <f t="shared" si="600"/>
        <v xml:space="preserve"> </v>
      </c>
      <c r="LR160" s="47" t="str">
        <f t="shared" si="600"/>
        <v xml:space="preserve"> </v>
      </c>
      <c r="LS160" s="47" t="str">
        <f t="shared" si="600"/>
        <v xml:space="preserve"> </v>
      </c>
      <c r="LT160" s="47" t="str">
        <f t="shared" si="600"/>
        <v xml:space="preserve"> </v>
      </c>
      <c r="LU160" s="47" t="str">
        <f t="shared" si="600"/>
        <v xml:space="preserve"> </v>
      </c>
      <c r="LV160" s="57" t="str">
        <f t="shared" si="600"/>
        <v xml:space="preserve"> </v>
      </c>
      <c r="LW160" s="47" t="str">
        <f t="shared" si="600"/>
        <v xml:space="preserve"> </v>
      </c>
      <c r="LX160" s="47" t="str">
        <f t="shared" si="600"/>
        <v xml:space="preserve"> </v>
      </c>
      <c r="LY160" s="47" t="str">
        <f t="shared" si="600"/>
        <v xml:space="preserve"> </v>
      </c>
      <c r="LZ160" s="47" t="str">
        <f t="shared" si="600"/>
        <v xml:space="preserve"> </v>
      </c>
      <c r="MA160" s="47" t="str">
        <f t="shared" si="600"/>
        <v xml:space="preserve"> </v>
      </c>
      <c r="MB160" s="57" t="str">
        <f t="shared" si="600"/>
        <v xml:space="preserve"> </v>
      </c>
      <c r="MC160" s="47" t="str">
        <f t="shared" si="600"/>
        <v xml:space="preserve"> </v>
      </c>
      <c r="MD160" s="47" t="str">
        <f t="shared" si="600"/>
        <v xml:space="preserve"> </v>
      </c>
      <c r="ME160" s="47" t="str">
        <f t="shared" si="600"/>
        <v xml:space="preserve"> </v>
      </c>
      <c r="MF160" s="47" t="str">
        <f t="shared" si="600"/>
        <v xml:space="preserve"> </v>
      </c>
      <c r="MG160" s="47" t="str">
        <f t="shared" si="600"/>
        <v xml:space="preserve"> </v>
      </c>
      <c r="MH160" s="57" t="str">
        <f t="shared" si="600"/>
        <v xml:space="preserve"> </v>
      </c>
      <c r="MI160" s="47" t="str">
        <f t="shared" si="600"/>
        <v xml:space="preserve"> </v>
      </c>
      <c r="MJ160" s="47" t="str">
        <f t="shared" si="600"/>
        <v xml:space="preserve"> </v>
      </c>
      <c r="MK160" s="47" t="str">
        <f t="shared" si="600"/>
        <v xml:space="preserve"> </v>
      </c>
      <c r="ML160" s="47" t="str">
        <f t="shared" si="600"/>
        <v xml:space="preserve"> </v>
      </c>
      <c r="MM160" s="47" t="str">
        <f t="shared" si="600"/>
        <v xml:space="preserve"> </v>
      </c>
      <c r="MN160" s="57" t="str">
        <f t="shared" si="600"/>
        <v xml:space="preserve"> </v>
      </c>
      <c r="MO160" s="47" t="str">
        <f t="shared" si="600"/>
        <v xml:space="preserve"> </v>
      </c>
      <c r="MP160" s="47" t="str">
        <f t="shared" si="600"/>
        <v xml:space="preserve"> </v>
      </c>
      <c r="MQ160" s="47" t="str">
        <f t="shared" si="600"/>
        <v xml:space="preserve"> </v>
      </c>
      <c r="MR160" s="47" t="str">
        <f t="shared" si="600"/>
        <v xml:space="preserve"> </v>
      </c>
      <c r="MS160" s="47" t="str">
        <f t="shared" si="600"/>
        <v xml:space="preserve"> </v>
      </c>
      <c r="MT160" s="57" t="str">
        <f t="shared" si="600"/>
        <v xml:space="preserve"> </v>
      </c>
      <c r="MU160" s="47" t="str">
        <f t="shared" si="600"/>
        <v xml:space="preserve"> </v>
      </c>
      <c r="MV160" s="47" t="str">
        <f t="shared" si="600"/>
        <v xml:space="preserve"> </v>
      </c>
      <c r="MW160" s="47" t="str">
        <f t="shared" si="600"/>
        <v xml:space="preserve"> </v>
      </c>
      <c r="MX160" s="47" t="str">
        <f t="shared" si="600"/>
        <v xml:space="preserve"> </v>
      </c>
      <c r="MY160" s="47" t="str">
        <f t="shared" si="600"/>
        <v xml:space="preserve"> </v>
      </c>
      <c r="MZ160" s="57" t="str">
        <f t="shared" si="600"/>
        <v xml:space="preserve"> </v>
      </c>
      <c r="NA160" s="47" t="str">
        <f t="shared" si="600"/>
        <v xml:space="preserve"> </v>
      </c>
      <c r="NB160" s="47" t="str">
        <f t="shared" si="600"/>
        <v xml:space="preserve"> </v>
      </c>
      <c r="NC160" s="47" t="str">
        <f t="shared" si="600"/>
        <v xml:space="preserve"> </v>
      </c>
      <c r="ND160" s="47" t="str">
        <f t="shared" si="600"/>
        <v xml:space="preserve"> </v>
      </c>
      <c r="NE160" s="47" t="str">
        <f t="shared" si="600"/>
        <v xml:space="preserve"> </v>
      </c>
      <c r="NF160" s="57" t="str">
        <f t="shared" si="600"/>
        <v xml:space="preserve"> </v>
      </c>
      <c r="NG160" s="47" t="str">
        <f t="shared" si="600"/>
        <v xml:space="preserve"> </v>
      </c>
      <c r="NH160" s="47" t="str">
        <f t="shared" si="600"/>
        <v xml:space="preserve"> </v>
      </c>
      <c r="NI160" s="47" t="str">
        <f t="shared" si="600"/>
        <v xml:space="preserve"> </v>
      </c>
      <c r="NJ160" s="47" t="str">
        <f t="shared" si="600"/>
        <v xml:space="preserve"> </v>
      </c>
      <c r="NK160" s="47" t="str">
        <f t="shared" si="600"/>
        <v xml:space="preserve"> </v>
      </c>
      <c r="NL160" s="57" t="str">
        <f t="shared" si="600"/>
        <v xml:space="preserve"> </v>
      </c>
      <c r="NM160" s="47" t="str">
        <f t="shared" si="600"/>
        <v xml:space="preserve"> </v>
      </c>
    </row>
    <row r="161" spans="3:377" ht="15.75" customHeight="1">
      <c r="C161" s="7" t="str">
        <f t="shared" si="296"/>
        <v>efficiency</v>
      </c>
      <c r="D161" s="21" t="str">
        <f t="shared" si="169"/>
        <v xml:space="preserve"> </v>
      </c>
      <c r="E161" s="21" t="str">
        <f t="shared" si="297"/>
        <v xml:space="preserve"> </v>
      </c>
      <c r="F161" s="21" t="str">
        <f t="shared" si="170"/>
        <v xml:space="preserve"> </v>
      </c>
      <c r="G161" s="21" t="str">
        <f t="shared" si="298"/>
        <v xml:space="preserve">social media(1),  </v>
      </c>
      <c r="H161" s="21" t="str">
        <f t="shared" si="299"/>
        <v xml:space="preserve"> </v>
      </c>
      <c r="I161" s="21" t="str">
        <f t="shared" ref="I161" si="601">IF(I59="",I162,$C161&amp;"("&amp;I59&amp;"),"&amp;I162)</f>
        <v xml:space="preserve"> </v>
      </c>
      <c r="J161" s="21" t="str">
        <f t="shared" si="560"/>
        <v xml:space="preserve">interaction 1
 </v>
      </c>
      <c r="K161" s="21" t="str">
        <f t="shared" si="173"/>
        <v xml:space="preserve"> </v>
      </c>
      <c r="L161" s="21" t="str">
        <f t="shared" si="561"/>
        <v xml:space="preserve"> </v>
      </c>
      <c r="M161" s="21" t="str">
        <f t="shared" si="175"/>
        <v xml:space="preserve">portfolio(1), social innovation(1), non-profit biz(1),  </v>
      </c>
      <c r="N161" s="21" t="str">
        <f t="shared" si="176"/>
        <v xml:space="preserve">marketing(1,12.5),  </v>
      </c>
      <c r="O161" s="21" t="str">
        <f t="shared" si="562"/>
        <v xml:space="preserve">marketing(12.5), </v>
      </c>
      <c r="P161" s="21" t="str">
        <f t="shared" si="560"/>
        <v xml:space="preserve">biz project 1
 </v>
      </c>
      <c r="Q161" s="21" t="str">
        <f t="shared" si="178"/>
        <v xml:space="preserve"> </v>
      </c>
      <c r="R161" s="21" t="str">
        <f t="shared" si="561"/>
        <v xml:space="preserve"> </v>
      </c>
      <c r="S161" s="21" t="str">
        <f t="shared" si="179"/>
        <v xml:space="preserve">portfolio(1), biz enhancement(1), business(1), start-up(1),  </v>
      </c>
      <c r="T161" s="21" t="str">
        <f t="shared" si="180"/>
        <v xml:space="preserve"> </v>
      </c>
      <c r="U161" s="21" t="str">
        <f t="shared" si="562"/>
        <v xml:space="preserve"> </v>
      </c>
      <c r="V161" s="21" t="str">
        <f t="shared" si="560"/>
        <v xml:space="preserve"> </v>
      </c>
      <c r="W161" s="21" t="str">
        <f t="shared" si="181"/>
        <v xml:space="preserve"> </v>
      </c>
      <c r="X161" s="21" t="str">
        <f t="shared" si="561"/>
        <v xml:space="preserve"> </v>
      </c>
      <c r="Y161" s="21" t="str">
        <f t="shared" si="182"/>
        <v xml:space="preserve">portfolio(1), biz project(1), biz enhancement(1), job creation(1), business(1),  </v>
      </c>
      <c r="Z161" s="21" t="str">
        <f t="shared" si="183"/>
        <v xml:space="preserve"> </v>
      </c>
      <c r="AA161" s="21" t="str">
        <f t="shared" si="562"/>
        <v xml:space="preserve"> </v>
      </c>
      <c r="AB161" s="21" t="str">
        <f t="shared" si="560"/>
        <v xml:space="preserve"> </v>
      </c>
      <c r="AC161" s="21" t="str">
        <f t="shared" si="184"/>
        <v xml:space="preserve"> </v>
      </c>
      <c r="AD161" s="21" t="str">
        <f t="shared" si="561"/>
        <v xml:space="preserve"> </v>
      </c>
      <c r="AE161" s="21" t="str">
        <f t="shared" si="185"/>
        <v xml:space="preserve">portfolio(1), social project(1), social innovation(1), non-profit biz(1),  </v>
      </c>
      <c r="AF161" s="21" t="str">
        <f t="shared" si="186"/>
        <v xml:space="preserve"> </v>
      </c>
      <c r="AG161" s="21" t="str">
        <f t="shared" si="562"/>
        <v xml:space="preserve"> </v>
      </c>
      <c r="AH161" s="21" t="str">
        <f t="shared" si="560"/>
        <v xml:space="preserve"> </v>
      </c>
      <c r="AI161" s="21" t="str">
        <f t="shared" si="187"/>
        <v xml:space="preserve"> </v>
      </c>
      <c r="AJ161" s="21" t="str">
        <f t="shared" si="561"/>
        <v xml:space="preserve"> </v>
      </c>
      <c r="AK161" s="21" t="str">
        <f t="shared" si="188"/>
        <v xml:space="preserve">portfolio(1), social project(1), social innovation(1), non-profit biz(1),  </v>
      </c>
      <c r="AL161" s="21" t="str">
        <f t="shared" si="189"/>
        <v xml:space="preserve"> </v>
      </c>
      <c r="AM161" s="21" t="str">
        <f t="shared" si="562"/>
        <v xml:space="preserve"> </v>
      </c>
      <c r="AN161" s="21" t="str">
        <f t="shared" si="560"/>
        <v xml:space="preserve"> </v>
      </c>
      <c r="AO161" s="21" t="str">
        <f t="shared" si="190"/>
        <v xml:space="preserve"> </v>
      </c>
      <c r="AP161" s="21" t="str">
        <f t="shared" si="561"/>
        <v xml:space="preserve"> </v>
      </c>
      <c r="AQ161" s="21" t="str">
        <f t="shared" si="191"/>
        <v xml:space="preserve">portfolio(1), start-up(1), start-up with mvp(1), start-up with customers(1),  </v>
      </c>
      <c r="AR161" s="21" t="str">
        <f t="shared" si="192"/>
        <v xml:space="preserve"> </v>
      </c>
      <c r="AS161" s="21" t="str">
        <f t="shared" si="562"/>
        <v xml:space="preserve"> </v>
      </c>
      <c r="AT161" s="21" t="str">
        <f t="shared" si="560"/>
        <v xml:space="preserve">portfolio 1
social project 1
 </v>
      </c>
      <c r="AU161" s="21" t="str">
        <f t="shared" si="193"/>
        <v xml:space="preserve"> </v>
      </c>
      <c r="AV161" s="21" t="str">
        <f t="shared" si="561"/>
        <v xml:space="preserve"> </v>
      </c>
      <c r="AW161" s="21" t="str">
        <f t="shared" si="194"/>
        <v xml:space="preserve">project management(2),  </v>
      </c>
      <c r="AX161" s="21" t="str">
        <f t="shared" si="195"/>
        <v xml:space="preserve">organizational rules and manuals(1,12.5), project management(1,12.5),  </v>
      </c>
      <c r="AY161" s="21" t="str">
        <f t="shared" si="562"/>
        <v xml:space="preserve">organizational rules and manuals(12.5),project management(12.5), </v>
      </c>
      <c r="AZ161" s="21" t="str">
        <f t="shared" si="560"/>
        <v xml:space="preserve"> </v>
      </c>
      <c r="BA161" s="21" t="str">
        <f t="shared" si="196"/>
        <v xml:space="preserve"> </v>
      </c>
      <c r="BB161" s="21" t="str">
        <f t="shared" si="561"/>
        <v xml:space="preserve"> </v>
      </c>
      <c r="BC161" s="21" t="str">
        <f t="shared" si="197"/>
        <v xml:space="preserve"> </v>
      </c>
      <c r="BD161" s="21" t="str">
        <f t="shared" si="198"/>
        <v xml:space="preserve"> </v>
      </c>
      <c r="BE161" s="21" t="str">
        <f t="shared" si="562"/>
        <v xml:space="preserve"> </v>
      </c>
      <c r="BF161" s="21" t="str">
        <f t="shared" si="560"/>
        <v xml:space="preserve">portfolio 1
biz project 1
 </v>
      </c>
      <c r="BG161" s="21" t="str">
        <f t="shared" si="199"/>
        <v xml:space="preserve"> </v>
      </c>
      <c r="BH161" s="21" t="str">
        <f t="shared" si="561"/>
        <v xml:space="preserve"> </v>
      </c>
      <c r="BI161" s="21" t="str">
        <f t="shared" si="200"/>
        <v xml:space="preserve">project management(2),  </v>
      </c>
      <c r="BJ161" s="21" t="str">
        <f t="shared" si="201"/>
        <v xml:space="preserve">organizational rules and manuals(1,12.5), project management(1,12.5),  </v>
      </c>
      <c r="BK161" s="21" t="str">
        <f t="shared" si="562"/>
        <v xml:space="preserve">organizational rules and manuals(12.5),project management(12.5), </v>
      </c>
      <c r="BL161" s="21" t="str">
        <f t="shared" si="560"/>
        <v xml:space="preserve">portfolio 1
biz enhancement 1
 </v>
      </c>
      <c r="BM161" s="21" t="str">
        <f t="shared" si="202"/>
        <v xml:space="preserve"> </v>
      </c>
      <c r="BN161" s="21" t="str">
        <f t="shared" si="561"/>
        <v xml:space="preserve"> </v>
      </c>
      <c r="BO161" s="21" t="str">
        <f t="shared" si="203"/>
        <v xml:space="preserve"> </v>
      </c>
      <c r="BP161" s="21" t="str">
        <f t="shared" si="204"/>
        <v xml:space="preserve"> </v>
      </c>
      <c r="BQ161" s="21" t="str">
        <f t="shared" si="562"/>
        <v xml:space="preserve"> </v>
      </c>
      <c r="BR161" s="21" t="str">
        <f t="shared" si="560"/>
        <v xml:space="preserve"> </v>
      </c>
      <c r="BS161" s="21" t="str">
        <f t="shared" si="205"/>
        <v xml:space="preserve"> </v>
      </c>
      <c r="BT161" s="21" t="str">
        <f t="shared" si="561"/>
        <v xml:space="preserve"> </v>
      </c>
      <c r="BU161" s="21" t="str">
        <f t="shared" si="206"/>
        <v xml:space="preserve"> </v>
      </c>
      <c r="BV161" s="21" t="str">
        <f t="shared" si="207"/>
        <v xml:space="preserve"> </v>
      </c>
      <c r="BW161" s="21" t="str">
        <f t="shared" si="562"/>
        <v xml:space="preserve"> </v>
      </c>
      <c r="BX161" s="21" t="str">
        <f t="shared" si="563"/>
        <v xml:space="preserve"> </v>
      </c>
      <c r="BY161" s="21" t="str">
        <f t="shared" si="209"/>
        <v xml:space="preserve">efficiency(1,),  </v>
      </c>
      <c r="BZ161" s="21" t="str">
        <f t="shared" si="564"/>
        <v xml:space="preserve"> </v>
      </c>
      <c r="CA161" s="21" t="str">
        <f t="shared" si="211"/>
        <v xml:space="preserve">negotiation(1),  </v>
      </c>
      <c r="CB161" s="21" t="str">
        <f t="shared" si="212"/>
        <v xml:space="preserve">user rules and manuals(1,50), organizational rules and manuals(1,50),  </v>
      </c>
      <c r="CC161" s="21" t="str">
        <f t="shared" si="565"/>
        <v xml:space="preserve">user rules and manuals(50),organizational rules and manuals(50), </v>
      </c>
      <c r="CD161" s="21" t="str">
        <f t="shared" si="563"/>
        <v xml:space="preserve"> </v>
      </c>
      <c r="CE161" s="21" t="str">
        <f t="shared" si="214"/>
        <v xml:space="preserve"> </v>
      </c>
      <c r="CF161" s="21" t="str">
        <f t="shared" si="564"/>
        <v xml:space="preserve"> </v>
      </c>
      <c r="CG161" s="21" t="str">
        <f t="shared" si="215"/>
        <v xml:space="preserve">portfolio(1), user rules and manuals(1), negotiation(1), social project(1), biz project(1), for basic literacy(1), for the elites(1), for entrepreneurs(1),  </v>
      </c>
      <c r="CH161" s="21" t="str">
        <f t="shared" si="216"/>
        <v xml:space="preserve"> </v>
      </c>
      <c r="CI161" s="21" t="str">
        <f t="shared" si="565"/>
        <v xml:space="preserve"> </v>
      </c>
      <c r="CJ161" s="21" t="str">
        <f t="shared" si="563"/>
        <v xml:space="preserve"> </v>
      </c>
      <c r="CK161" s="21" t="str">
        <f t="shared" si="217"/>
        <v xml:space="preserve"> </v>
      </c>
      <c r="CL161" s="21" t="str">
        <f t="shared" si="564"/>
        <v xml:space="preserve"> </v>
      </c>
      <c r="CM161" s="21" t="str">
        <f t="shared" si="218"/>
        <v xml:space="preserve">negotiation(1),  </v>
      </c>
      <c r="CN161" s="21" t="str">
        <f t="shared" si="219"/>
        <v xml:space="preserve">efficiency(1,6.25),  </v>
      </c>
      <c r="CO161" s="21" t="str">
        <f t="shared" si="565"/>
        <v xml:space="preserve">efficiency(6.25), </v>
      </c>
      <c r="CP161" s="21" t="str">
        <f t="shared" si="563"/>
        <v xml:space="preserve"> </v>
      </c>
      <c r="CQ161" s="21" t="str">
        <f t="shared" si="220"/>
        <v xml:space="preserve"> </v>
      </c>
      <c r="CR161" s="21" t="str">
        <f t="shared" si="564"/>
        <v xml:space="preserve"> </v>
      </c>
      <c r="CS161" s="21" t="str">
        <f t="shared" si="221"/>
        <v xml:space="preserve">portfolio(1), negotiation(1), web(1), infrastructrue(1), database(1), mobile apps(1), sensors(1), security(1), AI&amp; data analysis(1), mobile comm(1), VR&amp;AR(1), wood processing(1), metal processing(1), plastic processing(1), electronics(1), fabric(1),  </v>
      </c>
      <c r="CT161" s="21" t="str">
        <f t="shared" si="222"/>
        <v xml:space="preserve">efficiency(1,6.25),  </v>
      </c>
      <c r="CU161" s="21" t="str">
        <f t="shared" si="565"/>
        <v xml:space="preserve">efficiency(6.25), </v>
      </c>
      <c r="CV161" s="21" t="str">
        <f t="shared" si="563"/>
        <v xml:space="preserve"> </v>
      </c>
      <c r="CW161" s="21" t="str">
        <f t="shared" si="223"/>
        <v xml:space="preserve"> </v>
      </c>
      <c r="CX161" s="21" t="str">
        <f t="shared" si="564"/>
        <v xml:space="preserve"> </v>
      </c>
      <c r="CY161" s="21" t="str">
        <f t="shared" si="224"/>
        <v xml:space="preserve">portfolio(1), negotiation(1),  </v>
      </c>
      <c r="CZ161" s="21" t="str">
        <f t="shared" si="225"/>
        <v xml:space="preserve"> </v>
      </c>
      <c r="DA161" s="21" t="str">
        <f t="shared" si="565"/>
        <v xml:space="preserve"> </v>
      </c>
      <c r="DB161" s="21" t="str">
        <f t="shared" si="563"/>
        <v xml:space="preserve"> </v>
      </c>
      <c r="DC161" s="21" t="str">
        <f t="shared" si="226"/>
        <v xml:space="preserve"> </v>
      </c>
      <c r="DD161" s="21" t="str">
        <f t="shared" si="564"/>
        <v xml:space="preserve"> </v>
      </c>
      <c r="DE161"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1" s="21" t="str">
        <f t="shared" si="228"/>
        <v xml:space="preserve"> </v>
      </c>
      <c r="DG161" s="21" t="str">
        <f t="shared" si="565"/>
        <v xml:space="preserve"> </v>
      </c>
      <c r="DH161" s="21" t="str">
        <f t="shared" si="563"/>
        <v xml:space="preserve">social project 1
 </v>
      </c>
      <c r="DI161" s="21" t="str">
        <f t="shared" si="229"/>
        <v xml:space="preserve"> </v>
      </c>
      <c r="DJ161" s="21" t="str">
        <f t="shared" si="564"/>
        <v xml:space="preserve"> </v>
      </c>
      <c r="DK161" s="21" t="str">
        <f t="shared" si="230"/>
        <v xml:space="preserve">efficiency(2), 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1" s="21" t="str">
        <f t="shared" si="231"/>
        <v xml:space="preserve"> </v>
      </c>
      <c r="DM161" s="21" t="str">
        <f t="shared" si="565"/>
        <v xml:space="preserve"> </v>
      </c>
      <c r="DN161" s="21" t="str">
        <f t="shared" si="563"/>
        <v xml:space="preserve">biz project 1
 </v>
      </c>
      <c r="DO161" s="21" t="str">
        <f t="shared" si="232"/>
        <v xml:space="preserve"> </v>
      </c>
      <c r="DP161" s="21" t="str">
        <f t="shared" si="564"/>
        <v xml:space="preserve"> </v>
      </c>
      <c r="DQ161" s="21" t="str">
        <f t="shared" si="233"/>
        <v xml:space="preserve">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1" s="21" t="str">
        <f t="shared" si="234"/>
        <v xml:space="preserve"> </v>
      </c>
      <c r="DS161" s="21" t="str">
        <f t="shared" si="565"/>
        <v xml:space="preserve"> </v>
      </c>
      <c r="DT161" s="21" t="str">
        <f t="shared" si="563"/>
        <v xml:space="preserve"> </v>
      </c>
      <c r="DU161" s="21" t="str">
        <f t="shared" si="235"/>
        <v xml:space="preserve"> </v>
      </c>
      <c r="DV161" s="21" t="str">
        <f t="shared" si="564"/>
        <v xml:space="preserve"> </v>
      </c>
      <c r="DW161" s="21" t="str">
        <f t="shared" si="236"/>
        <v xml:space="preserve">efficiency(1), organizational rules and manuals(1), marketing(1), social media(1), for basic literacy(1),  </v>
      </c>
      <c r="DX161" s="21" t="str">
        <f t="shared" si="237"/>
        <v xml:space="preserve">for basic literacy(1,6.25),  </v>
      </c>
      <c r="DY161" s="21" t="str">
        <f t="shared" si="565"/>
        <v xml:space="preserve">for basic literacy(6.25), </v>
      </c>
      <c r="DZ161" s="21" t="str">
        <f t="shared" si="563"/>
        <v xml:space="preserve"> </v>
      </c>
      <c r="EA161" s="21" t="str">
        <f t="shared" si="238"/>
        <v xml:space="preserve"> </v>
      </c>
      <c r="EB161" s="21" t="str">
        <f t="shared" si="564"/>
        <v xml:space="preserve"> </v>
      </c>
      <c r="EC161" s="21" t="str">
        <f t="shared" si="239"/>
        <v xml:space="preserve">efficiency(1), organizational rules and manuals(1), marketing(1), social media(1), web(2), infrastructrue(2), database(2), mobile apps(2), sensors(2), security(2), AI&amp; data analysis(2), mobile comm(2), VR&amp;AR(2), wood processing(2), metal processing(2), plastic processing(2), electronics(2), fabric(2), for basic literacy(1),  </v>
      </c>
      <c r="ED161" s="21" t="str">
        <f t="shared" si="240"/>
        <v xml:space="preserve">for basic literacy(1,6.25),  </v>
      </c>
      <c r="EE161" s="21" t="str">
        <f t="shared" si="565"/>
        <v xml:space="preserve">for basic literacy(6.25), </v>
      </c>
      <c r="EF161" s="21" t="str">
        <f t="shared" si="563"/>
        <v xml:space="preserve"> </v>
      </c>
      <c r="EG161" s="21" t="str">
        <f t="shared" si="241"/>
        <v xml:space="preserve">web(1,50), mobile apps(1,50), interaction(1,50),  </v>
      </c>
      <c r="EH161" s="21" t="str">
        <f t="shared" si="564"/>
        <v xml:space="preserve">web 50
mobile apps 50
interaction 50
 </v>
      </c>
      <c r="EI161" s="21" t="str">
        <f t="shared" si="242"/>
        <v xml:space="preserve">infrastructrue(1), database(1), mobile comm(1), for entrepreneurs(1),  </v>
      </c>
      <c r="EJ161" s="21" t="str">
        <f t="shared" si="243"/>
        <v xml:space="preserve">infrastructrue(1,12.5), database(1,12.5), mobile comm(1,12.5), for entrepreneurs(1,6.25),  </v>
      </c>
      <c r="EK161" s="21" t="str">
        <f t="shared" si="565"/>
        <v xml:space="preserve">infrastructrue(12.5),database(12.5),mobile comm(12.5),for entrepreneurs(6.25), </v>
      </c>
      <c r="EL161" s="21" t="str">
        <f t="shared" si="566"/>
        <v xml:space="preserve"> </v>
      </c>
      <c r="EM161" s="21" t="str">
        <f t="shared" si="245"/>
        <v xml:space="preserve">sensors(1,50),  </v>
      </c>
      <c r="EN161" s="21" t="str">
        <f t="shared" si="567"/>
        <v xml:space="preserve">sensors 50
 </v>
      </c>
      <c r="EO161" s="21" t="str">
        <f t="shared" si="247"/>
        <v xml:space="preserve">project management(2), infrastructrue(1), database(1), mobile comm(1), for entrepreneurs(1),  </v>
      </c>
      <c r="EP161" s="21" t="str">
        <f t="shared" si="248"/>
        <v xml:space="preserve">infrastructrue(1,12.5), database(1,12.5), mobile comm(1,12.5), electronics(1,6.25), for entrepreneurs(1,6.25),  </v>
      </c>
      <c r="EQ161" s="21" t="str">
        <f t="shared" si="568"/>
        <v xml:space="preserve">infrastructrue(12.5),database(12.5),mobile comm(12.5),electronics(6.25),for entrepreneurs(6.25), </v>
      </c>
      <c r="ER161" s="21" t="str">
        <f t="shared" si="566"/>
        <v xml:space="preserve"> </v>
      </c>
      <c r="ES161" s="21" t="str">
        <f t="shared" si="250"/>
        <v xml:space="preserve">AI&amp; data analysis(1,50),  </v>
      </c>
      <c r="ET161" s="21" t="str">
        <f t="shared" si="567"/>
        <v xml:space="preserve">AI&amp; data analysis 50
 </v>
      </c>
      <c r="EU161" s="21" t="str">
        <f t="shared" si="251"/>
        <v xml:space="preserve">database(1), sensors(1), mobile comm(1), for entrepreneurs(1),  </v>
      </c>
      <c r="EV161" s="21" t="str">
        <f t="shared" si="252"/>
        <v xml:space="preserve">database(1,12.5), sensors(1,12.5), mobile comm(1,12.5), for entrepreneurs(1,6.25),  </v>
      </c>
      <c r="EW161" s="21" t="str">
        <f t="shared" si="568"/>
        <v xml:space="preserve">database(12.5),sensors(12.5),mobile comm(12.5),for entrepreneurs(6.25), </v>
      </c>
      <c r="EX161" s="21" t="str">
        <f t="shared" si="566"/>
        <v xml:space="preserve"> </v>
      </c>
      <c r="EY161" s="21" t="str">
        <f t="shared" si="253"/>
        <v xml:space="preserve">law(1,50), security(1,50), interaction(1,25),  </v>
      </c>
      <c r="EZ161" s="21" t="str">
        <f t="shared" si="567"/>
        <v xml:space="preserve">law 50
security 50
interaction 25
 </v>
      </c>
      <c r="FA161" s="21" t="str">
        <f t="shared" si="254"/>
        <v xml:space="preserve">law(2), for entrepreneurs(1),  </v>
      </c>
      <c r="FB161" s="21" t="str">
        <f t="shared" si="255"/>
        <v xml:space="preserve">law(1,6.25), database(1,12.5), mobile apps(1,12.5), security(1,12.5), mobile comm(1,12.5), for entrepreneurs(1,6.25),  </v>
      </c>
      <c r="FC161" s="21" t="str">
        <f t="shared" si="568"/>
        <v xml:space="preserve">law(6.25),database(12.5),mobile apps(12.5),security(12.5),mobile comm(12.5),for entrepreneurs(6.25), </v>
      </c>
      <c r="FD161" s="21" t="str">
        <f t="shared" si="566"/>
        <v xml:space="preserve"> </v>
      </c>
      <c r="FE161" s="21" t="str">
        <f t="shared" si="256"/>
        <v xml:space="preserve">law(1,50), sensors(1,50), security(1,50),  </v>
      </c>
      <c r="FF161" s="21" t="str">
        <f t="shared" si="567"/>
        <v xml:space="preserve">law 50
sensors 50
security 50
 </v>
      </c>
      <c r="FG161" s="21" t="str">
        <f t="shared" si="257"/>
        <v xml:space="preserve">law(2), project management(2), for entrepreneurs(1),  </v>
      </c>
      <c r="FH161" s="21" t="str">
        <f t="shared" si="258"/>
        <v xml:space="preserve">law(1,6.25), database(1,6.25), mobile apps(1,6.25), AI&amp; data analysis(1,6.25), mobile comm(1,6.25), for entrepreneurs(1,6.25),  </v>
      </c>
      <c r="FI161" s="21" t="str">
        <f t="shared" si="568"/>
        <v xml:space="preserve">law(6.25),database(6.25),mobile apps(6.25),AI&amp; data analysis(6.25),mobile comm(6.25),for entrepreneurs(6.25), </v>
      </c>
      <c r="FJ161" s="21" t="str">
        <f t="shared" si="566"/>
        <v xml:space="preserve"> </v>
      </c>
      <c r="FK161" s="21" t="str">
        <f t="shared" si="259"/>
        <v xml:space="preserve">wood processing(1,25), metal processing(1,25), plastic processing(1,25), fabric(1,25), safety(1,25), interaction(1,25),  </v>
      </c>
      <c r="FL161" s="21" t="str">
        <f t="shared" si="567"/>
        <v xml:space="preserve">project management 2
wood processing 25
metal processing 25
plastic processing 25
fabric 25
safety 25
interaction 25
 </v>
      </c>
      <c r="FM161" s="21" t="str">
        <f t="shared" si="260"/>
        <v xml:space="preserve">for entrepreneurs(1),  </v>
      </c>
      <c r="FN161" s="21" t="str">
        <f t="shared" si="261"/>
        <v xml:space="preserve">for entrepreneurs(1,6.25),  </v>
      </c>
      <c r="FO161" s="21" t="str">
        <f t="shared" si="568"/>
        <v xml:space="preserve">for entrepreneurs(6.25), </v>
      </c>
      <c r="FP161" s="21" t="str">
        <f t="shared" si="566"/>
        <v xml:space="preserve"> </v>
      </c>
      <c r="FQ161" s="21" t="str">
        <f t="shared" si="262"/>
        <v xml:space="preserve">web(1,25), mobile apps(1,50), functions(1,25), interaction(1,25),  </v>
      </c>
      <c r="FR161" s="21" t="str">
        <f t="shared" si="567"/>
        <v xml:space="preserve">web 25
mobile apps 50
functions 25
interaction 25
 </v>
      </c>
      <c r="FS161" s="21" t="str">
        <f t="shared" si="263"/>
        <v xml:space="preserve">for entrepreneurs(1),  </v>
      </c>
      <c r="FT161" s="21" t="str">
        <f t="shared" si="264"/>
        <v xml:space="preserve">for entrepreneurs(1,6.25),  </v>
      </c>
      <c r="FU161" s="21" t="str">
        <f t="shared" si="568"/>
        <v xml:space="preserve">for entrepreneurs(6.25), </v>
      </c>
      <c r="FV161" s="21" t="str">
        <f t="shared" si="566"/>
        <v xml:space="preserve"> </v>
      </c>
      <c r="FW161" s="21" t="str">
        <f t="shared" si="265"/>
        <v xml:space="preserve">mobile apps(1,50), sensors(1,50), wood processing(1,25), plastic processing(1,25), electronics(1,25), functions(1,25), interaction(1,25),  </v>
      </c>
      <c r="FX161" s="21" t="str">
        <f t="shared" si="567"/>
        <v xml:space="preserve">mobile apps 50
sensors 50
wood processing 25
plastic processing 25
electronics 25
functions 25
interaction 25
 </v>
      </c>
      <c r="FY161" s="21" t="str">
        <f t="shared" si="266"/>
        <v xml:space="preserve">project management(2), for entrepreneurs(1),  </v>
      </c>
      <c r="FZ161" s="21" t="str">
        <f t="shared" si="267"/>
        <v xml:space="preserve">web(1,6.25), database(1,6.25), AI&amp; data analysis(1,6.25), mobile comm(1,6.25), for entrepreneurs(1,6.25),  </v>
      </c>
      <c r="GA161" s="21" t="str">
        <f t="shared" si="568"/>
        <v xml:space="preserve">web(6.25),database(6.25),AI&amp; data analysis(6.25),mobile comm(6.25),for entrepreneurs(6.25), </v>
      </c>
      <c r="GB161" s="21" t="str">
        <f t="shared" si="566"/>
        <v xml:space="preserve"> </v>
      </c>
      <c r="GC161" s="21" t="str">
        <f t="shared" si="268"/>
        <v xml:space="preserve">sensors(1,25), mobile comm(1,25), electronics(1,50), functions(1,25), safety(1,25),  </v>
      </c>
      <c r="GD161" s="21" t="str">
        <f t="shared" si="567"/>
        <v xml:space="preserve">sensors 25
mobile comm 25
electronics 50
functions 25
safety 25
 </v>
      </c>
      <c r="GE161" s="21" t="str">
        <f t="shared" si="269"/>
        <v xml:space="preserve">project management(2), for entrepreneurs(1),  </v>
      </c>
      <c r="GF161" s="21" t="str">
        <f t="shared" si="270"/>
        <v xml:space="preserve">database(1,6.25), mobile apps(1,6.25), AI&amp; data analysis(1,6.25), plastic processing(1,6.25), interaction(1,6.25), for entrepreneurs(1,6.25),  </v>
      </c>
      <c r="GG161" s="21" t="str">
        <f t="shared" si="568"/>
        <v xml:space="preserve">database(6.25),mobile apps(6.25),AI&amp; data analysis(6.25),plastic processing(6.25),interaction(6.25),for entrepreneurs(6.25), </v>
      </c>
      <c r="GH161" s="21" t="str">
        <f t="shared" si="566"/>
        <v xml:space="preserve"> </v>
      </c>
      <c r="GI161" s="21" t="str">
        <f t="shared" si="271"/>
        <v xml:space="preserve">web(1,25), mobile apps(1,50), functions(1,25), interaction(1,25),  </v>
      </c>
      <c r="GJ161" s="21" t="str">
        <f t="shared" si="567"/>
        <v xml:space="preserve">web 25
mobile apps 50
functions 25
interaction 25
 </v>
      </c>
      <c r="GK161" s="21" t="str">
        <f t="shared" si="272"/>
        <v xml:space="preserve">project management(2), for entrepreneurs(1),  </v>
      </c>
      <c r="GL161" s="21" t="str">
        <f t="shared" si="273"/>
        <v xml:space="preserve">for entrepreneurs(1,6.25),  </v>
      </c>
      <c r="GM161" s="21" t="str">
        <f t="shared" si="568"/>
        <v xml:space="preserve">for entrepreneurs(6.25), </v>
      </c>
      <c r="GN161" s="21" t="str">
        <f t="shared" si="566"/>
        <v xml:space="preserve"> </v>
      </c>
      <c r="GO161" s="21" t="str">
        <f t="shared" si="274"/>
        <v xml:space="preserve">web(1,25), mobile apps(1,25), VR&amp;AR(1,25), aesthetics(1,25), functions(1,25), interaction(1,50),  </v>
      </c>
      <c r="GP161" s="21" t="str">
        <f t="shared" si="567"/>
        <v xml:space="preserve">web 25
mobile apps 25
VR&amp;AR 25
aesthetics 25
functions 25
interaction 50
 </v>
      </c>
      <c r="GQ161" s="21" t="str">
        <f t="shared" si="275"/>
        <v xml:space="preserve">project management(2), for entrepreneurs(1),  </v>
      </c>
      <c r="GR161" s="21" t="str">
        <f t="shared" si="276"/>
        <v xml:space="preserve">for entrepreneurs(1,6.25),  </v>
      </c>
      <c r="GS161" s="21" t="str">
        <f t="shared" si="568"/>
        <v xml:space="preserve">for entrepreneurs(6.25), </v>
      </c>
      <c r="GT161" s="21" t="str">
        <f t="shared" si="566"/>
        <v xml:space="preserve">web 1
mobile apps 1
mobile comm 1
 </v>
      </c>
      <c r="GU161" s="21" t="str">
        <f t="shared" si="277"/>
        <v xml:space="preserve"> </v>
      </c>
      <c r="GV161" s="21" t="str">
        <f t="shared" si="567"/>
        <v xml:space="preserve"> </v>
      </c>
      <c r="GW161" s="21" t="str">
        <f t="shared" si="278"/>
        <v xml:space="preserve">efficiency(2), user rules and manuals(1), organizational rules and manuals(1), business model(2), marketing(1), team building(1), project management(1), social media(1), infrastructrue(1), database(1), sensors(1), security(1), AI&amp; data analysis(1), electronics(1),  </v>
      </c>
      <c r="GX161" s="21" t="str">
        <f t="shared" si="279"/>
        <v xml:space="preserve">project management(1,6.25), social media(1,6.25), web(1,6.25), mobile apps(1,6.25),  </v>
      </c>
      <c r="GY161" s="21" t="str">
        <f t="shared" si="568"/>
        <v xml:space="preserve">project management(6.25),social media(6.25),web(6.25),mobile apps(6.25), </v>
      </c>
      <c r="GZ161" s="21" t="str">
        <f t="shared" si="569"/>
        <v xml:space="preserve">portfolio 1
 </v>
      </c>
      <c r="HA161" s="21" t="str">
        <f t="shared" si="281"/>
        <v xml:space="preserve"> </v>
      </c>
      <c r="HB161" s="21" t="str">
        <f t="shared" si="570"/>
        <v xml:space="preserve"> </v>
      </c>
      <c r="HC161" s="21" t="str">
        <f t="shared" si="283"/>
        <v xml:space="preserve">portfolio(3), social media(2), web(2), mobile apps(2), sensors(2), AI&amp; data analysis(2), VR&amp;AR(2), plastic processing(2), electronics(2), aesthetics(2), interaction(2),  </v>
      </c>
      <c r="HD161" s="21" t="str">
        <f t="shared" si="284"/>
        <v xml:space="preserve">start-up with customers(1,6.25), for basic literacy(1,6.25),  </v>
      </c>
      <c r="HE161" s="21" t="str">
        <f t="shared" si="571"/>
        <v xml:space="preserve">start-up with customers(6.25),for basic literacy(6.25), </v>
      </c>
      <c r="HF161" s="21" t="str">
        <f t="shared" si="569"/>
        <v xml:space="preserve"> </v>
      </c>
      <c r="HG161" s="21" t="str">
        <f t="shared" si="286"/>
        <v xml:space="preserve"> </v>
      </c>
      <c r="HH161" s="21" t="str">
        <f t="shared" si="570"/>
        <v xml:space="preserve"> </v>
      </c>
      <c r="HI161" s="21" t="str">
        <f t="shared" si="287"/>
        <v xml:space="preserve">portfolio(3), marketing(2), team building(3), project management(2), mobile apps(3), sensors(2), plastic processing(2), electronics(2), aesthetics(2), functions(2), interaction(2),  </v>
      </c>
      <c r="HJ161" s="21" t="str">
        <f t="shared" si="288"/>
        <v xml:space="preserve">start-up with customers(1,6.25),  </v>
      </c>
      <c r="HK161" s="21" t="str">
        <f t="shared" si="571"/>
        <v xml:space="preserve">start-up with customers(6.25), </v>
      </c>
      <c r="HL161" s="21" t="str">
        <f t="shared" si="569"/>
        <v xml:space="preserve">portfolio 2
 </v>
      </c>
      <c r="HM161" s="21" t="str">
        <f t="shared" si="289"/>
        <v xml:space="preserve"> </v>
      </c>
      <c r="HN161" s="21" t="str">
        <f t="shared" si="570"/>
        <v xml:space="preserve"> </v>
      </c>
      <c r="HO161" s="21" t="str">
        <f t="shared" si="290"/>
        <v xml:space="preserve">efficiency(2), portfolio(4), finance(2), marketing(2), project management(2), social media(2), web(3), mobile apps(2), wood processing(3), plastic processing(3), electronics(3), aesthetics(2), interaction(2),  </v>
      </c>
      <c r="HP161" s="21" t="str">
        <f t="shared" si="291"/>
        <v xml:space="preserve"> </v>
      </c>
      <c r="HQ161" s="47" t="str">
        <f t="shared" si="571"/>
        <v xml:space="preserve"> </v>
      </c>
      <c r="HR161" s="47" t="str">
        <f t="shared" ref="HR161:HW161" si="602">IF(HR59="",HR162,$C161&amp;"("&amp;HR59&amp;"),"&amp;HR162)</f>
        <v xml:space="preserve">portfolio(2),mobile apps(1),sensors(1),wood processing(1),aesthetics(1), </v>
      </c>
      <c r="HS161" s="47" t="str">
        <f t="shared" si="602"/>
        <v xml:space="preserve"> </v>
      </c>
      <c r="HT161" s="47" t="str">
        <f t="shared" si="602"/>
        <v xml:space="preserve"> </v>
      </c>
      <c r="HU161" s="47" t="str">
        <f t="shared" si="602"/>
        <v xml:space="preserve">efficiency(2),portfolio(3),project management(2),social media(2),web(3),infrastructrue(3),database(3),mobile apps(3),sensors(3),AI&amp; data analysis(3),mobile comm(3),VR&amp;AR(3),wood processing(3),metal processing(2),plastic processing(2),electronics(2),fabric(2),aesthetics(2),interaction(2),start-up with mvp(1), </v>
      </c>
      <c r="HV161" s="47" t="str">
        <f t="shared" si="602"/>
        <v xml:space="preserve"> </v>
      </c>
      <c r="HW161" s="47" t="str">
        <f t="shared" si="602"/>
        <v xml:space="preserve"> </v>
      </c>
      <c r="HX161" s="47" t="str">
        <f t="shared" ref="HX161:IU161" si="603">IF(HX59="",HX162,$C161&amp;"("&amp;HX59&amp;"),"&amp;HX162)</f>
        <v xml:space="preserve">portfolio(2),web(1),infrastructrue(1),database(2),mobile apps(1),sensors(1),AI&amp; data analysis(2),VR&amp;AR(1),wood processing(1),metal processing(1),plastic processing(1),electronics(1),aesthetics(1),functions(1),interaction(1), </v>
      </c>
      <c r="HY161" s="47" t="str">
        <f t="shared" si="603"/>
        <v xml:space="preserve">biz enhancement(1), </v>
      </c>
      <c r="HZ161" s="47" t="str">
        <f t="shared" si="603"/>
        <v xml:space="preserve">biz enhancement(100), </v>
      </c>
      <c r="IA161" s="47" t="str">
        <f t="shared" si="603"/>
        <v xml:space="preserve">efficiency(2),portfolio(4),finance(2),business model(2),marketing(3),team building(2),project management(2),social media(3),negotiation(3), </v>
      </c>
      <c r="IB161" s="47" t="str">
        <f t="shared" si="603"/>
        <v xml:space="preserve">team building(1),database(1),AI&amp; data analysis(1),electronics(1),functions(1), </v>
      </c>
      <c r="IC161" s="47" t="str">
        <f t="shared" si="603"/>
        <v xml:space="preserve">team building(6.25),database(6.25),AI&amp; data analysis(6.25),electronics(6.25),functions(6.25), </v>
      </c>
      <c r="ID161" s="47" t="str">
        <f t="shared" si="603"/>
        <v xml:space="preserve"> </v>
      </c>
      <c r="IE161" s="47" t="str">
        <f t="shared" si="603"/>
        <v xml:space="preserve">web(1),mobile apps(1),security(1),AI&amp; data analysis(1), </v>
      </c>
      <c r="IF161" s="47" t="str">
        <f t="shared" si="603"/>
        <v xml:space="preserve">web(25),mobile apps(25),security(25),AI&amp; data analysis(25), </v>
      </c>
      <c r="IG161" s="47" t="str">
        <f t="shared" si="603"/>
        <v xml:space="preserve">efficiency(2),portfolio(3),web(2),database(2),mobile apps(2),security(2),AI&amp; data analysis(2), </v>
      </c>
      <c r="IH161" s="47" t="str">
        <f t="shared" si="603"/>
        <v xml:space="preserve">web(1),database(1),mobile apps(1),security(1),AI&amp; data analysis(1), </v>
      </c>
      <c r="II161" s="47" t="str">
        <f t="shared" si="603"/>
        <v xml:space="preserve">web(6.25),database(6.25),mobile apps(6.25),security(6.25),AI&amp; data analysis(6.25), </v>
      </c>
      <c r="IJ161" s="47" t="str">
        <f t="shared" si="603"/>
        <v xml:space="preserve"> </v>
      </c>
      <c r="IK161" s="47" t="str">
        <f t="shared" si="603"/>
        <v xml:space="preserve">wood processing(1),metal processing(1),functions(1),safety(1), </v>
      </c>
      <c r="IL161" s="47" t="str">
        <f t="shared" si="603"/>
        <v xml:space="preserve">wood processing(25),metal processing(25),functions(25),safety(25), </v>
      </c>
      <c r="IM161" s="47" t="str">
        <f t="shared" si="603"/>
        <v xml:space="preserve">efficiency(2),portfolio(3),wood processing(2),metal processing(2),functions(2),safety(2), </v>
      </c>
      <c r="IN161" s="47" t="str">
        <f t="shared" si="603"/>
        <v xml:space="preserve">wood processing(1),metal processing(1),functions(1),safety(1),interaction(1), </v>
      </c>
      <c r="IO161" s="47" t="str">
        <f t="shared" si="603"/>
        <v xml:space="preserve">wood processing(6.25),metal processing(6.25),functions(6.25),safety(6.25),interaction(6.25), </v>
      </c>
      <c r="IP161" s="57" t="str">
        <f t="shared" si="603"/>
        <v xml:space="preserve"> </v>
      </c>
      <c r="IQ161" s="47" t="str">
        <f t="shared" si="603"/>
        <v xml:space="preserve">marketing(1), </v>
      </c>
      <c r="IR161" s="47" t="str">
        <f t="shared" si="603"/>
        <v xml:space="preserve">marketing(25), </v>
      </c>
      <c r="IS161" s="47" t="str">
        <f t="shared" si="603"/>
        <v xml:space="preserve">efficiency(2),marketing(2), </v>
      </c>
      <c r="IT161" s="47" t="str">
        <f t="shared" si="603"/>
        <v xml:space="preserve">marketing(1), </v>
      </c>
      <c r="IU161" s="47" t="str">
        <f t="shared" si="603"/>
        <v xml:space="preserve">marketing(6.25), </v>
      </c>
      <c r="IV161" s="57" t="str">
        <f t="shared" ref="IV161:LG161" si="604">IF(IV59="",IV162,$C161&amp;"("&amp;IV59&amp;"),"&amp;IV162)</f>
        <v xml:space="preserve"> </v>
      </c>
      <c r="IW161" s="47" t="str">
        <f t="shared" si="604"/>
        <v xml:space="preserve">marketing(1), </v>
      </c>
      <c r="IX161" s="47" t="str">
        <f t="shared" si="604"/>
        <v xml:space="preserve">marketing(25), </v>
      </c>
      <c r="IY161" s="47" t="str">
        <f t="shared" si="604"/>
        <v xml:space="preserve">efficiency(2),marketing(2), </v>
      </c>
      <c r="IZ161" s="47" t="str">
        <f t="shared" si="604"/>
        <v xml:space="preserve">marketing(1), </v>
      </c>
      <c r="JA161" s="47" t="str">
        <f t="shared" si="604"/>
        <v xml:space="preserve">marketing(6.25), </v>
      </c>
      <c r="JB161" s="47" t="str">
        <f t="shared" si="604"/>
        <v xml:space="preserve"> </v>
      </c>
      <c r="JC161" s="47" t="str">
        <f t="shared" si="604"/>
        <v xml:space="preserve"> </v>
      </c>
      <c r="JD161" s="47" t="str">
        <f t="shared" si="604"/>
        <v xml:space="preserve"> </v>
      </c>
      <c r="JE161" s="47" t="str">
        <f t="shared" si="604"/>
        <v xml:space="preserve">efficiency(2), </v>
      </c>
      <c r="JF161" s="47" t="str">
        <f t="shared" si="604"/>
        <v xml:space="preserve">web(1),infrastructrue(1),database(1),mobile apps(1),sensors(1),security(1),AI&amp; data analysis(1),mobile comm(1),VR&amp;AR(1),wood processing(1),metal processing(1),plastic processing(1),electronics(1),fabric(1),aesthetics(1),functions(1),safety(1),interaction(1), </v>
      </c>
      <c r="JG161" s="47" t="str">
        <f t="shared" si="604"/>
        <v xml:space="preserve">web(6.25),infrastructrue(6.25),database(6.25),mobile apps(6.25),sensors(6.25),security(6.25),AI&amp; data analysis(6.25),mobile comm(6.25),VR&amp;AR(6.25),wood processing(6.25),metal processing(6.25),plastic processing(6.25),electronics(6.25),fabric(6.25),aesthetics(6.25),functions(6.25),safety(6.25),interaction(6.25), </v>
      </c>
      <c r="JH161" s="47" t="str">
        <f t="shared" si="604"/>
        <v xml:space="preserve"> </v>
      </c>
      <c r="JI161" s="47" t="str">
        <f t="shared" si="604"/>
        <v xml:space="preserve"> </v>
      </c>
      <c r="JJ161" s="47" t="str">
        <f t="shared" si="604"/>
        <v xml:space="preserve"> </v>
      </c>
      <c r="JK161" s="47" t="str">
        <f t="shared" si="604"/>
        <v xml:space="preserve">portfolio(2),social media(2),negotiation(2),social project(1),social innovation(1),non-profit biz(1),biz project(1),biz enhancement(1),job creation(1),business(1),start-up(1),start-up with mvp(1),start-up with customers(1),for basic literacy(1),for the elites(1),for entrepreneurs(1), </v>
      </c>
      <c r="JL161" s="47" t="str">
        <f t="shared" si="604"/>
        <v xml:space="preserve"> </v>
      </c>
      <c r="JM161" s="47" t="str">
        <f t="shared" si="604"/>
        <v xml:space="preserve"> </v>
      </c>
      <c r="JN161" s="47" t="str">
        <f t="shared" si="604"/>
        <v xml:space="preserve">portfolio(2), </v>
      </c>
      <c r="JO161" s="47" t="str">
        <f t="shared" si="604"/>
        <v xml:space="preserve"> </v>
      </c>
      <c r="JP161" s="47" t="str">
        <f t="shared" si="604"/>
        <v xml:space="preserve"> </v>
      </c>
      <c r="JQ161" s="47" t="str">
        <f t="shared" si="604"/>
        <v xml:space="preserve">efficiency(1),portfolio(3),organizational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61" s="47" t="str">
        <f t="shared" si="604"/>
        <v xml:space="preserve"> </v>
      </c>
      <c r="JS161" s="47" t="str">
        <f t="shared" si="604"/>
        <v xml:space="preserve"> </v>
      </c>
      <c r="JT161" s="47" t="str">
        <f t="shared" si="604"/>
        <v xml:space="preserve">portfolio(3), </v>
      </c>
      <c r="JU161" s="47" t="str">
        <f t="shared" si="604"/>
        <v xml:space="preserve"> </v>
      </c>
      <c r="JV161" s="47" t="str">
        <f t="shared" si="604"/>
        <v xml:space="preserve"> </v>
      </c>
      <c r="JW161" s="47" t="str">
        <f t="shared" si="604"/>
        <v xml:space="preserve">efficiency(2),portfolio(4),law(1),finance(1),marketing(1),team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1" s="47" t="str">
        <f t="shared" si="604"/>
        <v xml:space="preserve"> </v>
      </c>
      <c r="JY161" s="47" t="str">
        <f t="shared" si="604"/>
        <v xml:space="preserve"> </v>
      </c>
      <c r="JZ161" s="47" t="str">
        <f t="shared" si="604"/>
        <v xml:space="preserve">social project(2), </v>
      </c>
      <c r="KA161" s="47" t="str">
        <f t="shared" si="604"/>
        <v xml:space="preserve"> </v>
      </c>
      <c r="KB161" s="47" t="str">
        <f t="shared" si="604"/>
        <v xml:space="preserve"> </v>
      </c>
      <c r="KC161" s="47" t="str">
        <f t="shared" si="604"/>
        <v xml:space="preserve">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1" s="47" t="str">
        <f t="shared" si="604"/>
        <v xml:space="preserve"> </v>
      </c>
      <c r="KE161" s="47" t="str">
        <f t="shared" si="604"/>
        <v xml:space="preserve"> </v>
      </c>
      <c r="KF161" s="47" t="str">
        <f t="shared" si="604"/>
        <v xml:space="preserve"> </v>
      </c>
      <c r="KG161" s="47" t="str">
        <f t="shared" si="604"/>
        <v xml:space="preserve"> </v>
      </c>
      <c r="KH161" s="47" t="str">
        <f t="shared" si="604"/>
        <v xml:space="preserve"> </v>
      </c>
      <c r="KI161" s="47" t="str">
        <f t="shared" si="604"/>
        <v xml:space="preserve"> </v>
      </c>
      <c r="KJ161" s="47" t="str">
        <f t="shared" si="604"/>
        <v xml:space="preserve"> </v>
      </c>
      <c r="KK161" s="47" t="str">
        <f t="shared" si="604"/>
        <v xml:space="preserve"> </v>
      </c>
      <c r="KL161" s="57" t="str">
        <f t="shared" si="604"/>
        <v xml:space="preserve"> </v>
      </c>
      <c r="KM161" s="47" t="str">
        <f t="shared" si="604"/>
        <v xml:space="preserve"> </v>
      </c>
      <c r="KN161" s="47" t="str">
        <f t="shared" si="604"/>
        <v xml:space="preserve"> </v>
      </c>
      <c r="KO161" s="47" t="str">
        <f t="shared" si="604"/>
        <v xml:space="preserve"> </v>
      </c>
      <c r="KP161" s="47" t="str">
        <f t="shared" si="604"/>
        <v xml:space="preserve"> </v>
      </c>
      <c r="KQ161" s="47" t="str">
        <f t="shared" si="604"/>
        <v xml:space="preserve"> </v>
      </c>
      <c r="KR161" s="57" t="str">
        <f t="shared" si="604"/>
        <v xml:space="preserve"> </v>
      </c>
      <c r="KS161" s="47" t="str">
        <f t="shared" si="604"/>
        <v xml:space="preserve"> </v>
      </c>
      <c r="KT161" s="47" t="str">
        <f t="shared" si="604"/>
        <v xml:space="preserve"> </v>
      </c>
      <c r="KU161" s="47" t="str">
        <f t="shared" si="604"/>
        <v xml:space="preserve"> </v>
      </c>
      <c r="KV161" s="47" t="str">
        <f t="shared" si="604"/>
        <v xml:space="preserve"> </v>
      </c>
      <c r="KW161" s="47" t="str">
        <f t="shared" si="604"/>
        <v xml:space="preserve"> </v>
      </c>
      <c r="KX161" s="57" t="str">
        <f t="shared" si="604"/>
        <v xml:space="preserve"> </v>
      </c>
      <c r="KY161" s="47" t="str">
        <f t="shared" si="604"/>
        <v xml:space="preserve"> </v>
      </c>
      <c r="KZ161" s="47" t="str">
        <f t="shared" si="604"/>
        <v xml:space="preserve"> </v>
      </c>
      <c r="LA161" s="47" t="str">
        <f t="shared" si="604"/>
        <v xml:space="preserve"> </v>
      </c>
      <c r="LB161" s="47" t="str">
        <f t="shared" si="604"/>
        <v xml:space="preserve"> </v>
      </c>
      <c r="LC161" s="47" t="str">
        <f t="shared" si="604"/>
        <v xml:space="preserve"> </v>
      </c>
      <c r="LD161" s="57" t="str">
        <f t="shared" si="604"/>
        <v xml:space="preserve"> </v>
      </c>
      <c r="LE161" s="47" t="str">
        <f t="shared" si="604"/>
        <v xml:space="preserve"> </v>
      </c>
      <c r="LF161" s="47" t="str">
        <f t="shared" si="604"/>
        <v xml:space="preserve"> </v>
      </c>
      <c r="LG161" s="47" t="str">
        <f t="shared" si="604"/>
        <v xml:space="preserve"> </v>
      </c>
      <c r="LH161" s="47" t="str">
        <f t="shared" ref="LH161:NM161" si="605">IF(LH59="",LH162,$C161&amp;"("&amp;LH59&amp;"),"&amp;LH162)</f>
        <v xml:space="preserve"> </v>
      </c>
      <c r="LI161" s="47" t="str">
        <f t="shared" si="605"/>
        <v xml:space="preserve"> </v>
      </c>
      <c r="LJ161" s="57" t="str">
        <f t="shared" si="605"/>
        <v xml:space="preserve"> </v>
      </c>
      <c r="LK161" s="47" t="str">
        <f t="shared" si="605"/>
        <v xml:space="preserve"> </v>
      </c>
      <c r="LL161" s="47" t="str">
        <f t="shared" si="605"/>
        <v xml:space="preserve"> </v>
      </c>
      <c r="LM161" s="47" t="str">
        <f t="shared" si="605"/>
        <v xml:space="preserve"> </v>
      </c>
      <c r="LN161" s="47" t="str">
        <f t="shared" si="605"/>
        <v xml:space="preserve"> </v>
      </c>
      <c r="LO161" s="47" t="str">
        <f t="shared" si="605"/>
        <v xml:space="preserve"> </v>
      </c>
      <c r="LP161" s="57" t="str">
        <f t="shared" si="605"/>
        <v xml:space="preserve"> </v>
      </c>
      <c r="LQ161" s="47" t="str">
        <f t="shared" si="605"/>
        <v xml:space="preserve"> </v>
      </c>
      <c r="LR161" s="47" t="str">
        <f t="shared" si="605"/>
        <v xml:space="preserve"> </v>
      </c>
      <c r="LS161" s="47" t="str">
        <f t="shared" si="605"/>
        <v xml:space="preserve"> </v>
      </c>
      <c r="LT161" s="47" t="str">
        <f t="shared" si="605"/>
        <v xml:space="preserve"> </v>
      </c>
      <c r="LU161" s="47" t="str">
        <f t="shared" si="605"/>
        <v xml:space="preserve"> </v>
      </c>
      <c r="LV161" s="57" t="str">
        <f t="shared" si="605"/>
        <v xml:space="preserve"> </v>
      </c>
      <c r="LW161" s="47" t="str">
        <f t="shared" si="605"/>
        <v xml:space="preserve"> </v>
      </c>
      <c r="LX161" s="47" t="str">
        <f t="shared" si="605"/>
        <v xml:space="preserve"> </v>
      </c>
      <c r="LY161" s="47" t="str">
        <f t="shared" si="605"/>
        <v xml:space="preserve"> </v>
      </c>
      <c r="LZ161" s="47" t="str">
        <f t="shared" si="605"/>
        <v xml:space="preserve"> </v>
      </c>
      <c r="MA161" s="47" t="str">
        <f t="shared" si="605"/>
        <v xml:space="preserve"> </v>
      </c>
      <c r="MB161" s="57" t="str">
        <f t="shared" si="605"/>
        <v xml:space="preserve"> </v>
      </c>
      <c r="MC161" s="47" t="str">
        <f t="shared" si="605"/>
        <v xml:space="preserve"> </v>
      </c>
      <c r="MD161" s="47" t="str">
        <f t="shared" si="605"/>
        <v xml:space="preserve"> </v>
      </c>
      <c r="ME161" s="47" t="str">
        <f t="shared" si="605"/>
        <v xml:space="preserve"> </v>
      </c>
      <c r="MF161" s="47" t="str">
        <f t="shared" si="605"/>
        <v xml:space="preserve"> </v>
      </c>
      <c r="MG161" s="47" t="str">
        <f t="shared" si="605"/>
        <v xml:space="preserve"> </v>
      </c>
      <c r="MH161" s="57" t="str">
        <f t="shared" si="605"/>
        <v xml:space="preserve"> </v>
      </c>
      <c r="MI161" s="47" t="str">
        <f t="shared" si="605"/>
        <v xml:space="preserve"> </v>
      </c>
      <c r="MJ161" s="47" t="str">
        <f t="shared" si="605"/>
        <v xml:space="preserve"> </v>
      </c>
      <c r="MK161" s="47" t="str">
        <f t="shared" si="605"/>
        <v xml:space="preserve"> </v>
      </c>
      <c r="ML161" s="47" t="str">
        <f t="shared" si="605"/>
        <v xml:space="preserve"> </v>
      </c>
      <c r="MM161" s="47" t="str">
        <f t="shared" si="605"/>
        <v xml:space="preserve"> </v>
      </c>
      <c r="MN161" s="57" t="str">
        <f t="shared" si="605"/>
        <v xml:space="preserve"> </v>
      </c>
      <c r="MO161" s="47" t="str">
        <f t="shared" si="605"/>
        <v xml:space="preserve"> </v>
      </c>
      <c r="MP161" s="47" t="str">
        <f t="shared" si="605"/>
        <v xml:space="preserve"> </v>
      </c>
      <c r="MQ161" s="47" t="str">
        <f t="shared" si="605"/>
        <v xml:space="preserve"> </v>
      </c>
      <c r="MR161" s="47" t="str">
        <f t="shared" si="605"/>
        <v xml:space="preserve"> </v>
      </c>
      <c r="MS161" s="47" t="str">
        <f t="shared" si="605"/>
        <v xml:space="preserve"> </v>
      </c>
      <c r="MT161" s="57" t="str">
        <f t="shared" si="605"/>
        <v xml:space="preserve"> </v>
      </c>
      <c r="MU161" s="47" t="str">
        <f t="shared" si="605"/>
        <v xml:space="preserve"> </v>
      </c>
      <c r="MV161" s="47" t="str">
        <f t="shared" si="605"/>
        <v xml:space="preserve"> </v>
      </c>
      <c r="MW161" s="47" t="str">
        <f t="shared" si="605"/>
        <v xml:space="preserve"> </v>
      </c>
      <c r="MX161" s="47" t="str">
        <f t="shared" si="605"/>
        <v xml:space="preserve"> </v>
      </c>
      <c r="MY161" s="47" t="str">
        <f t="shared" si="605"/>
        <v xml:space="preserve"> </v>
      </c>
      <c r="MZ161" s="57" t="str">
        <f t="shared" si="605"/>
        <v xml:space="preserve"> </v>
      </c>
      <c r="NA161" s="47" t="str">
        <f t="shared" si="605"/>
        <v xml:space="preserve"> </v>
      </c>
      <c r="NB161" s="47" t="str">
        <f t="shared" si="605"/>
        <v xml:space="preserve"> </v>
      </c>
      <c r="NC161" s="47" t="str">
        <f t="shared" si="605"/>
        <v xml:space="preserve"> </v>
      </c>
      <c r="ND161" s="47" t="str">
        <f t="shared" si="605"/>
        <v xml:space="preserve"> </v>
      </c>
      <c r="NE161" s="47" t="str">
        <f t="shared" si="605"/>
        <v xml:space="preserve"> </v>
      </c>
      <c r="NF161" s="57" t="str">
        <f t="shared" si="605"/>
        <v xml:space="preserve"> </v>
      </c>
      <c r="NG161" s="47" t="str">
        <f t="shared" si="605"/>
        <v xml:space="preserve"> </v>
      </c>
      <c r="NH161" s="47" t="str">
        <f t="shared" si="605"/>
        <v xml:space="preserve"> </v>
      </c>
      <c r="NI161" s="47" t="str">
        <f t="shared" si="605"/>
        <v xml:space="preserve"> </v>
      </c>
      <c r="NJ161" s="47" t="str">
        <f t="shared" si="605"/>
        <v xml:space="preserve"> </v>
      </c>
      <c r="NK161" s="47" t="str">
        <f t="shared" si="605"/>
        <v xml:space="preserve"> </v>
      </c>
      <c r="NL161" s="57" t="str">
        <f t="shared" si="605"/>
        <v xml:space="preserve"> </v>
      </c>
      <c r="NM161" s="47" t="str">
        <f t="shared" si="605"/>
        <v xml:space="preserve"> </v>
      </c>
    </row>
    <row r="162" spans="3:377" ht="15.75" customHeight="1">
      <c r="C162" s="7" t="str">
        <f t="shared" si="296"/>
        <v>portfolio</v>
      </c>
      <c r="D162" s="21" t="str">
        <f t="shared" si="169"/>
        <v xml:space="preserve"> </v>
      </c>
      <c r="E162" s="21" t="str">
        <f t="shared" si="297"/>
        <v xml:space="preserve"> </v>
      </c>
      <c r="F162" s="21" t="str">
        <f t="shared" si="170"/>
        <v xml:space="preserve"> </v>
      </c>
      <c r="G162" s="21" t="str">
        <f t="shared" si="298"/>
        <v xml:space="preserve">social media(1),  </v>
      </c>
      <c r="H162" s="21" t="str">
        <f t="shared" si="299"/>
        <v xml:space="preserve"> </v>
      </c>
      <c r="I162" s="21" t="str">
        <f t="shared" ref="I162" si="606">IF(I60="",I163,$C162&amp;"("&amp;I60&amp;"),"&amp;I163)</f>
        <v xml:space="preserve"> </v>
      </c>
      <c r="J162" s="21" t="str">
        <f t="shared" si="560"/>
        <v xml:space="preserve">interaction 1
 </v>
      </c>
      <c r="K162" s="21" t="str">
        <f t="shared" si="173"/>
        <v xml:space="preserve"> </v>
      </c>
      <c r="L162" s="21" t="str">
        <f t="shared" si="561"/>
        <v xml:space="preserve"> </v>
      </c>
      <c r="M162" s="21" t="str">
        <f t="shared" si="175"/>
        <v xml:space="preserve">portfolio(1), social innovation(1), non-profit biz(1),  </v>
      </c>
      <c r="N162" s="21" t="str">
        <f t="shared" si="176"/>
        <v xml:space="preserve">marketing(1,12.5),  </v>
      </c>
      <c r="O162" s="21" t="str">
        <f t="shared" si="562"/>
        <v xml:space="preserve">marketing(12.5), </v>
      </c>
      <c r="P162" s="21" t="str">
        <f t="shared" si="560"/>
        <v xml:space="preserve">biz project 1
 </v>
      </c>
      <c r="Q162" s="21" t="str">
        <f t="shared" si="178"/>
        <v xml:space="preserve"> </v>
      </c>
      <c r="R162" s="21" t="str">
        <f t="shared" si="561"/>
        <v xml:space="preserve"> </v>
      </c>
      <c r="S162" s="21" t="str">
        <f t="shared" si="179"/>
        <v xml:space="preserve">portfolio(1), biz enhancement(1), business(1), start-up(1),  </v>
      </c>
      <c r="T162" s="21" t="str">
        <f t="shared" si="180"/>
        <v xml:space="preserve"> </v>
      </c>
      <c r="U162" s="21" t="str">
        <f t="shared" si="562"/>
        <v xml:space="preserve"> </v>
      </c>
      <c r="V162" s="21" t="str">
        <f t="shared" si="560"/>
        <v xml:space="preserve"> </v>
      </c>
      <c r="W162" s="21" t="str">
        <f t="shared" si="181"/>
        <v xml:space="preserve"> </v>
      </c>
      <c r="X162" s="21" t="str">
        <f t="shared" si="561"/>
        <v xml:space="preserve"> </v>
      </c>
      <c r="Y162" s="21" t="str">
        <f t="shared" si="182"/>
        <v xml:space="preserve">portfolio(1), biz project(1), biz enhancement(1), job creation(1), business(1),  </v>
      </c>
      <c r="Z162" s="21" t="str">
        <f t="shared" si="183"/>
        <v xml:space="preserve"> </v>
      </c>
      <c r="AA162" s="21" t="str">
        <f t="shared" si="562"/>
        <v xml:space="preserve"> </v>
      </c>
      <c r="AB162" s="21" t="str">
        <f t="shared" si="560"/>
        <v xml:space="preserve"> </v>
      </c>
      <c r="AC162" s="21" t="str">
        <f t="shared" si="184"/>
        <v xml:space="preserve"> </v>
      </c>
      <c r="AD162" s="21" t="str">
        <f t="shared" si="561"/>
        <v xml:space="preserve"> </v>
      </c>
      <c r="AE162" s="21" t="str">
        <f t="shared" si="185"/>
        <v xml:space="preserve">portfolio(1), social project(1), social innovation(1), non-profit biz(1),  </v>
      </c>
      <c r="AF162" s="21" t="str">
        <f t="shared" si="186"/>
        <v xml:space="preserve"> </v>
      </c>
      <c r="AG162" s="21" t="str">
        <f t="shared" si="562"/>
        <v xml:space="preserve"> </v>
      </c>
      <c r="AH162" s="21" t="str">
        <f t="shared" si="560"/>
        <v xml:space="preserve"> </v>
      </c>
      <c r="AI162" s="21" t="str">
        <f t="shared" si="187"/>
        <v xml:space="preserve"> </v>
      </c>
      <c r="AJ162" s="21" t="str">
        <f t="shared" si="561"/>
        <v xml:space="preserve"> </v>
      </c>
      <c r="AK162" s="21" t="str">
        <f t="shared" si="188"/>
        <v xml:space="preserve">portfolio(1), social project(1), social innovation(1), non-profit biz(1),  </v>
      </c>
      <c r="AL162" s="21" t="str">
        <f t="shared" si="189"/>
        <v xml:space="preserve"> </v>
      </c>
      <c r="AM162" s="21" t="str">
        <f t="shared" si="562"/>
        <v xml:space="preserve"> </v>
      </c>
      <c r="AN162" s="21" t="str">
        <f t="shared" si="560"/>
        <v xml:space="preserve"> </v>
      </c>
      <c r="AO162" s="21" t="str">
        <f t="shared" si="190"/>
        <v xml:space="preserve"> </v>
      </c>
      <c r="AP162" s="21" t="str">
        <f t="shared" si="561"/>
        <v xml:space="preserve"> </v>
      </c>
      <c r="AQ162" s="21" t="str">
        <f t="shared" si="191"/>
        <v xml:space="preserve">portfolio(1), start-up(1), start-up with mvp(1), start-up with customers(1),  </v>
      </c>
      <c r="AR162" s="21" t="str">
        <f t="shared" si="192"/>
        <v xml:space="preserve"> </v>
      </c>
      <c r="AS162" s="21" t="str">
        <f t="shared" si="562"/>
        <v xml:space="preserve"> </v>
      </c>
      <c r="AT162" s="21" t="str">
        <f t="shared" si="560"/>
        <v xml:space="preserve">portfolio 1
social project 1
 </v>
      </c>
      <c r="AU162" s="21" t="str">
        <f t="shared" si="193"/>
        <v xml:space="preserve"> </v>
      </c>
      <c r="AV162" s="21" t="str">
        <f t="shared" si="561"/>
        <v xml:space="preserve"> </v>
      </c>
      <c r="AW162" s="21" t="str">
        <f t="shared" si="194"/>
        <v xml:space="preserve">project management(2),  </v>
      </c>
      <c r="AX162" s="21" t="str">
        <f t="shared" si="195"/>
        <v xml:space="preserve">organizational rules and manuals(1,12.5), project management(1,12.5),  </v>
      </c>
      <c r="AY162" s="21" t="str">
        <f t="shared" si="562"/>
        <v xml:space="preserve">organizational rules and manuals(12.5),project management(12.5), </v>
      </c>
      <c r="AZ162" s="21" t="str">
        <f t="shared" si="560"/>
        <v xml:space="preserve"> </v>
      </c>
      <c r="BA162" s="21" t="str">
        <f t="shared" si="196"/>
        <v xml:space="preserve"> </v>
      </c>
      <c r="BB162" s="21" t="str">
        <f t="shared" si="561"/>
        <v xml:space="preserve"> </v>
      </c>
      <c r="BC162" s="21" t="str">
        <f t="shared" si="197"/>
        <v xml:space="preserve"> </v>
      </c>
      <c r="BD162" s="21" t="str">
        <f t="shared" si="198"/>
        <v xml:space="preserve"> </v>
      </c>
      <c r="BE162" s="21" t="str">
        <f t="shared" si="562"/>
        <v xml:space="preserve"> </v>
      </c>
      <c r="BF162" s="21" t="str">
        <f t="shared" si="560"/>
        <v xml:space="preserve">portfolio 1
biz project 1
 </v>
      </c>
      <c r="BG162" s="21" t="str">
        <f t="shared" si="199"/>
        <v xml:space="preserve"> </v>
      </c>
      <c r="BH162" s="21" t="str">
        <f t="shared" si="561"/>
        <v xml:space="preserve"> </v>
      </c>
      <c r="BI162" s="21" t="str">
        <f t="shared" si="200"/>
        <v xml:space="preserve">project management(2),  </v>
      </c>
      <c r="BJ162" s="21" t="str">
        <f t="shared" si="201"/>
        <v xml:space="preserve">organizational rules and manuals(1,12.5), project management(1,12.5),  </v>
      </c>
      <c r="BK162" s="21" t="str">
        <f t="shared" si="562"/>
        <v xml:space="preserve">organizational rules and manuals(12.5),project management(12.5), </v>
      </c>
      <c r="BL162" s="21" t="str">
        <f t="shared" si="560"/>
        <v xml:space="preserve">portfolio 1
biz enhancement 1
 </v>
      </c>
      <c r="BM162" s="21" t="str">
        <f t="shared" si="202"/>
        <v xml:space="preserve"> </v>
      </c>
      <c r="BN162" s="21" t="str">
        <f t="shared" si="561"/>
        <v xml:space="preserve"> </v>
      </c>
      <c r="BO162" s="21" t="str">
        <f t="shared" si="203"/>
        <v xml:space="preserve"> </v>
      </c>
      <c r="BP162" s="21" t="str">
        <f t="shared" si="204"/>
        <v xml:space="preserve"> </v>
      </c>
      <c r="BQ162" s="21" t="str">
        <f t="shared" si="562"/>
        <v xml:space="preserve"> </v>
      </c>
      <c r="BR162" s="21" t="str">
        <f t="shared" si="560"/>
        <v xml:space="preserve"> </v>
      </c>
      <c r="BS162" s="21" t="str">
        <f t="shared" si="205"/>
        <v xml:space="preserve"> </v>
      </c>
      <c r="BT162" s="21" t="str">
        <f t="shared" si="561"/>
        <v xml:space="preserve"> </v>
      </c>
      <c r="BU162" s="21" t="str">
        <f t="shared" si="206"/>
        <v xml:space="preserve"> </v>
      </c>
      <c r="BV162" s="21" t="str">
        <f t="shared" si="207"/>
        <v xml:space="preserve"> </v>
      </c>
      <c r="BW162" s="21" t="str">
        <f t="shared" si="562"/>
        <v xml:space="preserve"> </v>
      </c>
      <c r="BX162" s="21" t="str">
        <f t="shared" si="563"/>
        <v xml:space="preserve"> </v>
      </c>
      <c r="BY162" s="21" t="str">
        <f t="shared" si="209"/>
        <v xml:space="preserve"> </v>
      </c>
      <c r="BZ162" s="21" t="str">
        <f t="shared" si="564"/>
        <v xml:space="preserve"> </v>
      </c>
      <c r="CA162" s="21" t="str">
        <f t="shared" si="211"/>
        <v xml:space="preserve">negotiation(1),  </v>
      </c>
      <c r="CB162" s="21" t="str">
        <f t="shared" si="212"/>
        <v xml:space="preserve">user rules and manuals(1,50), organizational rules and manuals(1,50),  </v>
      </c>
      <c r="CC162" s="21" t="str">
        <f t="shared" si="565"/>
        <v xml:space="preserve">user rules and manuals(50),organizational rules and manuals(50), </v>
      </c>
      <c r="CD162" s="21" t="str">
        <f t="shared" si="563"/>
        <v xml:space="preserve"> </v>
      </c>
      <c r="CE162" s="21" t="str">
        <f t="shared" si="214"/>
        <v xml:space="preserve"> </v>
      </c>
      <c r="CF162" s="21" t="str">
        <f t="shared" si="564"/>
        <v xml:space="preserve"> </v>
      </c>
      <c r="CG162" s="21" t="str">
        <f t="shared" si="215"/>
        <v xml:space="preserve">portfolio(1), user rules and manuals(1), negotiation(1), social project(1), biz project(1), for basic literacy(1), for the elites(1), for entrepreneurs(1),  </v>
      </c>
      <c r="CH162" s="21" t="str">
        <f t="shared" si="216"/>
        <v xml:space="preserve"> </v>
      </c>
      <c r="CI162" s="21" t="str">
        <f t="shared" si="565"/>
        <v xml:space="preserve"> </v>
      </c>
      <c r="CJ162" s="21" t="str">
        <f t="shared" si="563"/>
        <v xml:space="preserve"> </v>
      </c>
      <c r="CK162" s="21" t="str">
        <f t="shared" si="217"/>
        <v xml:space="preserve"> </v>
      </c>
      <c r="CL162" s="21" t="str">
        <f t="shared" si="564"/>
        <v xml:space="preserve"> </v>
      </c>
      <c r="CM162" s="21" t="str">
        <f t="shared" si="218"/>
        <v xml:space="preserve">negotiation(1),  </v>
      </c>
      <c r="CN162" s="21" t="str">
        <f t="shared" si="219"/>
        <v xml:space="preserve"> </v>
      </c>
      <c r="CO162" s="21" t="str">
        <f t="shared" si="565"/>
        <v xml:space="preserve"> </v>
      </c>
      <c r="CP162" s="21" t="str">
        <f t="shared" si="563"/>
        <v xml:space="preserve"> </v>
      </c>
      <c r="CQ162" s="21" t="str">
        <f t="shared" si="220"/>
        <v xml:space="preserve"> </v>
      </c>
      <c r="CR162" s="21" t="str">
        <f t="shared" si="564"/>
        <v xml:space="preserve"> </v>
      </c>
      <c r="CS162" s="21" t="str">
        <f t="shared" si="221"/>
        <v xml:space="preserve">portfolio(1), negotiation(1), web(1), infrastructrue(1), database(1), mobile apps(1), sensors(1), security(1), AI&amp; data analysis(1), mobile comm(1), VR&amp;AR(1), wood processing(1), metal processing(1), plastic processing(1), electronics(1), fabric(1),  </v>
      </c>
      <c r="CT162" s="21" t="str">
        <f t="shared" si="222"/>
        <v xml:space="preserve"> </v>
      </c>
      <c r="CU162" s="21" t="str">
        <f t="shared" si="565"/>
        <v xml:space="preserve"> </v>
      </c>
      <c r="CV162" s="21" t="str">
        <f t="shared" si="563"/>
        <v xml:space="preserve"> </v>
      </c>
      <c r="CW162" s="21" t="str">
        <f t="shared" si="223"/>
        <v xml:space="preserve"> </v>
      </c>
      <c r="CX162" s="21" t="str">
        <f t="shared" si="564"/>
        <v xml:space="preserve"> </v>
      </c>
      <c r="CY162" s="21" t="str">
        <f t="shared" si="224"/>
        <v xml:space="preserve">portfolio(1), negotiation(1),  </v>
      </c>
      <c r="CZ162" s="21" t="str">
        <f t="shared" si="225"/>
        <v xml:space="preserve"> </v>
      </c>
      <c r="DA162" s="21" t="str">
        <f t="shared" si="565"/>
        <v xml:space="preserve"> </v>
      </c>
      <c r="DB162" s="21" t="str">
        <f t="shared" si="563"/>
        <v xml:space="preserve"> </v>
      </c>
      <c r="DC162" s="21" t="str">
        <f t="shared" si="226"/>
        <v xml:space="preserve"> </v>
      </c>
      <c r="DD162" s="21" t="str">
        <f t="shared" si="564"/>
        <v xml:space="preserve"> </v>
      </c>
      <c r="DE162" s="21" t="str">
        <f t="shared" si="227"/>
        <v xml:space="preserve">portfolio(1), 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2" s="21" t="str">
        <f t="shared" si="228"/>
        <v xml:space="preserve"> </v>
      </c>
      <c r="DG162" s="21" t="str">
        <f t="shared" si="565"/>
        <v xml:space="preserve"> </v>
      </c>
      <c r="DH162" s="21" t="str">
        <f t="shared" si="563"/>
        <v xml:space="preserve">social project 1
 </v>
      </c>
      <c r="DI162" s="21" t="str">
        <f t="shared" si="229"/>
        <v xml:space="preserve"> </v>
      </c>
      <c r="DJ162" s="21" t="str">
        <f t="shared" si="564"/>
        <v xml:space="preserve"> </v>
      </c>
      <c r="DK162" s="21" t="str">
        <f t="shared" si="230"/>
        <v xml:space="preserve">portfolio(1), 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2" s="21" t="str">
        <f t="shared" si="231"/>
        <v xml:space="preserve"> </v>
      </c>
      <c r="DM162" s="21" t="str">
        <f t="shared" si="565"/>
        <v xml:space="preserve"> </v>
      </c>
      <c r="DN162" s="21" t="str">
        <f t="shared" si="563"/>
        <v xml:space="preserve">biz project 1
 </v>
      </c>
      <c r="DO162" s="21" t="str">
        <f t="shared" si="232"/>
        <v xml:space="preserve"> </v>
      </c>
      <c r="DP162" s="21" t="str">
        <f t="shared" si="564"/>
        <v xml:space="preserve"> </v>
      </c>
      <c r="DQ162" s="21" t="str">
        <f t="shared" si="233"/>
        <v xml:space="preserve">portfolio(1), 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2" s="21" t="str">
        <f t="shared" si="234"/>
        <v xml:space="preserve"> </v>
      </c>
      <c r="DS162" s="21" t="str">
        <f t="shared" si="565"/>
        <v xml:space="preserve"> </v>
      </c>
      <c r="DT162" s="21" t="str">
        <f t="shared" si="563"/>
        <v xml:space="preserve"> </v>
      </c>
      <c r="DU162" s="21" t="str">
        <f t="shared" si="235"/>
        <v xml:space="preserve"> </v>
      </c>
      <c r="DV162" s="21" t="str">
        <f t="shared" si="564"/>
        <v xml:space="preserve"> </v>
      </c>
      <c r="DW162" s="21" t="str">
        <f t="shared" si="236"/>
        <v xml:space="preserve">organizational rules and manuals(1), marketing(1), social media(1), for basic literacy(1),  </v>
      </c>
      <c r="DX162" s="21" t="str">
        <f t="shared" si="237"/>
        <v xml:space="preserve">for basic literacy(1,6.25),  </v>
      </c>
      <c r="DY162" s="21" t="str">
        <f t="shared" si="565"/>
        <v xml:space="preserve">for basic literacy(6.25), </v>
      </c>
      <c r="DZ162" s="21" t="str">
        <f t="shared" si="563"/>
        <v xml:space="preserve"> </v>
      </c>
      <c r="EA162" s="21" t="str">
        <f t="shared" si="238"/>
        <v xml:space="preserve"> </v>
      </c>
      <c r="EB162" s="21" t="str">
        <f t="shared" si="564"/>
        <v xml:space="preserve"> </v>
      </c>
      <c r="EC162" s="21" t="str">
        <f t="shared" si="239"/>
        <v xml:space="preserve">organizational rules and manuals(1), marketing(1), social media(1), web(2), infrastructrue(2), database(2), mobile apps(2), sensors(2), security(2), AI&amp; data analysis(2), mobile comm(2), VR&amp;AR(2), wood processing(2), metal processing(2), plastic processing(2), electronics(2), fabric(2), for basic literacy(1),  </v>
      </c>
      <c r="ED162" s="21" t="str">
        <f t="shared" si="240"/>
        <v xml:space="preserve">for basic literacy(1,6.25),  </v>
      </c>
      <c r="EE162" s="21" t="str">
        <f t="shared" si="565"/>
        <v xml:space="preserve">for basic literacy(6.25), </v>
      </c>
      <c r="EF162" s="21" t="str">
        <f t="shared" si="563"/>
        <v xml:space="preserve"> </v>
      </c>
      <c r="EG162" s="21" t="str">
        <f t="shared" si="241"/>
        <v xml:space="preserve">web(1,50), mobile apps(1,50), interaction(1,50),  </v>
      </c>
      <c r="EH162" s="21" t="str">
        <f t="shared" si="564"/>
        <v xml:space="preserve">web 50
mobile apps 50
interaction 50
 </v>
      </c>
      <c r="EI162" s="21" t="str">
        <f t="shared" si="242"/>
        <v xml:space="preserve">infrastructrue(1), database(1), mobile comm(1), for entrepreneurs(1),  </v>
      </c>
      <c r="EJ162" s="21" t="str">
        <f t="shared" si="243"/>
        <v xml:space="preserve">infrastructrue(1,12.5), database(1,12.5), mobile comm(1,12.5), for entrepreneurs(1,6.25),  </v>
      </c>
      <c r="EK162" s="21" t="str">
        <f t="shared" si="565"/>
        <v xml:space="preserve">infrastructrue(12.5),database(12.5),mobile comm(12.5),for entrepreneurs(6.25), </v>
      </c>
      <c r="EL162" s="21" t="str">
        <f t="shared" si="566"/>
        <v xml:space="preserve"> </v>
      </c>
      <c r="EM162" s="21" t="str">
        <f t="shared" si="245"/>
        <v xml:space="preserve">sensors(1,50),  </v>
      </c>
      <c r="EN162" s="21" t="str">
        <f t="shared" si="567"/>
        <v xml:space="preserve">sensors 50
 </v>
      </c>
      <c r="EO162" s="21" t="str">
        <f t="shared" si="247"/>
        <v xml:space="preserve">project management(2), infrastructrue(1), database(1), mobile comm(1), for entrepreneurs(1),  </v>
      </c>
      <c r="EP162" s="21" t="str">
        <f t="shared" si="248"/>
        <v xml:space="preserve">infrastructrue(1,12.5), database(1,12.5), mobile comm(1,12.5), electronics(1,6.25), for entrepreneurs(1,6.25),  </v>
      </c>
      <c r="EQ162" s="21" t="str">
        <f t="shared" si="568"/>
        <v xml:space="preserve">infrastructrue(12.5),database(12.5),mobile comm(12.5),electronics(6.25),for entrepreneurs(6.25), </v>
      </c>
      <c r="ER162" s="21" t="str">
        <f t="shared" si="566"/>
        <v xml:space="preserve"> </v>
      </c>
      <c r="ES162" s="21" t="str">
        <f t="shared" si="250"/>
        <v xml:space="preserve">AI&amp; data analysis(1,50),  </v>
      </c>
      <c r="ET162" s="21" t="str">
        <f t="shared" si="567"/>
        <v xml:space="preserve">AI&amp; data analysis 50
 </v>
      </c>
      <c r="EU162" s="21" t="str">
        <f t="shared" si="251"/>
        <v xml:space="preserve">database(1), sensors(1), mobile comm(1), for entrepreneurs(1),  </v>
      </c>
      <c r="EV162" s="21" t="str">
        <f t="shared" si="252"/>
        <v xml:space="preserve">database(1,12.5), sensors(1,12.5), mobile comm(1,12.5), for entrepreneurs(1,6.25),  </v>
      </c>
      <c r="EW162" s="21" t="str">
        <f t="shared" si="568"/>
        <v xml:space="preserve">database(12.5),sensors(12.5),mobile comm(12.5),for entrepreneurs(6.25), </v>
      </c>
      <c r="EX162" s="21" t="str">
        <f t="shared" si="566"/>
        <v xml:space="preserve"> </v>
      </c>
      <c r="EY162" s="21" t="str">
        <f t="shared" si="253"/>
        <v xml:space="preserve">law(1,50), security(1,50), interaction(1,25),  </v>
      </c>
      <c r="EZ162" s="21" t="str">
        <f t="shared" si="567"/>
        <v xml:space="preserve">law 50
security 50
interaction 25
 </v>
      </c>
      <c r="FA162" s="21" t="str">
        <f t="shared" si="254"/>
        <v xml:space="preserve">law(2), for entrepreneurs(1),  </v>
      </c>
      <c r="FB162" s="21" t="str">
        <f t="shared" si="255"/>
        <v xml:space="preserve">law(1,6.25), database(1,12.5), mobile apps(1,12.5), security(1,12.5), mobile comm(1,12.5), for entrepreneurs(1,6.25),  </v>
      </c>
      <c r="FC162" s="21" t="str">
        <f t="shared" si="568"/>
        <v xml:space="preserve">law(6.25),database(12.5),mobile apps(12.5),security(12.5),mobile comm(12.5),for entrepreneurs(6.25), </v>
      </c>
      <c r="FD162" s="21" t="str">
        <f t="shared" si="566"/>
        <v xml:space="preserve"> </v>
      </c>
      <c r="FE162" s="21" t="str">
        <f t="shared" si="256"/>
        <v xml:space="preserve">law(1,50), sensors(1,50), security(1,50),  </v>
      </c>
      <c r="FF162" s="21" t="str">
        <f t="shared" si="567"/>
        <v xml:space="preserve">law 50
sensors 50
security 50
 </v>
      </c>
      <c r="FG162" s="21" t="str">
        <f t="shared" si="257"/>
        <v xml:space="preserve">law(2), project management(2), for entrepreneurs(1),  </v>
      </c>
      <c r="FH162" s="21" t="str">
        <f t="shared" si="258"/>
        <v xml:space="preserve">law(1,6.25), database(1,6.25), mobile apps(1,6.25), AI&amp; data analysis(1,6.25), mobile comm(1,6.25), for entrepreneurs(1,6.25),  </v>
      </c>
      <c r="FI162" s="21" t="str">
        <f t="shared" si="568"/>
        <v xml:space="preserve">law(6.25),database(6.25),mobile apps(6.25),AI&amp; data analysis(6.25),mobile comm(6.25),for entrepreneurs(6.25), </v>
      </c>
      <c r="FJ162" s="21" t="str">
        <f t="shared" si="566"/>
        <v xml:space="preserve"> </v>
      </c>
      <c r="FK162" s="21" t="str">
        <f t="shared" si="259"/>
        <v xml:space="preserve">wood processing(1,25), metal processing(1,25), plastic processing(1,25), fabric(1,25), safety(1,25), interaction(1,25),  </v>
      </c>
      <c r="FL162" s="21" t="str">
        <f t="shared" si="567"/>
        <v xml:space="preserve">project management 2
wood processing 25
metal processing 25
plastic processing 25
fabric 25
safety 25
interaction 25
 </v>
      </c>
      <c r="FM162" s="21" t="str">
        <f t="shared" si="260"/>
        <v xml:space="preserve">for entrepreneurs(1),  </v>
      </c>
      <c r="FN162" s="21" t="str">
        <f t="shared" si="261"/>
        <v xml:space="preserve">for entrepreneurs(1,6.25),  </v>
      </c>
      <c r="FO162" s="21" t="str">
        <f t="shared" si="568"/>
        <v xml:space="preserve">for entrepreneurs(6.25), </v>
      </c>
      <c r="FP162" s="21" t="str">
        <f t="shared" si="566"/>
        <v xml:space="preserve"> </v>
      </c>
      <c r="FQ162" s="21" t="str">
        <f t="shared" si="262"/>
        <v xml:space="preserve">web(1,25), mobile apps(1,50), functions(1,25), interaction(1,25),  </v>
      </c>
      <c r="FR162" s="21" t="str">
        <f t="shared" si="567"/>
        <v xml:space="preserve">web 25
mobile apps 50
functions 25
interaction 25
 </v>
      </c>
      <c r="FS162" s="21" t="str">
        <f t="shared" si="263"/>
        <v xml:space="preserve">for entrepreneurs(1),  </v>
      </c>
      <c r="FT162" s="21" t="str">
        <f t="shared" si="264"/>
        <v xml:space="preserve">for entrepreneurs(1,6.25),  </v>
      </c>
      <c r="FU162" s="21" t="str">
        <f t="shared" si="568"/>
        <v xml:space="preserve">for entrepreneurs(6.25), </v>
      </c>
      <c r="FV162" s="21" t="str">
        <f t="shared" si="566"/>
        <v xml:space="preserve"> </v>
      </c>
      <c r="FW162" s="21" t="str">
        <f t="shared" si="265"/>
        <v xml:space="preserve">mobile apps(1,50), sensors(1,50), wood processing(1,25), plastic processing(1,25), electronics(1,25), functions(1,25), interaction(1,25),  </v>
      </c>
      <c r="FX162" s="21" t="str">
        <f t="shared" si="567"/>
        <v xml:space="preserve">mobile apps 50
sensors 50
wood processing 25
plastic processing 25
electronics 25
functions 25
interaction 25
 </v>
      </c>
      <c r="FY162" s="21" t="str">
        <f t="shared" si="266"/>
        <v xml:space="preserve">project management(2), for entrepreneurs(1),  </v>
      </c>
      <c r="FZ162" s="21" t="str">
        <f t="shared" si="267"/>
        <v xml:space="preserve">web(1,6.25), database(1,6.25), AI&amp; data analysis(1,6.25), mobile comm(1,6.25), for entrepreneurs(1,6.25),  </v>
      </c>
      <c r="GA162" s="21" t="str">
        <f t="shared" si="568"/>
        <v xml:space="preserve">web(6.25),database(6.25),AI&amp; data analysis(6.25),mobile comm(6.25),for entrepreneurs(6.25), </v>
      </c>
      <c r="GB162" s="21" t="str">
        <f t="shared" si="566"/>
        <v xml:space="preserve"> </v>
      </c>
      <c r="GC162" s="21" t="str">
        <f t="shared" si="268"/>
        <v xml:space="preserve">sensors(1,25), mobile comm(1,25), electronics(1,50), functions(1,25), safety(1,25),  </v>
      </c>
      <c r="GD162" s="21" t="str">
        <f t="shared" si="567"/>
        <v xml:space="preserve">sensors 25
mobile comm 25
electronics 50
functions 25
safety 25
 </v>
      </c>
      <c r="GE162" s="21" t="str">
        <f t="shared" si="269"/>
        <v xml:space="preserve">project management(2), for entrepreneurs(1),  </v>
      </c>
      <c r="GF162" s="21" t="str">
        <f t="shared" si="270"/>
        <v xml:space="preserve">database(1,6.25), mobile apps(1,6.25), AI&amp; data analysis(1,6.25), plastic processing(1,6.25), interaction(1,6.25), for entrepreneurs(1,6.25),  </v>
      </c>
      <c r="GG162" s="21" t="str">
        <f t="shared" si="568"/>
        <v xml:space="preserve">database(6.25),mobile apps(6.25),AI&amp; data analysis(6.25),plastic processing(6.25),interaction(6.25),for entrepreneurs(6.25), </v>
      </c>
      <c r="GH162" s="21" t="str">
        <f t="shared" si="566"/>
        <v xml:space="preserve"> </v>
      </c>
      <c r="GI162" s="21" t="str">
        <f t="shared" si="271"/>
        <v xml:space="preserve">web(1,25), mobile apps(1,50), functions(1,25), interaction(1,25),  </v>
      </c>
      <c r="GJ162" s="21" t="str">
        <f t="shared" si="567"/>
        <v xml:space="preserve">web 25
mobile apps 50
functions 25
interaction 25
 </v>
      </c>
      <c r="GK162" s="21" t="str">
        <f t="shared" si="272"/>
        <v xml:space="preserve">project management(2), for entrepreneurs(1),  </v>
      </c>
      <c r="GL162" s="21" t="str">
        <f t="shared" si="273"/>
        <v xml:space="preserve">for entrepreneurs(1,6.25),  </v>
      </c>
      <c r="GM162" s="21" t="str">
        <f t="shared" si="568"/>
        <v xml:space="preserve">for entrepreneurs(6.25), </v>
      </c>
      <c r="GN162" s="21" t="str">
        <f t="shared" si="566"/>
        <v xml:space="preserve"> </v>
      </c>
      <c r="GO162" s="21" t="str">
        <f t="shared" si="274"/>
        <v xml:space="preserve">web(1,25), mobile apps(1,25), VR&amp;AR(1,25), aesthetics(1,25), functions(1,25), interaction(1,50),  </v>
      </c>
      <c r="GP162" s="21" t="str">
        <f t="shared" si="567"/>
        <v xml:space="preserve">web 25
mobile apps 25
VR&amp;AR 25
aesthetics 25
functions 25
interaction 50
 </v>
      </c>
      <c r="GQ162" s="21" t="str">
        <f t="shared" si="275"/>
        <v xml:space="preserve">project management(2), for entrepreneurs(1),  </v>
      </c>
      <c r="GR162" s="21" t="str">
        <f t="shared" si="276"/>
        <v xml:space="preserve">for entrepreneurs(1,6.25),  </v>
      </c>
      <c r="GS162" s="21" t="str">
        <f t="shared" si="568"/>
        <v xml:space="preserve">for entrepreneurs(6.25), </v>
      </c>
      <c r="GT162" s="21" t="str">
        <f t="shared" si="566"/>
        <v xml:space="preserve">web 1
mobile apps 1
mobile comm 1
 </v>
      </c>
      <c r="GU162" s="21" t="str">
        <f t="shared" si="277"/>
        <v xml:space="preserve"> </v>
      </c>
      <c r="GV162" s="21" t="str">
        <f t="shared" si="567"/>
        <v xml:space="preserve"> </v>
      </c>
      <c r="GW162" s="21" t="str">
        <f t="shared" si="278"/>
        <v xml:space="preserve">user rules and manuals(1), organizational rules and manuals(1), business model(2), marketing(1), team building(1), project management(1), social media(1), infrastructrue(1), database(1), sensors(1), security(1), AI&amp; data analysis(1), electronics(1),  </v>
      </c>
      <c r="GX162" s="21" t="str">
        <f t="shared" si="279"/>
        <v xml:space="preserve">project management(1,6.25), social media(1,6.25), web(1,6.25), mobile apps(1,6.25),  </v>
      </c>
      <c r="GY162" s="21" t="str">
        <f t="shared" si="568"/>
        <v xml:space="preserve">project management(6.25),social media(6.25),web(6.25),mobile apps(6.25), </v>
      </c>
      <c r="GZ162" s="21" t="str">
        <f t="shared" si="569"/>
        <v xml:space="preserve">portfolio 1
 </v>
      </c>
      <c r="HA162" s="21" t="str">
        <f t="shared" si="281"/>
        <v xml:space="preserve"> </v>
      </c>
      <c r="HB162" s="21" t="str">
        <f t="shared" si="570"/>
        <v xml:space="preserve"> </v>
      </c>
      <c r="HC162" s="21" t="str">
        <f t="shared" si="283"/>
        <v xml:space="preserve">portfolio(3), social media(2), web(2), mobile apps(2), sensors(2), AI&amp; data analysis(2), VR&amp;AR(2), plastic processing(2), electronics(2), aesthetics(2), interaction(2),  </v>
      </c>
      <c r="HD162" s="21" t="str">
        <f t="shared" si="284"/>
        <v xml:space="preserve">start-up with customers(1,6.25), for basic literacy(1,6.25),  </v>
      </c>
      <c r="HE162" s="21" t="str">
        <f t="shared" si="571"/>
        <v xml:space="preserve">start-up with customers(6.25),for basic literacy(6.25), </v>
      </c>
      <c r="HF162" s="21" t="str">
        <f t="shared" si="569"/>
        <v xml:space="preserve"> </v>
      </c>
      <c r="HG162" s="21" t="str">
        <f t="shared" si="286"/>
        <v xml:space="preserve"> </v>
      </c>
      <c r="HH162" s="21" t="str">
        <f t="shared" si="570"/>
        <v xml:space="preserve"> </v>
      </c>
      <c r="HI162" s="21" t="str">
        <f t="shared" si="287"/>
        <v xml:space="preserve">portfolio(3), marketing(2), team building(3), project management(2), mobile apps(3), sensors(2), plastic processing(2), electronics(2), aesthetics(2), functions(2), interaction(2),  </v>
      </c>
      <c r="HJ162" s="21" t="str">
        <f t="shared" si="288"/>
        <v xml:space="preserve">start-up with customers(1,6.25),  </v>
      </c>
      <c r="HK162" s="21" t="str">
        <f t="shared" si="571"/>
        <v xml:space="preserve">start-up with customers(6.25), </v>
      </c>
      <c r="HL162" s="21" t="str">
        <f t="shared" si="569"/>
        <v xml:space="preserve">portfolio 2
 </v>
      </c>
      <c r="HM162" s="21" t="str">
        <f t="shared" si="289"/>
        <v xml:space="preserve"> </v>
      </c>
      <c r="HN162" s="21" t="str">
        <f t="shared" si="570"/>
        <v xml:space="preserve"> </v>
      </c>
      <c r="HO162" s="21" t="str">
        <f t="shared" si="290"/>
        <v xml:space="preserve">portfolio(4), finance(2), marketing(2), project management(2), social media(2), web(3), mobile apps(2), wood processing(3), plastic processing(3), electronics(3), aesthetics(2), interaction(2),  </v>
      </c>
      <c r="HP162" s="21" t="str">
        <f t="shared" si="291"/>
        <v xml:space="preserve"> </v>
      </c>
      <c r="HQ162" s="47" t="str">
        <f t="shared" si="571"/>
        <v xml:space="preserve"> </v>
      </c>
      <c r="HR162" s="47" t="str">
        <f t="shared" ref="HR162:HW162" si="607">IF(HR60="",HR163,$C162&amp;"("&amp;HR60&amp;"),"&amp;HR163)</f>
        <v xml:space="preserve">portfolio(2),mobile apps(1),sensors(1),wood processing(1),aesthetics(1), </v>
      </c>
      <c r="HS162" s="47" t="str">
        <f t="shared" si="607"/>
        <v xml:space="preserve"> </v>
      </c>
      <c r="HT162" s="47" t="str">
        <f t="shared" si="607"/>
        <v xml:space="preserve"> </v>
      </c>
      <c r="HU162" s="47" t="str">
        <f t="shared" si="607"/>
        <v xml:space="preserve">portfolio(3),project management(2),social media(2),web(3),infrastructrue(3),database(3),mobile apps(3),sensors(3),AI&amp; data analysis(3),mobile comm(3),VR&amp;AR(3),wood processing(3),metal processing(2),plastic processing(2),electronics(2),fabric(2),aesthetics(2),interaction(2),start-up with mvp(1), </v>
      </c>
      <c r="HV162" s="47" t="str">
        <f t="shared" si="607"/>
        <v xml:space="preserve"> </v>
      </c>
      <c r="HW162" s="47" t="str">
        <f t="shared" si="607"/>
        <v xml:space="preserve"> </v>
      </c>
      <c r="HX162" s="47" t="str">
        <f t="shared" ref="HX162:IU162" si="608">IF(HX60="",HX163,$C162&amp;"("&amp;HX60&amp;"),"&amp;HX163)</f>
        <v xml:space="preserve">portfolio(2),web(1),infrastructrue(1),database(2),mobile apps(1),sensors(1),AI&amp; data analysis(2),VR&amp;AR(1),wood processing(1),metal processing(1),plastic processing(1),electronics(1),aesthetics(1),functions(1),interaction(1), </v>
      </c>
      <c r="HY162" s="47" t="str">
        <f t="shared" si="608"/>
        <v xml:space="preserve">biz enhancement(1), </v>
      </c>
      <c r="HZ162" s="47" t="str">
        <f t="shared" si="608"/>
        <v xml:space="preserve">biz enhancement(100), </v>
      </c>
      <c r="IA162" s="47" t="str">
        <f t="shared" si="608"/>
        <v xml:space="preserve">portfolio(4),finance(2),business model(2),marketing(3),team building(2),project management(2),social media(3),negotiation(3), </v>
      </c>
      <c r="IB162" s="47" t="str">
        <f t="shared" si="608"/>
        <v xml:space="preserve">team building(1),database(1),AI&amp; data analysis(1),electronics(1),functions(1), </v>
      </c>
      <c r="IC162" s="47" t="str">
        <f t="shared" si="608"/>
        <v xml:space="preserve">team building(6.25),database(6.25),AI&amp; data analysis(6.25),electronics(6.25),functions(6.25), </v>
      </c>
      <c r="ID162" s="47" t="str">
        <f t="shared" si="608"/>
        <v xml:space="preserve"> </v>
      </c>
      <c r="IE162" s="47" t="str">
        <f t="shared" si="608"/>
        <v xml:space="preserve">web(1),mobile apps(1),security(1),AI&amp; data analysis(1), </v>
      </c>
      <c r="IF162" s="47" t="str">
        <f t="shared" si="608"/>
        <v xml:space="preserve">web(25),mobile apps(25),security(25),AI&amp; data analysis(25), </v>
      </c>
      <c r="IG162" s="47" t="str">
        <f t="shared" si="608"/>
        <v xml:space="preserve">portfolio(3),web(2),database(2),mobile apps(2),security(2),AI&amp; data analysis(2), </v>
      </c>
      <c r="IH162" s="47" t="str">
        <f t="shared" si="608"/>
        <v xml:space="preserve">web(1),database(1),mobile apps(1),security(1),AI&amp; data analysis(1), </v>
      </c>
      <c r="II162" s="47" t="str">
        <f t="shared" si="608"/>
        <v xml:space="preserve">web(6.25),database(6.25),mobile apps(6.25),security(6.25),AI&amp; data analysis(6.25), </v>
      </c>
      <c r="IJ162" s="47" t="str">
        <f t="shared" si="608"/>
        <v xml:space="preserve"> </v>
      </c>
      <c r="IK162" s="47" t="str">
        <f t="shared" si="608"/>
        <v xml:space="preserve">wood processing(1),metal processing(1),functions(1),safety(1), </v>
      </c>
      <c r="IL162" s="47" t="str">
        <f t="shared" si="608"/>
        <v xml:space="preserve">wood processing(25),metal processing(25),functions(25),safety(25), </v>
      </c>
      <c r="IM162" s="47" t="str">
        <f t="shared" si="608"/>
        <v xml:space="preserve">portfolio(3),wood processing(2),metal processing(2),functions(2),safety(2), </v>
      </c>
      <c r="IN162" s="47" t="str">
        <f t="shared" si="608"/>
        <v xml:space="preserve">wood processing(1),metal processing(1),functions(1),safety(1),interaction(1), </v>
      </c>
      <c r="IO162" s="47" t="str">
        <f t="shared" si="608"/>
        <v xml:space="preserve">wood processing(6.25),metal processing(6.25),functions(6.25),safety(6.25),interaction(6.25), </v>
      </c>
      <c r="IP162" s="57" t="str">
        <f t="shared" si="608"/>
        <v xml:space="preserve"> </v>
      </c>
      <c r="IQ162" s="47" t="str">
        <f t="shared" si="608"/>
        <v xml:space="preserve">marketing(1), </v>
      </c>
      <c r="IR162" s="47" t="str">
        <f t="shared" si="608"/>
        <v xml:space="preserve">marketing(25), </v>
      </c>
      <c r="IS162" s="47" t="str">
        <f t="shared" si="608"/>
        <v xml:space="preserve">marketing(2), </v>
      </c>
      <c r="IT162" s="47" t="str">
        <f t="shared" si="608"/>
        <v xml:space="preserve">marketing(1), </v>
      </c>
      <c r="IU162" s="47" t="str">
        <f t="shared" si="608"/>
        <v xml:space="preserve">marketing(6.25), </v>
      </c>
      <c r="IV162" s="57" t="str">
        <f t="shared" ref="IV162:LG162" si="609">IF(IV60="",IV163,$C162&amp;"("&amp;IV60&amp;"),"&amp;IV163)</f>
        <v xml:space="preserve"> </v>
      </c>
      <c r="IW162" s="47" t="str">
        <f t="shared" si="609"/>
        <v xml:space="preserve">marketing(1), </v>
      </c>
      <c r="IX162" s="47" t="str">
        <f t="shared" si="609"/>
        <v xml:space="preserve">marketing(25), </v>
      </c>
      <c r="IY162" s="47" t="str">
        <f t="shared" si="609"/>
        <v xml:space="preserve">marketing(2), </v>
      </c>
      <c r="IZ162" s="47" t="str">
        <f t="shared" si="609"/>
        <v xml:space="preserve">marketing(1), </v>
      </c>
      <c r="JA162" s="47" t="str">
        <f t="shared" si="609"/>
        <v xml:space="preserve">marketing(6.25), </v>
      </c>
      <c r="JB162" s="47" t="str">
        <f t="shared" si="609"/>
        <v xml:space="preserve"> </v>
      </c>
      <c r="JC162" s="47" t="str">
        <f t="shared" si="609"/>
        <v xml:space="preserve"> </v>
      </c>
      <c r="JD162" s="47" t="str">
        <f t="shared" si="609"/>
        <v xml:space="preserve"> </v>
      </c>
      <c r="JE162" s="47" t="str">
        <f t="shared" si="609"/>
        <v xml:space="preserve"> </v>
      </c>
      <c r="JF162" s="47" t="str">
        <f t="shared" si="609"/>
        <v xml:space="preserve">web(1),infrastructrue(1),database(1),mobile apps(1),sensors(1),security(1),AI&amp; data analysis(1),mobile comm(1),VR&amp;AR(1),wood processing(1),metal processing(1),plastic processing(1),electronics(1),fabric(1),aesthetics(1),functions(1),safety(1),interaction(1), </v>
      </c>
      <c r="JG162" s="47" t="str">
        <f t="shared" si="609"/>
        <v xml:space="preserve">web(6.25),infrastructrue(6.25),database(6.25),mobile apps(6.25),sensors(6.25),security(6.25),AI&amp; data analysis(6.25),mobile comm(6.25),VR&amp;AR(6.25),wood processing(6.25),metal processing(6.25),plastic processing(6.25),electronics(6.25),fabric(6.25),aesthetics(6.25),functions(6.25),safety(6.25),interaction(6.25), </v>
      </c>
      <c r="JH162" s="47" t="str">
        <f t="shared" si="609"/>
        <v xml:space="preserve"> </v>
      </c>
      <c r="JI162" s="47" t="str">
        <f t="shared" si="609"/>
        <v xml:space="preserve"> </v>
      </c>
      <c r="JJ162" s="47" t="str">
        <f t="shared" si="609"/>
        <v xml:space="preserve"> </v>
      </c>
      <c r="JK162" s="47" t="str">
        <f t="shared" si="609"/>
        <v xml:space="preserve">portfolio(2),social media(2),negotiation(2),social project(1),social innovation(1),non-profit biz(1),biz project(1),biz enhancement(1),job creation(1),business(1),start-up(1),start-up with mvp(1),start-up with customers(1),for basic literacy(1),for the elites(1),for entrepreneurs(1), </v>
      </c>
      <c r="JL162" s="47" t="str">
        <f t="shared" si="609"/>
        <v xml:space="preserve"> </v>
      </c>
      <c r="JM162" s="47" t="str">
        <f t="shared" si="609"/>
        <v xml:space="preserve"> </v>
      </c>
      <c r="JN162" s="47" t="str">
        <f t="shared" si="609"/>
        <v xml:space="preserve">portfolio(2), </v>
      </c>
      <c r="JO162" s="47" t="str">
        <f t="shared" si="609"/>
        <v xml:space="preserve"> </v>
      </c>
      <c r="JP162" s="47" t="str">
        <f t="shared" si="609"/>
        <v xml:space="preserve"> </v>
      </c>
      <c r="JQ162" s="47" t="str">
        <f t="shared" si="609"/>
        <v xml:space="preserve">portfolio(3),organizational rules and manuals(2),electronics(1),aesthetics(1),interaction(1),social project(1),social innovation(1),non-profit biz(1),biz project(1),biz enhancement(1),job creation(1),business(1),start-up(1),start-up with mvp(1),start-up with customers(1),for basic literacy(1),for the elites(1),for entrepreneurs(1), </v>
      </c>
      <c r="JR162" s="47" t="str">
        <f t="shared" si="609"/>
        <v xml:space="preserve"> </v>
      </c>
      <c r="JS162" s="47" t="str">
        <f t="shared" si="609"/>
        <v xml:space="preserve"> </v>
      </c>
      <c r="JT162" s="47" t="str">
        <f t="shared" si="609"/>
        <v xml:space="preserve">portfolio(3), </v>
      </c>
      <c r="JU162" s="47" t="str">
        <f t="shared" si="609"/>
        <v xml:space="preserve"> </v>
      </c>
      <c r="JV162" s="47" t="str">
        <f t="shared" si="609"/>
        <v xml:space="preserve"> </v>
      </c>
      <c r="JW162" s="47" t="str">
        <f t="shared" si="609"/>
        <v xml:space="preserve">portfolio(4),law(1),finance(1),marketing(1),team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2" s="47" t="str">
        <f t="shared" si="609"/>
        <v xml:space="preserve"> </v>
      </c>
      <c r="JY162" s="47" t="str">
        <f t="shared" si="609"/>
        <v xml:space="preserve"> </v>
      </c>
      <c r="JZ162" s="47" t="str">
        <f t="shared" si="609"/>
        <v xml:space="preserve">social project(2), </v>
      </c>
      <c r="KA162" s="47" t="str">
        <f t="shared" si="609"/>
        <v xml:space="preserve"> </v>
      </c>
      <c r="KB162" s="47" t="str">
        <f t="shared" si="609"/>
        <v xml:space="preserve"> </v>
      </c>
      <c r="KC162" s="47" t="str">
        <f t="shared" si="609"/>
        <v xml:space="preserve">portfolio(1),marketing(1),web(1),mobile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2" s="47" t="str">
        <f t="shared" si="609"/>
        <v xml:space="preserve"> </v>
      </c>
      <c r="KE162" s="47" t="str">
        <f t="shared" si="609"/>
        <v xml:space="preserve"> </v>
      </c>
      <c r="KF162" s="47" t="str">
        <f t="shared" si="609"/>
        <v xml:space="preserve"> </v>
      </c>
      <c r="KG162" s="47" t="str">
        <f t="shared" si="609"/>
        <v xml:space="preserve"> </v>
      </c>
      <c r="KH162" s="47" t="str">
        <f t="shared" si="609"/>
        <v xml:space="preserve"> </v>
      </c>
      <c r="KI162" s="47" t="str">
        <f t="shared" si="609"/>
        <v xml:space="preserve"> </v>
      </c>
      <c r="KJ162" s="47" t="str">
        <f t="shared" si="609"/>
        <v xml:space="preserve"> </v>
      </c>
      <c r="KK162" s="47" t="str">
        <f t="shared" si="609"/>
        <v xml:space="preserve"> </v>
      </c>
      <c r="KL162" s="57" t="str">
        <f t="shared" si="609"/>
        <v xml:space="preserve"> </v>
      </c>
      <c r="KM162" s="47" t="str">
        <f t="shared" si="609"/>
        <v xml:space="preserve"> </v>
      </c>
      <c r="KN162" s="47" t="str">
        <f t="shared" si="609"/>
        <v xml:space="preserve"> </v>
      </c>
      <c r="KO162" s="47" t="str">
        <f t="shared" si="609"/>
        <v xml:space="preserve"> </v>
      </c>
      <c r="KP162" s="47" t="str">
        <f t="shared" si="609"/>
        <v xml:space="preserve"> </v>
      </c>
      <c r="KQ162" s="47" t="str">
        <f t="shared" si="609"/>
        <v xml:space="preserve"> </v>
      </c>
      <c r="KR162" s="57" t="str">
        <f t="shared" si="609"/>
        <v xml:space="preserve"> </v>
      </c>
      <c r="KS162" s="47" t="str">
        <f t="shared" si="609"/>
        <v xml:space="preserve"> </v>
      </c>
      <c r="KT162" s="47" t="str">
        <f t="shared" si="609"/>
        <v xml:space="preserve"> </v>
      </c>
      <c r="KU162" s="47" t="str">
        <f t="shared" si="609"/>
        <v xml:space="preserve"> </v>
      </c>
      <c r="KV162" s="47" t="str">
        <f t="shared" si="609"/>
        <v xml:space="preserve"> </v>
      </c>
      <c r="KW162" s="47" t="str">
        <f t="shared" si="609"/>
        <v xml:space="preserve"> </v>
      </c>
      <c r="KX162" s="57" t="str">
        <f t="shared" si="609"/>
        <v xml:space="preserve"> </v>
      </c>
      <c r="KY162" s="47" t="str">
        <f t="shared" si="609"/>
        <v xml:space="preserve"> </v>
      </c>
      <c r="KZ162" s="47" t="str">
        <f t="shared" si="609"/>
        <v xml:space="preserve"> </v>
      </c>
      <c r="LA162" s="47" t="str">
        <f t="shared" si="609"/>
        <v xml:space="preserve"> </v>
      </c>
      <c r="LB162" s="47" t="str">
        <f t="shared" si="609"/>
        <v xml:space="preserve"> </v>
      </c>
      <c r="LC162" s="47" t="str">
        <f t="shared" si="609"/>
        <v xml:space="preserve"> </v>
      </c>
      <c r="LD162" s="57" t="str">
        <f t="shared" si="609"/>
        <v xml:space="preserve"> </v>
      </c>
      <c r="LE162" s="47" t="str">
        <f t="shared" si="609"/>
        <v xml:space="preserve"> </v>
      </c>
      <c r="LF162" s="47" t="str">
        <f t="shared" si="609"/>
        <v xml:space="preserve"> </v>
      </c>
      <c r="LG162" s="47" t="str">
        <f t="shared" si="609"/>
        <v xml:space="preserve"> </v>
      </c>
      <c r="LH162" s="47" t="str">
        <f t="shared" ref="LH162:NM162" si="610">IF(LH60="",LH163,$C162&amp;"("&amp;LH60&amp;"),"&amp;LH163)</f>
        <v xml:space="preserve"> </v>
      </c>
      <c r="LI162" s="47" t="str">
        <f t="shared" si="610"/>
        <v xml:space="preserve"> </v>
      </c>
      <c r="LJ162" s="57" t="str">
        <f t="shared" si="610"/>
        <v xml:space="preserve"> </v>
      </c>
      <c r="LK162" s="47" t="str">
        <f t="shared" si="610"/>
        <v xml:space="preserve"> </v>
      </c>
      <c r="LL162" s="47" t="str">
        <f t="shared" si="610"/>
        <v xml:space="preserve"> </v>
      </c>
      <c r="LM162" s="47" t="str">
        <f t="shared" si="610"/>
        <v xml:space="preserve"> </v>
      </c>
      <c r="LN162" s="47" t="str">
        <f t="shared" si="610"/>
        <v xml:space="preserve"> </v>
      </c>
      <c r="LO162" s="47" t="str">
        <f t="shared" si="610"/>
        <v xml:space="preserve"> </v>
      </c>
      <c r="LP162" s="57" t="str">
        <f t="shared" si="610"/>
        <v xml:space="preserve"> </v>
      </c>
      <c r="LQ162" s="47" t="str">
        <f t="shared" si="610"/>
        <v xml:space="preserve"> </v>
      </c>
      <c r="LR162" s="47" t="str">
        <f t="shared" si="610"/>
        <v xml:space="preserve"> </v>
      </c>
      <c r="LS162" s="47" t="str">
        <f t="shared" si="610"/>
        <v xml:space="preserve"> </v>
      </c>
      <c r="LT162" s="47" t="str">
        <f t="shared" si="610"/>
        <v xml:space="preserve"> </v>
      </c>
      <c r="LU162" s="47" t="str">
        <f t="shared" si="610"/>
        <v xml:space="preserve"> </v>
      </c>
      <c r="LV162" s="57" t="str">
        <f t="shared" si="610"/>
        <v xml:space="preserve"> </v>
      </c>
      <c r="LW162" s="47" t="str">
        <f t="shared" si="610"/>
        <v xml:space="preserve"> </v>
      </c>
      <c r="LX162" s="47" t="str">
        <f t="shared" si="610"/>
        <v xml:space="preserve"> </v>
      </c>
      <c r="LY162" s="47" t="str">
        <f t="shared" si="610"/>
        <v xml:space="preserve"> </v>
      </c>
      <c r="LZ162" s="47" t="str">
        <f t="shared" si="610"/>
        <v xml:space="preserve"> </v>
      </c>
      <c r="MA162" s="47" t="str">
        <f t="shared" si="610"/>
        <v xml:space="preserve"> </v>
      </c>
      <c r="MB162" s="57" t="str">
        <f t="shared" si="610"/>
        <v xml:space="preserve"> </v>
      </c>
      <c r="MC162" s="47" t="str">
        <f t="shared" si="610"/>
        <v xml:space="preserve"> </v>
      </c>
      <c r="MD162" s="47" t="str">
        <f t="shared" si="610"/>
        <v xml:space="preserve"> </v>
      </c>
      <c r="ME162" s="47" t="str">
        <f t="shared" si="610"/>
        <v xml:space="preserve"> </v>
      </c>
      <c r="MF162" s="47" t="str">
        <f t="shared" si="610"/>
        <v xml:space="preserve"> </v>
      </c>
      <c r="MG162" s="47" t="str">
        <f t="shared" si="610"/>
        <v xml:space="preserve"> </v>
      </c>
      <c r="MH162" s="57" t="str">
        <f t="shared" si="610"/>
        <v xml:space="preserve"> </v>
      </c>
      <c r="MI162" s="47" t="str">
        <f t="shared" si="610"/>
        <v xml:space="preserve"> </v>
      </c>
      <c r="MJ162" s="47" t="str">
        <f t="shared" si="610"/>
        <v xml:space="preserve"> </v>
      </c>
      <c r="MK162" s="47" t="str">
        <f t="shared" si="610"/>
        <v xml:space="preserve"> </v>
      </c>
      <c r="ML162" s="47" t="str">
        <f t="shared" si="610"/>
        <v xml:space="preserve"> </v>
      </c>
      <c r="MM162" s="47" t="str">
        <f t="shared" si="610"/>
        <v xml:space="preserve"> </v>
      </c>
      <c r="MN162" s="57" t="str">
        <f t="shared" si="610"/>
        <v xml:space="preserve"> </v>
      </c>
      <c r="MO162" s="47" t="str">
        <f t="shared" si="610"/>
        <v xml:space="preserve"> </v>
      </c>
      <c r="MP162" s="47" t="str">
        <f t="shared" si="610"/>
        <v xml:space="preserve"> </v>
      </c>
      <c r="MQ162" s="47" t="str">
        <f t="shared" si="610"/>
        <v xml:space="preserve"> </v>
      </c>
      <c r="MR162" s="47" t="str">
        <f t="shared" si="610"/>
        <v xml:space="preserve"> </v>
      </c>
      <c r="MS162" s="47" t="str">
        <f t="shared" si="610"/>
        <v xml:space="preserve"> </v>
      </c>
      <c r="MT162" s="57" t="str">
        <f t="shared" si="610"/>
        <v xml:space="preserve"> </v>
      </c>
      <c r="MU162" s="47" t="str">
        <f t="shared" si="610"/>
        <v xml:space="preserve"> </v>
      </c>
      <c r="MV162" s="47" t="str">
        <f t="shared" si="610"/>
        <v xml:space="preserve"> </v>
      </c>
      <c r="MW162" s="47" t="str">
        <f t="shared" si="610"/>
        <v xml:space="preserve"> </v>
      </c>
      <c r="MX162" s="47" t="str">
        <f t="shared" si="610"/>
        <v xml:space="preserve"> </v>
      </c>
      <c r="MY162" s="47" t="str">
        <f t="shared" si="610"/>
        <v xml:space="preserve"> </v>
      </c>
      <c r="MZ162" s="57" t="str">
        <f t="shared" si="610"/>
        <v xml:space="preserve"> </v>
      </c>
      <c r="NA162" s="47" t="str">
        <f t="shared" si="610"/>
        <v xml:space="preserve"> </v>
      </c>
      <c r="NB162" s="47" t="str">
        <f t="shared" si="610"/>
        <v xml:space="preserve"> </v>
      </c>
      <c r="NC162" s="47" t="str">
        <f t="shared" si="610"/>
        <v xml:space="preserve"> </v>
      </c>
      <c r="ND162" s="47" t="str">
        <f t="shared" si="610"/>
        <v xml:space="preserve"> </v>
      </c>
      <c r="NE162" s="47" t="str">
        <f t="shared" si="610"/>
        <v xml:space="preserve"> </v>
      </c>
      <c r="NF162" s="57" t="str">
        <f t="shared" si="610"/>
        <v xml:space="preserve"> </v>
      </c>
      <c r="NG162" s="47" t="str">
        <f t="shared" si="610"/>
        <v xml:space="preserve"> </v>
      </c>
      <c r="NH162" s="47" t="str">
        <f t="shared" si="610"/>
        <v xml:space="preserve"> </v>
      </c>
      <c r="NI162" s="47" t="str">
        <f t="shared" si="610"/>
        <v xml:space="preserve"> </v>
      </c>
      <c r="NJ162" s="47" t="str">
        <f t="shared" si="610"/>
        <v xml:space="preserve"> </v>
      </c>
      <c r="NK162" s="47" t="str">
        <f t="shared" si="610"/>
        <v xml:space="preserve"> </v>
      </c>
      <c r="NL162" s="57" t="str">
        <f t="shared" si="610"/>
        <v xml:space="preserve"> </v>
      </c>
      <c r="NM162" s="47" t="str">
        <f t="shared" si="610"/>
        <v xml:space="preserve"> </v>
      </c>
    </row>
    <row r="163" spans="3:377" ht="15.75" customHeight="1">
      <c r="C163" s="7" t="str">
        <f t="shared" si="296"/>
        <v>user rules and manuals</v>
      </c>
      <c r="D163" s="21" t="str">
        <f t="shared" si="169"/>
        <v xml:space="preserve"> </v>
      </c>
      <c r="E163" s="21" t="str">
        <f t="shared" si="297"/>
        <v xml:space="preserve"> </v>
      </c>
      <c r="F163" s="21" t="str">
        <f t="shared" si="170"/>
        <v xml:space="preserve"> </v>
      </c>
      <c r="G163" s="21" t="str">
        <f t="shared" si="298"/>
        <v xml:space="preserve">social media(1),  </v>
      </c>
      <c r="H163" s="21" t="str">
        <f t="shared" si="299"/>
        <v xml:space="preserve"> </v>
      </c>
      <c r="I163" s="21" t="str">
        <f t="shared" ref="I163" si="611">IF(I61="",I164,$C163&amp;"("&amp;I61&amp;"),"&amp;I164)</f>
        <v xml:space="preserve"> </v>
      </c>
      <c r="J163" s="21" t="str">
        <f t="shared" si="560"/>
        <v xml:space="preserve">interaction 1
 </v>
      </c>
      <c r="K163" s="21" t="str">
        <f t="shared" si="173"/>
        <v xml:space="preserve"> </v>
      </c>
      <c r="L163" s="21" t="str">
        <f t="shared" si="561"/>
        <v xml:space="preserve"> </v>
      </c>
      <c r="M163" s="21" t="str">
        <f t="shared" si="175"/>
        <v xml:space="preserve">social innovation(1), non-profit biz(1),  </v>
      </c>
      <c r="N163" s="21" t="str">
        <f t="shared" si="176"/>
        <v xml:space="preserve">marketing(1,12.5),  </v>
      </c>
      <c r="O163" s="21" t="str">
        <f t="shared" si="562"/>
        <v xml:space="preserve">marketing(12.5), </v>
      </c>
      <c r="P163" s="21" t="str">
        <f t="shared" si="560"/>
        <v xml:space="preserve">biz project 1
 </v>
      </c>
      <c r="Q163" s="21" t="str">
        <f t="shared" si="178"/>
        <v xml:space="preserve"> </v>
      </c>
      <c r="R163" s="21" t="str">
        <f t="shared" si="561"/>
        <v xml:space="preserve"> </v>
      </c>
      <c r="S163" s="21" t="str">
        <f t="shared" si="179"/>
        <v xml:space="preserve">biz enhancement(1), business(1), start-up(1),  </v>
      </c>
      <c r="T163" s="21" t="str">
        <f t="shared" si="180"/>
        <v xml:space="preserve"> </v>
      </c>
      <c r="U163" s="21" t="str">
        <f t="shared" si="562"/>
        <v xml:space="preserve"> </v>
      </c>
      <c r="V163" s="21" t="str">
        <f t="shared" si="560"/>
        <v xml:space="preserve"> </v>
      </c>
      <c r="W163" s="21" t="str">
        <f t="shared" si="181"/>
        <v xml:space="preserve"> </v>
      </c>
      <c r="X163" s="21" t="str">
        <f t="shared" si="561"/>
        <v xml:space="preserve"> </v>
      </c>
      <c r="Y163" s="21" t="str">
        <f t="shared" si="182"/>
        <v xml:space="preserve">biz project(1), biz enhancement(1), job creation(1), business(1),  </v>
      </c>
      <c r="Z163" s="21" t="str">
        <f t="shared" si="183"/>
        <v xml:space="preserve"> </v>
      </c>
      <c r="AA163" s="21" t="str">
        <f t="shared" si="562"/>
        <v xml:space="preserve"> </v>
      </c>
      <c r="AB163" s="21" t="str">
        <f t="shared" si="560"/>
        <v xml:space="preserve"> </v>
      </c>
      <c r="AC163" s="21" t="str">
        <f t="shared" si="184"/>
        <v xml:space="preserve"> </v>
      </c>
      <c r="AD163" s="21" t="str">
        <f t="shared" si="561"/>
        <v xml:space="preserve"> </v>
      </c>
      <c r="AE163" s="21" t="str">
        <f t="shared" si="185"/>
        <v xml:space="preserve">social project(1), social innovation(1), non-profit biz(1),  </v>
      </c>
      <c r="AF163" s="21" t="str">
        <f t="shared" si="186"/>
        <v xml:space="preserve"> </v>
      </c>
      <c r="AG163" s="21" t="str">
        <f t="shared" si="562"/>
        <v xml:space="preserve"> </v>
      </c>
      <c r="AH163" s="21" t="str">
        <f t="shared" si="560"/>
        <v xml:space="preserve"> </v>
      </c>
      <c r="AI163" s="21" t="str">
        <f t="shared" si="187"/>
        <v xml:space="preserve"> </v>
      </c>
      <c r="AJ163" s="21" t="str">
        <f t="shared" si="561"/>
        <v xml:space="preserve"> </v>
      </c>
      <c r="AK163" s="21" t="str">
        <f t="shared" si="188"/>
        <v xml:space="preserve">social project(1), social innovation(1), non-profit biz(1),  </v>
      </c>
      <c r="AL163" s="21" t="str">
        <f t="shared" si="189"/>
        <v xml:space="preserve"> </v>
      </c>
      <c r="AM163" s="21" t="str">
        <f t="shared" si="562"/>
        <v xml:space="preserve"> </v>
      </c>
      <c r="AN163" s="21" t="str">
        <f t="shared" si="560"/>
        <v xml:space="preserve"> </v>
      </c>
      <c r="AO163" s="21" t="str">
        <f t="shared" si="190"/>
        <v xml:space="preserve"> </v>
      </c>
      <c r="AP163" s="21" t="str">
        <f t="shared" si="561"/>
        <v xml:space="preserve"> </v>
      </c>
      <c r="AQ163" s="21" t="str">
        <f t="shared" si="191"/>
        <v xml:space="preserve">start-up(1), start-up with mvp(1), start-up with customers(1),  </v>
      </c>
      <c r="AR163" s="21" t="str">
        <f t="shared" si="192"/>
        <v xml:space="preserve"> </v>
      </c>
      <c r="AS163" s="21" t="str">
        <f t="shared" si="562"/>
        <v xml:space="preserve"> </v>
      </c>
      <c r="AT163" s="21" t="str">
        <f t="shared" si="560"/>
        <v xml:space="preserve">social project 1
 </v>
      </c>
      <c r="AU163" s="21" t="str">
        <f t="shared" si="193"/>
        <v xml:space="preserve"> </v>
      </c>
      <c r="AV163" s="21" t="str">
        <f t="shared" si="561"/>
        <v xml:space="preserve"> </v>
      </c>
      <c r="AW163" s="21" t="str">
        <f t="shared" si="194"/>
        <v xml:space="preserve">project management(2),  </v>
      </c>
      <c r="AX163" s="21" t="str">
        <f t="shared" si="195"/>
        <v xml:space="preserve">organizational rules and manuals(1,12.5), project management(1,12.5),  </v>
      </c>
      <c r="AY163" s="21" t="str">
        <f t="shared" si="562"/>
        <v xml:space="preserve">organizational rules and manuals(12.5),project management(12.5), </v>
      </c>
      <c r="AZ163" s="21" t="str">
        <f t="shared" si="560"/>
        <v xml:space="preserve"> </v>
      </c>
      <c r="BA163" s="21" t="str">
        <f t="shared" si="196"/>
        <v xml:space="preserve"> </v>
      </c>
      <c r="BB163" s="21" t="str">
        <f t="shared" si="561"/>
        <v xml:space="preserve"> </v>
      </c>
      <c r="BC163" s="21" t="str">
        <f t="shared" si="197"/>
        <v xml:space="preserve"> </v>
      </c>
      <c r="BD163" s="21" t="str">
        <f t="shared" si="198"/>
        <v xml:space="preserve"> </v>
      </c>
      <c r="BE163" s="21" t="str">
        <f t="shared" si="562"/>
        <v xml:space="preserve"> </v>
      </c>
      <c r="BF163" s="21" t="str">
        <f t="shared" si="560"/>
        <v xml:space="preserve">biz project 1
 </v>
      </c>
      <c r="BG163" s="21" t="str">
        <f t="shared" si="199"/>
        <v xml:space="preserve"> </v>
      </c>
      <c r="BH163" s="21" t="str">
        <f t="shared" si="561"/>
        <v xml:space="preserve"> </v>
      </c>
      <c r="BI163" s="21" t="str">
        <f t="shared" si="200"/>
        <v xml:space="preserve">project management(2),  </v>
      </c>
      <c r="BJ163" s="21" t="str">
        <f t="shared" si="201"/>
        <v xml:space="preserve">organizational rules and manuals(1,12.5), project management(1,12.5),  </v>
      </c>
      <c r="BK163" s="21" t="str">
        <f t="shared" si="562"/>
        <v xml:space="preserve">organizational rules and manuals(12.5),project management(12.5), </v>
      </c>
      <c r="BL163" s="21" t="str">
        <f t="shared" si="560"/>
        <v xml:space="preserve">biz enhancement 1
 </v>
      </c>
      <c r="BM163" s="21" t="str">
        <f t="shared" si="202"/>
        <v xml:space="preserve"> </v>
      </c>
      <c r="BN163" s="21" t="str">
        <f t="shared" si="561"/>
        <v xml:space="preserve"> </v>
      </c>
      <c r="BO163" s="21" t="str">
        <f t="shared" si="203"/>
        <v xml:space="preserve"> </v>
      </c>
      <c r="BP163" s="21" t="str">
        <f t="shared" si="204"/>
        <v xml:space="preserve"> </v>
      </c>
      <c r="BQ163" s="21" t="str">
        <f t="shared" si="562"/>
        <v xml:space="preserve"> </v>
      </c>
      <c r="BR163" s="21" t="str">
        <f t="shared" si="560"/>
        <v xml:space="preserve"> </v>
      </c>
      <c r="BS163" s="21" t="str">
        <f t="shared" si="205"/>
        <v xml:space="preserve"> </v>
      </c>
      <c r="BT163" s="21" t="str">
        <f t="shared" si="561"/>
        <v xml:space="preserve"> </v>
      </c>
      <c r="BU163" s="21" t="str">
        <f t="shared" si="206"/>
        <v xml:space="preserve"> </v>
      </c>
      <c r="BV163" s="21" t="str">
        <f t="shared" si="207"/>
        <v xml:space="preserve"> </v>
      </c>
      <c r="BW163" s="21" t="str">
        <f t="shared" si="562"/>
        <v xml:space="preserve"> </v>
      </c>
      <c r="BX163" s="21" t="str">
        <f t="shared" si="563"/>
        <v xml:space="preserve"> </v>
      </c>
      <c r="BY163" s="21" t="str">
        <f t="shared" si="209"/>
        <v xml:space="preserve"> </v>
      </c>
      <c r="BZ163" s="21" t="str">
        <f t="shared" si="564"/>
        <v xml:space="preserve"> </v>
      </c>
      <c r="CA163" s="21" t="str">
        <f t="shared" si="211"/>
        <v xml:space="preserve">negotiation(1),  </v>
      </c>
      <c r="CB163" s="21" t="str">
        <f t="shared" si="212"/>
        <v xml:space="preserve">user rules and manuals(1,50), organizational rules and manuals(1,50),  </v>
      </c>
      <c r="CC163" s="21" t="str">
        <f t="shared" si="565"/>
        <v xml:space="preserve">user rules and manuals(50),organizational rules and manuals(50), </v>
      </c>
      <c r="CD163" s="21" t="str">
        <f t="shared" si="563"/>
        <v xml:space="preserve"> </v>
      </c>
      <c r="CE163" s="21" t="str">
        <f t="shared" si="214"/>
        <v xml:space="preserve"> </v>
      </c>
      <c r="CF163" s="21" t="str">
        <f t="shared" si="564"/>
        <v xml:space="preserve"> </v>
      </c>
      <c r="CG163" s="21" t="str">
        <f t="shared" si="215"/>
        <v xml:space="preserve">user rules and manuals(1), negotiation(1), social project(1), biz project(1), for basic literacy(1), for the elites(1), for entrepreneurs(1),  </v>
      </c>
      <c r="CH163" s="21" t="str">
        <f t="shared" si="216"/>
        <v xml:space="preserve"> </v>
      </c>
      <c r="CI163" s="21" t="str">
        <f t="shared" si="565"/>
        <v xml:space="preserve"> </v>
      </c>
      <c r="CJ163" s="21" t="str">
        <f t="shared" si="563"/>
        <v xml:space="preserve"> </v>
      </c>
      <c r="CK163" s="21" t="str">
        <f t="shared" si="217"/>
        <v xml:space="preserve"> </v>
      </c>
      <c r="CL163" s="21" t="str">
        <f t="shared" si="564"/>
        <v xml:space="preserve"> </v>
      </c>
      <c r="CM163" s="21" t="str">
        <f t="shared" si="218"/>
        <v xml:space="preserve">negotiation(1),  </v>
      </c>
      <c r="CN163" s="21" t="str">
        <f t="shared" si="219"/>
        <v xml:space="preserve"> </v>
      </c>
      <c r="CO163" s="21" t="str">
        <f t="shared" si="565"/>
        <v xml:space="preserve"> </v>
      </c>
      <c r="CP163" s="21" t="str">
        <f t="shared" si="563"/>
        <v xml:space="preserve"> </v>
      </c>
      <c r="CQ163" s="21" t="str">
        <f t="shared" si="220"/>
        <v xml:space="preserve"> </v>
      </c>
      <c r="CR163" s="21" t="str">
        <f t="shared" si="564"/>
        <v xml:space="preserve"> </v>
      </c>
      <c r="CS163" s="21" t="str">
        <f t="shared" si="221"/>
        <v xml:space="preserve">negotiation(1), web(1), infrastructrue(1), database(1), mobile apps(1), sensors(1), security(1), AI&amp; data analysis(1), mobile comm(1), VR&amp;AR(1), wood processing(1), metal processing(1), plastic processing(1), electronics(1), fabric(1),  </v>
      </c>
      <c r="CT163" s="21" t="str">
        <f t="shared" si="222"/>
        <v xml:space="preserve"> </v>
      </c>
      <c r="CU163" s="21" t="str">
        <f t="shared" si="565"/>
        <v xml:space="preserve"> </v>
      </c>
      <c r="CV163" s="21" t="str">
        <f t="shared" si="563"/>
        <v xml:space="preserve"> </v>
      </c>
      <c r="CW163" s="21" t="str">
        <f t="shared" si="223"/>
        <v xml:space="preserve"> </v>
      </c>
      <c r="CX163" s="21" t="str">
        <f t="shared" si="564"/>
        <v xml:space="preserve"> </v>
      </c>
      <c r="CY163" s="21" t="str">
        <f t="shared" si="224"/>
        <v xml:space="preserve">negotiation(1),  </v>
      </c>
      <c r="CZ163" s="21" t="str">
        <f t="shared" si="225"/>
        <v xml:space="preserve"> </v>
      </c>
      <c r="DA163" s="21" t="str">
        <f t="shared" si="565"/>
        <v xml:space="preserve"> </v>
      </c>
      <c r="DB163" s="21" t="str">
        <f t="shared" si="563"/>
        <v xml:space="preserve"> </v>
      </c>
      <c r="DC163" s="21" t="str">
        <f t="shared" si="226"/>
        <v xml:space="preserve"> </v>
      </c>
      <c r="DD163" s="21" t="str">
        <f t="shared" si="564"/>
        <v xml:space="preserve"> </v>
      </c>
      <c r="DE163" s="21" t="str">
        <f t="shared" si="227"/>
        <v xml:space="preserve">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3" s="21" t="str">
        <f t="shared" si="228"/>
        <v xml:space="preserve"> </v>
      </c>
      <c r="DG163" s="21" t="str">
        <f t="shared" si="565"/>
        <v xml:space="preserve"> </v>
      </c>
      <c r="DH163" s="21" t="str">
        <f t="shared" si="563"/>
        <v xml:space="preserve">social project 1
 </v>
      </c>
      <c r="DI163" s="21" t="str">
        <f t="shared" si="229"/>
        <v xml:space="preserve"> </v>
      </c>
      <c r="DJ163" s="21" t="str">
        <f t="shared" si="564"/>
        <v xml:space="preserve"> </v>
      </c>
      <c r="DK163"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3" s="21" t="str">
        <f t="shared" si="231"/>
        <v xml:space="preserve"> </v>
      </c>
      <c r="DM163" s="21" t="str">
        <f t="shared" si="565"/>
        <v xml:space="preserve"> </v>
      </c>
      <c r="DN163" s="21" t="str">
        <f t="shared" si="563"/>
        <v xml:space="preserve">biz project 1
 </v>
      </c>
      <c r="DO163" s="21" t="str">
        <f t="shared" si="232"/>
        <v xml:space="preserve"> </v>
      </c>
      <c r="DP163" s="21" t="str">
        <f t="shared" si="564"/>
        <v xml:space="preserve"> </v>
      </c>
      <c r="DQ163" s="21" t="str">
        <f t="shared" si="233"/>
        <v xml:space="preserve">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3" s="21" t="str">
        <f t="shared" si="234"/>
        <v xml:space="preserve"> </v>
      </c>
      <c r="DS163" s="21" t="str">
        <f t="shared" si="565"/>
        <v xml:space="preserve"> </v>
      </c>
      <c r="DT163" s="21" t="str">
        <f t="shared" si="563"/>
        <v xml:space="preserve"> </v>
      </c>
      <c r="DU163" s="21" t="str">
        <f t="shared" si="235"/>
        <v xml:space="preserve"> </v>
      </c>
      <c r="DV163" s="21" t="str">
        <f t="shared" si="564"/>
        <v xml:space="preserve"> </v>
      </c>
      <c r="DW163" s="21" t="str">
        <f t="shared" si="236"/>
        <v xml:space="preserve">organizational rules and manuals(1), marketing(1), social media(1), for basic literacy(1),  </v>
      </c>
      <c r="DX163" s="21" t="str">
        <f t="shared" si="237"/>
        <v xml:space="preserve">for basic literacy(1,6.25),  </v>
      </c>
      <c r="DY163" s="21" t="str">
        <f t="shared" si="565"/>
        <v xml:space="preserve">for basic literacy(6.25), </v>
      </c>
      <c r="DZ163" s="21" t="str">
        <f t="shared" si="563"/>
        <v xml:space="preserve"> </v>
      </c>
      <c r="EA163" s="21" t="str">
        <f t="shared" si="238"/>
        <v xml:space="preserve"> </v>
      </c>
      <c r="EB163" s="21" t="str">
        <f t="shared" si="564"/>
        <v xml:space="preserve"> </v>
      </c>
      <c r="EC163" s="21" t="str">
        <f t="shared" si="239"/>
        <v xml:space="preserve">organizational rules and manuals(1), marketing(1), social media(1), web(2), infrastructrue(2), database(2), mobile apps(2), sensors(2), security(2), AI&amp; data analysis(2), mobile comm(2), VR&amp;AR(2), wood processing(2), metal processing(2), plastic processing(2), electronics(2), fabric(2), for basic literacy(1),  </v>
      </c>
      <c r="ED163" s="21" t="str">
        <f t="shared" si="240"/>
        <v xml:space="preserve">for basic literacy(1,6.25),  </v>
      </c>
      <c r="EE163" s="21" t="str">
        <f t="shared" si="565"/>
        <v xml:space="preserve">for basic literacy(6.25), </v>
      </c>
      <c r="EF163" s="21" t="str">
        <f t="shared" si="563"/>
        <v xml:space="preserve"> </v>
      </c>
      <c r="EG163" s="21" t="str">
        <f t="shared" si="241"/>
        <v xml:space="preserve">web(1,50), mobile apps(1,50), interaction(1,50),  </v>
      </c>
      <c r="EH163" s="21" t="str">
        <f t="shared" si="564"/>
        <v xml:space="preserve">web 50
mobile apps 50
interaction 50
 </v>
      </c>
      <c r="EI163" s="21" t="str">
        <f t="shared" si="242"/>
        <v xml:space="preserve">infrastructrue(1), database(1), mobile comm(1), for entrepreneurs(1),  </v>
      </c>
      <c r="EJ163" s="21" t="str">
        <f t="shared" si="243"/>
        <v xml:space="preserve">infrastructrue(1,12.5), database(1,12.5), mobile comm(1,12.5), for entrepreneurs(1,6.25),  </v>
      </c>
      <c r="EK163" s="21" t="str">
        <f t="shared" si="565"/>
        <v xml:space="preserve">infrastructrue(12.5),database(12.5),mobile comm(12.5),for entrepreneurs(6.25), </v>
      </c>
      <c r="EL163" s="21" t="str">
        <f t="shared" si="566"/>
        <v xml:space="preserve"> </v>
      </c>
      <c r="EM163" s="21" t="str">
        <f t="shared" si="245"/>
        <v xml:space="preserve">sensors(1,50),  </v>
      </c>
      <c r="EN163" s="21" t="str">
        <f t="shared" si="567"/>
        <v xml:space="preserve">sensors 50
 </v>
      </c>
      <c r="EO163" s="21" t="str">
        <f t="shared" si="247"/>
        <v xml:space="preserve">project management(2), infrastructrue(1), database(1), mobile comm(1), for entrepreneurs(1),  </v>
      </c>
      <c r="EP163" s="21" t="str">
        <f t="shared" si="248"/>
        <v xml:space="preserve">infrastructrue(1,12.5), database(1,12.5), mobile comm(1,12.5), electronics(1,6.25), for entrepreneurs(1,6.25),  </v>
      </c>
      <c r="EQ163" s="21" t="str">
        <f t="shared" si="568"/>
        <v xml:space="preserve">infrastructrue(12.5),database(12.5),mobile comm(12.5),electronics(6.25),for entrepreneurs(6.25), </v>
      </c>
      <c r="ER163" s="21" t="str">
        <f t="shared" si="566"/>
        <v xml:space="preserve"> </v>
      </c>
      <c r="ES163" s="21" t="str">
        <f t="shared" si="250"/>
        <v xml:space="preserve">AI&amp; data analysis(1,50),  </v>
      </c>
      <c r="ET163" s="21" t="str">
        <f t="shared" si="567"/>
        <v xml:space="preserve">AI&amp; data analysis 50
 </v>
      </c>
      <c r="EU163" s="21" t="str">
        <f t="shared" si="251"/>
        <v xml:space="preserve">database(1), sensors(1), mobile comm(1), for entrepreneurs(1),  </v>
      </c>
      <c r="EV163" s="21" t="str">
        <f t="shared" si="252"/>
        <v xml:space="preserve">database(1,12.5), sensors(1,12.5), mobile comm(1,12.5), for entrepreneurs(1,6.25),  </v>
      </c>
      <c r="EW163" s="21" t="str">
        <f t="shared" si="568"/>
        <v xml:space="preserve">database(12.5),sensors(12.5),mobile comm(12.5),for entrepreneurs(6.25), </v>
      </c>
      <c r="EX163" s="21" t="str">
        <f t="shared" si="566"/>
        <v xml:space="preserve"> </v>
      </c>
      <c r="EY163" s="21" t="str">
        <f t="shared" si="253"/>
        <v xml:space="preserve">law(1,50), security(1,50), interaction(1,25),  </v>
      </c>
      <c r="EZ163" s="21" t="str">
        <f t="shared" si="567"/>
        <v xml:space="preserve">law 50
security 50
interaction 25
 </v>
      </c>
      <c r="FA163" s="21" t="str">
        <f t="shared" si="254"/>
        <v xml:space="preserve">law(2), for entrepreneurs(1),  </v>
      </c>
      <c r="FB163" s="21" t="str">
        <f t="shared" si="255"/>
        <v xml:space="preserve">law(1,6.25), database(1,12.5), mobile apps(1,12.5), security(1,12.5), mobile comm(1,12.5), for entrepreneurs(1,6.25),  </v>
      </c>
      <c r="FC163" s="21" t="str">
        <f t="shared" si="568"/>
        <v xml:space="preserve">law(6.25),database(12.5),mobile apps(12.5),security(12.5),mobile comm(12.5),for entrepreneurs(6.25), </v>
      </c>
      <c r="FD163" s="21" t="str">
        <f t="shared" si="566"/>
        <v xml:space="preserve"> </v>
      </c>
      <c r="FE163" s="21" t="str">
        <f t="shared" si="256"/>
        <v xml:space="preserve">law(1,50), sensors(1,50), security(1,50),  </v>
      </c>
      <c r="FF163" s="21" t="str">
        <f t="shared" si="567"/>
        <v xml:space="preserve">law 50
sensors 50
security 50
 </v>
      </c>
      <c r="FG163" s="21" t="str">
        <f t="shared" si="257"/>
        <v xml:space="preserve">law(2), project management(2), for entrepreneurs(1),  </v>
      </c>
      <c r="FH163" s="21" t="str">
        <f t="shared" si="258"/>
        <v xml:space="preserve">law(1,6.25), database(1,6.25), mobile apps(1,6.25), AI&amp; data analysis(1,6.25), mobile comm(1,6.25), for entrepreneurs(1,6.25),  </v>
      </c>
      <c r="FI163" s="21" t="str">
        <f t="shared" si="568"/>
        <v xml:space="preserve">law(6.25),database(6.25),mobile apps(6.25),AI&amp; data analysis(6.25),mobile comm(6.25),for entrepreneurs(6.25), </v>
      </c>
      <c r="FJ163" s="21" t="str">
        <f t="shared" si="566"/>
        <v xml:space="preserve"> </v>
      </c>
      <c r="FK163" s="21" t="str">
        <f t="shared" si="259"/>
        <v xml:space="preserve">wood processing(1,25), metal processing(1,25), plastic processing(1,25), fabric(1,25), safety(1,25), interaction(1,25),  </v>
      </c>
      <c r="FL163" s="21" t="str">
        <f t="shared" si="567"/>
        <v xml:space="preserve">project management 2
wood processing 25
metal processing 25
plastic processing 25
fabric 25
safety 25
interaction 25
 </v>
      </c>
      <c r="FM163" s="21" t="str">
        <f t="shared" si="260"/>
        <v xml:space="preserve">for entrepreneurs(1),  </v>
      </c>
      <c r="FN163" s="21" t="str">
        <f t="shared" si="261"/>
        <v xml:space="preserve">for entrepreneurs(1,6.25),  </v>
      </c>
      <c r="FO163" s="21" t="str">
        <f t="shared" si="568"/>
        <v xml:space="preserve">for entrepreneurs(6.25), </v>
      </c>
      <c r="FP163" s="21" t="str">
        <f t="shared" si="566"/>
        <v xml:space="preserve"> </v>
      </c>
      <c r="FQ163" s="21" t="str">
        <f t="shared" si="262"/>
        <v xml:space="preserve">web(1,25), mobile apps(1,50), functions(1,25), interaction(1,25),  </v>
      </c>
      <c r="FR163" s="21" t="str">
        <f t="shared" si="567"/>
        <v xml:space="preserve">web 25
mobile apps 50
functions 25
interaction 25
 </v>
      </c>
      <c r="FS163" s="21" t="str">
        <f t="shared" si="263"/>
        <v xml:space="preserve">for entrepreneurs(1),  </v>
      </c>
      <c r="FT163" s="21" t="str">
        <f t="shared" si="264"/>
        <v xml:space="preserve">for entrepreneurs(1,6.25),  </v>
      </c>
      <c r="FU163" s="21" t="str">
        <f t="shared" si="568"/>
        <v xml:space="preserve">for entrepreneurs(6.25), </v>
      </c>
      <c r="FV163" s="21" t="str">
        <f t="shared" si="566"/>
        <v xml:space="preserve"> </v>
      </c>
      <c r="FW163" s="21" t="str">
        <f t="shared" si="265"/>
        <v xml:space="preserve">mobile apps(1,50), sensors(1,50), wood processing(1,25), plastic processing(1,25), electronics(1,25), functions(1,25), interaction(1,25),  </v>
      </c>
      <c r="FX163" s="21" t="str">
        <f t="shared" si="567"/>
        <v xml:space="preserve">mobile apps 50
sensors 50
wood processing 25
plastic processing 25
electronics 25
functions 25
interaction 25
 </v>
      </c>
      <c r="FY163" s="21" t="str">
        <f t="shared" si="266"/>
        <v xml:space="preserve">project management(2), for entrepreneurs(1),  </v>
      </c>
      <c r="FZ163" s="21" t="str">
        <f t="shared" si="267"/>
        <v xml:space="preserve">web(1,6.25), database(1,6.25), AI&amp; data analysis(1,6.25), mobile comm(1,6.25), for entrepreneurs(1,6.25),  </v>
      </c>
      <c r="GA163" s="21" t="str">
        <f t="shared" si="568"/>
        <v xml:space="preserve">web(6.25),database(6.25),AI&amp; data analysis(6.25),mobile comm(6.25),for entrepreneurs(6.25), </v>
      </c>
      <c r="GB163" s="21" t="str">
        <f t="shared" si="566"/>
        <v xml:space="preserve"> </v>
      </c>
      <c r="GC163" s="21" t="str">
        <f t="shared" si="268"/>
        <v xml:space="preserve">sensors(1,25), mobile comm(1,25), electronics(1,50), functions(1,25), safety(1,25),  </v>
      </c>
      <c r="GD163" s="21" t="str">
        <f t="shared" si="567"/>
        <v xml:space="preserve">sensors 25
mobile comm 25
electronics 50
functions 25
safety 25
 </v>
      </c>
      <c r="GE163" s="21" t="str">
        <f t="shared" si="269"/>
        <v xml:space="preserve">project management(2), for entrepreneurs(1),  </v>
      </c>
      <c r="GF163" s="21" t="str">
        <f t="shared" si="270"/>
        <v xml:space="preserve">database(1,6.25), mobile apps(1,6.25), AI&amp; data analysis(1,6.25), plastic processing(1,6.25), interaction(1,6.25), for entrepreneurs(1,6.25),  </v>
      </c>
      <c r="GG163" s="21" t="str">
        <f t="shared" si="568"/>
        <v xml:space="preserve">database(6.25),mobile apps(6.25),AI&amp; data analysis(6.25),plastic processing(6.25),interaction(6.25),for entrepreneurs(6.25), </v>
      </c>
      <c r="GH163" s="21" t="str">
        <f t="shared" si="566"/>
        <v xml:space="preserve"> </v>
      </c>
      <c r="GI163" s="21" t="str">
        <f t="shared" si="271"/>
        <v xml:space="preserve">web(1,25), mobile apps(1,50), functions(1,25), interaction(1,25),  </v>
      </c>
      <c r="GJ163" s="21" t="str">
        <f t="shared" si="567"/>
        <v xml:space="preserve">web 25
mobile apps 50
functions 25
interaction 25
 </v>
      </c>
      <c r="GK163" s="21" t="str">
        <f t="shared" si="272"/>
        <v xml:space="preserve">project management(2), for entrepreneurs(1),  </v>
      </c>
      <c r="GL163" s="21" t="str">
        <f t="shared" si="273"/>
        <v xml:space="preserve">for entrepreneurs(1,6.25),  </v>
      </c>
      <c r="GM163" s="21" t="str">
        <f t="shared" si="568"/>
        <v xml:space="preserve">for entrepreneurs(6.25), </v>
      </c>
      <c r="GN163" s="21" t="str">
        <f t="shared" si="566"/>
        <v xml:space="preserve"> </v>
      </c>
      <c r="GO163" s="21" t="str">
        <f t="shared" si="274"/>
        <v xml:space="preserve">web(1,25), mobile apps(1,25), VR&amp;AR(1,25), aesthetics(1,25), functions(1,25), interaction(1,50),  </v>
      </c>
      <c r="GP163" s="21" t="str">
        <f t="shared" si="567"/>
        <v xml:space="preserve">web 25
mobile apps 25
VR&amp;AR 25
aesthetics 25
functions 25
interaction 50
 </v>
      </c>
      <c r="GQ163" s="21" t="str">
        <f t="shared" si="275"/>
        <v xml:space="preserve">project management(2), for entrepreneurs(1),  </v>
      </c>
      <c r="GR163" s="21" t="str">
        <f t="shared" si="276"/>
        <v xml:space="preserve">for entrepreneurs(1,6.25),  </v>
      </c>
      <c r="GS163" s="21" t="str">
        <f t="shared" si="568"/>
        <v xml:space="preserve">for entrepreneurs(6.25), </v>
      </c>
      <c r="GT163" s="21" t="str">
        <f t="shared" si="566"/>
        <v xml:space="preserve">web 1
mobile apps 1
mobile comm 1
 </v>
      </c>
      <c r="GU163" s="21" t="str">
        <f t="shared" si="277"/>
        <v xml:space="preserve"> </v>
      </c>
      <c r="GV163" s="21" t="str">
        <f t="shared" si="567"/>
        <v xml:space="preserve"> </v>
      </c>
      <c r="GW163" s="21" t="str">
        <f t="shared" si="278"/>
        <v xml:space="preserve">user rules and manuals(1), organizational rules and manuals(1), business model(2), marketing(1), team building(1), project management(1), social media(1), infrastructrue(1), database(1), sensors(1), security(1), AI&amp; data analysis(1), electronics(1),  </v>
      </c>
      <c r="GX163" s="21" t="str">
        <f t="shared" si="279"/>
        <v xml:space="preserve">project management(1,6.25), social media(1,6.25), web(1,6.25), mobile apps(1,6.25),  </v>
      </c>
      <c r="GY163" s="21" t="str">
        <f t="shared" si="568"/>
        <v xml:space="preserve">project management(6.25),social media(6.25),web(6.25),mobile apps(6.25), </v>
      </c>
      <c r="GZ163" s="21" t="str">
        <f t="shared" si="569"/>
        <v xml:space="preserve"> </v>
      </c>
      <c r="HA163" s="21" t="str">
        <f t="shared" si="281"/>
        <v xml:space="preserve"> </v>
      </c>
      <c r="HB163" s="21" t="str">
        <f t="shared" si="570"/>
        <v xml:space="preserve"> </v>
      </c>
      <c r="HC163" s="21" t="str">
        <f t="shared" si="283"/>
        <v xml:space="preserve">social media(2), web(2), mobile apps(2), sensors(2), AI&amp; data analysis(2), VR&amp;AR(2), plastic processing(2), electronics(2), aesthetics(2), interaction(2),  </v>
      </c>
      <c r="HD163" s="21" t="str">
        <f t="shared" si="284"/>
        <v xml:space="preserve">start-up with customers(1,6.25), for basic literacy(1,6.25),  </v>
      </c>
      <c r="HE163" s="21" t="str">
        <f t="shared" si="571"/>
        <v xml:space="preserve">start-up with customers(6.25),for basic literacy(6.25), </v>
      </c>
      <c r="HF163" s="21" t="str">
        <f t="shared" si="569"/>
        <v xml:space="preserve"> </v>
      </c>
      <c r="HG163" s="21" t="str">
        <f t="shared" si="286"/>
        <v xml:space="preserve"> </v>
      </c>
      <c r="HH163" s="21" t="str">
        <f t="shared" si="570"/>
        <v xml:space="preserve"> </v>
      </c>
      <c r="HI163" s="21" t="str">
        <f t="shared" si="287"/>
        <v xml:space="preserve">marketing(2), team building(3), project management(2), mobile apps(3), sensors(2), plastic processing(2), electronics(2), aesthetics(2), functions(2), interaction(2),  </v>
      </c>
      <c r="HJ163" s="21" t="str">
        <f t="shared" si="288"/>
        <v xml:space="preserve">start-up with customers(1,6.25),  </v>
      </c>
      <c r="HK163" s="21" t="str">
        <f t="shared" si="571"/>
        <v xml:space="preserve">start-up with customers(6.25), </v>
      </c>
      <c r="HL163" s="21" t="str">
        <f t="shared" si="569"/>
        <v xml:space="preserve"> </v>
      </c>
      <c r="HM163" s="21" t="str">
        <f t="shared" si="289"/>
        <v xml:space="preserve"> </v>
      </c>
      <c r="HN163" s="21" t="str">
        <f t="shared" si="570"/>
        <v xml:space="preserve"> </v>
      </c>
      <c r="HO163" s="21" t="str">
        <f t="shared" si="290"/>
        <v xml:space="preserve">finance(2), marketing(2), project management(2), social media(2), web(3), mobile apps(2), wood processing(3), plastic processing(3), electronics(3), aesthetics(2), interaction(2),  </v>
      </c>
      <c r="HP163" s="21" t="str">
        <f t="shared" si="291"/>
        <v xml:space="preserve"> </v>
      </c>
      <c r="HQ163" s="47" t="str">
        <f t="shared" si="571"/>
        <v xml:space="preserve"> </v>
      </c>
      <c r="HR163" s="47" t="str">
        <f t="shared" ref="HR163:HW163" si="612">IF(HR61="",HR164,$C163&amp;"("&amp;HR61&amp;"),"&amp;HR164)</f>
        <v xml:space="preserve">mobile apps(1),sensors(1),wood processing(1),aesthetics(1), </v>
      </c>
      <c r="HS163" s="47" t="str">
        <f t="shared" si="612"/>
        <v xml:space="preserve"> </v>
      </c>
      <c r="HT163" s="47" t="str">
        <f t="shared" si="612"/>
        <v xml:space="preserve"> </v>
      </c>
      <c r="HU163" s="47" t="str">
        <f t="shared" si="612"/>
        <v xml:space="preserve">project management(2),social media(2),web(3),infrastructrue(3),database(3),mobile apps(3),sensors(3),AI&amp; data analysis(3),mobile comm(3),VR&amp;AR(3),wood processing(3),metal processing(2),plastic processing(2),electronics(2),fabric(2),aesthetics(2),interaction(2),start-up with mvp(1), </v>
      </c>
      <c r="HV163" s="47" t="str">
        <f t="shared" si="612"/>
        <v xml:space="preserve"> </v>
      </c>
      <c r="HW163" s="47" t="str">
        <f t="shared" si="612"/>
        <v xml:space="preserve"> </v>
      </c>
      <c r="HX163" s="47" t="str">
        <f t="shared" ref="HX163:IU163" si="613">IF(HX61="",HX164,$C163&amp;"("&amp;HX61&amp;"),"&amp;HX164)</f>
        <v xml:space="preserve">web(1),infrastructrue(1),database(2),mobile apps(1),sensors(1),AI&amp; data analysis(2),VR&amp;AR(1),wood processing(1),metal processing(1),plastic processing(1),electronics(1),aesthetics(1),functions(1),interaction(1), </v>
      </c>
      <c r="HY163" s="47" t="str">
        <f t="shared" si="613"/>
        <v xml:space="preserve">biz enhancement(1), </v>
      </c>
      <c r="HZ163" s="47" t="str">
        <f t="shared" si="613"/>
        <v xml:space="preserve">biz enhancement(100), </v>
      </c>
      <c r="IA163" s="47" t="str">
        <f t="shared" si="613"/>
        <v xml:space="preserve">finance(2),business model(2),marketing(3),team building(2),project management(2),social media(3),negotiation(3), </v>
      </c>
      <c r="IB163" s="47" t="str">
        <f t="shared" si="613"/>
        <v xml:space="preserve">team building(1),database(1),AI&amp; data analysis(1),electronics(1),functions(1), </v>
      </c>
      <c r="IC163" s="47" t="str">
        <f t="shared" si="613"/>
        <v xml:space="preserve">team building(6.25),database(6.25),AI&amp; data analysis(6.25),electronics(6.25),functions(6.25), </v>
      </c>
      <c r="ID163" s="47" t="str">
        <f t="shared" si="613"/>
        <v xml:space="preserve"> </v>
      </c>
      <c r="IE163" s="47" t="str">
        <f t="shared" si="613"/>
        <v xml:space="preserve">web(1),mobile apps(1),security(1),AI&amp; data analysis(1), </v>
      </c>
      <c r="IF163" s="47" t="str">
        <f t="shared" si="613"/>
        <v xml:space="preserve">web(25),mobile apps(25),security(25),AI&amp; data analysis(25), </v>
      </c>
      <c r="IG163" s="47" t="str">
        <f t="shared" si="613"/>
        <v xml:space="preserve">web(2),database(2),mobile apps(2),security(2),AI&amp; data analysis(2), </v>
      </c>
      <c r="IH163" s="47" t="str">
        <f t="shared" si="613"/>
        <v xml:space="preserve">web(1),database(1),mobile apps(1),security(1),AI&amp; data analysis(1), </v>
      </c>
      <c r="II163" s="47" t="str">
        <f t="shared" si="613"/>
        <v xml:space="preserve">web(6.25),database(6.25),mobile apps(6.25),security(6.25),AI&amp; data analysis(6.25), </v>
      </c>
      <c r="IJ163" s="47" t="str">
        <f t="shared" si="613"/>
        <v xml:space="preserve"> </v>
      </c>
      <c r="IK163" s="47" t="str">
        <f t="shared" si="613"/>
        <v xml:space="preserve">wood processing(1),metal processing(1),functions(1),safety(1), </v>
      </c>
      <c r="IL163" s="47" t="str">
        <f t="shared" si="613"/>
        <v xml:space="preserve">wood processing(25),metal processing(25),functions(25),safety(25), </v>
      </c>
      <c r="IM163" s="47" t="str">
        <f t="shared" si="613"/>
        <v xml:space="preserve">wood processing(2),metal processing(2),functions(2),safety(2), </v>
      </c>
      <c r="IN163" s="47" t="str">
        <f t="shared" si="613"/>
        <v xml:space="preserve">wood processing(1),metal processing(1),functions(1),safety(1),interaction(1), </v>
      </c>
      <c r="IO163" s="47" t="str">
        <f t="shared" si="613"/>
        <v xml:space="preserve">wood processing(6.25),metal processing(6.25),functions(6.25),safety(6.25),interaction(6.25), </v>
      </c>
      <c r="IP163" s="57" t="str">
        <f t="shared" si="613"/>
        <v xml:space="preserve"> </v>
      </c>
      <c r="IQ163" s="47" t="str">
        <f t="shared" si="613"/>
        <v xml:space="preserve">marketing(1), </v>
      </c>
      <c r="IR163" s="47" t="str">
        <f t="shared" si="613"/>
        <v xml:space="preserve">marketing(25), </v>
      </c>
      <c r="IS163" s="47" t="str">
        <f t="shared" si="613"/>
        <v xml:space="preserve">marketing(2), </v>
      </c>
      <c r="IT163" s="47" t="str">
        <f t="shared" si="613"/>
        <v xml:space="preserve">marketing(1), </v>
      </c>
      <c r="IU163" s="47" t="str">
        <f t="shared" si="613"/>
        <v xml:space="preserve">marketing(6.25), </v>
      </c>
      <c r="IV163" s="57" t="str">
        <f t="shared" ref="IV163:LG163" si="614">IF(IV61="",IV164,$C163&amp;"("&amp;IV61&amp;"),"&amp;IV164)</f>
        <v xml:space="preserve"> </v>
      </c>
      <c r="IW163" s="47" t="str">
        <f t="shared" si="614"/>
        <v xml:space="preserve">marketing(1), </v>
      </c>
      <c r="IX163" s="47" t="str">
        <f t="shared" si="614"/>
        <v xml:space="preserve">marketing(25), </v>
      </c>
      <c r="IY163" s="47" t="str">
        <f t="shared" si="614"/>
        <v xml:space="preserve">marketing(2), </v>
      </c>
      <c r="IZ163" s="47" t="str">
        <f t="shared" si="614"/>
        <v xml:space="preserve">marketing(1), </v>
      </c>
      <c r="JA163" s="47" t="str">
        <f t="shared" si="614"/>
        <v xml:space="preserve">marketing(6.25), </v>
      </c>
      <c r="JB163" s="47" t="str">
        <f t="shared" si="614"/>
        <v xml:space="preserve"> </v>
      </c>
      <c r="JC163" s="47" t="str">
        <f t="shared" si="614"/>
        <v xml:space="preserve"> </v>
      </c>
      <c r="JD163" s="47" t="str">
        <f t="shared" si="614"/>
        <v xml:space="preserve"> </v>
      </c>
      <c r="JE163" s="47" t="str">
        <f t="shared" si="614"/>
        <v xml:space="preserve"> </v>
      </c>
      <c r="JF163" s="47" t="str">
        <f t="shared" si="614"/>
        <v xml:space="preserve">web(1),infrastructrue(1),database(1),mobile apps(1),sensors(1),security(1),AI&amp; data analysis(1),mobile comm(1),VR&amp;AR(1),wood processing(1),metal processing(1),plastic processing(1),electronics(1),fabric(1),aesthetics(1),functions(1),safety(1),interaction(1), </v>
      </c>
      <c r="JG163" s="47" t="str">
        <f t="shared" si="614"/>
        <v xml:space="preserve">web(6.25),infrastructrue(6.25),database(6.25),mobile apps(6.25),sensors(6.25),security(6.25),AI&amp; data analysis(6.25),mobile comm(6.25),VR&amp;AR(6.25),wood processing(6.25),metal processing(6.25),plastic processing(6.25),electronics(6.25),fabric(6.25),aesthetics(6.25),functions(6.25),safety(6.25),interaction(6.25), </v>
      </c>
      <c r="JH163" s="47" t="str">
        <f t="shared" si="614"/>
        <v xml:space="preserve"> </v>
      </c>
      <c r="JI163" s="47" t="str">
        <f t="shared" si="614"/>
        <v xml:space="preserve"> </v>
      </c>
      <c r="JJ163" s="47" t="str">
        <f t="shared" si="614"/>
        <v xml:space="preserve"> </v>
      </c>
      <c r="JK163" s="47" t="str">
        <f t="shared" si="614"/>
        <v xml:space="preserve">social media(2),negotiation(2),social project(1),social innovation(1),non-profit biz(1),biz project(1),biz enhancement(1),job creation(1),business(1),start-up(1),start-up with mvp(1),start-up with customers(1),for basic literacy(1),for the elites(1),for entrepreneurs(1), </v>
      </c>
      <c r="JL163" s="47" t="str">
        <f t="shared" si="614"/>
        <v xml:space="preserve"> </v>
      </c>
      <c r="JM163" s="47" t="str">
        <f t="shared" si="614"/>
        <v xml:space="preserve"> </v>
      </c>
      <c r="JN163" s="47" t="str">
        <f t="shared" si="614"/>
        <v xml:space="preserve"> </v>
      </c>
      <c r="JO163" s="47" t="str">
        <f t="shared" si="614"/>
        <v xml:space="preserve"> </v>
      </c>
      <c r="JP163" s="47" t="str">
        <f t="shared" si="614"/>
        <v xml:space="preserve"> </v>
      </c>
      <c r="JQ163" s="47" t="str">
        <f t="shared" si="614"/>
        <v xml:space="preserve">organizational rules and manuals(2),electronics(1),aesthetics(1),interaction(1),social project(1),social innovation(1),non-profit biz(1),biz project(1),biz enhancement(1),job creation(1),business(1),start-up(1),start-up with mvp(1),start-up with customers(1),for basic literacy(1),for the elites(1),for entrepreneurs(1), </v>
      </c>
      <c r="JR163" s="47" t="str">
        <f t="shared" si="614"/>
        <v xml:space="preserve"> </v>
      </c>
      <c r="JS163" s="47" t="str">
        <f t="shared" si="614"/>
        <v xml:space="preserve"> </v>
      </c>
      <c r="JT163" s="47" t="str">
        <f t="shared" si="614"/>
        <v xml:space="preserve"> </v>
      </c>
      <c r="JU163" s="47" t="str">
        <f t="shared" si="614"/>
        <v xml:space="preserve"> </v>
      </c>
      <c r="JV163" s="47" t="str">
        <f t="shared" si="614"/>
        <v xml:space="preserve"> </v>
      </c>
      <c r="JW163" s="47" t="str">
        <f t="shared" si="614"/>
        <v xml:space="preserve">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3" s="47" t="str">
        <f t="shared" si="614"/>
        <v xml:space="preserve"> </v>
      </c>
      <c r="JY163" s="47" t="str">
        <f t="shared" si="614"/>
        <v xml:space="preserve"> </v>
      </c>
      <c r="JZ163" s="47" t="str">
        <f t="shared" si="614"/>
        <v xml:space="preserve">social project(2), </v>
      </c>
      <c r="KA163" s="47" t="str">
        <f t="shared" si="614"/>
        <v xml:space="preserve"> </v>
      </c>
      <c r="KB163" s="47" t="str">
        <f t="shared" si="614"/>
        <v xml:space="preserve"> </v>
      </c>
      <c r="KC163" s="47" t="str">
        <f t="shared" si="614"/>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3" s="47" t="str">
        <f t="shared" si="614"/>
        <v xml:space="preserve"> </v>
      </c>
      <c r="KE163" s="47" t="str">
        <f t="shared" si="614"/>
        <v xml:space="preserve"> </v>
      </c>
      <c r="KF163" s="47" t="str">
        <f t="shared" si="614"/>
        <v xml:space="preserve"> </v>
      </c>
      <c r="KG163" s="47" t="str">
        <f t="shared" si="614"/>
        <v xml:space="preserve"> </v>
      </c>
      <c r="KH163" s="47" t="str">
        <f t="shared" si="614"/>
        <v xml:space="preserve"> </v>
      </c>
      <c r="KI163" s="47" t="str">
        <f t="shared" si="614"/>
        <v xml:space="preserve"> </v>
      </c>
      <c r="KJ163" s="47" t="str">
        <f t="shared" si="614"/>
        <v xml:space="preserve"> </v>
      </c>
      <c r="KK163" s="47" t="str">
        <f t="shared" si="614"/>
        <v xml:space="preserve"> </v>
      </c>
      <c r="KL163" s="57" t="str">
        <f t="shared" si="614"/>
        <v xml:space="preserve"> </v>
      </c>
      <c r="KM163" s="47" t="str">
        <f t="shared" si="614"/>
        <v xml:space="preserve"> </v>
      </c>
      <c r="KN163" s="47" t="str">
        <f t="shared" si="614"/>
        <v xml:space="preserve"> </v>
      </c>
      <c r="KO163" s="47" t="str">
        <f t="shared" si="614"/>
        <v xml:space="preserve"> </v>
      </c>
      <c r="KP163" s="47" t="str">
        <f t="shared" si="614"/>
        <v xml:space="preserve"> </v>
      </c>
      <c r="KQ163" s="47" t="str">
        <f t="shared" si="614"/>
        <v xml:space="preserve"> </v>
      </c>
      <c r="KR163" s="57" t="str">
        <f t="shared" si="614"/>
        <v xml:space="preserve"> </v>
      </c>
      <c r="KS163" s="47" t="str">
        <f t="shared" si="614"/>
        <v xml:space="preserve"> </v>
      </c>
      <c r="KT163" s="47" t="str">
        <f t="shared" si="614"/>
        <v xml:space="preserve"> </v>
      </c>
      <c r="KU163" s="47" t="str">
        <f t="shared" si="614"/>
        <v xml:space="preserve"> </v>
      </c>
      <c r="KV163" s="47" t="str">
        <f t="shared" si="614"/>
        <v xml:space="preserve"> </v>
      </c>
      <c r="KW163" s="47" t="str">
        <f t="shared" si="614"/>
        <v xml:space="preserve"> </v>
      </c>
      <c r="KX163" s="57" t="str">
        <f t="shared" si="614"/>
        <v xml:space="preserve"> </v>
      </c>
      <c r="KY163" s="47" t="str">
        <f t="shared" si="614"/>
        <v xml:space="preserve"> </v>
      </c>
      <c r="KZ163" s="47" t="str">
        <f t="shared" si="614"/>
        <v xml:space="preserve"> </v>
      </c>
      <c r="LA163" s="47" t="str">
        <f t="shared" si="614"/>
        <v xml:space="preserve"> </v>
      </c>
      <c r="LB163" s="47" t="str">
        <f t="shared" si="614"/>
        <v xml:space="preserve"> </v>
      </c>
      <c r="LC163" s="47" t="str">
        <f t="shared" si="614"/>
        <v xml:space="preserve"> </v>
      </c>
      <c r="LD163" s="57" t="str">
        <f t="shared" si="614"/>
        <v xml:space="preserve"> </v>
      </c>
      <c r="LE163" s="47" t="str">
        <f t="shared" si="614"/>
        <v xml:space="preserve"> </v>
      </c>
      <c r="LF163" s="47" t="str">
        <f t="shared" si="614"/>
        <v xml:space="preserve"> </v>
      </c>
      <c r="LG163" s="47" t="str">
        <f t="shared" si="614"/>
        <v xml:space="preserve"> </v>
      </c>
      <c r="LH163" s="47" t="str">
        <f t="shared" ref="LH163:NM163" si="615">IF(LH61="",LH164,$C163&amp;"("&amp;LH61&amp;"),"&amp;LH164)</f>
        <v xml:space="preserve"> </v>
      </c>
      <c r="LI163" s="47" t="str">
        <f t="shared" si="615"/>
        <v xml:space="preserve"> </v>
      </c>
      <c r="LJ163" s="57" t="str">
        <f t="shared" si="615"/>
        <v xml:space="preserve"> </v>
      </c>
      <c r="LK163" s="47" t="str">
        <f t="shared" si="615"/>
        <v xml:space="preserve"> </v>
      </c>
      <c r="LL163" s="47" t="str">
        <f t="shared" si="615"/>
        <v xml:space="preserve"> </v>
      </c>
      <c r="LM163" s="47" t="str">
        <f t="shared" si="615"/>
        <v xml:space="preserve"> </v>
      </c>
      <c r="LN163" s="47" t="str">
        <f t="shared" si="615"/>
        <v xml:space="preserve"> </v>
      </c>
      <c r="LO163" s="47" t="str">
        <f t="shared" si="615"/>
        <v xml:space="preserve"> </v>
      </c>
      <c r="LP163" s="57" t="str">
        <f t="shared" si="615"/>
        <v xml:space="preserve"> </v>
      </c>
      <c r="LQ163" s="47" t="str">
        <f t="shared" si="615"/>
        <v xml:space="preserve"> </v>
      </c>
      <c r="LR163" s="47" t="str">
        <f t="shared" si="615"/>
        <v xml:space="preserve"> </v>
      </c>
      <c r="LS163" s="47" t="str">
        <f t="shared" si="615"/>
        <v xml:space="preserve"> </v>
      </c>
      <c r="LT163" s="47" t="str">
        <f t="shared" si="615"/>
        <v xml:space="preserve"> </v>
      </c>
      <c r="LU163" s="47" t="str">
        <f t="shared" si="615"/>
        <v xml:space="preserve"> </v>
      </c>
      <c r="LV163" s="57" t="str">
        <f t="shared" si="615"/>
        <v xml:space="preserve"> </v>
      </c>
      <c r="LW163" s="47" t="str">
        <f t="shared" si="615"/>
        <v xml:space="preserve"> </v>
      </c>
      <c r="LX163" s="47" t="str">
        <f t="shared" si="615"/>
        <v xml:space="preserve"> </v>
      </c>
      <c r="LY163" s="47" t="str">
        <f t="shared" si="615"/>
        <v xml:space="preserve"> </v>
      </c>
      <c r="LZ163" s="47" t="str">
        <f t="shared" si="615"/>
        <v xml:space="preserve"> </v>
      </c>
      <c r="MA163" s="47" t="str">
        <f t="shared" si="615"/>
        <v xml:space="preserve"> </v>
      </c>
      <c r="MB163" s="57" t="str">
        <f t="shared" si="615"/>
        <v xml:space="preserve"> </v>
      </c>
      <c r="MC163" s="47" t="str">
        <f t="shared" si="615"/>
        <v xml:space="preserve"> </v>
      </c>
      <c r="MD163" s="47" t="str">
        <f t="shared" si="615"/>
        <v xml:space="preserve"> </v>
      </c>
      <c r="ME163" s="47" t="str">
        <f t="shared" si="615"/>
        <v xml:space="preserve"> </v>
      </c>
      <c r="MF163" s="47" t="str">
        <f t="shared" si="615"/>
        <v xml:space="preserve"> </v>
      </c>
      <c r="MG163" s="47" t="str">
        <f t="shared" si="615"/>
        <v xml:space="preserve"> </v>
      </c>
      <c r="MH163" s="57" t="str">
        <f t="shared" si="615"/>
        <v xml:space="preserve"> </v>
      </c>
      <c r="MI163" s="47" t="str">
        <f t="shared" si="615"/>
        <v xml:space="preserve"> </v>
      </c>
      <c r="MJ163" s="47" t="str">
        <f t="shared" si="615"/>
        <v xml:space="preserve"> </v>
      </c>
      <c r="MK163" s="47" t="str">
        <f t="shared" si="615"/>
        <v xml:space="preserve"> </v>
      </c>
      <c r="ML163" s="47" t="str">
        <f t="shared" si="615"/>
        <v xml:space="preserve"> </v>
      </c>
      <c r="MM163" s="47" t="str">
        <f t="shared" si="615"/>
        <v xml:space="preserve"> </v>
      </c>
      <c r="MN163" s="57" t="str">
        <f t="shared" si="615"/>
        <v xml:space="preserve"> </v>
      </c>
      <c r="MO163" s="47" t="str">
        <f t="shared" si="615"/>
        <v xml:space="preserve"> </v>
      </c>
      <c r="MP163" s="47" t="str">
        <f t="shared" si="615"/>
        <v xml:space="preserve"> </v>
      </c>
      <c r="MQ163" s="47" t="str">
        <f t="shared" si="615"/>
        <v xml:space="preserve"> </v>
      </c>
      <c r="MR163" s="47" t="str">
        <f t="shared" si="615"/>
        <v xml:space="preserve"> </v>
      </c>
      <c r="MS163" s="47" t="str">
        <f t="shared" si="615"/>
        <v xml:space="preserve"> </v>
      </c>
      <c r="MT163" s="57" t="str">
        <f t="shared" si="615"/>
        <v xml:space="preserve"> </v>
      </c>
      <c r="MU163" s="47" t="str">
        <f t="shared" si="615"/>
        <v xml:space="preserve"> </v>
      </c>
      <c r="MV163" s="47" t="str">
        <f t="shared" si="615"/>
        <v xml:space="preserve"> </v>
      </c>
      <c r="MW163" s="47" t="str">
        <f t="shared" si="615"/>
        <v xml:space="preserve"> </v>
      </c>
      <c r="MX163" s="47" t="str">
        <f t="shared" si="615"/>
        <v xml:space="preserve"> </v>
      </c>
      <c r="MY163" s="47" t="str">
        <f t="shared" si="615"/>
        <v xml:space="preserve"> </v>
      </c>
      <c r="MZ163" s="57" t="str">
        <f t="shared" si="615"/>
        <v xml:space="preserve"> </v>
      </c>
      <c r="NA163" s="47" t="str">
        <f t="shared" si="615"/>
        <v xml:space="preserve"> </v>
      </c>
      <c r="NB163" s="47" t="str">
        <f t="shared" si="615"/>
        <v xml:space="preserve"> </v>
      </c>
      <c r="NC163" s="47" t="str">
        <f t="shared" si="615"/>
        <v xml:space="preserve"> </v>
      </c>
      <c r="ND163" s="47" t="str">
        <f t="shared" si="615"/>
        <v xml:space="preserve"> </v>
      </c>
      <c r="NE163" s="47" t="str">
        <f t="shared" si="615"/>
        <v xml:space="preserve"> </v>
      </c>
      <c r="NF163" s="57" t="str">
        <f t="shared" si="615"/>
        <v xml:space="preserve"> </v>
      </c>
      <c r="NG163" s="47" t="str">
        <f t="shared" si="615"/>
        <v xml:space="preserve"> </v>
      </c>
      <c r="NH163" s="47" t="str">
        <f t="shared" si="615"/>
        <v xml:space="preserve"> </v>
      </c>
      <c r="NI163" s="47" t="str">
        <f t="shared" si="615"/>
        <v xml:space="preserve"> </v>
      </c>
      <c r="NJ163" s="47" t="str">
        <f t="shared" si="615"/>
        <v xml:space="preserve"> </v>
      </c>
      <c r="NK163" s="47" t="str">
        <f t="shared" si="615"/>
        <v xml:space="preserve"> </v>
      </c>
      <c r="NL163" s="57" t="str">
        <f t="shared" si="615"/>
        <v xml:space="preserve"> </v>
      </c>
      <c r="NM163" s="47" t="str">
        <f t="shared" si="615"/>
        <v xml:space="preserve"> </v>
      </c>
    </row>
    <row r="164" spans="3:377" ht="15.75" customHeight="1">
      <c r="C164" s="7" t="str">
        <f t="shared" si="296"/>
        <v>organizational rules and manuals</v>
      </c>
      <c r="D164" s="21" t="str">
        <f t="shared" si="169"/>
        <v xml:space="preserve"> </v>
      </c>
      <c r="E164" s="21" t="str">
        <f t="shared" si="297"/>
        <v xml:space="preserve"> </v>
      </c>
      <c r="F164" s="21" t="str">
        <f t="shared" si="170"/>
        <v xml:space="preserve"> </v>
      </c>
      <c r="G164" s="21" t="str">
        <f t="shared" si="298"/>
        <v xml:space="preserve">social media(1),  </v>
      </c>
      <c r="H164" s="21" t="str">
        <f t="shared" si="299"/>
        <v xml:space="preserve"> </v>
      </c>
      <c r="I164" s="21" t="str">
        <f t="shared" ref="I164" si="616">IF(I62="",I165,$C164&amp;"("&amp;I62&amp;"),"&amp;I165)</f>
        <v xml:space="preserve"> </v>
      </c>
      <c r="J164" s="21" t="str">
        <f t="shared" si="560"/>
        <v xml:space="preserve">interaction 1
 </v>
      </c>
      <c r="K164" s="21" t="str">
        <f t="shared" si="173"/>
        <v xml:space="preserve"> </v>
      </c>
      <c r="L164" s="21" t="str">
        <f t="shared" si="561"/>
        <v xml:space="preserve"> </v>
      </c>
      <c r="M164" s="21" t="str">
        <f t="shared" si="175"/>
        <v xml:space="preserve">social innovation(1), non-profit biz(1),  </v>
      </c>
      <c r="N164" s="21" t="str">
        <f t="shared" si="176"/>
        <v xml:space="preserve">marketing(1,12.5),  </v>
      </c>
      <c r="O164" s="21" t="str">
        <f t="shared" si="562"/>
        <v xml:space="preserve">marketing(12.5), </v>
      </c>
      <c r="P164" s="21" t="str">
        <f t="shared" si="560"/>
        <v xml:space="preserve">biz project 1
 </v>
      </c>
      <c r="Q164" s="21" t="str">
        <f t="shared" si="178"/>
        <v xml:space="preserve"> </v>
      </c>
      <c r="R164" s="21" t="str">
        <f t="shared" si="561"/>
        <v xml:space="preserve"> </v>
      </c>
      <c r="S164" s="21" t="str">
        <f t="shared" si="179"/>
        <v xml:space="preserve">biz enhancement(1), business(1), start-up(1),  </v>
      </c>
      <c r="T164" s="21" t="str">
        <f t="shared" si="180"/>
        <v xml:space="preserve"> </v>
      </c>
      <c r="U164" s="21" t="str">
        <f t="shared" si="562"/>
        <v xml:space="preserve"> </v>
      </c>
      <c r="V164" s="21" t="str">
        <f t="shared" si="560"/>
        <v xml:space="preserve"> </v>
      </c>
      <c r="W164" s="21" t="str">
        <f t="shared" si="181"/>
        <v xml:space="preserve"> </v>
      </c>
      <c r="X164" s="21" t="str">
        <f t="shared" si="561"/>
        <v xml:space="preserve"> </v>
      </c>
      <c r="Y164" s="21" t="str">
        <f t="shared" si="182"/>
        <v xml:space="preserve">biz project(1), biz enhancement(1), job creation(1), business(1),  </v>
      </c>
      <c r="Z164" s="21" t="str">
        <f t="shared" si="183"/>
        <v xml:space="preserve"> </v>
      </c>
      <c r="AA164" s="21" t="str">
        <f t="shared" si="562"/>
        <v xml:space="preserve"> </v>
      </c>
      <c r="AB164" s="21" t="str">
        <f t="shared" si="560"/>
        <v xml:space="preserve"> </v>
      </c>
      <c r="AC164" s="21" t="str">
        <f t="shared" si="184"/>
        <v xml:space="preserve"> </v>
      </c>
      <c r="AD164" s="21" t="str">
        <f t="shared" si="561"/>
        <v xml:space="preserve"> </v>
      </c>
      <c r="AE164" s="21" t="str">
        <f t="shared" si="185"/>
        <v xml:space="preserve">social project(1), social innovation(1), non-profit biz(1),  </v>
      </c>
      <c r="AF164" s="21" t="str">
        <f t="shared" si="186"/>
        <v xml:space="preserve"> </v>
      </c>
      <c r="AG164" s="21" t="str">
        <f t="shared" si="562"/>
        <v xml:space="preserve"> </v>
      </c>
      <c r="AH164" s="21" t="str">
        <f t="shared" si="560"/>
        <v xml:space="preserve"> </v>
      </c>
      <c r="AI164" s="21" t="str">
        <f t="shared" si="187"/>
        <v xml:space="preserve"> </v>
      </c>
      <c r="AJ164" s="21" t="str">
        <f t="shared" si="561"/>
        <v xml:space="preserve"> </v>
      </c>
      <c r="AK164" s="21" t="str">
        <f t="shared" si="188"/>
        <v xml:space="preserve">social project(1), social innovation(1), non-profit biz(1),  </v>
      </c>
      <c r="AL164" s="21" t="str">
        <f t="shared" si="189"/>
        <v xml:space="preserve"> </v>
      </c>
      <c r="AM164" s="21" t="str">
        <f t="shared" si="562"/>
        <v xml:space="preserve"> </v>
      </c>
      <c r="AN164" s="21" t="str">
        <f t="shared" si="560"/>
        <v xml:space="preserve"> </v>
      </c>
      <c r="AO164" s="21" t="str">
        <f t="shared" si="190"/>
        <v xml:space="preserve"> </v>
      </c>
      <c r="AP164" s="21" t="str">
        <f t="shared" si="561"/>
        <v xml:space="preserve"> </v>
      </c>
      <c r="AQ164" s="21" t="str">
        <f t="shared" si="191"/>
        <v xml:space="preserve">start-up(1), start-up with mvp(1), start-up with customers(1),  </v>
      </c>
      <c r="AR164" s="21" t="str">
        <f t="shared" si="192"/>
        <v xml:space="preserve"> </v>
      </c>
      <c r="AS164" s="21" t="str">
        <f t="shared" si="562"/>
        <v xml:space="preserve"> </v>
      </c>
      <c r="AT164" s="21" t="str">
        <f t="shared" si="560"/>
        <v xml:space="preserve">social project 1
 </v>
      </c>
      <c r="AU164" s="21" t="str">
        <f t="shared" si="193"/>
        <v xml:space="preserve"> </v>
      </c>
      <c r="AV164" s="21" t="str">
        <f t="shared" si="561"/>
        <v xml:space="preserve"> </v>
      </c>
      <c r="AW164" s="21" t="str">
        <f t="shared" si="194"/>
        <v xml:space="preserve">project management(2),  </v>
      </c>
      <c r="AX164" s="21" t="str">
        <f t="shared" si="195"/>
        <v xml:space="preserve">organizational rules and manuals(1,12.5), project management(1,12.5),  </v>
      </c>
      <c r="AY164" s="21" t="str">
        <f t="shared" si="562"/>
        <v xml:space="preserve">organizational rules and manuals(12.5),project management(12.5), </v>
      </c>
      <c r="AZ164" s="21" t="str">
        <f t="shared" si="560"/>
        <v xml:space="preserve"> </v>
      </c>
      <c r="BA164" s="21" t="str">
        <f t="shared" si="196"/>
        <v xml:space="preserve"> </v>
      </c>
      <c r="BB164" s="21" t="str">
        <f t="shared" si="561"/>
        <v xml:space="preserve"> </v>
      </c>
      <c r="BC164" s="21" t="str">
        <f t="shared" si="197"/>
        <v xml:space="preserve"> </v>
      </c>
      <c r="BD164" s="21" t="str">
        <f t="shared" si="198"/>
        <v xml:space="preserve"> </v>
      </c>
      <c r="BE164" s="21" t="str">
        <f t="shared" si="562"/>
        <v xml:space="preserve"> </v>
      </c>
      <c r="BF164" s="21" t="str">
        <f t="shared" si="560"/>
        <v xml:space="preserve">biz project 1
 </v>
      </c>
      <c r="BG164" s="21" t="str">
        <f t="shared" si="199"/>
        <v xml:space="preserve"> </v>
      </c>
      <c r="BH164" s="21" t="str">
        <f t="shared" si="561"/>
        <v xml:space="preserve"> </v>
      </c>
      <c r="BI164" s="21" t="str">
        <f t="shared" si="200"/>
        <v xml:space="preserve">project management(2),  </v>
      </c>
      <c r="BJ164" s="21" t="str">
        <f t="shared" si="201"/>
        <v xml:space="preserve">organizational rules and manuals(1,12.5), project management(1,12.5),  </v>
      </c>
      <c r="BK164" s="21" t="str">
        <f t="shared" si="562"/>
        <v xml:space="preserve">organizational rules and manuals(12.5),project management(12.5), </v>
      </c>
      <c r="BL164" s="21" t="str">
        <f t="shared" si="560"/>
        <v xml:space="preserve">biz enhancement 1
 </v>
      </c>
      <c r="BM164" s="21" t="str">
        <f t="shared" si="202"/>
        <v xml:space="preserve"> </v>
      </c>
      <c r="BN164" s="21" t="str">
        <f t="shared" si="561"/>
        <v xml:space="preserve"> </v>
      </c>
      <c r="BO164" s="21" t="str">
        <f t="shared" si="203"/>
        <v xml:space="preserve"> </v>
      </c>
      <c r="BP164" s="21" t="str">
        <f t="shared" si="204"/>
        <v xml:space="preserve"> </v>
      </c>
      <c r="BQ164" s="21" t="str">
        <f t="shared" si="562"/>
        <v xml:space="preserve"> </v>
      </c>
      <c r="BR164" s="21" t="str">
        <f t="shared" si="560"/>
        <v xml:space="preserve"> </v>
      </c>
      <c r="BS164" s="21" t="str">
        <f t="shared" si="205"/>
        <v xml:space="preserve"> </v>
      </c>
      <c r="BT164" s="21" t="str">
        <f t="shared" si="561"/>
        <v xml:space="preserve"> </v>
      </c>
      <c r="BU164" s="21" t="str">
        <f t="shared" si="206"/>
        <v xml:space="preserve"> </v>
      </c>
      <c r="BV164" s="21" t="str">
        <f t="shared" si="207"/>
        <v xml:space="preserve"> </v>
      </c>
      <c r="BW164" s="21" t="str">
        <f t="shared" si="562"/>
        <v xml:space="preserve"> </v>
      </c>
      <c r="BX164" s="21" t="str">
        <f t="shared" si="563"/>
        <v xml:space="preserve"> </v>
      </c>
      <c r="BY164" s="21" t="str">
        <f t="shared" si="209"/>
        <v xml:space="preserve"> </v>
      </c>
      <c r="BZ164" s="21" t="str">
        <f t="shared" si="564"/>
        <v xml:space="preserve"> </v>
      </c>
      <c r="CA164" s="21" t="str">
        <f t="shared" si="211"/>
        <v xml:space="preserve">negotiation(1),  </v>
      </c>
      <c r="CB164" s="21" t="str">
        <f t="shared" si="212"/>
        <v xml:space="preserve">organizational rules and manuals(1,50),  </v>
      </c>
      <c r="CC164" s="21" t="str">
        <f t="shared" si="565"/>
        <v xml:space="preserve">organizational rules and manuals(50), </v>
      </c>
      <c r="CD164" s="21" t="str">
        <f t="shared" si="563"/>
        <v xml:space="preserve"> </v>
      </c>
      <c r="CE164" s="21" t="str">
        <f t="shared" si="214"/>
        <v xml:space="preserve"> </v>
      </c>
      <c r="CF164" s="21" t="str">
        <f t="shared" si="564"/>
        <v xml:space="preserve"> </v>
      </c>
      <c r="CG164" s="21" t="str">
        <f t="shared" si="215"/>
        <v xml:space="preserve">negotiation(1), social project(1), biz project(1), for basic literacy(1), for the elites(1), for entrepreneurs(1),  </v>
      </c>
      <c r="CH164" s="21" t="str">
        <f t="shared" si="216"/>
        <v xml:space="preserve"> </v>
      </c>
      <c r="CI164" s="21" t="str">
        <f t="shared" si="565"/>
        <v xml:space="preserve"> </v>
      </c>
      <c r="CJ164" s="21" t="str">
        <f t="shared" si="563"/>
        <v xml:space="preserve"> </v>
      </c>
      <c r="CK164" s="21" t="str">
        <f t="shared" si="217"/>
        <v xml:space="preserve"> </v>
      </c>
      <c r="CL164" s="21" t="str">
        <f t="shared" si="564"/>
        <v xml:space="preserve"> </v>
      </c>
      <c r="CM164" s="21" t="str">
        <f t="shared" si="218"/>
        <v xml:space="preserve">negotiation(1),  </v>
      </c>
      <c r="CN164" s="21" t="str">
        <f t="shared" si="219"/>
        <v xml:space="preserve"> </v>
      </c>
      <c r="CO164" s="21" t="str">
        <f t="shared" si="565"/>
        <v xml:space="preserve"> </v>
      </c>
      <c r="CP164" s="21" t="str">
        <f t="shared" si="563"/>
        <v xml:space="preserve"> </v>
      </c>
      <c r="CQ164" s="21" t="str">
        <f t="shared" si="220"/>
        <v xml:space="preserve"> </v>
      </c>
      <c r="CR164" s="21" t="str">
        <f t="shared" si="564"/>
        <v xml:space="preserve"> </v>
      </c>
      <c r="CS164" s="21" t="str">
        <f t="shared" si="221"/>
        <v xml:space="preserve">negotiation(1), web(1), infrastructrue(1), database(1), mobile apps(1), sensors(1), security(1), AI&amp; data analysis(1), mobile comm(1), VR&amp;AR(1), wood processing(1), metal processing(1), plastic processing(1), electronics(1), fabric(1),  </v>
      </c>
      <c r="CT164" s="21" t="str">
        <f t="shared" si="222"/>
        <v xml:space="preserve"> </v>
      </c>
      <c r="CU164" s="21" t="str">
        <f t="shared" si="565"/>
        <v xml:space="preserve"> </v>
      </c>
      <c r="CV164" s="21" t="str">
        <f t="shared" si="563"/>
        <v xml:space="preserve"> </v>
      </c>
      <c r="CW164" s="21" t="str">
        <f t="shared" si="223"/>
        <v xml:space="preserve"> </v>
      </c>
      <c r="CX164" s="21" t="str">
        <f t="shared" si="564"/>
        <v xml:space="preserve"> </v>
      </c>
      <c r="CY164" s="21" t="str">
        <f t="shared" si="224"/>
        <v xml:space="preserve">negotiation(1),  </v>
      </c>
      <c r="CZ164" s="21" t="str">
        <f t="shared" si="225"/>
        <v xml:space="preserve"> </v>
      </c>
      <c r="DA164" s="21" t="str">
        <f t="shared" si="565"/>
        <v xml:space="preserve"> </v>
      </c>
      <c r="DB164" s="21" t="str">
        <f t="shared" si="563"/>
        <v xml:space="preserve"> </v>
      </c>
      <c r="DC164" s="21" t="str">
        <f t="shared" si="226"/>
        <v xml:space="preserve"> </v>
      </c>
      <c r="DD164" s="21" t="str">
        <f t="shared" si="564"/>
        <v xml:space="preserve"> </v>
      </c>
      <c r="DE164" s="21" t="str">
        <f t="shared" si="227"/>
        <v xml:space="preserve">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4" s="21" t="str">
        <f t="shared" si="228"/>
        <v xml:space="preserve"> </v>
      </c>
      <c r="DG164" s="21" t="str">
        <f t="shared" si="565"/>
        <v xml:space="preserve"> </v>
      </c>
      <c r="DH164" s="21" t="str">
        <f t="shared" si="563"/>
        <v xml:space="preserve">social project 1
 </v>
      </c>
      <c r="DI164" s="21" t="str">
        <f t="shared" si="229"/>
        <v xml:space="preserve"> </v>
      </c>
      <c r="DJ164" s="21" t="str">
        <f t="shared" si="564"/>
        <v xml:space="preserve"> </v>
      </c>
      <c r="DK164"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4" s="21" t="str">
        <f t="shared" si="231"/>
        <v xml:space="preserve"> </v>
      </c>
      <c r="DM164" s="21" t="str">
        <f t="shared" si="565"/>
        <v xml:space="preserve"> </v>
      </c>
      <c r="DN164" s="21" t="str">
        <f t="shared" si="563"/>
        <v xml:space="preserve">biz project 1
 </v>
      </c>
      <c r="DO164" s="21" t="str">
        <f t="shared" si="232"/>
        <v xml:space="preserve"> </v>
      </c>
      <c r="DP164" s="21" t="str">
        <f t="shared" si="564"/>
        <v xml:space="preserve"> </v>
      </c>
      <c r="DQ164" s="21" t="str">
        <f t="shared" si="233"/>
        <v xml:space="preserve">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4" s="21" t="str">
        <f t="shared" si="234"/>
        <v xml:space="preserve"> </v>
      </c>
      <c r="DS164" s="21" t="str">
        <f t="shared" si="565"/>
        <v xml:space="preserve"> </v>
      </c>
      <c r="DT164" s="21" t="str">
        <f t="shared" si="563"/>
        <v xml:space="preserve"> </v>
      </c>
      <c r="DU164" s="21" t="str">
        <f t="shared" si="235"/>
        <v xml:space="preserve"> </v>
      </c>
      <c r="DV164" s="21" t="str">
        <f t="shared" si="564"/>
        <v xml:space="preserve"> </v>
      </c>
      <c r="DW164" s="21" t="str">
        <f t="shared" si="236"/>
        <v xml:space="preserve">organizational rules and manuals(1), marketing(1), social media(1), for basic literacy(1),  </v>
      </c>
      <c r="DX164" s="21" t="str">
        <f t="shared" si="237"/>
        <v xml:space="preserve">for basic literacy(1,6.25),  </v>
      </c>
      <c r="DY164" s="21" t="str">
        <f t="shared" si="565"/>
        <v xml:space="preserve">for basic literacy(6.25), </v>
      </c>
      <c r="DZ164" s="21" t="str">
        <f t="shared" si="563"/>
        <v xml:space="preserve"> </v>
      </c>
      <c r="EA164" s="21" t="str">
        <f t="shared" si="238"/>
        <v xml:space="preserve"> </v>
      </c>
      <c r="EB164" s="21" t="str">
        <f t="shared" si="564"/>
        <v xml:space="preserve"> </v>
      </c>
      <c r="EC164" s="21" t="str">
        <f t="shared" si="239"/>
        <v xml:space="preserve">organizational rules and manuals(1), marketing(1), social media(1), web(2), infrastructrue(2), database(2), mobile apps(2), sensors(2), security(2), AI&amp; data analysis(2), mobile comm(2), VR&amp;AR(2), wood processing(2), metal processing(2), plastic processing(2), electronics(2), fabric(2), for basic literacy(1),  </v>
      </c>
      <c r="ED164" s="21" t="str">
        <f t="shared" si="240"/>
        <v xml:space="preserve">for basic literacy(1,6.25),  </v>
      </c>
      <c r="EE164" s="21" t="str">
        <f t="shared" si="565"/>
        <v xml:space="preserve">for basic literacy(6.25), </v>
      </c>
      <c r="EF164" s="21" t="str">
        <f t="shared" si="563"/>
        <v xml:space="preserve"> </v>
      </c>
      <c r="EG164" s="21" t="str">
        <f t="shared" si="241"/>
        <v xml:space="preserve">web(1,50), mobile apps(1,50), interaction(1,50),  </v>
      </c>
      <c r="EH164" s="21" t="str">
        <f t="shared" si="564"/>
        <v xml:space="preserve">web 50
mobile apps 50
interaction 50
 </v>
      </c>
      <c r="EI164" s="21" t="str">
        <f t="shared" si="242"/>
        <v xml:space="preserve">infrastructrue(1), database(1), mobile comm(1), for entrepreneurs(1),  </v>
      </c>
      <c r="EJ164" s="21" t="str">
        <f t="shared" si="243"/>
        <v xml:space="preserve">infrastructrue(1,12.5), database(1,12.5), mobile comm(1,12.5), for entrepreneurs(1,6.25),  </v>
      </c>
      <c r="EK164" s="21" t="str">
        <f t="shared" si="565"/>
        <v xml:space="preserve">infrastructrue(12.5),database(12.5),mobile comm(12.5),for entrepreneurs(6.25), </v>
      </c>
      <c r="EL164" s="21" t="str">
        <f t="shared" si="566"/>
        <v xml:space="preserve"> </v>
      </c>
      <c r="EM164" s="21" t="str">
        <f t="shared" si="245"/>
        <v xml:space="preserve">sensors(1,50),  </v>
      </c>
      <c r="EN164" s="21" t="str">
        <f t="shared" si="567"/>
        <v xml:space="preserve">sensors 50
 </v>
      </c>
      <c r="EO164" s="21" t="str">
        <f t="shared" si="247"/>
        <v xml:space="preserve">project management(2), infrastructrue(1), database(1), mobile comm(1), for entrepreneurs(1),  </v>
      </c>
      <c r="EP164" s="21" t="str">
        <f t="shared" si="248"/>
        <v xml:space="preserve">infrastructrue(1,12.5), database(1,12.5), mobile comm(1,12.5), electronics(1,6.25), for entrepreneurs(1,6.25),  </v>
      </c>
      <c r="EQ164" s="21" t="str">
        <f t="shared" si="568"/>
        <v xml:space="preserve">infrastructrue(12.5),database(12.5),mobile comm(12.5),electronics(6.25),for entrepreneurs(6.25), </v>
      </c>
      <c r="ER164" s="21" t="str">
        <f t="shared" si="566"/>
        <v xml:space="preserve"> </v>
      </c>
      <c r="ES164" s="21" t="str">
        <f t="shared" si="250"/>
        <v xml:space="preserve">AI&amp; data analysis(1,50),  </v>
      </c>
      <c r="ET164" s="21" t="str">
        <f t="shared" si="567"/>
        <v xml:space="preserve">AI&amp; data analysis 50
 </v>
      </c>
      <c r="EU164" s="21" t="str">
        <f t="shared" si="251"/>
        <v xml:space="preserve">database(1), sensors(1), mobile comm(1), for entrepreneurs(1),  </v>
      </c>
      <c r="EV164" s="21" t="str">
        <f t="shared" si="252"/>
        <v xml:space="preserve">database(1,12.5), sensors(1,12.5), mobile comm(1,12.5), for entrepreneurs(1,6.25),  </v>
      </c>
      <c r="EW164" s="21" t="str">
        <f t="shared" si="568"/>
        <v xml:space="preserve">database(12.5),sensors(12.5),mobile comm(12.5),for entrepreneurs(6.25), </v>
      </c>
      <c r="EX164" s="21" t="str">
        <f t="shared" si="566"/>
        <v xml:space="preserve"> </v>
      </c>
      <c r="EY164" s="21" t="str">
        <f t="shared" si="253"/>
        <v xml:space="preserve">law(1,50), security(1,50), interaction(1,25),  </v>
      </c>
      <c r="EZ164" s="21" t="str">
        <f t="shared" si="567"/>
        <v xml:space="preserve">law 50
security 50
interaction 25
 </v>
      </c>
      <c r="FA164" s="21" t="str">
        <f t="shared" si="254"/>
        <v xml:space="preserve">law(2), for entrepreneurs(1),  </v>
      </c>
      <c r="FB164" s="21" t="str">
        <f t="shared" si="255"/>
        <v xml:space="preserve">law(1,6.25), database(1,12.5), mobile apps(1,12.5), security(1,12.5), mobile comm(1,12.5), for entrepreneurs(1,6.25),  </v>
      </c>
      <c r="FC164" s="21" t="str">
        <f t="shared" si="568"/>
        <v xml:space="preserve">law(6.25),database(12.5),mobile apps(12.5),security(12.5),mobile comm(12.5),for entrepreneurs(6.25), </v>
      </c>
      <c r="FD164" s="21" t="str">
        <f t="shared" si="566"/>
        <v xml:space="preserve"> </v>
      </c>
      <c r="FE164" s="21" t="str">
        <f t="shared" si="256"/>
        <v xml:space="preserve">law(1,50), sensors(1,50), security(1,50),  </v>
      </c>
      <c r="FF164" s="21" t="str">
        <f t="shared" si="567"/>
        <v xml:space="preserve">law 50
sensors 50
security 50
 </v>
      </c>
      <c r="FG164" s="21" t="str">
        <f t="shared" si="257"/>
        <v xml:space="preserve">law(2), project management(2), for entrepreneurs(1),  </v>
      </c>
      <c r="FH164" s="21" t="str">
        <f t="shared" si="258"/>
        <v xml:space="preserve">law(1,6.25), database(1,6.25), mobile apps(1,6.25), AI&amp; data analysis(1,6.25), mobile comm(1,6.25), for entrepreneurs(1,6.25),  </v>
      </c>
      <c r="FI164" s="21" t="str">
        <f t="shared" si="568"/>
        <v xml:space="preserve">law(6.25),database(6.25),mobile apps(6.25),AI&amp; data analysis(6.25),mobile comm(6.25),for entrepreneurs(6.25), </v>
      </c>
      <c r="FJ164" s="21" t="str">
        <f t="shared" si="566"/>
        <v xml:space="preserve"> </v>
      </c>
      <c r="FK164" s="21" t="str">
        <f t="shared" si="259"/>
        <v xml:space="preserve">wood processing(1,25), metal processing(1,25), plastic processing(1,25), fabric(1,25), safety(1,25), interaction(1,25),  </v>
      </c>
      <c r="FL164" s="21" t="str">
        <f t="shared" si="567"/>
        <v xml:space="preserve">project management 2
wood processing 25
metal processing 25
plastic processing 25
fabric 25
safety 25
interaction 25
 </v>
      </c>
      <c r="FM164" s="21" t="str">
        <f t="shared" si="260"/>
        <v xml:space="preserve">for entrepreneurs(1),  </v>
      </c>
      <c r="FN164" s="21" t="str">
        <f t="shared" si="261"/>
        <v xml:space="preserve">for entrepreneurs(1,6.25),  </v>
      </c>
      <c r="FO164" s="21" t="str">
        <f t="shared" si="568"/>
        <v xml:space="preserve">for entrepreneurs(6.25), </v>
      </c>
      <c r="FP164" s="21" t="str">
        <f t="shared" si="566"/>
        <v xml:space="preserve"> </v>
      </c>
      <c r="FQ164" s="21" t="str">
        <f t="shared" si="262"/>
        <v xml:space="preserve">web(1,25), mobile apps(1,50), functions(1,25), interaction(1,25),  </v>
      </c>
      <c r="FR164" s="21" t="str">
        <f t="shared" si="567"/>
        <v xml:space="preserve">web 25
mobile apps 50
functions 25
interaction 25
 </v>
      </c>
      <c r="FS164" s="21" t="str">
        <f t="shared" si="263"/>
        <v xml:space="preserve">for entrepreneurs(1),  </v>
      </c>
      <c r="FT164" s="21" t="str">
        <f t="shared" si="264"/>
        <v xml:space="preserve">for entrepreneurs(1,6.25),  </v>
      </c>
      <c r="FU164" s="21" t="str">
        <f t="shared" si="568"/>
        <v xml:space="preserve">for entrepreneurs(6.25), </v>
      </c>
      <c r="FV164" s="21" t="str">
        <f t="shared" si="566"/>
        <v xml:space="preserve"> </v>
      </c>
      <c r="FW164" s="21" t="str">
        <f t="shared" si="265"/>
        <v xml:space="preserve">mobile apps(1,50), sensors(1,50), wood processing(1,25), plastic processing(1,25), electronics(1,25), functions(1,25), interaction(1,25),  </v>
      </c>
      <c r="FX164" s="21" t="str">
        <f t="shared" si="567"/>
        <v xml:space="preserve">mobile apps 50
sensors 50
wood processing 25
plastic processing 25
electronics 25
functions 25
interaction 25
 </v>
      </c>
      <c r="FY164" s="21" t="str">
        <f t="shared" si="266"/>
        <v xml:space="preserve">project management(2), for entrepreneurs(1),  </v>
      </c>
      <c r="FZ164" s="21" t="str">
        <f t="shared" si="267"/>
        <v xml:space="preserve">web(1,6.25), database(1,6.25), AI&amp; data analysis(1,6.25), mobile comm(1,6.25), for entrepreneurs(1,6.25),  </v>
      </c>
      <c r="GA164" s="21" t="str">
        <f t="shared" si="568"/>
        <v xml:space="preserve">web(6.25),database(6.25),AI&amp; data analysis(6.25),mobile comm(6.25),for entrepreneurs(6.25), </v>
      </c>
      <c r="GB164" s="21" t="str">
        <f t="shared" si="566"/>
        <v xml:space="preserve"> </v>
      </c>
      <c r="GC164" s="21" t="str">
        <f t="shared" si="268"/>
        <v xml:space="preserve">sensors(1,25), mobile comm(1,25), electronics(1,50), functions(1,25), safety(1,25),  </v>
      </c>
      <c r="GD164" s="21" t="str">
        <f t="shared" si="567"/>
        <v xml:space="preserve">sensors 25
mobile comm 25
electronics 50
functions 25
safety 25
 </v>
      </c>
      <c r="GE164" s="21" t="str">
        <f t="shared" si="269"/>
        <v xml:space="preserve">project management(2), for entrepreneurs(1),  </v>
      </c>
      <c r="GF164" s="21" t="str">
        <f t="shared" si="270"/>
        <v xml:space="preserve">database(1,6.25), mobile apps(1,6.25), AI&amp; data analysis(1,6.25), plastic processing(1,6.25), interaction(1,6.25), for entrepreneurs(1,6.25),  </v>
      </c>
      <c r="GG164" s="21" t="str">
        <f t="shared" si="568"/>
        <v xml:space="preserve">database(6.25),mobile apps(6.25),AI&amp; data analysis(6.25),plastic processing(6.25),interaction(6.25),for entrepreneurs(6.25), </v>
      </c>
      <c r="GH164" s="21" t="str">
        <f t="shared" si="566"/>
        <v xml:space="preserve"> </v>
      </c>
      <c r="GI164" s="21" t="str">
        <f t="shared" si="271"/>
        <v xml:space="preserve">web(1,25), mobile apps(1,50), functions(1,25), interaction(1,25),  </v>
      </c>
      <c r="GJ164" s="21" t="str">
        <f t="shared" si="567"/>
        <v xml:space="preserve">web 25
mobile apps 50
functions 25
interaction 25
 </v>
      </c>
      <c r="GK164" s="21" t="str">
        <f t="shared" si="272"/>
        <v xml:space="preserve">project management(2), for entrepreneurs(1),  </v>
      </c>
      <c r="GL164" s="21" t="str">
        <f t="shared" si="273"/>
        <v xml:space="preserve">for entrepreneurs(1,6.25),  </v>
      </c>
      <c r="GM164" s="21" t="str">
        <f t="shared" si="568"/>
        <v xml:space="preserve">for entrepreneurs(6.25), </v>
      </c>
      <c r="GN164" s="21" t="str">
        <f t="shared" si="566"/>
        <v xml:space="preserve"> </v>
      </c>
      <c r="GO164" s="21" t="str">
        <f t="shared" si="274"/>
        <v xml:space="preserve">web(1,25), mobile apps(1,25), VR&amp;AR(1,25), aesthetics(1,25), functions(1,25), interaction(1,50),  </v>
      </c>
      <c r="GP164" s="21" t="str">
        <f t="shared" si="567"/>
        <v xml:space="preserve">web 25
mobile apps 25
VR&amp;AR 25
aesthetics 25
functions 25
interaction 50
 </v>
      </c>
      <c r="GQ164" s="21" t="str">
        <f t="shared" si="275"/>
        <v xml:space="preserve">project management(2), for entrepreneurs(1),  </v>
      </c>
      <c r="GR164" s="21" t="str">
        <f t="shared" si="276"/>
        <v xml:space="preserve">for entrepreneurs(1,6.25),  </v>
      </c>
      <c r="GS164" s="21" t="str">
        <f t="shared" si="568"/>
        <v xml:space="preserve">for entrepreneurs(6.25), </v>
      </c>
      <c r="GT164" s="21" t="str">
        <f t="shared" si="566"/>
        <v xml:space="preserve">web 1
mobile apps 1
mobile comm 1
 </v>
      </c>
      <c r="GU164" s="21" t="str">
        <f t="shared" si="277"/>
        <v xml:space="preserve"> </v>
      </c>
      <c r="GV164" s="21" t="str">
        <f t="shared" si="567"/>
        <v xml:space="preserve"> </v>
      </c>
      <c r="GW164" s="21" t="str">
        <f t="shared" si="278"/>
        <v xml:space="preserve">organizational rules and manuals(1), business model(2), marketing(1), team building(1), project management(1), social media(1), infrastructrue(1), database(1), sensors(1), security(1), AI&amp; data analysis(1), electronics(1),  </v>
      </c>
      <c r="GX164" s="21" t="str">
        <f t="shared" si="279"/>
        <v xml:space="preserve">project management(1,6.25), social media(1,6.25), web(1,6.25), mobile apps(1,6.25),  </v>
      </c>
      <c r="GY164" s="21" t="str">
        <f t="shared" si="568"/>
        <v xml:space="preserve">project management(6.25),social media(6.25),web(6.25),mobile apps(6.25), </v>
      </c>
      <c r="GZ164" s="21" t="str">
        <f t="shared" si="569"/>
        <v xml:space="preserve"> </v>
      </c>
      <c r="HA164" s="21" t="str">
        <f t="shared" si="281"/>
        <v xml:space="preserve"> </v>
      </c>
      <c r="HB164" s="21" t="str">
        <f t="shared" si="570"/>
        <v xml:space="preserve"> </v>
      </c>
      <c r="HC164" s="21" t="str">
        <f t="shared" si="283"/>
        <v xml:space="preserve">social media(2), web(2), mobile apps(2), sensors(2), AI&amp; data analysis(2), VR&amp;AR(2), plastic processing(2), electronics(2), aesthetics(2), interaction(2),  </v>
      </c>
      <c r="HD164" s="21" t="str">
        <f t="shared" si="284"/>
        <v xml:space="preserve">start-up with customers(1,6.25), for basic literacy(1,6.25),  </v>
      </c>
      <c r="HE164" s="21" t="str">
        <f t="shared" si="571"/>
        <v xml:space="preserve">start-up with customers(6.25),for basic literacy(6.25), </v>
      </c>
      <c r="HF164" s="21" t="str">
        <f t="shared" si="569"/>
        <v xml:space="preserve"> </v>
      </c>
      <c r="HG164" s="21" t="str">
        <f t="shared" si="286"/>
        <v xml:space="preserve"> </v>
      </c>
      <c r="HH164" s="21" t="str">
        <f t="shared" si="570"/>
        <v xml:space="preserve"> </v>
      </c>
      <c r="HI164" s="21" t="str">
        <f t="shared" si="287"/>
        <v xml:space="preserve">marketing(2), team building(3), project management(2), mobile apps(3), sensors(2), plastic processing(2), electronics(2), aesthetics(2), functions(2), interaction(2),  </v>
      </c>
      <c r="HJ164" s="21" t="str">
        <f t="shared" si="288"/>
        <v xml:space="preserve">start-up with customers(1,6.25),  </v>
      </c>
      <c r="HK164" s="21" t="str">
        <f t="shared" si="571"/>
        <v xml:space="preserve">start-up with customers(6.25), </v>
      </c>
      <c r="HL164" s="21" t="str">
        <f t="shared" si="569"/>
        <v xml:space="preserve"> </v>
      </c>
      <c r="HM164" s="21" t="str">
        <f t="shared" si="289"/>
        <v xml:space="preserve"> </v>
      </c>
      <c r="HN164" s="21" t="str">
        <f t="shared" si="570"/>
        <v xml:space="preserve"> </v>
      </c>
      <c r="HO164" s="21" t="str">
        <f t="shared" si="290"/>
        <v xml:space="preserve">finance(2), marketing(2), project management(2), social media(2), web(3), mobile apps(2), wood processing(3), plastic processing(3), electronics(3), aesthetics(2), interaction(2),  </v>
      </c>
      <c r="HP164" s="21" t="str">
        <f t="shared" si="291"/>
        <v xml:space="preserve"> </v>
      </c>
      <c r="HQ164" s="47" t="str">
        <f t="shared" si="571"/>
        <v xml:space="preserve"> </v>
      </c>
      <c r="HR164" s="47" t="str">
        <f t="shared" ref="HR164:HW164" si="617">IF(HR62="",HR165,$C164&amp;"("&amp;HR62&amp;"),"&amp;HR165)</f>
        <v xml:space="preserve">mobile apps(1),sensors(1),wood processing(1),aesthetics(1), </v>
      </c>
      <c r="HS164" s="47" t="str">
        <f t="shared" si="617"/>
        <v xml:space="preserve"> </v>
      </c>
      <c r="HT164" s="47" t="str">
        <f t="shared" si="617"/>
        <v xml:space="preserve"> </v>
      </c>
      <c r="HU164" s="47" t="str">
        <f t="shared" si="617"/>
        <v xml:space="preserve">project management(2),social media(2),web(3),infrastructrue(3),database(3),mobile apps(3),sensors(3),AI&amp; data analysis(3),mobile comm(3),VR&amp;AR(3),wood processing(3),metal processing(2),plastic processing(2),electronics(2),fabric(2),aesthetics(2),interaction(2),start-up with mvp(1), </v>
      </c>
      <c r="HV164" s="47" t="str">
        <f t="shared" si="617"/>
        <v xml:space="preserve"> </v>
      </c>
      <c r="HW164" s="47" t="str">
        <f t="shared" si="617"/>
        <v xml:space="preserve"> </v>
      </c>
      <c r="HX164" s="47" t="str">
        <f t="shared" ref="HX164:IU164" si="618">IF(HX62="",HX165,$C164&amp;"("&amp;HX62&amp;"),"&amp;HX165)</f>
        <v xml:space="preserve">web(1),infrastructrue(1),database(2),mobile apps(1),sensors(1),AI&amp; data analysis(2),VR&amp;AR(1),wood processing(1),metal processing(1),plastic processing(1),electronics(1),aesthetics(1),functions(1),interaction(1), </v>
      </c>
      <c r="HY164" s="47" t="str">
        <f t="shared" si="618"/>
        <v xml:space="preserve">biz enhancement(1), </v>
      </c>
      <c r="HZ164" s="47" t="str">
        <f t="shared" si="618"/>
        <v xml:space="preserve">biz enhancement(100), </v>
      </c>
      <c r="IA164" s="47" t="str">
        <f t="shared" si="618"/>
        <v xml:space="preserve">finance(2),business model(2),marketing(3),team building(2),project management(2),social media(3),negotiation(3), </v>
      </c>
      <c r="IB164" s="47" t="str">
        <f t="shared" si="618"/>
        <v xml:space="preserve">team building(1),database(1),AI&amp; data analysis(1),electronics(1),functions(1), </v>
      </c>
      <c r="IC164" s="47" t="str">
        <f t="shared" si="618"/>
        <v xml:space="preserve">team building(6.25),database(6.25),AI&amp; data analysis(6.25),electronics(6.25),functions(6.25), </v>
      </c>
      <c r="ID164" s="47" t="str">
        <f t="shared" si="618"/>
        <v xml:space="preserve"> </v>
      </c>
      <c r="IE164" s="47" t="str">
        <f t="shared" si="618"/>
        <v xml:space="preserve">web(1),mobile apps(1),security(1),AI&amp; data analysis(1), </v>
      </c>
      <c r="IF164" s="47" t="str">
        <f t="shared" si="618"/>
        <v xml:space="preserve">web(25),mobile apps(25),security(25),AI&amp; data analysis(25), </v>
      </c>
      <c r="IG164" s="47" t="str">
        <f t="shared" si="618"/>
        <v xml:space="preserve">web(2),database(2),mobile apps(2),security(2),AI&amp; data analysis(2), </v>
      </c>
      <c r="IH164" s="47" t="str">
        <f t="shared" si="618"/>
        <v xml:space="preserve">web(1),database(1),mobile apps(1),security(1),AI&amp; data analysis(1), </v>
      </c>
      <c r="II164" s="47" t="str">
        <f t="shared" si="618"/>
        <v xml:space="preserve">web(6.25),database(6.25),mobile apps(6.25),security(6.25),AI&amp; data analysis(6.25), </v>
      </c>
      <c r="IJ164" s="47" t="str">
        <f t="shared" si="618"/>
        <v xml:space="preserve"> </v>
      </c>
      <c r="IK164" s="47" t="str">
        <f t="shared" si="618"/>
        <v xml:space="preserve">wood processing(1),metal processing(1),functions(1),safety(1), </v>
      </c>
      <c r="IL164" s="47" t="str">
        <f t="shared" si="618"/>
        <v xml:space="preserve">wood processing(25),metal processing(25),functions(25),safety(25), </v>
      </c>
      <c r="IM164" s="47" t="str">
        <f t="shared" si="618"/>
        <v xml:space="preserve">wood processing(2),metal processing(2),functions(2),safety(2), </v>
      </c>
      <c r="IN164" s="47" t="str">
        <f t="shared" si="618"/>
        <v xml:space="preserve">wood processing(1),metal processing(1),functions(1),safety(1),interaction(1), </v>
      </c>
      <c r="IO164" s="47" t="str">
        <f t="shared" si="618"/>
        <v xml:space="preserve">wood processing(6.25),metal processing(6.25),functions(6.25),safety(6.25),interaction(6.25), </v>
      </c>
      <c r="IP164" s="57" t="str">
        <f t="shared" si="618"/>
        <v xml:space="preserve"> </v>
      </c>
      <c r="IQ164" s="47" t="str">
        <f t="shared" si="618"/>
        <v xml:space="preserve">marketing(1), </v>
      </c>
      <c r="IR164" s="47" t="str">
        <f t="shared" si="618"/>
        <v xml:space="preserve">marketing(25), </v>
      </c>
      <c r="IS164" s="47" t="str">
        <f t="shared" si="618"/>
        <v xml:space="preserve">marketing(2), </v>
      </c>
      <c r="IT164" s="47" t="str">
        <f t="shared" si="618"/>
        <v xml:space="preserve">marketing(1), </v>
      </c>
      <c r="IU164" s="47" t="str">
        <f t="shared" si="618"/>
        <v xml:space="preserve">marketing(6.25), </v>
      </c>
      <c r="IV164" s="57" t="str">
        <f t="shared" ref="IV164:LG164" si="619">IF(IV62="",IV165,$C164&amp;"("&amp;IV62&amp;"),"&amp;IV165)</f>
        <v xml:space="preserve"> </v>
      </c>
      <c r="IW164" s="47" t="str">
        <f t="shared" si="619"/>
        <v xml:space="preserve">marketing(1), </v>
      </c>
      <c r="IX164" s="47" t="str">
        <f t="shared" si="619"/>
        <v xml:space="preserve">marketing(25), </v>
      </c>
      <c r="IY164" s="47" t="str">
        <f t="shared" si="619"/>
        <v xml:space="preserve">marketing(2), </v>
      </c>
      <c r="IZ164" s="47" t="str">
        <f t="shared" si="619"/>
        <v xml:space="preserve">marketing(1), </v>
      </c>
      <c r="JA164" s="47" t="str">
        <f t="shared" si="619"/>
        <v xml:space="preserve">marketing(6.25), </v>
      </c>
      <c r="JB164" s="47" t="str">
        <f t="shared" si="619"/>
        <v xml:space="preserve"> </v>
      </c>
      <c r="JC164" s="47" t="str">
        <f t="shared" si="619"/>
        <v xml:space="preserve"> </v>
      </c>
      <c r="JD164" s="47" t="str">
        <f t="shared" si="619"/>
        <v xml:space="preserve"> </v>
      </c>
      <c r="JE164" s="47" t="str">
        <f t="shared" si="619"/>
        <v xml:space="preserve"> </v>
      </c>
      <c r="JF164" s="47" t="str">
        <f t="shared" si="619"/>
        <v xml:space="preserve">web(1),infrastructrue(1),database(1),mobile apps(1),sensors(1),security(1),AI&amp; data analysis(1),mobile comm(1),VR&amp;AR(1),wood processing(1),metal processing(1),plastic processing(1),electronics(1),fabric(1),aesthetics(1),functions(1),safety(1),interaction(1), </v>
      </c>
      <c r="JG164" s="47" t="str">
        <f t="shared" si="619"/>
        <v xml:space="preserve">web(6.25),infrastructrue(6.25),database(6.25),mobile apps(6.25),sensors(6.25),security(6.25),AI&amp; data analysis(6.25),mobile comm(6.25),VR&amp;AR(6.25),wood processing(6.25),metal processing(6.25),plastic processing(6.25),electronics(6.25),fabric(6.25),aesthetics(6.25),functions(6.25),safety(6.25),interaction(6.25), </v>
      </c>
      <c r="JH164" s="47" t="str">
        <f t="shared" si="619"/>
        <v xml:space="preserve"> </v>
      </c>
      <c r="JI164" s="47" t="str">
        <f t="shared" si="619"/>
        <v xml:space="preserve"> </v>
      </c>
      <c r="JJ164" s="47" t="str">
        <f t="shared" si="619"/>
        <v xml:space="preserve"> </v>
      </c>
      <c r="JK164" s="47" t="str">
        <f t="shared" si="619"/>
        <v xml:space="preserve">social media(2),negotiation(2),social project(1),social innovation(1),non-profit biz(1),biz project(1),biz enhancement(1),job creation(1),business(1),start-up(1),start-up with mvp(1),start-up with customers(1),for basic literacy(1),for the elites(1),for entrepreneurs(1), </v>
      </c>
      <c r="JL164" s="47" t="str">
        <f t="shared" si="619"/>
        <v xml:space="preserve"> </v>
      </c>
      <c r="JM164" s="47" t="str">
        <f t="shared" si="619"/>
        <v xml:space="preserve"> </v>
      </c>
      <c r="JN164" s="47" t="str">
        <f t="shared" si="619"/>
        <v xml:space="preserve"> </v>
      </c>
      <c r="JO164" s="47" t="str">
        <f t="shared" si="619"/>
        <v xml:space="preserve"> </v>
      </c>
      <c r="JP164" s="47" t="str">
        <f t="shared" si="619"/>
        <v xml:space="preserve"> </v>
      </c>
      <c r="JQ164" s="47" t="str">
        <f t="shared" si="619"/>
        <v xml:space="preserve">organizational rules and manuals(2),electronics(1),aesthetics(1),interaction(1),social project(1),social innovation(1),non-profit biz(1),biz project(1),biz enhancement(1),job creation(1),business(1),start-up(1),start-up with mvp(1),start-up with customers(1),for basic literacy(1),for the elites(1),for entrepreneurs(1), </v>
      </c>
      <c r="JR164" s="47" t="str">
        <f t="shared" si="619"/>
        <v xml:space="preserve"> </v>
      </c>
      <c r="JS164" s="47" t="str">
        <f t="shared" si="619"/>
        <v xml:space="preserve"> </v>
      </c>
      <c r="JT164" s="47" t="str">
        <f t="shared" si="619"/>
        <v xml:space="preserve"> </v>
      </c>
      <c r="JU164" s="47" t="str">
        <f t="shared" si="619"/>
        <v xml:space="preserve"> </v>
      </c>
      <c r="JV164" s="47" t="str">
        <f t="shared" si="619"/>
        <v xml:space="preserve"> </v>
      </c>
      <c r="JW164" s="47" t="str">
        <f t="shared" si="619"/>
        <v xml:space="preserve">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4" s="47" t="str">
        <f t="shared" si="619"/>
        <v xml:space="preserve"> </v>
      </c>
      <c r="JY164" s="47" t="str">
        <f t="shared" si="619"/>
        <v xml:space="preserve"> </v>
      </c>
      <c r="JZ164" s="47" t="str">
        <f t="shared" si="619"/>
        <v xml:space="preserve">social project(2), </v>
      </c>
      <c r="KA164" s="47" t="str">
        <f t="shared" si="619"/>
        <v xml:space="preserve"> </v>
      </c>
      <c r="KB164" s="47" t="str">
        <f t="shared" si="619"/>
        <v xml:space="preserve"> </v>
      </c>
      <c r="KC164" s="47" t="str">
        <f t="shared" si="619"/>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4" s="47" t="str">
        <f t="shared" si="619"/>
        <v xml:space="preserve"> </v>
      </c>
      <c r="KE164" s="47" t="str">
        <f t="shared" si="619"/>
        <v xml:space="preserve"> </v>
      </c>
      <c r="KF164" s="47" t="str">
        <f t="shared" si="619"/>
        <v xml:space="preserve"> </v>
      </c>
      <c r="KG164" s="47" t="str">
        <f t="shared" si="619"/>
        <v xml:space="preserve"> </v>
      </c>
      <c r="KH164" s="47" t="str">
        <f t="shared" si="619"/>
        <v xml:space="preserve"> </v>
      </c>
      <c r="KI164" s="47" t="str">
        <f t="shared" si="619"/>
        <v xml:space="preserve"> </v>
      </c>
      <c r="KJ164" s="47" t="str">
        <f t="shared" si="619"/>
        <v xml:space="preserve"> </v>
      </c>
      <c r="KK164" s="47" t="str">
        <f t="shared" si="619"/>
        <v xml:space="preserve"> </v>
      </c>
      <c r="KL164" s="57" t="str">
        <f t="shared" si="619"/>
        <v xml:space="preserve"> </v>
      </c>
      <c r="KM164" s="47" t="str">
        <f t="shared" si="619"/>
        <v xml:space="preserve"> </v>
      </c>
      <c r="KN164" s="47" t="str">
        <f t="shared" si="619"/>
        <v xml:space="preserve"> </v>
      </c>
      <c r="KO164" s="47" t="str">
        <f t="shared" si="619"/>
        <v xml:space="preserve"> </v>
      </c>
      <c r="KP164" s="47" t="str">
        <f t="shared" si="619"/>
        <v xml:space="preserve"> </v>
      </c>
      <c r="KQ164" s="47" t="str">
        <f t="shared" si="619"/>
        <v xml:space="preserve"> </v>
      </c>
      <c r="KR164" s="57" t="str">
        <f t="shared" si="619"/>
        <v xml:space="preserve"> </v>
      </c>
      <c r="KS164" s="47" t="str">
        <f t="shared" si="619"/>
        <v xml:space="preserve"> </v>
      </c>
      <c r="KT164" s="47" t="str">
        <f t="shared" si="619"/>
        <v xml:space="preserve"> </v>
      </c>
      <c r="KU164" s="47" t="str">
        <f t="shared" si="619"/>
        <v xml:space="preserve"> </v>
      </c>
      <c r="KV164" s="47" t="str">
        <f t="shared" si="619"/>
        <v xml:space="preserve"> </v>
      </c>
      <c r="KW164" s="47" t="str">
        <f t="shared" si="619"/>
        <v xml:space="preserve"> </v>
      </c>
      <c r="KX164" s="57" t="str">
        <f t="shared" si="619"/>
        <v xml:space="preserve"> </v>
      </c>
      <c r="KY164" s="47" t="str">
        <f t="shared" si="619"/>
        <v xml:space="preserve"> </v>
      </c>
      <c r="KZ164" s="47" t="str">
        <f t="shared" si="619"/>
        <v xml:space="preserve"> </v>
      </c>
      <c r="LA164" s="47" t="str">
        <f t="shared" si="619"/>
        <v xml:space="preserve"> </v>
      </c>
      <c r="LB164" s="47" t="str">
        <f t="shared" si="619"/>
        <v xml:space="preserve"> </v>
      </c>
      <c r="LC164" s="47" t="str">
        <f t="shared" si="619"/>
        <v xml:space="preserve"> </v>
      </c>
      <c r="LD164" s="57" t="str">
        <f t="shared" si="619"/>
        <v xml:space="preserve"> </v>
      </c>
      <c r="LE164" s="47" t="str">
        <f t="shared" si="619"/>
        <v xml:space="preserve"> </v>
      </c>
      <c r="LF164" s="47" t="str">
        <f t="shared" si="619"/>
        <v xml:space="preserve"> </v>
      </c>
      <c r="LG164" s="47" t="str">
        <f t="shared" si="619"/>
        <v xml:space="preserve"> </v>
      </c>
      <c r="LH164" s="47" t="str">
        <f t="shared" ref="LH164:NM164" si="620">IF(LH62="",LH165,$C164&amp;"("&amp;LH62&amp;"),"&amp;LH165)</f>
        <v xml:space="preserve"> </v>
      </c>
      <c r="LI164" s="47" t="str">
        <f t="shared" si="620"/>
        <v xml:space="preserve"> </v>
      </c>
      <c r="LJ164" s="57" t="str">
        <f t="shared" si="620"/>
        <v xml:space="preserve"> </v>
      </c>
      <c r="LK164" s="47" t="str">
        <f t="shared" si="620"/>
        <v xml:space="preserve"> </v>
      </c>
      <c r="LL164" s="47" t="str">
        <f t="shared" si="620"/>
        <v xml:space="preserve"> </v>
      </c>
      <c r="LM164" s="47" t="str">
        <f t="shared" si="620"/>
        <v xml:space="preserve"> </v>
      </c>
      <c r="LN164" s="47" t="str">
        <f t="shared" si="620"/>
        <v xml:space="preserve"> </v>
      </c>
      <c r="LO164" s="47" t="str">
        <f t="shared" si="620"/>
        <v xml:space="preserve"> </v>
      </c>
      <c r="LP164" s="57" t="str">
        <f t="shared" si="620"/>
        <v xml:space="preserve"> </v>
      </c>
      <c r="LQ164" s="47" t="str">
        <f t="shared" si="620"/>
        <v xml:space="preserve"> </v>
      </c>
      <c r="LR164" s="47" t="str">
        <f t="shared" si="620"/>
        <v xml:space="preserve"> </v>
      </c>
      <c r="LS164" s="47" t="str">
        <f t="shared" si="620"/>
        <v xml:space="preserve"> </v>
      </c>
      <c r="LT164" s="47" t="str">
        <f t="shared" si="620"/>
        <v xml:space="preserve"> </v>
      </c>
      <c r="LU164" s="47" t="str">
        <f t="shared" si="620"/>
        <v xml:space="preserve"> </v>
      </c>
      <c r="LV164" s="57" t="str">
        <f t="shared" si="620"/>
        <v xml:space="preserve"> </v>
      </c>
      <c r="LW164" s="47" t="str">
        <f t="shared" si="620"/>
        <v xml:space="preserve"> </v>
      </c>
      <c r="LX164" s="47" t="str">
        <f t="shared" si="620"/>
        <v xml:space="preserve"> </v>
      </c>
      <c r="LY164" s="47" t="str">
        <f t="shared" si="620"/>
        <v xml:space="preserve"> </v>
      </c>
      <c r="LZ164" s="47" t="str">
        <f t="shared" si="620"/>
        <v xml:space="preserve"> </v>
      </c>
      <c r="MA164" s="47" t="str">
        <f t="shared" si="620"/>
        <v xml:space="preserve"> </v>
      </c>
      <c r="MB164" s="57" t="str">
        <f t="shared" si="620"/>
        <v xml:space="preserve"> </v>
      </c>
      <c r="MC164" s="47" t="str">
        <f t="shared" si="620"/>
        <v xml:space="preserve"> </v>
      </c>
      <c r="MD164" s="47" t="str">
        <f t="shared" si="620"/>
        <v xml:space="preserve"> </v>
      </c>
      <c r="ME164" s="47" t="str">
        <f t="shared" si="620"/>
        <v xml:space="preserve"> </v>
      </c>
      <c r="MF164" s="47" t="str">
        <f t="shared" si="620"/>
        <v xml:space="preserve"> </v>
      </c>
      <c r="MG164" s="47" t="str">
        <f t="shared" si="620"/>
        <v xml:space="preserve"> </v>
      </c>
      <c r="MH164" s="57" t="str">
        <f t="shared" si="620"/>
        <v xml:space="preserve"> </v>
      </c>
      <c r="MI164" s="47" t="str">
        <f t="shared" si="620"/>
        <v xml:space="preserve"> </v>
      </c>
      <c r="MJ164" s="47" t="str">
        <f t="shared" si="620"/>
        <v xml:space="preserve"> </v>
      </c>
      <c r="MK164" s="47" t="str">
        <f t="shared" si="620"/>
        <v xml:space="preserve"> </v>
      </c>
      <c r="ML164" s="47" t="str">
        <f t="shared" si="620"/>
        <v xml:space="preserve"> </v>
      </c>
      <c r="MM164" s="47" t="str">
        <f t="shared" si="620"/>
        <v xml:space="preserve"> </v>
      </c>
      <c r="MN164" s="57" t="str">
        <f t="shared" si="620"/>
        <v xml:space="preserve"> </v>
      </c>
      <c r="MO164" s="47" t="str">
        <f t="shared" si="620"/>
        <v xml:space="preserve"> </v>
      </c>
      <c r="MP164" s="47" t="str">
        <f t="shared" si="620"/>
        <v xml:space="preserve"> </v>
      </c>
      <c r="MQ164" s="47" t="str">
        <f t="shared" si="620"/>
        <v xml:space="preserve"> </v>
      </c>
      <c r="MR164" s="47" t="str">
        <f t="shared" si="620"/>
        <v xml:space="preserve"> </v>
      </c>
      <c r="MS164" s="47" t="str">
        <f t="shared" si="620"/>
        <v xml:space="preserve"> </v>
      </c>
      <c r="MT164" s="57" t="str">
        <f t="shared" si="620"/>
        <v xml:space="preserve"> </v>
      </c>
      <c r="MU164" s="47" t="str">
        <f t="shared" si="620"/>
        <v xml:space="preserve"> </v>
      </c>
      <c r="MV164" s="47" t="str">
        <f t="shared" si="620"/>
        <v xml:space="preserve"> </v>
      </c>
      <c r="MW164" s="47" t="str">
        <f t="shared" si="620"/>
        <v xml:space="preserve"> </v>
      </c>
      <c r="MX164" s="47" t="str">
        <f t="shared" si="620"/>
        <v xml:space="preserve"> </v>
      </c>
      <c r="MY164" s="47" t="str">
        <f t="shared" si="620"/>
        <v xml:space="preserve"> </v>
      </c>
      <c r="MZ164" s="57" t="str">
        <f t="shared" si="620"/>
        <v xml:space="preserve"> </v>
      </c>
      <c r="NA164" s="47" t="str">
        <f t="shared" si="620"/>
        <v xml:space="preserve"> </v>
      </c>
      <c r="NB164" s="47" t="str">
        <f t="shared" si="620"/>
        <v xml:space="preserve"> </v>
      </c>
      <c r="NC164" s="47" t="str">
        <f t="shared" si="620"/>
        <v xml:space="preserve"> </v>
      </c>
      <c r="ND164" s="47" t="str">
        <f t="shared" si="620"/>
        <v xml:space="preserve"> </v>
      </c>
      <c r="NE164" s="47" t="str">
        <f t="shared" si="620"/>
        <v xml:space="preserve"> </v>
      </c>
      <c r="NF164" s="57" t="str">
        <f t="shared" si="620"/>
        <v xml:space="preserve"> </v>
      </c>
      <c r="NG164" s="47" t="str">
        <f t="shared" si="620"/>
        <v xml:space="preserve"> </v>
      </c>
      <c r="NH164" s="47" t="str">
        <f t="shared" si="620"/>
        <v xml:space="preserve"> </v>
      </c>
      <c r="NI164" s="47" t="str">
        <f t="shared" si="620"/>
        <v xml:space="preserve"> </v>
      </c>
      <c r="NJ164" s="47" t="str">
        <f t="shared" si="620"/>
        <v xml:space="preserve"> </v>
      </c>
      <c r="NK164" s="47" t="str">
        <f t="shared" si="620"/>
        <v xml:space="preserve"> </v>
      </c>
      <c r="NL164" s="57" t="str">
        <f t="shared" si="620"/>
        <v xml:space="preserve"> </v>
      </c>
      <c r="NM164" s="47" t="str">
        <f t="shared" si="620"/>
        <v xml:space="preserve"> </v>
      </c>
    </row>
    <row r="165" spans="3:377" ht="15.75" customHeight="1">
      <c r="C165" s="7" t="str">
        <f t="shared" si="296"/>
        <v>law</v>
      </c>
      <c r="D165" s="21" t="str">
        <f t="shared" si="169"/>
        <v xml:space="preserve"> </v>
      </c>
      <c r="E165" s="21" t="str">
        <f t="shared" si="297"/>
        <v xml:space="preserve"> </v>
      </c>
      <c r="F165" s="21" t="str">
        <f t="shared" si="170"/>
        <v xml:space="preserve"> </v>
      </c>
      <c r="G165" s="21" t="str">
        <f t="shared" si="298"/>
        <v xml:space="preserve">social media(1),  </v>
      </c>
      <c r="H165" s="21" t="str">
        <f t="shared" si="299"/>
        <v xml:space="preserve"> </v>
      </c>
      <c r="I165" s="21" t="str">
        <f t="shared" ref="I165" si="621">IF(I63="",I166,$C165&amp;"("&amp;I63&amp;"),"&amp;I166)</f>
        <v xml:space="preserve"> </v>
      </c>
      <c r="J165" s="21" t="str">
        <f t="shared" si="560"/>
        <v xml:space="preserve">interaction 1
 </v>
      </c>
      <c r="K165" s="21" t="str">
        <f t="shared" si="173"/>
        <v xml:space="preserve"> </v>
      </c>
      <c r="L165" s="21" t="str">
        <f t="shared" si="561"/>
        <v xml:space="preserve"> </v>
      </c>
      <c r="M165" s="21" t="str">
        <f t="shared" si="175"/>
        <v xml:space="preserve">social innovation(1), non-profit biz(1),  </v>
      </c>
      <c r="N165" s="21" t="str">
        <f t="shared" si="176"/>
        <v xml:space="preserve">marketing(1,12.5),  </v>
      </c>
      <c r="O165" s="21" t="str">
        <f t="shared" si="562"/>
        <v xml:space="preserve">marketing(12.5), </v>
      </c>
      <c r="P165" s="21" t="str">
        <f t="shared" si="560"/>
        <v xml:space="preserve">biz project 1
 </v>
      </c>
      <c r="Q165" s="21" t="str">
        <f t="shared" si="178"/>
        <v xml:space="preserve"> </v>
      </c>
      <c r="R165" s="21" t="str">
        <f t="shared" si="561"/>
        <v xml:space="preserve"> </v>
      </c>
      <c r="S165" s="21" t="str">
        <f t="shared" si="179"/>
        <v xml:space="preserve">biz enhancement(1), business(1), start-up(1),  </v>
      </c>
      <c r="T165" s="21" t="str">
        <f t="shared" si="180"/>
        <v xml:space="preserve"> </v>
      </c>
      <c r="U165" s="21" t="str">
        <f t="shared" si="562"/>
        <v xml:space="preserve"> </v>
      </c>
      <c r="V165" s="21" t="str">
        <f t="shared" si="560"/>
        <v xml:space="preserve"> </v>
      </c>
      <c r="W165" s="21" t="str">
        <f t="shared" si="181"/>
        <v xml:space="preserve"> </v>
      </c>
      <c r="X165" s="21" t="str">
        <f t="shared" si="561"/>
        <v xml:space="preserve"> </v>
      </c>
      <c r="Y165" s="21" t="str">
        <f t="shared" si="182"/>
        <v xml:space="preserve">biz project(1), biz enhancement(1), job creation(1), business(1),  </v>
      </c>
      <c r="Z165" s="21" t="str">
        <f t="shared" si="183"/>
        <v xml:space="preserve"> </v>
      </c>
      <c r="AA165" s="21" t="str">
        <f t="shared" si="562"/>
        <v xml:space="preserve"> </v>
      </c>
      <c r="AB165" s="21" t="str">
        <f t="shared" si="560"/>
        <v xml:space="preserve"> </v>
      </c>
      <c r="AC165" s="21" t="str">
        <f t="shared" si="184"/>
        <v xml:space="preserve"> </v>
      </c>
      <c r="AD165" s="21" t="str">
        <f t="shared" si="561"/>
        <v xml:space="preserve"> </v>
      </c>
      <c r="AE165" s="21" t="str">
        <f t="shared" si="185"/>
        <v xml:space="preserve">social project(1), social innovation(1), non-profit biz(1),  </v>
      </c>
      <c r="AF165" s="21" t="str">
        <f t="shared" si="186"/>
        <v xml:space="preserve"> </v>
      </c>
      <c r="AG165" s="21" t="str">
        <f t="shared" si="562"/>
        <v xml:space="preserve"> </v>
      </c>
      <c r="AH165" s="21" t="str">
        <f t="shared" si="560"/>
        <v xml:space="preserve"> </v>
      </c>
      <c r="AI165" s="21" t="str">
        <f t="shared" si="187"/>
        <v xml:space="preserve"> </v>
      </c>
      <c r="AJ165" s="21" t="str">
        <f t="shared" si="561"/>
        <v xml:space="preserve"> </v>
      </c>
      <c r="AK165" s="21" t="str">
        <f t="shared" si="188"/>
        <v xml:space="preserve">social project(1), social innovation(1), non-profit biz(1),  </v>
      </c>
      <c r="AL165" s="21" t="str">
        <f t="shared" si="189"/>
        <v xml:space="preserve"> </v>
      </c>
      <c r="AM165" s="21" t="str">
        <f t="shared" si="562"/>
        <v xml:space="preserve"> </v>
      </c>
      <c r="AN165" s="21" t="str">
        <f t="shared" si="560"/>
        <v xml:space="preserve"> </v>
      </c>
      <c r="AO165" s="21" t="str">
        <f t="shared" si="190"/>
        <v xml:space="preserve"> </v>
      </c>
      <c r="AP165" s="21" t="str">
        <f t="shared" si="561"/>
        <v xml:space="preserve"> </v>
      </c>
      <c r="AQ165" s="21" t="str">
        <f t="shared" si="191"/>
        <v xml:space="preserve">start-up(1), start-up with mvp(1), start-up with customers(1),  </v>
      </c>
      <c r="AR165" s="21" t="str">
        <f t="shared" si="192"/>
        <v xml:space="preserve"> </v>
      </c>
      <c r="AS165" s="21" t="str">
        <f t="shared" si="562"/>
        <v xml:space="preserve"> </v>
      </c>
      <c r="AT165" s="21" t="str">
        <f t="shared" si="560"/>
        <v xml:space="preserve">social project 1
 </v>
      </c>
      <c r="AU165" s="21" t="str">
        <f t="shared" si="193"/>
        <v xml:space="preserve"> </v>
      </c>
      <c r="AV165" s="21" t="str">
        <f t="shared" si="561"/>
        <v xml:space="preserve"> </v>
      </c>
      <c r="AW165" s="21" t="str">
        <f t="shared" si="194"/>
        <v xml:space="preserve">project management(2),  </v>
      </c>
      <c r="AX165" s="21" t="str">
        <f t="shared" si="195"/>
        <v xml:space="preserve">project management(1,12.5),  </v>
      </c>
      <c r="AY165" s="21" t="str">
        <f t="shared" si="562"/>
        <v xml:space="preserve">project management(12.5), </v>
      </c>
      <c r="AZ165" s="21" t="str">
        <f t="shared" si="560"/>
        <v xml:space="preserve"> </v>
      </c>
      <c r="BA165" s="21" t="str">
        <f t="shared" si="196"/>
        <v xml:space="preserve"> </v>
      </c>
      <c r="BB165" s="21" t="str">
        <f t="shared" si="561"/>
        <v xml:space="preserve"> </v>
      </c>
      <c r="BC165" s="21" t="str">
        <f t="shared" si="197"/>
        <v xml:space="preserve"> </v>
      </c>
      <c r="BD165" s="21" t="str">
        <f t="shared" si="198"/>
        <v xml:space="preserve"> </v>
      </c>
      <c r="BE165" s="21" t="str">
        <f t="shared" si="562"/>
        <v xml:space="preserve"> </v>
      </c>
      <c r="BF165" s="21" t="str">
        <f t="shared" si="560"/>
        <v xml:space="preserve">biz project 1
 </v>
      </c>
      <c r="BG165" s="21" t="str">
        <f t="shared" si="199"/>
        <v xml:space="preserve"> </v>
      </c>
      <c r="BH165" s="21" t="str">
        <f t="shared" si="561"/>
        <v xml:space="preserve"> </v>
      </c>
      <c r="BI165" s="21" t="str">
        <f t="shared" si="200"/>
        <v xml:space="preserve">project management(2),  </v>
      </c>
      <c r="BJ165" s="21" t="str">
        <f t="shared" si="201"/>
        <v xml:space="preserve">project management(1,12.5),  </v>
      </c>
      <c r="BK165" s="21" t="str">
        <f t="shared" si="562"/>
        <v xml:space="preserve">project management(12.5), </v>
      </c>
      <c r="BL165" s="21" t="str">
        <f t="shared" si="560"/>
        <v xml:space="preserve">biz enhancement 1
 </v>
      </c>
      <c r="BM165" s="21" t="str">
        <f t="shared" si="202"/>
        <v xml:space="preserve"> </v>
      </c>
      <c r="BN165" s="21" t="str">
        <f t="shared" si="561"/>
        <v xml:space="preserve"> </v>
      </c>
      <c r="BO165" s="21" t="str">
        <f t="shared" si="203"/>
        <v xml:space="preserve"> </v>
      </c>
      <c r="BP165" s="21" t="str">
        <f t="shared" si="204"/>
        <v xml:space="preserve"> </v>
      </c>
      <c r="BQ165" s="21" t="str">
        <f t="shared" si="562"/>
        <v xml:space="preserve"> </v>
      </c>
      <c r="BR165" s="21" t="str">
        <f t="shared" si="560"/>
        <v xml:space="preserve"> </v>
      </c>
      <c r="BS165" s="21" t="str">
        <f t="shared" si="205"/>
        <v xml:space="preserve"> </v>
      </c>
      <c r="BT165" s="21" t="str">
        <f t="shared" si="561"/>
        <v xml:space="preserve"> </v>
      </c>
      <c r="BU165" s="21" t="str">
        <f t="shared" si="206"/>
        <v xml:space="preserve"> </v>
      </c>
      <c r="BV165" s="21" t="str">
        <f t="shared" si="207"/>
        <v xml:space="preserve"> </v>
      </c>
      <c r="BW165" s="21" t="str">
        <f t="shared" si="562"/>
        <v xml:space="preserve"> </v>
      </c>
      <c r="BX165" s="21" t="str">
        <f t="shared" si="563"/>
        <v xml:space="preserve"> </v>
      </c>
      <c r="BY165" s="21" t="str">
        <f t="shared" si="209"/>
        <v xml:space="preserve"> </v>
      </c>
      <c r="BZ165" s="21" t="str">
        <f t="shared" si="564"/>
        <v xml:space="preserve"> </v>
      </c>
      <c r="CA165" s="21" t="str">
        <f t="shared" si="211"/>
        <v xml:space="preserve">negotiation(1),  </v>
      </c>
      <c r="CB165" s="21" t="str">
        <f t="shared" si="212"/>
        <v xml:space="preserve"> </v>
      </c>
      <c r="CC165" s="21" t="str">
        <f t="shared" si="565"/>
        <v xml:space="preserve"> </v>
      </c>
      <c r="CD165" s="21" t="str">
        <f t="shared" si="563"/>
        <v xml:space="preserve"> </v>
      </c>
      <c r="CE165" s="21" t="str">
        <f t="shared" si="214"/>
        <v xml:space="preserve"> </v>
      </c>
      <c r="CF165" s="21" t="str">
        <f t="shared" si="564"/>
        <v xml:space="preserve"> </v>
      </c>
      <c r="CG165" s="21" t="str">
        <f t="shared" si="215"/>
        <v xml:space="preserve">negotiation(1), social project(1), biz project(1), for basic literacy(1), for the elites(1), for entrepreneurs(1),  </v>
      </c>
      <c r="CH165" s="21" t="str">
        <f t="shared" si="216"/>
        <v xml:space="preserve"> </v>
      </c>
      <c r="CI165" s="21" t="str">
        <f t="shared" si="565"/>
        <v xml:space="preserve"> </v>
      </c>
      <c r="CJ165" s="21" t="str">
        <f t="shared" si="563"/>
        <v xml:space="preserve"> </v>
      </c>
      <c r="CK165" s="21" t="str">
        <f t="shared" si="217"/>
        <v xml:space="preserve"> </v>
      </c>
      <c r="CL165" s="21" t="str">
        <f t="shared" si="564"/>
        <v xml:space="preserve"> </v>
      </c>
      <c r="CM165" s="21" t="str">
        <f t="shared" si="218"/>
        <v xml:space="preserve">negotiation(1),  </v>
      </c>
      <c r="CN165" s="21" t="str">
        <f t="shared" si="219"/>
        <v xml:space="preserve"> </v>
      </c>
      <c r="CO165" s="21" t="str">
        <f t="shared" si="565"/>
        <v xml:space="preserve"> </v>
      </c>
      <c r="CP165" s="21" t="str">
        <f t="shared" si="563"/>
        <v xml:space="preserve"> </v>
      </c>
      <c r="CQ165" s="21" t="str">
        <f t="shared" si="220"/>
        <v xml:space="preserve"> </v>
      </c>
      <c r="CR165" s="21" t="str">
        <f t="shared" si="564"/>
        <v xml:space="preserve"> </v>
      </c>
      <c r="CS165" s="21" t="str">
        <f t="shared" si="221"/>
        <v xml:space="preserve">negotiation(1), web(1), infrastructrue(1), database(1), mobile apps(1), sensors(1), security(1), AI&amp; data analysis(1), mobile comm(1), VR&amp;AR(1), wood processing(1), metal processing(1), plastic processing(1), electronics(1), fabric(1),  </v>
      </c>
      <c r="CT165" s="21" t="str">
        <f t="shared" si="222"/>
        <v xml:space="preserve"> </v>
      </c>
      <c r="CU165" s="21" t="str">
        <f t="shared" si="565"/>
        <v xml:space="preserve"> </v>
      </c>
      <c r="CV165" s="21" t="str">
        <f t="shared" si="563"/>
        <v xml:space="preserve"> </v>
      </c>
      <c r="CW165" s="21" t="str">
        <f t="shared" si="223"/>
        <v xml:space="preserve"> </v>
      </c>
      <c r="CX165" s="21" t="str">
        <f t="shared" si="564"/>
        <v xml:space="preserve"> </v>
      </c>
      <c r="CY165" s="21" t="str">
        <f t="shared" si="224"/>
        <v xml:space="preserve">negotiation(1),  </v>
      </c>
      <c r="CZ165" s="21" t="str">
        <f t="shared" si="225"/>
        <v xml:space="preserve"> </v>
      </c>
      <c r="DA165" s="21" t="str">
        <f t="shared" si="565"/>
        <v xml:space="preserve"> </v>
      </c>
      <c r="DB165" s="21" t="str">
        <f t="shared" si="563"/>
        <v xml:space="preserve"> </v>
      </c>
      <c r="DC165" s="21" t="str">
        <f t="shared" si="226"/>
        <v xml:space="preserve"> </v>
      </c>
      <c r="DD165" s="21" t="str">
        <f t="shared" si="564"/>
        <v xml:space="preserve"> </v>
      </c>
      <c r="DE165" s="21" t="str">
        <f t="shared" si="227"/>
        <v xml:space="preserve">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5" s="21" t="str">
        <f t="shared" si="228"/>
        <v xml:space="preserve"> </v>
      </c>
      <c r="DG165" s="21" t="str">
        <f t="shared" si="565"/>
        <v xml:space="preserve"> </v>
      </c>
      <c r="DH165" s="21" t="str">
        <f t="shared" si="563"/>
        <v xml:space="preserve">social project 1
 </v>
      </c>
      <c r="DI165" s="21" t="str">
        <f t="shared" si="229"/>
        <v xml:space="preserve"> </v>
      </c>
      <c r="DJ165" s="21" t="str">
        <f t="shared" si="564"/>
        <v xml:space="preserve"> </v>
      </c>
      <c r="DK165"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5" s="21" t="str">
        <f t="shared" si="231"/>
        <v xml:space="preserve"> </v>
      </c>
      <c r="DM165" s="21" t="str">
        <f t="shared" si="565"/>
        <v xml:space="preserve"> </v>
      </c>
      <c r="DN165" s="21" t="str">
        <f t="shared" si="563"/>
        <v xml:space="preserve">biz project 1
 </v>
      </c>
      <c r="DO165" s="21" t="str">
        <f t="shared" si="232"/>
        <v xml:space="preserve"> </v>
      </c>
      <c r="DP165" s="21" t="str">
        <f t="shared" si="564"/>
        <v xml:space="preserve"> </v>
      </c>
      <c r="DQ165" s="21" t="str">
        <f t="shared" si="233"/>
        <v xml:space="preserve">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5" s="21" t="str">
        <f t="shared" si="234"/>
        <v xml:space="preserve"> </v>
      </c>
      <c r="DS165" s="21" t="str">
        <f t="shared" si="565"/>
        <v xml:space="preserve"> </v>
      </c>
      <c r="DT165" s="21" t="str">
        <f t="shared" si="563"/>
        <v xml:space="preserve"> </v>
      </c>
      <c r="DU165" s="21" t="str">
        <f t="shared" si="235"/>
        <v xml:space="preserve"> </v>
      </c>
      <c r="DV165" s="21" t="str">
        <f t="shared" si="564"/>
        <v xml:space="preserve"> </v>
      </c>
      <c r="DW165" s="21" t="str">
        <f t="shared" si="236"/>
        <v xml:space="preserve">marketing(1), social media(1), for basic literacy(1),  </v>
      </c>
      <c r="DX165" s="21" t="str">
        <f t="shared" si="237"/>
        <v xml:space="preserve">for basic literacy(1,6.25),  </v>
      </c>
      <c r="DY165" s="21" t="str">
        <f t="shared" si="565"/>
        <v xml:space="preserve">for basic literacy(6.25), </v>
      </c>
      <c r="DZ165" s="21" t="str">
        <f t="shared" si="563"/>
        <v xml:space="preserve"> </v>
      </c>
      <c r="EA165" s="21" t="str">
        <f t="shared" si="238"/>
        <v xml:space="preserve"> </v>
      </c>
      <c r="EB165" s="21" t="str">
        <f t="shared" si="564"/>
        <v xml:space="preserve"> </v>
      </c>
      <c r="EC165" s="21" t="str">
        <f t="shared" si="239"/>
        <v xml:space="preserve">marketing(1), social media(1), web(2), infrastructrue(2), database(2), mobile apps(2), sensors(2), security(2), AI&amp; data analysis(2), mobile comm(2), VR&amp;AR(2), wood processing(2), metal processing(2), plastic processing(2), electronics(2), fabric(2), for basic literacy(1),  </v>
      </c>
      <c r="ED165" s="21" t="str">
        <f t="shared" si="240"/>
        <v xml:space="preserve">for basic literacy(1,6.25),  </v>
      </c>
      <c r="EE165" s="21" t="str">
        <f t="shared" si="565"/>
        <v xml:space="preserve">for basic literacy(6.25), </v>
      </c>
      <c r="EF165" s="21" t="str">
        <f t="shared" si="563"/>
        <v xml:space="preserve"> </v>
      </c>
      <c r="EG165" s="21" t="str">
        <f t="shared" si="241"/>
        <v xml:space="preserve">web(1,50), mobile apps(1,50), interaction(1,50),  </v>
      </c>
      <c r="EH165" s="21" t="str">
        <f t="shared" si="564"/>
        <v xml:space="preserve">web 50
mobile apps 50
interaction 50
 </v>
      </c>
      <c r="EI165" s="21" t="str">
        <f t="shared" si="242"/>
        <v xml:space="preserve">infrastructrue(1), database(1), mobile comm(1), for entrepreneurs(1),  </v>
      </c>
      <c r="EJ165" s="21" t="str">
        <f t="shared" si="243"/>
        <v xml:space="preserve">infrastructrue(1,12.5), database(1,12.5), mobile comm(1,12.5), for entrepreneurs(1,6.25),  </v>
      </c>
      <c r="EK165" s="21" t="str">
        <f t="shared" si="565"/>
        <v xml:space="preserve">infrastructrue(12.5),database(12.5),mobile comm(12.5),for entrepreneurs(6.25), </v>
      </c>
      <c r="EL165" s="21" t="str">
        <f t="shared" si="566"/>
        <v xml:space="preserve"> </v>
      </c>
      <c r="EM165" s="21" t="str">
        <f t="shared" si="245"/>
        <v xml:space="preserve">sensors(1,50),  </v>
      </c>
      <c r="EN165" s="21" t="str">
        <f t="shared" si="567"/>
        <v xml:space="preserve">sensors 50
 </v>
      </c>
      <c r="EO165" s="21" t="str">
        <f t="shared" si="247"/>
        <v xml:space="preserve">project management(2), infrastructrue(1), database(1), mobile comm(1), for entrepreneurs(1),  </v>
      </c>
      <c r="EP165" s="21" t="str">
        <f t="shared" si="248"/>
        <v xml:space="preserve">infrastructrue(1,12.5), database(1,12.5), mobile comm(1,12.5), electronics(1,6.25), for entrepreneurs(1,6.25),  </v>
      </c>
      <c r="EQ165" s="21" t="str">
        <f t="shared" si="568"/>
        <v xml:space="preserve">infrastructrue(12.5),database(12.5),mobile comm(12.5),electronics(6.25),for entrepreneurs(6.25), </v>
      </c>
      <c r="ER165" s="21" t="str">
        <f t="shared" si="566"/>
        <v xml:space="preserve"> </v>
      </c>
      <c r="ES165" s="21" t="str">
        <f t="shared" si="250"/>
        <v xml:space="preserve">AI&amp; data analysis(1,50),  </v>
      </c>
      <c r="ET165" s="21" t="str">
        <f t="shared" si="567"/>
        <v xml:space="preserve">AI&amp; data analysis 50
 </v>
      </c>
      <c r="EU165" s="21" t="str">
        <f t="shared" si="251"/>
        <v xml:space="preserve">database(1), sensors(1), mobile comm(1), for entrepreneurs(1),  </v>
      </c>
      <c r="EV165" s="21" t="str">
        <f t="shared" si="252"/>
        <v xml:space="preserve">database(1,12.5), sensors(1,12.5), mobile comm(1,12.5), for entrepreneurs(1,6.25),  </v>
      </c>
      <c r="EW165" s="21" t="str">
        <f t="shared" si="568"/>
        <v xml:space="preserve">database(12.5),sensors(12.5),mobile comm(12.5),for entrepreneurs(6.25), </v>
      </c>
      <c r="EX165" s="21" t="str">
        <f t="shared" si="566"/>
        <v xml:space="preserve"> </v>
      </c>
      <c r="EY165" s="21" t="str">
        <f t="shared" si="253"/>
        <v xml:space="preserve">law(1,50), security(1,50), interaction(1,25),  </v>
      </c>
      <c r="EZ165" s="21" t="str">
        <f t="shared" si="567"/>
        <v xml:space="preserve">law 50
security 50
interaction 25
 </v>
      </c>
      <c r="FA165" s="21" t="str">
        <f t="shared" si="254"/>
        <v xml:space="preserve">law(2), for entrepreneurs(1),  </v>
      </c>
      <c r="FB165" s="21" t="str">
        <f t="shared" si="255"/>
        <v xml:space="preserve">law(1,6.25), database(1,12.5), mobile apps(1,12.5), security(1,12.5), mobile comm(1,12.5), for entrepreneurs(1,6.25),  </v>
      </c>
      <c r="FC165" s="21" t="str">
        <f t="shared" si="568"/>
        <v xml:space="preserve">law(6.25),database(12.5),mobile apps(12.5),security(12.5),mobile comm(12.5),for entrepreneurs(6.25), </v>
      </c>
      <c r="FD165" s="21" t="str">
        <f t="shared" si="566"/>
        <v xml:space="preserve"> </v>
      </c>
      <c r="FE165" s="21" t="str">
        <f t="shared" si="256"/>
        <v xml:space="preserve">law(1,50), sensors(1,50), security(1,50),  </v>
      </c>
      <c r="FF165" s="21" t="str">
        <f t="shared" si="567"/>
        <v xml:space="preserve">law 50
sensors 50
security 50
 </v>
      </c>
      <c r="FG165" s="21" t="str">
        <f t="shared" si="257"/>
        <v xml:space="preserve">law(2), project management(2), for entrepreneurs(1),  </v>
      </c>
      <c r="FH165" s="21" t="str">
        <f t="shared" si="258"/>
        <v xml:space="preserve">law(1,6.25), database(1,6.25), mobile apps(1,6.25), AI&amp; data analysis(1,6.25), mobile comm(1,6.25), for entrepreneurs(1,6.25),  </v>
      </c>
      <c r="FI165" s="21" t="str">
        <f t="shared" si="568"/>
        <v xml:space="preserve">law(6.25),database(6.25),mobile apps(6.25),AI&amp; data analysis(6.25),mobile comm(6.25),for entrepreneurs(6.25), </v>
      </c>
      <c r="FJ165" s="21" t="str">
        <f t="shared" si="566"/>
        <v xml:space="preserve"> </v>
      </c>
      <c r="FK165" s="21" t="str">
        <f t="shared" si="259"/>
        <v xml:space="preserve">wood processing(1,25), metal processing(1,25), plastic processing(1,25), fabric(1,25), safety(1,25), interaction(1,25),  </v>
      </c>
      <c r="FL165" s="21" t="str">
        <f t="shared" si="567"/>
        <v xml:space="preserve">project management 2
wood processing 25
metal processing 25
plastic processing 25
fabric 25
safety 25
interaction 25
 </v>
      </c>
      <c r="FM165" s="21" t="str">
        <f t="shared" si="260"/>
        <v xml:space="preserve">for entrepreneurs(1),  </v>
      </c>
      <c r="FN165" s="21" t="str">
        <f t="shared" si="261"/>
        <v xml:space="preserve">for entrepreneurs(1,6.25),  </v>
      </c>
      <c r="FO165" s="21" t="str">
        <f t="shared" si="568"/>
        <v xml:space="preserve">for entrepreneurs(6.25), </v>
      </c>
      <c r="FP165" s="21" t="str">
        <f t="shared" si="566"/>
        <v xml:space="preserve"> </v>
      </c>
      <c r="FQ165" s="21" t="str">
        <f t="shared" si="262"/>
        <v xml:space="preserve">web(1,25), mobile apps(1,50), functions(1,25), interaction(1,25),  </v>
      </c>
      <c r="FR165" s="21" t="str">
        <f t="shared" si="567"/>
        <v xml:space="preserve">web 25
mobile apps 50
functions 25
interaction 25
 </v>
      </c>
      <c r="FS165" s="21" t="str">
        <f t="shared" si="263"/>
        <v xml:space="preserve">for entrepreneurs(1),  </v>
      </c>
      <c r="FT165" s="21" t="str">
        <f t="shared" si="264"/>
        <v xml:space="preserve">for entrepreneurs(1,6.25),  </v>
      </c>
      <c r="FU165" s="21" t="str">
        <f t="shared" si="568"/>
        <v xml:space="preserve">for entrepreneurs(6.25), </v>
      </c>
      <c r="FV165" s="21" t="str">
        <f t="shared" si="566"/>
        <v xml:space="preserve"> </v>
      </c>
      <c r="FW165" s="21" t="str">
        <f t="shared" si="265"/>
        <v xml:space="preserve">mobile apps(1,50), sensors(1,50), wood processing(1,25), plastic processing(1,25), electronics(1,25), functions(1,25), interaction(1,25),  </v>
      </c>
      <c r="FX165" s="21" t="str">
        <f t="shared" si="567"/>
        <v xml:space="preserve">mobile apps 50
sensors 50
wood processing 25
plastic processing 25
electronics 25
functions 25
interaction 25
 </v>
      </c>
      <c r="FY165" s="21" t="str">
        <f t="shared" si="266"/>
        <v xml:space="preserve">project management(2), for entrepreneurs(1),  </v>
      </c>
      <c r="FZ165" s="21" t="str">
        <f t="shared" si="267"/>
        <v xml:space="preserve">web(1,6.25), database(1,6.25), AI&amp; data analysis(1,6.25), mobile comm(1,6.25), for entrepreneurs(1,6.25),  </v>
      </c>
      <c r="GA165" s="21" t="str">
        <f t="shared" si="568"/>
        <v xml:space="preserve">web(6.25),database(6.25),AI&amp; data analysis(6.25),mobile comm(6.25),for entrepreneurs(6.25), </v>
      </c>
      <c r="GB165" s="21" t="str">
        <f t="shared" si="566"/>
        <v xml:space="preserve"> </v>
      </c>
      <c r="GC165" s="21" t="str">
        <f t="shared" si="268"/>
        <v xml:space="preserve">sensors(1,25), mobile comm(1,25), electronics(1,50), functions(1,25), safety(1,25),  </v>
      </c>
      <c r="GD165" s="21" t="str">
        <f t="shared" si="567"/>
        <v xml:space="preserve">sensors 25
mobile comm 25
electronics 50
functions 25
safety 25
 </v>
      </c>
      <c r="GE165" s="21" t="str">
        <f t="shared" si="269"/>
        <v xml:space="preserve">project management(2), for entrepreneurs(1),  </v>
      </c>
      <c r="GF165" s="21" t="str">
        <f t="shared" si="270"/>
        <v xml:space="preserve">database(1,6.25), mobile apps(1,6.25), AI&amp; data analysis(1,6.25), plastic processing(1,6.25), interaction(1,6.25), for entrepreneurs(1,6.25),  </v>
      </c>
      <c r="GG165" s="21" t="str">
        <f t="shared" si="568"/>
        <v xml:space="preserve">database(6.25),mobile apps(6.25),AI&amp; data analysis(6.25),plastic processing(6.25),interaction(6.25),for entrepreneurs(6.25), </v>
      </c>
      <c r="GH165" s="21" t="str">
        <f t="shared" si="566"/>
        <v xml:space="preserve"> </v>
      </c>
      <c r="GI165" s="21" t="str">
        <f t="shared" si="271"/>
        <v xml:space="preserve">web(1,25), mobile apps(1,50), functions(1,25), interaction(1,25),  </v>
      </c>
      <c r="GJ165" s="21" t="str">
        <f t="shared" si="567"/>
        <v xml:space="preserve">web 25
mobile apps 50
functions 25
interaction 25
 </v>
      </c>
      <c r="GK165" s="21" t="str">
        <f t="shared" si="272"/>
        <v xml:space="preserve">project management(2), for entrepreneurs(1),  </v>
      </c>
      <c r="GL165" s="21" t="str">
        <f t="shared" si="273"/>
        <v xml:space="preserve">for entrepreneurs(1,6.25),  </v>
      </c>
      <c r="GM165" s="21" t="str">
        <f t="shared" si="568"/>
        <v xml:space="preserve">for entrepreneurs(6.25), </v>
      </c>
      <c r="GN165" s="21" t="str">
        <f t="shared" si="566"/>
        <v xml:space="preserve"> </v>
      </c>
      <c r="GO165" s="21" t="str">
        <f t="shared" si="274"/>
        <v xml:space="preserve">web(1,25), mobile apps(1,25), VR&amp;AR(1,25), aesthetics(1,25), functions(1,25), interaction(1,50),  </v>
      </c>
      <c r="GP165" s="21" t="str">
        <f t="shared" si="567"/>
        <v xml:space="preserve">web 25
mobile apps 25
VR&amp;AR 25
aesthetics 25
functions 25
interaction 50
 </v>
      </c>
      <c r="GQ165" s="21" t="str">
        <f t="shared" si="275"/>
        <v xml:space="preserve">project management(2), for entrepreneurs(1),  </v>
      </c>
      <c r="GR165" s="21" t="str">
        <f t="shared" si="276"/>
        <v xml:space="preserve">for entrepreneurs(1,6.25),  </v>
      </c>
      <c r="GS165" s="21" t="str">
        <f t="shared" si="568"/>
        <v xml:space="preserve">for entrepreneurs(6.25), </v>
      </c>
      <c r="GT165" s="21" t="str">
        <f t="shared" si="566"/>
        <v xml:space="preserve">web 1
mobile apps 1
mobile comm 1
 </v>
      </c>
      <c r="GU165" s="21" t="str">
        <f t="shared" si="277"/>
        <v xml:space="preserve"> </v>
      </c>
      <c r="GV165" s="21" t="str">
        <f t="shared" si="567"/>
        <v xml:space="preserve"> </v>
      </c>
      <c r="GW165" s="21" t="str">
        <f t="shared" si="278"/>
        <v xml:space="preserve">business model(2), marketing(1), team building(1), project management(1), social media(1), infrastructrue(1), database(1), sensors(1), security(1), AI&amp; data analysis(1), electronics(1),  </v>
      </c>
      <c r="GX165" s="21" t="str">
        <f t="shared" si="279"/>
        <v xml:space="preserve">project management(1,6.25), social media(1,6.25), web(1,6.25), mobile apps(1,6.25),  </v>
      </c>
      <c r="GY165" s="21" t="str">
        <f t="shared" si="568"/>
        <v xml:space="preserve">project management(6.25),social media(6.25),web(6.25),mobile apps(6.25), </v>
      </c>
      <c r="GZ165" s="21" t="str">
        <f t="shared" si="569"/>
        <v xml:space="preserve"> </v>
      </c>
      <c r="HA165" s="21" t="str">
        <f t="shared" si="281"/>
        <v xml:space="preserve"> </v>
      </c>
      <c r="HB165" s="21" t="str">
        <f t="shared" si="570"/>
        <v xml:space="preserve"> </v>
      </c>
      <c r="HC165" s="21" t="str">
        <f t="shared" si="283"/>
        <v xml:space="preserve">social media(2), web(2), mobile apps(2), sensors(2), AI&amp; data analysis(2), VR&amp;AR(2), plastic processing(2), electronics(2), aesthetics(2), interaction(2),  </v>
      </c>
      <c r="HD165" s="21" t="str">
        <f t="shared" si="284"/>
        <v xml:space="preserve">start-up with customers(1,6.25), for basic literacy(1,6.25),  </v>
      </c>
      <c r="HE165" s="21" t="str">
        <f t="shared" si="571"/>
        <v xml:space="preserve">start-up with customers(6.25),for basic literacy(6.25), </v>
      </c>
      <c r="HF165" s="21" t="str">
        <f t="shared" si="569"/>
        <v xml:space="preserve"> </v>
      </c>
      <c r="HG165" s="21" t="str">
        <f t="shared" si="286"/>
        <v xml:space="preserve"> </v>
      </c>
      <c r="HH165" s="21" t="str">
        <f t="shared" si="570"/>
        <v xml:space="preserve"> </v>
      </c>
      <c r="HI165" s="21" t="str">
        <f t="shared" si="287"/>
        <v xml:space="preserve">marketing(2), team building(3), project management(2), mobile apps(3), sensors(2), plastic processing(2), electronics(2), aesthetics(2), functions(2), interaction(2),  </v>
      </c>
      <c r="HJ165" s="21" t="str">
        <f t="shared" si="288"/>
        <v xml:space="preserve">start-up with customers(1,6.25),  </v>
      </c>
      <c r="HK165" s="21" t="str">
        <f t="shared" si="571"/>
        <v xml:space="preserve">start-up with customers(6.25), </v>
      </c>
      <c r="HL165" s="21" t="str">
        <f t="shared" si="569"/>
        <v xml:space="preserve"> </v>
      </c>
      <c r="HM165" s="21" t="str">
        <f t="shared" si="289"/>
        <v xml:space="preserve"> </v>
      </c>
      <c r="HN165" s="21" t="str">
        <f t="shared" si="570"/>
        <v xml:space="preserve"> </v>
      </c>
      <c r="HO165" s="21" t="str">
        <f t="shared" si="290"/>
        <v xml:space="preserve">finance(2), marketing(2), project management(2), social media(2), web(3), mobile apps(2), wood processing(3), plastic processing(3), electronics(3), aesthetics(2), interaction(2),  </v>
      </c>
      <c r="HP165" s="21" t="str">
        <f t="shared" si="291"/>
        <v xml:space="preserve"> </v>
      </c>
      <c r="HQ165" s="47" t="str">
        <f t="shared" si="571"/>
        <v xml:space="preserve"> </v>
      </c>
      <c r="HR165" s="47" t="str">
        <f t="shared" ref="HR165:HW165" si="622">IF(HR63="",HR166,$C165&amp;"("&amp;HR63&amp;"),"&amp;HR166)</f>
        <v xml:space="preserve">mobile apps(1),sensors(1),wood processing(1),aesthetics(1), </v>
      </c>
      <c r="HS165" s="47" t="str">
        <f t="shared" si="622"/>
        <v xml:space="preserve"> </v>
      </c>
      <c r="HT165" s="47" t="str">
        <f t="shared" si="622"/>
        <v xml:space="preserve"> </v>
      </c>
      <c r="HU165" s="47" t="str">
        <f t="shared" si="622"/>
        <v xml:space="preserve">project management(2),social media(2),web(3),infrastructrue(3),database(3),mobile apps(3),sensors(3),AI&amp; data analysis(3),mobile comm(3),VR&amp;AR(3),wood processing(3),metal processing(2),plastic processing(2),electronics(2),fabric(2),aesthetics(2),interaction(2),start-up with mvp(1), </v>
      </c>
      <c r="HV165" s="47" t="str">
        <f t="shared" si="622"/>
        <v xml:space="preserve"> </v>
      </c>
      <c r="HW165" s="47" t="str">
        <f t="shared" si="622"/>
        <v xml:space="preserve"> </v>
      </c>
      <c r="HX165" s="47" t="str">
        <f t="shared" ref="HX165:IU165" si="623">IF(HX63="",HX166,$C165&amp;"("&amp;HX63&amp;"),"&amp;HX166)</f>
        <v xml:space="preserve">web(1),infrastructrue(1),database(2),mobile apps(1),sensors(1),AI&amp; data analysis(2),VR&amp;AR(1),wood processing(1),metal processing(1),plastic processing(1),electronics(1),aesthetics(1),functions(1),interaction(1), </v>
      </c>
      <c r="HY165" s="47" t="str">
        <f t="shared" si="623"/>
        <v xml:space="preserve">biz enhancement(1), </v>
      </c>
      <c r="HZ165" s="47" t="str">
        <f t="shared" si="623"/>
        <v xml:space="preserve">biz enhancement(100), </v>
      </c>
      <c r="IA165" s="47" t="str">
        <f t="shared" si="623"/>
        <v xml:space="preserve">finance(2),business model(2),marketing(3),team building(2),project management(2),social media(3),negotiation(3), </v>
      </c>
      <c r="IB165" s="47" t="str">
        <f t="shared" si="623"/>
        <v xml:space="preserve">team building(1),database(1),AI&amp; data analysis(1),electronics(1),functions(1), </v>
      </c>
      <c r="IC165" s="47" t="str">
        <f t="shared" si="623"/>
        <v xml:space="preserve">team building(6.25),database(6.25),AI&amp; data analysis(6.25),electronics(6.25),functions(6.25), </v>
      </c>
      <c r="ID165" s="47" t="str">
        <f t="shared" si="623"/>
        <v xml:space="preserve"> </v>
      </c>
      <c r="IE165" s="47" t="str">
        <f t="shared" si="623"/>
        <v xml:space="preserve">web(1),mobile apps(1),security(1),AI&amp; data analysis(1), </v>
      </c>
      <c r="IF165" s="47" t="str">
        <f t="shared" si="623"/>
        <v xml:space="preserve">web(25),mobile apps(25),security(25),AI&amp; data analysis(25), </v>
      </c>
      <c r="IG165" s="47" t="str">
        <f t="shared" si="623"/>
        <v xml:space="preserve">web(2),database(2),mobile apps(2),security(2),AI&amp; data analysis(2), </v>
      </c>
      <c r="IH165" s="47" t="str">
        <f t="shared" si="623"/>
        <v xml:space="preserve">web(1),database(1),mobile apps(1),security(1),AI&amp; data analysis(1), </v>
      </c>
      <c r="II165" s="47" t="str">
        <f t="shared" si="623"/>
        <v xml:space="preserve">web(6.25),database(6.25),mobile apps(6.25),security(6.25),AI&amp; data analysis(6.25), </v>
      </c>
      <c r="IJ165" s="47" t="str">
        <f t="shared" si="623"/>
        <v xml:space="preserve"> </v>
      </c>
      <c r="IK165" s="47" t="str">
        <f t="shared" si="623"/>
        <v xml:space="preserve">wood processing(1),metal processing(1),functions(1),safety(1), </v>
      </c>
      <c r="IL165" s="47" t="str">
        <f t="shared" si="623"/>
        <v xml:space="preserve">wood processing(25),metal processing(25),functions(25),safety(25), </v>
      </c>
      <c r="IM165" s="47" t="str">
        <f t="shared" si="623"/>
        <v xml:space="preserve">wood processing(2),metal processing(2),functions(2),safety(2), </v>
      </c>
      <c r="IN165" s="47" t="str">
        <f t="shared" si="623"/>
        <v xml:space="preserve">wood processing(1),metal processing(1),functions(1),safety(1),interaction(1), </v>
      </c>
      <c r="IO165" s="47" t="str">
        <f t="shared" si="623"/>
        <v xml:space="preserve">wood processing(6.25),metal processing(6.25),functions(6.25),safety(6.25),interaction(6.25), </v>
      </c>
      <c r="IP165" s="57" t="str">
        <f t="shared" si="623"/>
        <v xml:space="preserve"> </v>
      </c>
      <c r="IQ165" s="47" t="str">
        <f t="shared" si="623"/>
        <v xml:space="preserve">marketing(1), </v>
      </c>
      <c r="IR165" s="47" t="str">
        <f t="shared" si="623"/>
        <v xml:space="preserve">marketing(25), </v>
      </c>
      <c r="IS165" s="47" t="str">
        <f t="shared" si="623"/>
        <v xml:space="preserve">marketing(2), </v>
      </c>
      <c r="IT165" s="47" t="str">
        <f t="shared" si="623"/>
        <v xml:space="preserve">marketing(1), </v>
      </c>
      <c r="IU165" s="47" t="str">
        <f t="shared" si="623"/>
        <v xml:space="preserve">marketing(6.25), </v>
      </c>
      <c r="IV165" s="57" t="str">
        <f t="shared" ref="IV165:LG165" si="624">IF(IV63="",IV166,$C165&amp;"("&amp;IV63&amp;"),"&amp;IV166)</f>
        <v xml:space="preserve"> </v>
      </c>
      <c r="IW165" s="47" t="str">
        <f t="shared" si="624"/>
        <v xml:space="preserve">marketing(1), </v>
      </c>
      <c r="IX165" s="47" t="str">
        <f t="shared" si="624"/>
        <v xml:space="preserve">marketing(25), </v>
      </c>
      <c r="IY165" s="47" t="str">
        <f t="shared" si="624"/>
        <v xml:space="preserve">marketing(2), </v>
      </c>
      <c r="IZ165" s="47" t="str">
        <f t="shared" si="624"/>
        <v xml:space="preserve">marketing(1), </v>
      </c>
      <c r="JA165" s="47" t="str">
        <f t="shared" si="624"/>
        <v xml:space="preserve">marketing(6.25), </v>
      </c>
      <c r="JB165" s="47" t="str">
        <f t="shared" si="624"/>
        <v xml:space="preserve"> </v>
      </c>
      <c r="JC165" s="47" t="str">
        <f t="shared" si="624"/>
        <v xml:space="preserve"> </v>
      </c>
      <c r="JD165" s="47" t="str">
        <f t="shared" si="624"/>
        <v xml:space="preserve"> </v>
      </c>
      <c r="JE165" s="47" t="str">
        <f t="shared" si="624"/>
        <v xml:space="preserve"> </v>
      </c>
      <c r="JF165" s="47" t="str">
        <f t="shared" si="624"/>
        <v xml:space="preserve">web(1),infrastructrue(1),database(1),mobile apps(1),sensors(1),security(1),AI&amp; data analysis(1),mobile comm(1),VR&amp;AR(1),wood processing(1),metal processing(1),plastic processing(1),electronics(1),fabric(1),aesthetics(1),functions(1),safety(1),interaction(1), </v>
      </c>
      <c r="JG165" s="47" t="str">
        <f t="shared" si="624"/>
        <v xml:space="preserve">web(6.25),infrastructrue(6.25),database(6.25),mobile apps(6.25),sensors(6.25),security(6.25),AI&amp; data analysis(6.25),mobile comm(6.25),VR&amp;AR(6.25),wood processing(6.25),metal processing(6.25),plastic processing(6.25),electronics(6.25),fabric(6.25),aesthetics(6.25),functions(6.25),safety(6.25),interaction(6.25), </v>
      </c>
      <c r="JH165" s="47" t="str">
        <f t="shared" si="624"/>
        <v xml:space="preserve"> </v>
      </c>
      <c r="JI165" s="47" t="str">
        <f t="shared" si="624"/>
        <v xml:space="preserve"> </v>
      </c>
      <c r="JJ165" s="47" t="str">
        <f t="shared" si="624"/>
        <v xml:space="preserve"> </v>
      </c>
      <c r="JK165" s="47" t="str">
        <f t="shared" si="624"/>
        <v xml:space="preserve">social media(2),negotiation(2),social project(1),social innovation(1),non-profit biz(1),biz project(1),biz enhancement(1),job creation(1),business(1),start-up(1),start-up with mvp(1),start-up with customers(1),for basic literacy(1),for the elites(1),for entrepreneurs(1), </v>
      </c>
      <c r="JL165" s="47" t="str">
        <f t="shared" si="624"/>
        <v xml:space="preserve"> </v>
      </c>
      <c r="JM165" s="47" t="str">
        <f t="shared" si="624"/>
        <v xml:space="preserve"> </v>
      </c>
      <c r="JN165" s="47" t="str">
        <f t="shared" si="624"/>
        <v xml:space="preserve"> </v>
      </c>
      <c r="JO165" s="47" t="str">
        <f t="shared" si="624"/>
        <v xml:space="preserve"> </v>
      </c>
      <c r="JP165" s="47" t="str">
        <f t="shared" si="624"/>
        <v xml:space="preserve"> </v>
      </c>
      <c r="JQ165" s="47" t="str">
        <f t="shared" si="624"/>
        <v xml:space="preserve">electronics(1),aesthetics(1),interaction(1),social project(1),social innovation(1),non-profit biz(1),biz project(1),biz enhancement(1),job creation(1),business(1),start-up(1),start-up with mvp(1),start-up with customers(1),for basic literacy(1),for the elites(1),for entrepreneurs(1), </v>
      </c>
      <c r="JR165" s="47" t="str">
        <f t="shared" si="624"/>
        <v xml:space="preserve"> </v>
      </c>
      <c r="JS165" s="47" t="str">
        <f t="shared" si="624"/>
        <v xml:space="preserve"> </v>
      </c>
      <c r="JT165" s="47" t="str">
        <f t="shared" si="624"/>
        <v xml:space="preserve"> </v>
      </c>
      <c r="JU165" s="47" t="str">
        <f t="shared" si="624"/>
        <v xml:space="preserve"> </v>
      </c>
      <c r="JV165" s="47" t="str">
        <f t="shared" si="624"/>
        <v xml:space="preserve"> </v>
      </c>
      <c r="JW165" s="47" t="str">
        <f t="shared" si="624"/>
        <v xml:space="preserve">law(1),finance(1),marketing(1),team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5" s="47" t="str">
        <f t="shared" si="624"/>
        <v xml:space="preserve"> </v>
      </c>
      <c r="JY165" s="47" t="str">
        <f t="shared" si="624"/>
        <v xml:space="preserve"> </v>
      </c>
      <c r="JZ165" s="47" t="str">
        <f t="shared" si="624"/>
        <v xml:space="preserve">social project(2), </v>
      </c>
      <c r="KA165" s="47" t="str">
        <f t="shared" si="624"/>
        <v xml:space="preserve"> </v>
      </c>
      <c r="KB165" s="47" t="str">
        <f t="shared" si="624"/>
        <v xml:space="preserve"> </v>
      </c>
      <c r="KC165" s="47" t="str">
        <f t="shared" si="624"/>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5" s="47" t="str">
        <f t="shared" si="624"/>
        <v xml:space="preserve"> </v>
      </c>
      <c r="KE165" s="47" t="str">
        <f t="shared" si="624"/>
        <v xml:space="preserve"> </v>
      </c>
      <c r="KF165" s="47" t="str">
        <f t="shared" si="624"/>
        <v xml:space="preserve"> </v>
      </c>
      <c r="KG165" s="47" t="str">
        <f t="shared" si="624"/>
        <v xml:space="preserve"> </v>
      </c>
      <c r="KH165" s="47" t="str">
        <f t="shared" si="624"/>
        <v xml:space="preserve"> </v>
      </c>
      <c r="KI165" s="47" t="str">
        <f t="shared" si="624"/>
        <v xml:space="preserve"> </v>
      </c>
      <c r="KJ165" s="47" t="str">
        <f t="shared" si="624"/>
        <v xml:space="preserve"> </v>
      </c>
      <c r="KK165" s="47" t="str">
        <f t="shared" si="624"/>
        <v xml:space="preserve"> </v>
      </c>
      <c r="KL165" s="57" t="str">
        <f t="shared" si="624"/>
        <v xml:space="preserve"> </v>
      </c>
      <c r="KM165" s="47" t="str">
        <f t="shared" si="624"/>
        <v xml:space="preserve"> </v>
      </c>
      <c r="KN165" s="47" t="str">
        <f t="shared" si="624"/>
        <v xml:space="preserve"> </v>
      </c>
      <c r="KO165" s="47" t="str">
        <f t="shared" si="624"/>
        <v xml:space="preserve"> </v>
      </c>
      <c r="KP165" s="47" t="str">
        <f t="shared" si="624"/>
        <v xml:space="preserve"> </v>
      </c>
      <c r="KQ165" s="47" t="str">
        <f t="shared" si="624"/>
        <v xml:space="preserve"> </v>
      </c>
      <c r="KR165" s="57" t="str">
        <f t="shared" si="624"/>
        <v xml:space="preserve"> </v>
      </c>
      <c r="KS165" s="47" t="str">
        <f t="shared" si="624"/>
        <v xml:space="preserve"> </v>
      </c>
      <c r="KT165" s="47" t="str">
        <f t="shared" si="624"/>
        <v xml:space="preserve"> </v>
      </c>
      <c r="KU165" s="47" t="str">
        <f t="shared" si="624"/>
        <v xml:space="preserve"> </v>
      </c>
      <c r="KV165" s="47" t="str">
        <f t="shared" si="624"/>
        <v xml:space="preserve"> </v>
      </c>
      <c r="KW165" s="47" t="str">
        <f t="shared" si="624"/>
        <v xml:space="preserve"> </v>
      </c>
      <c r="KX165" s="57" t="str">
        <f t="shared" si="624"/>
        <v xml:space="preserve"> </v>
      </c>
      <c r="KY165" s="47" t="str">
        <f t="shared" si="624"/>
        <v xml:space="preserve"> </v>
      </c>
      <c r="KZ165" s="47" t="str">
        <f t="shared" si="624"/>
        <v xml:space="preserve"> </v>
      </c>
      <c r="LA165" s="47" t="str">
        <f t="shared" si="624"/>
        <v xml:space="preserve"> </v>
      </c>
      <c r="LB165" s="47" t="str">
        <f t="shared" si="624"/>
        <v xml:space="preserve"> </v>
      </c>
      <c r="LC165" s="47" t="str">
        <f t="shared" si="624"/>
        <v xml:space="preserve"> </v>
      </c>
      <c r="LD165" s="57" t="str">
        <f t="shared" si="624"/>
        <v xml:space="preserve"> </v>
      </c>
      <c r="LE165" s="47" t="str">
        <f t="shared" si="624"/>
        <v xml:space="preserve"> </v>
      </c>
      <c r="LF165" s="47" t="str">
        <f t="shared" si="624"/>
        <v xml:space="preserve"> </v>
      </c>
      <c r="LG165" s="47" t="str">
        <f t="shared" si="624"/>
        <v xml:space="preserve"> </v>
      </c>
      <c r="LH165" s="47" t="str">
        <f t="shared" ref="LH165:NM165" si="625">IF(LH63="",LH166,$C165&amp;"("&amp;LH63&amp;"),"&amp;LH166)</f>
        <v xml:space="preserve"> </v>
      </c>
      <c r="LI165" s="47" t="str">
        <f t="shared" si="625"/>
        <v xml:space="preserve"> </v>
      </c>
      <c r="LJ165" s="57" t="str">
        <f t="shared" si="625"/>
        <v xml:space="preserve"> </v>
      </c>
      <c r="LK165" s="47" t="str">
        <f t="shared" si="625"/>
        <v xml:space="preserve"> </v>
      </c>
      <c r="LL165" s="47" t="str">
        <f t="shared" si="625"/>
        <v xml:space="preserve"> </v>
      </c>
      <c r="LM165" s="47" t="str">
        <f t="shared" si="625"/>
        <v xml:space="preserve"> </v>
      </c>
      <c r="LN165" s="47" t="str">
        <f t="shared" si="625"/>
        <v xml:space="preserve"> </v>
      </c>
      <c r="LO165" s="47" t="str">
        <f t="shared" si="625"/>
        <v xml:space="preserve"> </v>
      </c>
      <c r="LP165" s="57" t="str">
        <f t="shared" si="625"/>
        <v xml:space="preserve"> </v>
      </c>
      <c r="LQ165" s="47" t="str">
        <f t="shared" si="625"/>
        <v xml:space="preserve"> </v>
      </c>
      <c r="LR165" s="47" t="str">
        <f t="shared" si="625"/>
        <v xml:space="preserve"> </v>
      </c>
      <c r="LS165" s="47" t="str">
        <f t="shared" si="625"/>
        <v xml:space="preserve"> </v>
      </c>
      <c r="LT165" s="47" t="str">
        <f t="shared" si="625"/>
        <v xml:space="preserve"> </v>
      </c>
      <c r="LU165" s="47" t="str">
        <f t="shared" si="625"/>
        <v xml:space="preserve"> </v>
      </c>
      <c r="LV165" s="57" t="str">
        <f t="shared" si="625"/>
        <v xml:space="preserve"> </v>
      </c>
      <c r="LW165" s="47" t="str">
        <f t="shared" si="625"/>
        <v xml:space="preserve"> </v>
      </c>
      <c r="LX165" s="47" t="str">
        <f t="shared" si="625"/>
        <v xml:space="preserve"> </v>
      </c>
      <c r="LY165" s="47" t="str">
        <f t="shared" si="625"/>
        <v xml:space="preserve"> </v>
      </c>
      <c r="LZ165" s="47" t="str">
        <f t="shared" si="625"/>
        <v xml:space="preserve"> </v>
      </c>
      <c r="MA165" s="47" t="str">
        <f t="shared" si="625"/>
        <v xml:space="preserve"> </v>
      </c>
      <c r="MB165" s="57" t="str">
        <f t="shared" si="625"/>
        <v xml:space="preserve"> </v>
      </c>
      <c r="MC165" s="47" t="str">
        <f t="shared" si="625"/>
        <v xml:space="preserve"> </v>
      </c>
      <c r="MD165" s="47" t="str">
        <f t="shared" si="625"/>
        <v xml:space="preserve"> </v>
      </c>
      <c r="ME165" s="47" t="str">
        <f t="shared" si="625"/>
        <v xml:space="preserve"> </v>
      </c>
      <c r="MF165" s="47" t="str">
        <f t="shared" si="625"/>
        <v xml:space="preserve"> </v>
      </c>
      <c r="MG165" s="47" t="str">
        <f t="shared" si="625"/>
        <v xml:space="preserve"> </v>
      </c>
      <c r="MH165" s="57" t="str">
        <f t="shared" si="625"/>
        <v xml:space="preserve"> </v>
      </c>
      <c r="MI165" s="47" t="str">
        <f t="shared" si="625"/>
        <v xml:space="preserve"> </v>
      </c>
      <c r="MJ165" s="47" t="str">
        <f t="shared" si="625"/>
        <v xml:space="preserve"> </v>
      </c>
      <c r="MK165" s="47" t="str">
        <f t="shared" si="625"/>
        <v xml:space="preserve"> </v>
      </c>
      <c r="ML165" s="47" t="str">
        <f t="shared" si="625"/>
        <v xml:space="preserve"> </v>
      </c>
      <c r="MM165" s="47" t="str">
        <f t="shared" si="625"/>
        <v xml:space="preserve"> </v>
      </c>
      <c r="MN165" s="57" t="str">
        <f t="shared" si="625"/>
        <v xml:space="preserve"> </v>
      </c>
      <c r="MO165" s="47" t="str">
        <f t="shared" si="625"/>
        <v xml:space="preserve"> </v>
      </c>
      <c r="MP165" s="47" t="str">
        <f t="shared" si="625"/>
        <v xml:space="preserve"> </v>
      </c>
      <c r="MQ165" s="47" t="str">
        <f t="shared" si="625"/>
        <v xml:space="preserve"> </v>
      </c>
      <c r="MR165" s="47" t="str">
        <f t="shared" si="625"/>
        <v xml:space="preserve"> </v>
      </c>
      <c r="MS165" s="47" t="str">
        <f t="shared" si="625"/>
        <v xml:space="preserve"> </v>
      </c>
      <c r="MT165" s="57" t="str">
        <f t="shared" si="625"/>
        <v xml:space="preserve"> </v>
      </c>
      <c r="MU165" s="47" t="str">
        <f t="shared" si="625"/>
        <v xml:space="preserve"> </v>
      </c>
      <c r="MV165" s="47" t="str">
        <f t="shared" si="625"/>
        <v xml:space="preserve"> </v>
      </c>
      <c r="MW165" s="47" t="str">
        <f t="shared" si="625"/>
        <v xml:space="preserve"> </v>
      </c>
      <c r="MX165" s="47" t="str">
        <f t="shared" si="625"/>
        <v xml:space="preserve"> </v>
      </c>
      <c r="MY165" s="47" t="str">
        <f t="shared" si="625"/>
        <v xml:space="preserve"> </v>
      </c>
      <c r="MZ165" s="57" t="str">
        <f t="shared" si="625"/>
        <v xml:space="preserve"> </v>
      </c>
      <c r="NA165" s="47" t="str">
        <f t="shared" si="625"/>
        <v xml:space="preserve"> </v>
      </c>
      <c r="NB165" s="47" t="str">
        <f t="shared" si="625"/>
        <v xml:space="preserve"> </v>
      </c>
      <c r="NC165" s="47" t="str">
        <f t="shared" si="625"/>
        <v xml:space="preserve"> </v>
      </c>
      <c r="ND165" s="47" t="str">
        <f t="shared" si="625"/>
        <v xml:space="preserve"> </v>
      </c>
      <c r="NE165" s="47" t="str">
        <f t="shared" si="625"/>
        <v xml:space="preserve"> </v>
      </c>
      <c r="NF165" s="57" t="str">
        <f t="shared" si="625"/>
        <v xml:space="preserve"> </v>
      </c>
      <c r="NG165" s="47" t="str">
        <f t="shared" si="625"/>
        <v xml:space="preserve"> </v>
      </c>
      <c r="NH165" s="47" t="str">
        <f t="shared" si="625"/>
        <v xml:space="preserve"> </v>
      </c>
      <c r="NI165" s="47" t="str">
        <f t="shared" si="625"/>
        <v xml:space="preserve"> </v>
      </c>
      <c r="NJ165" s="47" t="str">
        <f t="shared" si="625"/>
        <v xml:space="preserve"> </v>
      </c>
      <c r="NK165" s="47" t="str">
        <f t="shared" si="625"/>
        <v xml:space="preserve"> </v>
      </c>
      <c r="NL165" s="57" t="str">
        <f t="shared" si="625"/>
        <v xml:space="preserve"> </v>
      </c>
      <c r="NM165" s="47" t="str">
        <f t="shared" si="625"/>
        <v xml:space="preserve"> </v>
      </c>
    </row>
    <row r="166" spans="3:377" ht="15.75" customHeight="1">
      <c r="C166" s="7" t="str">
        <f t="shared" si="296"/>
        <v>finance</v>
      </c>
      <c r="D166" s="21" t="str">
        <f t="shared" si="169"/>
        <v xml:space="preserve"> </v>
      </c>
      <c r="E166" s="21" t="str">
        <f t="shared" si="297"/>
        <v xml:space="preserve"> </v>
      </c>
      <c r="F166" s="21" t="str">
        <f t="shared" si="170"/>
        <v xml:space="preserve"> </v>
      </c>
      <c r="G166" s="21" t="str">
        <f t="shared" si="298"/>
        <v xml:space="preserve">social media(1),  </v>
      </c>
      <c r="H166" s="21" t="str">
        <f t="shared" si="299"/>
        <v xml:space="preserve"> </v>
      </c>
      <c r="I166" s="21" t="str">
        <f t="shared" ref="I166" si="626">IF(I64="",I167,$C166&amp;"("&amp;I64&amp;"),"&amp;I167)</f>
        <v xml:space="preserve"> </v>
      </c>
      <c r="J166" s="21" t="str">
        <f t="shared" si="560"/>
        <v xml:space="preserve">interaction 1
 </v>
      </c>
      <c r="K166" s="21" t="str">
        <f t="shared" si="173"/>
        <v xml:space="preserve"> </v>
      </c>
      <c r="L166" s="21" t="str">
        <f t="shared" si="561"/>
        <v xml:space="preserve"> </v>
      </c>
      <c r="M166" s="21" t="str">
        <f t="shared" si="175"/>
        <v xml:space="preserve">social innovation(1), non-profit biz(1),  </v>
      </c>
      <c r="N166" s="21" t="str">
        <f t="shared" si="176"/>
        <v xml:space="preserve">marketing(1,12.5),  </v>
      </c>
      <c r="O166" s="21" t="str">
        <f t="shared" si="562"/>
        <v xml:space="preserve">marketing(12.5), </v>
      </c>
      <c r="P166" s="21" t="str">
        <f t="shared" si="560"/>
        <v xml:space="preserve">biz project 1
 </v>
      </c>
      <c r="Q166" s="21" t="str">
        <f t="shared" si="178"/>
        <v xml:space="preserve"> </v>
      </c>
      <c r="R166" s="21" t="str">
        <f t="shared" si="561"/>
        <v xml:space="preserve"> </v>
      </c>
      <c r="S166" s="21" t="str">
        <f t="shared" si="179"/>
        <v xml:space="preserve">biz enhancement(1), business(1), start-up(1),  </v>
      </c>
      <c r="T166" s="21" t="str">
        <f t="shared" si="180"/>
        <v xml:space="preserve"> </v>
      </c>
      <c r="U166" s="21" t="str">
        <f t="shared" si="562"/>
        <v xml:space="preserve"> </v>
      </c>
      <c r="V166" s="21" t="str">
        <f t="shared" si="560"/>
        <v xml:space="preserve"> </v>
      </c>
      <c r="W166" s="21" t="str">
        <f t="shared" si="181"/>
        <v xml:space="preserve"> </v>
      </c>
      <c r="X166" s="21" t="str">
        <f t="shared" si="561"/>
        <v xml:space="preserve"> </v>
      </c>
      <c r="Y166" s="21" t="str">
        <f t="shared" si="182"/>
        <v xml:space="preserve">biz project(1), biz enhancement(1), job creation(1), business(1),  </v>
      </c>
      <c r="Z166" s="21" t="str">
        <f t="shared" si="183"/>
        <v xml:space="preserve"> </v>
      </c>
      <c r="AA166" s="21" t="str">
        <f t="shared" si="562"/>
        <v xml:space="preserve"> </v>
      </c>
      <c r="AB166" s="21" t="str">
        <f t="shared" si="560"/>
        <v xml:space="preserve"> </v>
      </c>
      <c r="AC166" s="21" t="str">
        <f t="shared" si="184"/>
        <v xml:space="preserve"> </v>
      </c>
      <c r="AD166" s="21" t="str">
        <f t="shared" si="561"/>
        <v xml:space="preserve"> </v>
      </c>
      <c r="AE166" s="21" t="str">
        <f t="shared" si="185"/>
        <v xml:space="preserve">social project(1), social innovation(1), non-profit biz(1),  </v>
      </c>
      <c r="AF166" s="21" t="str">
        <f t="shared" si="186"/>
        <v xml:space="preserve"> </v>
      </c>
      <c r="AG166" s="21" t="str">
        <f t="shared" si="562"/>
        <v xml:space="preserve"> </v>
      </c>
      <c r="AH166" s="21" t="str">
        <f t="shared" si="560"/>
        <v xml:space="preserve"> </v>
      </c>
      <c r="AI166" s="21" t="str">
        <f t="shared" si="187"/>
        <v xml:space="preserve"> </v>
      </c>
      <c r="AJ166" s="21" t="str">
        <f t="shared" si="561"/>
        <v xml:space="preserve"> </v>
      </c>
      <c r="AK166" s="21" t="str">
        <f t="shared" si="188"/>
        <v xml:space="preserve">social project(1), social innovation(1), non-profit biz(1),  </v>
      </c>
      <c r="AL166" s="21" t="str">
        <f t="shared" si="189"/>
        <v xml:space="preserve"> </v>
      </c>
      <c r="AM166" s="21" t="str">
        <f t="shared" si="562"/>
        <v xml:space="preserve"> </v>
      </c>
      <c r="AN166" s="21" t="str">
        <f t="shared" si="560"/>
        <v xml:space="preserve"> </v>
      </c>
      <c r="AO166" s="21" t="str">
        <f t="shared" si="190"/>
        <v xml:space="preserve"> </v>
      </c>
      <c r="AP166" s="21" t="str">
        <f t="shared" si="561"/>
        <v xml:space="preserve"> </v>
      </c>
      <c r="AQ166" s="21" t="str">
        <f t="shared" si="191"/>
        <v xml:space="preserve">start-up(1), start-up with mvp(1), start-up with customers(1),  </v>
      </c>
      <c r="AR166" s="21" t="str">
        <f t="shared" si="192"/>
        <v xml:space="preserve"> </v>
      </c>
      <c r="AS166" s="21" t="str">
        <f t="shared" si="562"/>
        <v xml:space="preserve"> </v>
      </c>
      <c r="AT166" s="21" t="str">
        <f t="shared" si="560"/>
        <v xml:space="preserve">social project 1
 </v>
      </c>
      <c r="AU166" s="21" t="str">
        <f t="shared" si="193"/>
        <v xml:space="preserve"> </v>
      </c>
      <c r="AV166" s="21" t="str">
        <f t="shared" si="561"/>
        <v xml:space="preserve"> </v>
      </c>
      <c r="AW166" s="21" t="str">
        <f t="shared" si="194"/>
        <v xml:space="preserve">project management(2),  </v>
      </c>
      <c r="AX166" s="21" t="str">
        <f t="shared" si="195"/>
        <v xml:space="preserve">project management(1,12.5),  </v>
      </c>
      <c r="AY166" s="21" t="str">
        <f t="shared" si="562"/>
        <v xml:space="preserve">project management(12.5), </v>
      </c>
      <c r="AZ166" s="21" t="str">
        <f t="shared" si="560"/>
        <v xml:space="preserve"> </v>
      </c>
      <c r="BA166" s="21" t="str">
        <f t="shared" si="196"/>
        <v xml:space="preserve"> </v>
      </c>
      <c r="BB166" s="21" t="str">
        <f t="shared" si="561"/>
        <v xml:space="preserve"> </v>
      </c>
      <c r="BC166" s="21" t="str">
        <f t="shared" si="197"/>
        <v xml:space="preserve"> </v>
      </c>
      <c r="BD166" s="21" t="str">
        <f t="shared" si="198"/>
        <v xml:space="preserve"> </v>
      </c>
      <c r="BE166" s="21" t="str">
        <f t="shared" si="562"/>
        <v xml:space="preserve"> </v>
      </c>
      <c r="BF166" s="21" t="str">
        <f t="shared" si="560"/>
        <v xml:space="preserve">biz project 1
 </v>
      </c>
      <c r="BG166" s="21" t="str">
        <f t="shared" si="199"/>
        <v xml:space="preserve"> </v>
      </c>
      <c r="BH166" s="21" t="str">
        <f t="shared" si="561"/>
        <v xml:space="preserve"> </v>
      </c>
      <c r="BI166" s="21" t="str">
        <f t="shared" si="200"/>
        <v xml:space="preserve">project management(2),  </v>
      </c>
      <c r="BJ166" s="21" t="str">
        <f t="shared" si="201"/>
        <v xml:space="preserve">project management(1,12.5),  </v>
      </c>
      <c r="BK166" s="21" t="str">
        <f t="shared" si="562"/>
        <v xml:space="preserve">project management(12.5), </v>
      </c>
      <c r="BL166" s="21" t="str">
        <f t="shared" si="560"/>
        <v xml:space="preserve">biz enhancement 1
 </v>
      </c>
      <c r="BM166" s="21" t="str">
        <f t="shared" si="202"/>
        <v xml:space="preserve"> </v>
      </c>
      <c r="BN166" s="21" t="str">
        <f t="shared" si="561"/>
        <v xml:space="preserve"> </v>
      </c>
      <c r="BO166" s="21" t="str">
        <f t="shared" si="203"/>
        <v xml:space="preserve"> </v>
      </c>
      <c r="BP166" s="21" t="str">
        <f t="shared" si="204"/>
        <v xml:space="preserve"> </v>
      </c>
      <c r="BQ166" s="21" t="str">
        <f t="shared" si="562"/>
        <v xml:space="preserve"> </v>
      </c>
      <c r="BR166" s="21" t="str">
        <f t="shared" si="560"/>
        <v xml:space="preserve"> </v>
      </c>
      <c r="BS166" s="21" t="str">
        <f t="shared" si="205"/>
        <v xml:space="preserve"> </v>
      </c>
      <c r="BT166" s="21" t="str">
        <f t="shared" si="561"/>
        <v xml:space="preserve"> </v>
      </c>
      <c r="BU166" s="21" t="str">
        <f t="shared" si="206"/>
        <v xml:space="preserve"> </v>
      </c>
      <c r="BV166" s="21" t="str">
        <f t="shared" si="207"/>
        <v xml:space="preserve"> </v>
      </c>
      <c r="BW166" s="21" t="str">
        <f t="shared" si="562"/>
        <v xml:space="preserve"> </v>
      </c>
      <c r="BX166" s="21" t="str">
        <f t="shared" si="563"/>
        <v xml:space="preserve"> </v>
      </c>
      <c r="BY166" s="21" t="str">
        <f t="shared" si="209"/>
        <v xml:space="preserve"> </v>
      </c>
      <c r="BZ166" s="21" t="str">
        <f t="shared" si="564"/>
        <v xml:space="preserve"> </v>
      </c>
      <c r="CA166" s="21" t="str">
        <f t="shared" si="211"/>
        <v xml:space="preserve">negotiation(1),  </v>
      </c>
      <c r="CB166" s="21" t="str">
        <f t="shared" si="212"/>
        <v xml:space="preserve"> </v>
      </c>
      <c r="CC166" s="21" t="str">
        <f t="shared" si="565"/>
        <v xml:space="preserve"> </v>
      </c>
      <c r="CD166" s="21" t="str">
        <f t="shared" si="563"/>
        <v xml:space="preserve"> </v>
      </c>
      <c r="CE166" s="21" t="str">
        <f t="shared" si="214"/>
        <v xml:space="preserve"> </v>
      </c>
      <c r="CF166" s="21" t="str">
        <f t="shared" si="564"/>
        <v xml:space="preserve"> </v>
      </c>
      <c r="CG166" s="21" t="str">
        <f t="shared" si="215"/>
        <v xml:space="preserve">negotiation(1), social project(1), biz project(1), for basic literacy(1), for the elites(1), for entrepreneurs(1),  </v>
      </c>
      <c r="CH166" s="21" t="str">
        <f t="shared" si="216"/>
        <v xml:space="preserve"> </v>
      </c>
      <c r="CI166" s="21" t="str">
        <f t="shared" si="565"/>
        <v xml:space="preserve"> </v>
      </c>
      <c r="CJ166" s="21" t="str">
        <f t="shared" si="563"/>
        <v xml:space="preserve"> </v>
      </c>
      <c r="CK166" s="21" t="str">
        <f t="shared" si="217"/>
        <v xml:space="preserve"> </v>
      </c>
      <c r="CL166" s="21" t="str">
        <f t="shared" si="564"/>
        <v xml:space="preserve"> </v>
      </c>
      <c r="CM166" s="21" t="str">
        <f t="shared" si="218"/>
        <v xml:space="preserve">negotiation(1),  </v>
      </c>
      <c r="CN166" s="21" t="str">
        <f t="shared" si="219"/>
        <v xml:space="preserve"> </v>
      </c>
      <c r="CO166" s="21" t="str">
        <f t="shared" si="565"/>
        <v xml:space="preserve"> </v>
      </c>
      <c r="CP166" s="21" t="str">
        <f t="shared" si="563"/>
        <v xml:space="preserve"> </v>
      </c>
      <c r="CQ166" s="21" t="str">
        <f t="shared" si="220"/>
        <v xml:space="preserve"> </v>
      </c>
      <c r="CR166" s="21" t="str">
        <f t="shared" si="564"/>
        <v xml:space="preserve"> </v>
      </c>
      <c r="CS166" s="21" t="str">
        <f t="shared" si="221"/>
        <v xml:space="preserve">negotiation(1), web(1), infrastructrue(1), database(1), mobile apps(1), sensors(1), security(1), AI&amp; data analysis(1), mobile comm(1), VR&amp;AR(1), wood processing(1), metal processing(1), plastic processing(1), electronics(1), fabric(1),  </v>
      </c>
      <c r="CT166" s="21" t="str">
        <f t="shared" si="222"/>
        <v xml:space="preserve"> </v>
      </c>
      <c r="CU166" s="21" t="str">
        <f t="shared" si="565"/>
        <v xml:space="preserve"> </v>
      </c>
      <c r="CV166" s="21" t="str">
        <f t="shared" si="563"/>
        <v xml:space="preserve"> </v>
      </c>
      <c r="CW166" s="21" t="str">
        <f t="shared" si="223"/>
        <v xml:space="preserve"> </v>
      </c>
      <c r="CX166" s="21" t="str">
        <f t="shared" si="564"/>
        <v xml:space="preserve"> </v>
      </c>
      <c r="CY166" s="21" t="str">
        <f t="shared" si="224"/>
        <v xml:space="preserve">negotiation(1),  </v>
      </c>
      <c r="CZ166" s="21" t="str">
        <f t="shared" si="225"/>
        <v xml:space="preserve"> </v>
      </c>
      <c r="DA166" s="21" t="str">
        <f t="shared" si="565"/>
        <v xml:space="preserve"> </v>
      </c>
      <c r="DB166" s="21" t="str">
        <f t="shared" si="563"/>
        <v xml:space="preserve"> </v>
      </c>
      <c r="DC166" s="21" t="str">
        <f t="shared" si="226"/>
        <v xml:space="preserve"> </v>
      </c>
      <c r="DD166" s="21" t="str">
        <f t="shared" si="564"/>
        <v xml:space="preserve"> </v>
      </c>
      <c r="DE166" s="21" t="str">
        <f t="shared" si="227"/>
        <v xml:space="preserve">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6" s="21" t="str">
        <f t="shared" si="228"/>
        <v xml:space="preserve"> </v>
      </c>
      <c r="DG166" s="21" t="str">
        <f t="shared" si="565"/>
        <v xml:space="preserve"> </v>
      </c>
      <c r="DH166" s="21" t="str">
        <f t="shared" si="563"/>
        <v xml:space="preserve">social project 1
 </v>
      </c>
      <c r="DI166" s="21" t="str">
        <f t="shared" si="229"/>
        <v xml:space="preserve"> </v>
      </c>
      <c r="DJ166" s="21" t="str">
        <f t="shared" si="564"/>
        <v xml:space="preserve"> </v>
      </c>
      <c r="DK166"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6" s="21" t="str">
        <f t="shared" si="231"/>
        <v xml:space="preserve"> </v>
      </c>
      <c r="DM166" s="21" t="str">
        <f t="shared" si="565"/>
        <v xml:space="preserve"> </v>
      </c>
      <c r="DN166" s="21" t="str">
        <f t="shared" si="563"/>
        <v xml:space="preserve">biz project 1
 </v>
      </c>
      <c r="DO166" s="21" t="str">
        <f t="shared" si="232"/>
        <v xml:space="preserve"> </v>
      </c>
      <c r="DP166" s="21" t="str">
        <f t="shared" si="564"/>
        <v xml:space="preserve"> </v>
      </c>
      <c r="DQ166" s="21" t="str">
        <f t="shared" si="233"/>
        <v xml:space="preserve">finance(1), 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6" s="21" t="str">
        <f t="shared" si="234"/>
        <v xml:space="preserve"> </v>
      </c>
      <c r="DS166" s="21" t="str">
        <f t="shared" si="565"/>
        <v xml:space="preserve"> </v>
      </c>
      <c r="DT166" s="21" t="str">
        <f t="shared" si="563"/>
        <v xml:space="preserve"> </v>
      </c>
      <c r="DU166" s="21" t="str">
        <f t="shared" si="235"/>
        <v xml:space="preserve"> </v>
      </c>
      <c r="DV166" s="21" t="str">
        <f t="shared" si="564"/>
        <v xml:space="preserve"> </v>
      </c>
      <c r="DW166" s="21" t="str">
        <f t="shared" si="236"/>
        <v xml:space="preserve">marketing(1), social media(1), for basic literacy(1),  </v>
      </c>
      <c r="DX166" s="21" t="str">
        <f t="shared" si="237"/>
        <v xml:space="preserve">for basic literacy(1,6.25),  </v>
      </c>
      <c r="DY166" s="21" t="str">
        <f t="shared" si="565"/>
        <v xml:space="preserve">for basic literacy(6.25), </v>
      </c>
      <c r="DZ166" s="21" t="str">
        <f t="shared" si="563"/>
        <v xml:space="preserve"> </v>
      </c>
      <c r="EA166" s="21" t="str">
        <f t="shared" si="238"/>
        <v xml:space="preserve"> </v>
      </c>
      <c r="EB166" s="21" t="str">
        <f t="shared" si="564"/>
        <v xml:space="preserve"> </v>
      </c>
      <c r="EC166" s="21" t="str">
        <f t="shared" si="239"/>
        <v xml:space="preserve">marketing(1), social media(1), web(2), infrastructrue(2), database(2), mobile apps(2), sensors(2), security(2), AI&amp; data analysis(2), mobile comm(2), VR&amp;AR(2), wood processing(2), metal processing(2), plastic processing(2), electronics(2), fabric(2), for basic literacy(1),  </v>
      </c>
      <c r="ED166" s="21" t="str">
        <f t="shared" si="240"/>
        <v xml:space="preserve">for basic literacy(1,6.25),  </v>
      </c>
      <c r="EE166" s="21" t="str">
        <f t="shared" si="565"/>
        <v xml:space="preserve">for basic literacy(6.25), </v>
      </c>
      <c r="EF166" s="21" t="str">
        <f t="shared" si="563"/>
        <v xml:space="preserve"> </v>
      </c>
      <c r="EG166" s="21" t="str">
        <f t="shared" si="241"/>
        <v xml:space="preserve">web(1,50), mobile apps(1,50), interaction(1,50),  </v>
      </c>
      <c r="EH166" s="21" t="str">
        <f t="shared" si="564"/>
        <v xml:space="preserve">web 50
mobile apps 50
interaction 50
 </v>
      </c>
      <c r="EI166" s="21" t="str">
        <f t="shared" si="242"/>
        <v xml:space="preserve">infrastructrue(1), database(1), mobile comm(1), for entrepreneurs(1),  </v>
      </c>
      <c r="EJ166" s="21" t="str">
        <f t="shared" si="243"/>
        <v xml:space="preserve">infrastructrue(1,12.5), database(1,12.5), mobile comm(1,12.5), for entrepreneurs(1,6.25),  </v>
      </c>
      <c r="EK166" s="21" t="str">
        <f t="shared" si="565"/>
        <v xml:space="preserve">infrastructrue(12.5),database(12.5),mobile comm(12.5),for entrepreneurs(6.25), </v>
      </c>
      <c r="EL166" s="21" t="str">
        <f t="shared" si="566"/>
        <v xml:space="preserve"> </v>
      </c>
      <c r="EM166" s="21" t="str">
        <f t="shared" si="245"/>
        <v xml:space="preserve">sensors(1,50),  </v>
      </c>
      <c r="EN166" s="21" t="str">
        <f t="shared" si="567"/>
        <v xml:space="preserve">sensors 50
 </v>
      </c>
      <c r="EO166" s="21" t="str">
        <f t="shared" si="247"/>
        <v xml:space="preserve">project management(2), infrastructrue(1), database(1), mobile comm(1), for entrepreneurs(1),  </v>
      </c>
      <c r="EP166" s="21" t="str">
        <f t="shared" si="248"/>
        <v xml:space="preserve">infrastructrue(1,12.5), database(1,12.5), mobile comm(1,12.5), electronics(1,6.25), for entrepreneurs(1,6.25),  </v>
      </c>
      <c r="EQ166" s="21" t="str">
        <f t="shared" si="568"/>
        <v xml:space="preserve">infrastructrue(12.5),database(12.5),mobile comm(12.5),electronics(6.25),for entrepreneurs(6.25), </v>
      </c>
      <c r="ER166" s="21" t="str">
        <f t="shared" si="566"/>
        <v xml:space="preserve"> </v>
      </c>
      <c r="ES166" s="21" t="str">
        <f t="shared" si="250"/>
        <v xml:space="preserve">AI&amp; data analysis(1,50),  </v>
      </c>
      <c r="ET166" s="21" t="str">
        <f t="shared" si="567"/>
        <v xml:space="preserve">AI&amp; data analysis 50
 </v>
      </c>
      <c r="EU166" s="21" t="str">
        <f t="shared" si="251"/>
        <v xml:space="preserve">database(1), sensors(1), mobile comm(1), for entrepreneurs(1),  </v>
      </c>
      <c r="EV166" s="21" t="str">
        <f t="shared" si="252"/>
        <v xml:space="preserve">database(1,12.5), sensors(1,12.5), mobile comm(1,12.5), for entrepreneurs(1,6.25),  </v>
      </c>
      <c r="EW166" s="21" t="str">
        <f t="shared" si="568"/>
        <v xml:space="preserve">database(12.5),sensors(12.5),mobile comm(12.5),for entrepreneurs(6.25), </v>
      </c>
      <c r="EX166" s="21" t="str">
        <f t="shared" si="566"/>
        <v xml:space="preserve"> </v>
      </c>
      <c r="EY166" s="21" t="str">
        <f t="shared" si="253"/>
        <v xml:space="preserve">security(1,50), interaction(1,25),  </v>
      </c>
      <c r="EZ166" s="21" t="str">
        <f t="shared" si="567"/>
        <v xml:space="preserve">security 50
interaction 25
 </v>
      </c>
      <c r="FA166" s="21" t="str">
        <f t="shared" si="254"/>
        <v xml:space="preserve">for entrepreneurs(1),  </v>
      </c>
      <c r="FB166" s="21" t="str">
        <f t="shared" si="255"/>
        <v xml:space="preserve">database(1,12.5), mobile apps(1,12.5), security(1,12.5), mobile comm(1,12.5), for entrepreneurs(1,6.25),  </v>
      </c>
      <c r="FC166" s="21" t="str">
        <f t="shared" si="568"/>
        <v xml:space="preserve">database(12.5),mobile apps(12.5),security(12.5),mobile comm(12.5),for entrepreneurs(6.25), </v>
      </c>
      <c r="FD166" s="21" t="str">
        <f t="shared" si="566"/>
        <v xml:space="preserve"> </v>
      </c>
      <c r="FE166" s="21" t="str">
        <f t="shared" si="256"/>
        <v xml:space="preserve">sensors(1,50), security(1,50),  </v>
      </c>
      <c r="FF166" s="21" t="str">
        <f t="shared" si="567"/>
        <v xml:space="preserve">sensors 50
security 50
 </v>
      </c>
      <c r="FG166" s="21" t="str">
        <f t="shared" si="257"/>
        <v xml:space="preserve">project management(2), for entrepreneurs(1),  </v>
      </c>
      <c r="FH166" s="21" t="str">
        <f t="shared" si="258"/>
        <v xml:space="preserve">database(1,6.25), mobile apps(1,6.25), AI&amp; data analysis(1,6.25), mobile comm(1,6.25), for entrepreneurs(1,6.25),  </v>
      </c>
      <c r="FI166" s="21" t="str">
        <f t="shared" si="568"/>
        <v xml:space="preserve">database(6.25),mobile apps(6.25),AI&amp; data analysis(6.25),mobile comm(6.25),for entrepreneurs(6.25), </v>
      </c>
      <c r="FJ166" s="21" t="str">
        <f t="shared" si="566"/>
        <v xml:space="preserve"> </v>
      </c>
      <c r="FK166" s="21" t="str">
        <f t="shared" si="259"/>
        <v xml:space="preserve">wood processing(1,25), metal processing(1,25), plastic processing(1,25), fabric(1,25), safety(1,25), interaction(1,25),  </v>
      </c>
      <c r="FL166" s="21" t="str">
        <f t="shared" si="567"/>
        <v xml:space="preserve">project management 2
wood processing 25
metal processing 25
plastic processing 25
fabric 25
safety 25
interaction 25
 </v>
      </c>
      <c r="FM166" s="21" t="str">
        <f t="shared" si="260"/>
        <v xml:space="preserve">for entrepreneurs(1),  </v>
      </c>
      <c r="FN166" s="21" t="str">
        <f t="shared" si="261"/>
        <v xml:space="preserve">for entrepreneurs(1,6.25),  </v>
      </c>
      <c r="FO166" s="21" t="str">
        <f t="shared" si="568"/>
        <v xml:space="preserve">for entrepreneurs(6.25), </v>
      </c>
      <c r="FP166" s="21" t="str">
        <f t="shared" si="566"/>
        <v xml:space="preserve"> </v>
      </c>
      <c r="FQ166" s="21" t="str">
        <f t="shared" si="262"/>
        <v xml:space="preserve">web(1,25), mobile apps(1,50), functions(1,25), interaction(1,25),  </v>
      </c>
      <c r="FR166" s="21" t="str">
        <f t="shared" si="567"/>
        <v xml:space="preserve">web 25
mobile apps 50
functions 25
interaction 25
 </v>
      </c>
      <c r="FS166" s="21" t="str">
        <f t="shared" si="263"/>
        <v xml:space="preserve">for entrepreneurs(1),  </v>
      </c>
      <c r="FT166" s="21" t="str">
        <f t="shared" si="264"/>
        <v xml:space="preserve">for entrepreneurs(1,6.25),  </v>
      </c>
      <c r="FU166" s="21" t="str">
        <f t="shared" si="568"/>
        <v xml:space="preserve">for entrepreneurs(6.25), </v>
      </c>
      <c r="FV166" s="21" t="str">
        <f t="shared" si="566"/>
        <v xml:space="preserve"> </v>
      </c>
      <c r="FW166" s="21" t="str">
        <f t="shared" si="265"/>
        <v xml:space="preserve">mobile apps(1,50), sensors(1,50), wood processing(1,25), plastic processing(1,25), electronics(1,25), functions(1,25), interaction(1,25),  </v>
      </c>
      <c r="FX166" s="21" t="str">
        <f t="shared" si="567"/>
        <v xml:space="preserve">mobile apps 50
sensors 50
wood processing 25
plastic processing 25
electronics 25
functions 25
interaction 25
 </v>
      </c>
      <c r="FY166" s="21" t="str">
        <f t="shared" si="266"/>
        <v xml:space="preserve">project management(2), for entrepreneurs(1),  </v>
      </c>
      <c r="FZ166" s="21" t="str">
        <f t="shared" si="267"/>
        <v xml:space="preserve">web(1,6.25), database(1,6.25), AI&amp; data analysis(1,6.25), mobile comm(1,6.25), for entrepreneurs(1,6.25),  </v>
      </c>
      <c r="GA166" s="21" t="str">
        <f t="shared" si="568"/>
        <v xml:space="preserve">web(6.25),database(6.25),AI&amp; data analysis(6.25),mobile comm(6.25),for entrepreneurs(6.25), </v>
      </c>
      <c r="GB166" s="21" t="str">
        <f t="shared" si="566"/>
        <v xml:space="preserve"> </v>
      </c>
      <c r="GC166" s="21" t="str">
        <f t="shared" si="268"/>
        <v xml:space="preserve">sensors(1,25), mobile comm(1,25), electronics(1,50), functions(1,25), safety(1,25),  </v>
      </c>
      <c r="GD166" s="21" t="str">
        <f t="shared" si="567"/>
        <v xml:space="preserve">sensors 25
mobile comm 25
electronics 50
functions 25
safety 25
 </v>
      </c>
      <c r="GE166" s="21" t="str">
        <f t="shared" si="269"/>
        <v xml:space="preserve">project management(2), for entrepreneurs(1),  </v>
      </c>
      <c r="GF166" s="21" t="str">
        <f t="shared" si="270"/>
        <v xml:space="preserve">database(1,6.25), mobile apps(1,6.25), AI&amp; data analysis(1,6.25), plastic processing(1,6.25), interaction(1,6.25), for entrepreneurs(1,6.25),  </v>
      </c>
      <c r="GG166" s="21" t="str">
        <f t="shared" si="568"/>
        <v xml:space="preserve">database(6.25),mobile apps(6.25),AI&amp; data analysis(6.25),plastic processing(6.25),interaction(6.25),for entrepreneurs(6.25), </v>
      </c>
      <c r="GH166" s="21" t="str">
        <f t="shared" si="566"/>
        <v xml:space="preserve"> </v>
      </c>
      <c r="GI166" s="21" t="str">
        <f t="shared" si="271"/>
        <v xml:space="preserve">web(1,25), mobile apps(1,50), functions(1,25), interaction(1,25),  </v>
      </c>
      <c r="GJ166" s="21" t="str">
        <f t="shared" si="567"/>
        <v xml:space="preserve">web 25
mobile apps 50
functions 25
interaction 25
 </v>
      </c>
      <c r="GK166" s="21" t="str">
        <f t="shared" si="272"/>
        <v xml:space="preserve">project management(2), for entrepreneurs(1),  </v>
      </c>
      <c r="GL166" s="21" t="str">
        <f t="shared" si="273"/>
        <v xml:space="preserve">for entrepreneurs(1,6.25),  </v>
      </c>
      <c r="GM166" s="21" t="str">
        <f t="shared" si="568"/>
        <v xml:space="preserve">for entrepreneurs(6.25), </v>
      </c>
      <c r="GN166" s="21" t="str">
        <f t="shared" si="566"/>
        <v xml:space="preserve"> </v>
      </c>
      <c r="GO166" s="21" t="str">
        <f t="shared" si="274"/>
        <v xml:space="preserve">web(1,25), mobile apps(1,25), VR&amp;AR(1,25), aesthetics(1,25), functions(1,25), interaction(1,50),  </v>
      </c>
      <c r="GP166" s="21" t="str">
        <f t="shared" si="567"/>
        <v xml:space="preserve">web 25
mobile apps 25
VR&amp;AR 25
aesthetics 25
functions 25
interaction 50
 </v>
      </c>
      <c r="GQ166" s="21" t="str">
        <f t="shared" si="275"/>
        <v xml:space="preserve">project management(2), for entrepreneurs(1),  </v>
      </c>
      <c r="GR166" s="21" t="str">
        <f t="shared" si="276"/>
        <v xml:space="preserve">for entrepreneurs(1,6.25),  </v>
      </c>
      <c r="GS166" s="21" t="str">
        <f t="shared" si="568"/>
        <v xml:space="preserve">for entrepreneurs(6.25), </v>
      </c>
      <c r="GT166" s="21" t="str">
        <f t="shared" si="566"/>
        <v xml:space="preserve">web 1
mobile apps 1
mobile comm 1
 </v>
      </c>
      <c r="GU166" s="21" t="str">
        <f t="shared" si="277"/>
        <v xml:space="preserve"> </v>
      </c>
      <c r="GV166" s="21" t="str">
        <f t="shared" si="567"/>
        <v xml:space="preserve"> </v>
      </c>
      <c r="GW166" s="21" t="str">
        <f t="shared" si="278"/>
        <v xml:space="preserve">business model(2), marketing(1), team building(1), project management(1), social media(1), infrastructrue(1), database(1), sensors(1), security(1), AI&amp; data analysis(1), electronics(1),  </v>
      </c>
      <c r="GX166" s="21" t="str">
        <f t="shared" si="279"/>
        <v xml:space="preserve">project management(1,6.25), social media(1,6.25), web(1,6.25), mobile apps(1,6.25),  </v>
      </c>
      <c r="GY166" s="21" t="str">
        <f t="shared" si="568"/>
        <v xml:space="preserve">project management(6.25),social media(6.25),web(6.25),mobile apps(6.25), </v>
      </c>
      <c r="GZ166" s="21" t="str">
        <f t="shared" si="569"/>
        <v xml:space="preserve"> </v>
      </c>
      <c r="HA166" s="21" t="str">
        <f t="shared" si="281"/>
        <v xml:space="preserve"> </v>
      </c>
      <c r="HB166" s="21" t="str">
        <f t="shared" si="570"/>
        <v xml:space="preserve"> </v>
      </c>
      <c r="HC166" s="21" t="str">
        <f t="shared" si="283"/>
        <v xml:space="preserve">social media(2), web(2), mobile apps(2), sensors(2), AI&amp; data analysis(2), VR&amp;AR(2), plastic processing(2), electronics(2), aesthetics(2), interaction(2),  </v>
      </c>
      <c r="HD166" s="21" t="str">
        <f t="shared" si="284"/>
        <v xml:space="preserve">start-up with customers(1,6.25), for basic literacy(1,6.25),  </v>
      </c>
      <c r="HE166" s="21" t="str">
        <f t="shared" si="571"/>
        <v xml:space="preserve">start-up with customers(6.25),for basic literacy(6.25), </v>
      </c>
      <c r="HF166" s="21" t="str">
        <f t="shared" si="569"/>
        <v xml:space="preserve"> </v>
      </c>
      <c r="HG166" s="21" t="str">
        <f t="shared" si="286"/>
        <v xml:space="preserve"> </v>
      </c>
      <c r="HH166" s="21" t="str">
        <f t="shared" si="570"/>
        <v xml:space="preserve"> </v>
      </c>
      <c r="HI166" s="21" t="str">
        <f t="shared" si="287"/>
        <v xml:space="preserve">marketing(2), team building(3), project management(2), mobile apps(3), sensors(2), plastic processing(2), electronics(2), aesthetics(2), functions(2), interaction(2),  </v>
      </c>
      <c r="HJ166" s="21" t="str">
        <f t="shared" si="288"/>
        <v xml:space="preserve">start-up with customers(1,6.25),  </v>
      </c>
      <c r="HK166" s="21" t="str">
        <f t="shared" si="571"/>
        <v xml:space="preserve">start-up with customers(6.25), </v>
      </c>
      <c r="HL166" s="21" t="str">
        <f t="shared" si="569"/>
        <v xml:space="preserve"> </v>
      </c>
      <c r="HM166" s="21" t="str">
        <f t="shared" si="289"/>
        <v xml:space="preserve"> </v>
      </c>
      <c r="HN166" s="21" t="str">
        <f t="shared" si="570"/>
        <v xml:space="preserve"> </v>
      </c>
      <c r="HO166" s="21" t="str">
        <f t="shared" si="290"/>
        <v xml:space="preserve">finance(2), marketing(2), project management(2), social media(2), web(3), mobile apps(2), wood processing(3), plastic processing(3), electronics(3), aesthetics(2), interaction(2),  </v>
      </c>
      <c r="HP166" s="21" t="str">
        <f t="shared" si="291"/>
        <v xml:space="preserve"> </v>
      </c>
      <c r="HQ166" s="47" t="str">
        <f t="shared" si="571"/>
        <v xml:space="preserve"> </v>
      </c>
      <c r="HR166" s="47" t="str">
        <f t="shared" ref="HR166:HW166" si="627">IF(HR64="",HR167,$C166&amp;"("&amp;HR64&amp;"),"&amp;HR167)</f>
        <v xml:space="preserve">mobile apps(1),sensors(1),wood processing(1),aesthetics(1), </v>
      </c>
      <c r="HS166" s="47" t="str">
        <f t="shared" si="627"/>
        <v xml:space="preserve"> </v>
      </c>
      <c r="HT166" s="47" t="str">
        <f t="shared" si="627"/>
        <v xml:space="preserve"> </v>
      </c>
      <c r="HU166" s="47" t="str">
        <f t="shared" si="627"/>
        <v xml:space="preserve">project management(2),social media(2),web(3),infrastructrue(3),database(3),mobile apps(3),sensors(3),AI&amp; data analysis(3),mobile comm(3),VR&amp;AR(3),wood processing(3),metal processing(2),plastic processing(2),electronics(2),fabric(2),aesthetics(2),interaction(2),start-up with mvp(1), </v>
      </c>
      <c r="HV166" s="47" t="str">
        <f t="shared" si="627"/>
        <v xml:space="preserve"> </v>
      </c>
      <c r="HW166" s="47" t="str">
        <f t="shared" si="627"/>
        <v xml:space="preserve"> </v>
      </c>
      <c r="HX166" s="47" t="str">
        <f t="shared" ref="HX166:IU166" si="628">IF(HX64="",HX167,$C166&amp;"("&amp;HX64&amp;"),"&amp;HX167)</f>
        <v xml:space="preserve">web(1),infrastructrue(1),database(2),mobile apps(1),sensors(1),AI&amp; data analysis(2),VR&amp;AR(1),wood processing(1),metal processing(1),plastic processing(1),electronics(1),aesthetics(1),functions(1),interaction(1), </v>
      </c>
      <c r="HY166" s="47" t="str">
        <f t="shared" si="628"/>
        <v xml:space="preserve">biz enhancement(1), </v>
      </c>
      <c r="HZ166" s="47" t="str">
        <f t="shared" si="628"/>
        <v xml:space="preserve">biz enhancement(100), </v>
      </c>
      <c r="IA166" s="47" t="str">
        <f t="shared" si="628"/>
        <v xml:space="preserve">finance(2),business model(2),marketing(3),team building(2),project management(2),social media(3),negotiation(3), </v>
      </c>
      <c r="IB166" s="47" t="str">
        <f t="shared" si="628"/>
        <v xml:space="preserve">team building(1),database(1),AI&amp; data analysis(1),electronics(1),functions(1), </v>
      </c>
      <c r="IC166" s="47" t="str">
        <f t="shared" si="628"/>
        <v xml:space="preserve">team building(6.25),database(6.25),AI&amp; data analysis(6.25),electronics(6.25),functions(6.25), </v>
      </c>
      <c r="ID166" s="47" t="str">
        <f t="shared" si="628"/>
        <v xml:space="preserve"> </v>
      </c>
      <c r="IE166" s="47" t="str">
        <f t="shared" si="628"/>
        <v xml:space="preserve">web(1),mobile apps(1),security(1),AI&amp; data analysis(1), </v>
      </c>
      <c r="IF166" s="47" t="str">
        <f t="shared" si="628"/>
        <v xml:space="preserve">web(25),mobile apps(25),security(25),AI&amp; data analysis(25), </v>
      </c>
      <c r="IG166" s="47" t="str">
        <f t="shared" si="628"/>
        <v xml:space="preserve">web(2),database(2),mobile apps(2),security(2),AI&amp; data analysis(2), </v>
      </c>
      <c r="IH166" s="47" t="str">
        <f t="shared" si="628"/>
        <v xml:space="preserve">web(1),database(1),mobile apps(1),security(1),AI&amp; data analysis(1), </v>
      </c>
      <c r="II166" s="47" t="str">
        <f t="shared" si="628"/>
        <v xml:space="preserve">web(6.25),database(6.25),mobile apps(6.25),security(6.25),AI&amp; data analysis(6.25), </v>
      </c>
      <c r="IJ166" s="47" t="str">
        <f t="shared" si="628"/>
        <v xml:space="preserve"> </v>
      </c>
      <c r="IK166" s="47" t="str">
        <f t="shared" si="628"/>
        <v xml:space="preserve">wood processing(1),metal processing(1),functions(1),safety(1), </v>
      </c>
      <c r="IL166" s="47" t="str">
        <f t="shared" si="628"/>
        <v xml:space="preserve">wood processing(25),metal processing(25),functions(25),safety(25), </v>
      </c>
      <c r="IM166" s="47" t="str">
        <f t="shared" si="628"/>
        <v xml:space="preserve">wood processing(2),metal processing(2),functions(2),safety(2), </v>
      </c>
      <c r="IN166" s="47" t="str">
        <f t="shared" si="628"/>
        <v xml:space="preserve">wood processing(1),metal processing(1),functions(1),safety(1),interaction(1), </v>
      </c>
      <c r="IO166" s="47" t="str">
        <f t="shared" si="628"/>
        <v xml:space="preserve">wood processing(6.25),metal processing(6.25),functions(6.25),safety(6.25),interaction(6.25), </v>
      </c>
      <c r="IP166" s="57" t="str">
        <f t="shared" si="628"/>
        <v xml:space="preserve"> </v>
      </c>
      <c r="IQ166" s="47" t="str">
        <f t="shared" si="628"/>
        <v xml:space="preserve">marketing(1), </v>
      </c>
      <c r="IR166" s="47" t="str">
        <f t="shared" si="628"/>
        <v xml:space="preserve">marketing(25), </v>
      </c>
      <c r="IS166" s="47" t="str">
        <f t="shared" si="628"/>
        <v xml:space="preserve">marketing(2), </v>
      </c>
      <c r="IT166" s="47" t="str">
        <f t="shared" si="628"/>
        <v xml:space="preserve">marketing(1), </v>
      </c>
      <c r="IU166" s="47" t="str">
        <f t="shared" si="628"/>
        <v xml:space="preserve">marketing(6.25), </v>
      </c>
      <c r="IV166" s="57" t="str">
        <f t="shared" ref="IV166:LG166" si="629">IF(IV64="",IV167,$C166&amp;"("&amp;IV64&amp;"),"&amp;IV167)</f>
        <v xml:space="preserve"> </v>
      </c>
      <c r="IW166" s="47" t="str">
        <f t="shared" si="629"/>
        <v xml:space="preserve">marketing(1), </v>
      </c>
      <c r="IX166" s="47" t="str">
        <f t="shared" si="629"/>
        <v xml:space="preserve">marketing(25), </v>
      </c>
      <c r="IY166" s="47" t="str">
        <f t="shared" si="629"/>
        <v xml:space="preserve">marketing(2), </v>
      </c>
      <c r="IZ166" s="47" t="str">
        <f t="shared" si="629"/>
        <v xml:space="preserve">marketing(1), </v>
      </c>
      <c r="JA166" s="47" t="str">
        <f t="shared" si="629"/>
        <v xml:space="preserve">marketing(6.25), </v>
      </c>
      <c r="JB166" s="47" t="str">
        <f t="shared" si="629"/>
        <v xml:space="preserve"> </v>
      </c>
      <c r="JC166" s="47" t="str">
        <f t="shared" si="629"/>
        <v xml:space="preserve"> </v>
      </c>
      <c r="JD166" s="47" t="str">
        <f t="shared" si="629"/>
        <v xml:space="preserve"> </v>
      </c>
      <c r="JE166" s="47" t="str">
        <f t="shared" si="629"/>
        <v xml:space="preserve"> </v>
      </c>
      <c r="JF166" s="47" t="str">
        <f t="shared" si="629"/>
        <v xml:space="preserve">web(1),infrastructrue(1),database(1),mobile apps(1),sensors(1),security(1),AI&amp; data analysis(1),mobile comm(1),VR&amp;AR(1),wood processing(1),metal processing(1),plastic processing(1),electronics(1),fabric(1),aesthetics(1),functions(1),safety(1),interaction(1), </v>
      </c>
      <c r="JG166" s="47" t="str">
        <f t="shared" si="629"/>
        <v xml:space="preserve">web(6.25),infrastructrue(6.25),database(6.25),mobile apps(6.25),sensors(6.25),security(6.25),AI&amp; data analysis(6.25),mobile comm(6.25),VR&amp;AR(6.25),wood processing(6.25),metal processing(6.25),plastic processing(6.25),electronics(6.25),fabric(6.25),aesthetics(6.25),functions(6.25),safety(6.25),interaction(6.25), </v>
      </c>
      <c r="JH166" s="47" t="str">
        <f t="shared" si="629"/>
        <v xml:space="preserve"> </v>
      </c>
      <c r="JI166" s="47" t="str">
        <f t="shared" si="629"/>
        <v xml:space="preserve"> </v>
      </c>
      <c r="JJ166" s="47" t="str">
        <f t="shared" si="629"/>
        <v xml:space="preserve"> </v>
      </c>
      <c r="JK166" s="47" t="str">
        <f t="shared" si="629"/>
        <v xml:space="preserve">social media(2),negotiation(2),social project(1),social innovation(1),non-profit biz(1),biz project(1),biz enhancement(1),job creation(1),business(1),start-up(1),start-up with mvp(1),start-up with customers(1),for basic literacy(1),for the elites(1),for entrepreneurs(1), </v>
      </c>
      <c r="JL166" s="47" t="str">
        <f t="shared" si="629"/>
        <v xml:space="preserve"> </v>
      </c>
      <c r="JM166" s="47" t="str">
        <f t="shared" si="629"/>
        <v xml:space="preserve"> </v>
      </c>
      <c r="JN166" s="47" t="str">
        <f t="shared" si="629"/>
        <v xml:space="preserve"> </v>
      </c>
      <c r="JO166" s="47" t="str">
        <f t="shared" si="629"/>
        <v xml:space="preserve"> </v>
      </c>
      <c r="JP166" s="47" t="str">
        <f t="shared" si="629"/>
        <v xml:space="preserve"> </v>
      </c>
      <c r="JQ166" s="47" t="str">
        <f t="shared" si="629"/>
        <v xml:space="preserve">electronics(1),aesthetics(1),interaction(1),social project(1),social innovation(1),non-profit biz(1),biz project(1),biz enhancement(1),job creation(1),business(1),start-up(1),start-up with mvp(1),start-up with customers(1),for basic literacy(1),for the elites(1),for entrepreneurs(1), </v>
      </c>
      <c r="JR166" s="47" t="str">
        <f t="shared" si="629"/>
        <v xml:space="preserve"> </v>
      </c>
      <c r="JS166" s="47" t="str">
        <f t="shared" si="629"/>
        <v xml:space="preserve"> </v>
      </c>
      <c r="JT166" s="47" t="str">
        <f t="shared" si="629"/>
        <v xml:space="preserve"> </v>
      </c>
      <c r="JU166" s="47" t="str">
        <f t="shared" si="629"/>
        <v xml:space="preserve"> </v>
      </c>
      <c r="JV166" s="47" t="str">
        <f t="shared" si="629"/>
        <v xml:space="preserve"> </v>
      </c>
      <c r="JW166" s="47" t="str">
        <f t="shared" si="629"/>
        <v xml:space="preserve">finance(1),marketing(1),team building(1),project management(1),social media(1),negotiation(1),social project(2),social innovation(1),non-profit biz(1),biz project(2),biz enhancement(2),job creation(1),business(1),start-up(2),start-up with mvp(1),start-up with customers(1),for basic literacy(2),for the elites(1),for entrepreneurs(1), </v>
      </c>
      <c r="JX166" s="47" t="str">
        <f t="shared" si="629"/>
        <v xml:space="preserve"> </v>
      </c>
      <c r="JY166" s="47" t="str">
        <f t="shared" si="629"/>
        <v xml:space="preserve"> </v>
      </c>
      <c r="JZ166" s="47" t="str">
        <f t="shared" si="629"/>
        <v xml:space="preserve">social project(2), </v>
      </c>
      <c r="KA166" s="47" t="str">
        <f t="shared" si="629"/>
        <v xml:space="preserve"> </v>
      </c>
      <c r="KB166" s="47" t="str">
        <f t="shared" si="629"/>
        <v xml:space="preserve"> </v>
      </c>
      <c r="KC166" s="47" t="str">
        <f t="shared" si="629"/>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6" s="47" t="str">
        <f t="shared" si="629"/>
        <v xml:space="preserve"> </v>
      </c>
      <c r="KE166" s="47" t="str">
        <f t="shared" si="629"/>
        <v xml:space="preserve"> </v>
      </c>
      <c r="KF166" s="47" t="str">
        <f t="shared" si="629"/>
        <v xml:space="preserve"> </v>
      </c>
      <c r="KG166" s="47" t="str">
        <f t="shared" si="629"/>
        <v xml:space="preserve"> </v>
      </c>
      <c r="KH166" s="47" t="str">
        <f t="shared" si="629"/>
        <v xml:space="preserve"> </v>
      </c>
      <c r="KI166" s="47" t="str">
        <f t="shared" si="629"/>
        <v xml:space="preserve"> </v>
      </c>
      <c r="KJ166" s="47" t="str">
        <f t="shared" si="629"/>
        <v xml:space="preserve"> </v>
      </c>
      <c r="KK166" s="47" t="str">
        <f t="shared" si="629"/>
        <v xml:space="preserve"> </v>
      </c>
      <c r="KL166" s="57" t="str">
        <f t="shared" si="629"/>
        <v xml:space="preserve"> </v>
      </c>
      <c r="KM166" s="47" t="str">
        <f t="shared" si="629"/>
        <v xml:space="preserve"> </v>
      </c>
      <c r="KN166" s="47" t="str">
        <f t="shared" si="629"/>
        <v xml:space="preserve"> </v>
      </c>
      <c r="KO166" s="47" t="str">
        <f t="shared" si="629"/>
        <v xml:space="preserve"> </v>
      </c>
      <c r="KP166" s="47" t="str">
        <f t="shared" si="629"/>
        <v xml:space="preserve"> </v>
      </c>
      <c r="KQ166" s="47" t="str">
        <f t="shared" si="629"/>
        <v xml:space="preserve"> </v>
      </c>
      <c r="KR166" s="57" t="str">
        <f t="shared" si="629"/>
        <v xml:space="preserve"> </v>
      </c>
      <c r="KS166" s="47" t="str">
        <f t="shared" si="629"/>
        <v xml:space="preserve"> </v>
      </c>
      <c r="KT166" s="47" t="str">
        <f t="shared" si="629"/>
        <v xml:space="preserve"> </v>
      </c>
      <c r="KU166" s="47" t="str">
        <f t="shared" si="629"/>
        <v xml:space="preserve"> </v>
      </c>
      <c r="KV166" s="47" t="str">
        <f t="shared" si="629"/>
        <v xml:space="preserve"> </v>
      </c>
      <c r="KW166" s="47" t="str">
        <f t="shared" si="629"/>
        <v xml:space="preserve"> </v>
      </c>
      <c r="KX166" s="57" t="str">
        <f t="shared" si="629"/>
        <v xml:space="preserve"> </v>
      </c>
      <c r="KY166" s="47" t="str">
        <f t="shared" si="629"/>
        <v xml:space="preserve"> </v>
      </c>
      <c r="KZ166" s="47" t="str">
        <f t="shared" si="629"/>
        <v xml:space="preserve"> </v>
      </c>
      <c r="LA166" s="47" t="str">
        <f t="shared" si="629"/>
        <v xml:space="preserve"> </v>
      </c>
      <c r="LB166" s="47" t="str">
        <f t="shared" si="629"/>
        <v xml:space="preserve"> </v>
      </c>
      <c r="LC166" s="47" t="str">
        <f t="shared" si="629"/>
        <v xml:space="preserve"> </v>
      </c>
      <c r="LD166" s="57" t="str">
        <f t="shared" si="629"/>
        <v xml:space="preserve"> </v>
      </c>
      <c r="LE166" s="47" t="str">
        <f t="shared" si="629"/>
        <v xml:space="preserve"> </v>
      </c>
      <c r="LF166" s="47" t="str">
        <f t="shared" si="629"/>
        <v xml:space="preserve"> </v>
      </c>
      <c r="LG166" s="47" t="str">
        <f t="shared" si="629"/>
        <v xml:space="preserve"> </v>
      </c>
      <c r="LH166" s="47" t="str">
        <f t="shared" ref="LH166:NM166" si="630">IF(LH64="",LH167,$C166&amp;"("&amp;LH64&amp;"),"&amp;LH167)</f>
        <v xml:space="preserve"> </v>
      </c>
      <c r="LI166" s="47" t="str">
        <f t="shared" si="630"/>
        <v xml:space="preserve"> </v>
      </c>
      <c r="LJ166" s="57" t="str">
        <f t="shared" si="630"/>
        <v xml:space="preserve"> </v>
      </c>
      <c r="LK166" s="47" t="str">
        <f t="shared" si="630"/>
        <v xml:space="preserve"> </v>
      </c>
      <c r="LL166" s="47" t="str">
        <f t="shared" si="630"/>
        <v xml:space="preserve"> </v>
      </c>
      <c r="LM166" s="47" t="str">
        <f t="shared" si="630"/>
        <v xml:space="preserve"> </v>
      </c>
      <c r="LN166" s="47" t="str">
        <f t="shared" si="630"/>
        <v xml:space="preserve"> </v>
      </c>
      <c r="LO166" s="47" t="str">
        <f t="shared" si="630"/>
        <v xml:space="preserve"> </v>
      </c>
      <c r="LP166" s="57" t="str">
        <f t="shared" si="630"/>
        <v xml:space="preserve"> </v>
      </c>
      <c r="LQ166" s="47" t="str">
        <f t="shared" si="630"/>
        <v xml:space="preserve"> </v>
      </c>
      <c r="LR166" s="47" t="str">
        <f t="shared" si="630"/>
        <v xml:space="preserve"> </v>
      </c>
      <c r="LS166" s="47" t="str">
        <f t="shared" si="630"/>
        <v xml:space="preserve"> </v>
      </c>
      <c r="LT166" s="47" t="str">
        <f t="shared" si="630"/>
        <v xml:space="preserve"> </v>
      </c>
      <c r="LU166" s="47" t="str">
        <f t="shared" si="630"/>
        <v xml:space="preserve"> </v>
      </c>
      <c r="LV166" s="57" t="str">
        <f t="shared" si="630"/>
        <v xml:space="preserve"> </v>
      </c>
      <c r="LW166" s="47" t="str">
        <f t="shared" si="630"/>
        <v xml:space="preserve"> </v>
      </c>
      <c r="LX166" s="47" t="str">
        <f t="shared" si="630"/>
        <v xml:space="preserve"> </v>
      </c>
      <c r="LY166" s="47" t="str">
        <f t="shared" si="630"/>
        <v xml:space="preserve"> </v>
      </c>
      <c r="LZ166" s="47" t="str">
        <f t="shared" si="630"/>
        <v xml:space="preserve"> </v>
      </c>
      <c r="MA166" s="47" t="str">
        <f t="shared" si="630"/>
        <v xml:space="preserve"> </v>
      </c>
      <c r="MB166" s="57" t="str">
        <f t="shared" si="630"/>
        <v xml:space="preserve"> </v>
      </c>
      <c r="MC166" s="47" t="str">
        <f t="shared" si="630"/>
        <v xml:space="preserve"> </v>
      </c>
      <c r="MD166" s="47" t="str">
        <f t="shared" si="630"/>
        <v xml:space="preserve"> </v>
      </c>
      <c r="ME166" s="47" t="str">
        <f t="shared" si="630"/>
        <v xml:space="preserve"> </v>
      </c>
      <c r="MF166" s="47" t="str">
        <f t="shared" si="630"/>
        <v xml:space="preserve"> </v>
      </c>
      <c r="MG166" s="47" t="str">
        <f t="shared" si="630"/>
        <v xml:space="preserve"> </v>
      </c>
      <c r="MH166" s="57" t="str">
        <f t="shared" si="630"/>
        <v xml:space="preserve"> </v>
      </c>
      <c r="MI166" s="47" t="str">
        <f t="shared" si="630"/>
        <v xml:space="preserve"> </v>
      </c>
      <c r="MJ166" s="47" t="str">
        <f t="shared" si="630"/>
        <v xml:space="preserve"> </v>
      </c>
      <c r="MK166" s="47" t="str">
        <f t="shared" si="630"/>
        <v xml:space="preserve"> </v>
      </c>
      <c r="ML166" s="47" t="str">
        <f t="shared" si="630"/>
        <v xml:space="preserve"> </v>
      </c>
      <c r="MM166" s="47" t="str">
        <f t="shared" si="630"/>
        <v xml:space="preserve"> </v>
      </c>
      <c r="MN166" s="57" t="str">
        <f t="shared" si="630"/>
        <v xml:space="preserve"> </v>
      </c>
      <c r="MO166" s="47" t="str">
        <f t="shared" si="630"/>
        <v xml:space="preserve"> </v>
      </c>
      <c r="MP166" s="47" t="str">
        <f t="shared" si="630"/>
        <v xml:space="preserve"> </v>
      </c>
      <c r="MQ166" s="47" t="str">
        <f t="shared" si="630"/>
        <v xml:space="preserve"> </v>
      </c>
      <c r="MR166" s="47" t="str">
        <f t="shared" si="630"/>
        <v xml:space="preserve"> </v>
      </c>
      <c r="MS166" s="47" t="str">
        <f t="shared" si="630"/>
        <v xml:space="preserve"> </v>
      </c>
      <c r="MT166" s="57" t="str">
        <f t="shared" si="630"/>
        <v xml:space="preserve"> </v>
      </c>
      <c r="MU166" s="47" t="str">
        <f t="shared" si="630"/>
        <v xml:space="preserve"> </v>
      </c>
      <c r="MV166" s="47" t="str">
        <f t="shared" si="630"/>
        <v xml:space="preserve"> </v>
      </c>
      <c r="MW166" s="47" t="str">
        <f t="shared" si="630"/>
        <v xml:space="preserve"> </v>
      </c>
      <c r="MX166" s="47" t="str">
        <f t="shared" si="630"/>
        <v xml:space="preserve"> </v>
      </c>
      <c r="MY166" s="47" t="str">
        <f t="shared" si="630"/>
        <v xml:space="preserve"> </v>
      </c>
      <c r="MZ166" s="57" t="str">
        <f t="shared" si="630"/>
        <v xml:space="preserve"> </v>
      </c>
      <c r="NA166" s="47" t="str">
        <f t="shared" si="630"/>
        <v xml:space="preserve"> </v>
      </c>
      <c r="NB166" s="47" t="str">
        <f t="shared" si="630"/>
        <v xml:space="preserve"> </v>
      </c>
      <c r="NC166" s="47" t="str">
        <f t="shared" si="630"/>
        <v xml:space="preserve"> </v>
      </c>
      <c r="ND166" s="47" t="str">
        <f t="shared" si="630"/>
        <v xml:space="preserve"> </v>
      </c>
      <c r="NE166" s="47" t="str">
        <f t="shared" si="630"/>
        <v xml:space="preserve"> </v>
      </c>
      <c r="NF166" s="57" t="str">
        <f t="shared" si="630"/>
        <v xml:space="preserve"> </v>
      </c>
      <c r="NG166" s="47" t="str">
        <f t="shared" si="630"/>
        <v xml:space="preserve"> </v>
      </c>
      <c r="NH166" s="47" t="str">
        <f t="shared" si="630"/>
        <v xml:space="preserve"> </v>
      </c>
      <c r="NI166" s="47" t="str">
        <f t="shared" si="630"/>
        <v xml:space="preserve"> </v>
      </c>
      <c r="NJ166" s="47" t="str">
        <f t="shared" si="630"/>
        <v xml:space="preserve"> </v>
      </c>
      <c r="NK166" s="47" t="str">
        <f t="shared" si="630"/>
        <v xml:space="preserve"> </v>
      </c>
      <c r="NL166" s="57" t="str">
        <f t="shared" si="630"/>
        <v xml:space="preserve"> </v>
      </c>
      <c r="NM166" s="47" t="str">
        <f t="shared" si="630"/>
        <v xml:space="preserve"> </v>
      </c>
    </row>
    <row r="167" spans="3:377" ht="15.75" customHeight="1">
      <c r="C167" s="7" t="str">
        <f t="shared" si="296"/>
        <v>business model</v>
      </c>
      <c r="D167" s="21" t="str">
        <f t="shared" si="169"/>
        <v xml:space="preserve"> </v>
      </c>
      <c r="E167" s="21" t="str">
        <f t="shared" si="297"/>
        <v xml:space="preserve"> </v>
      </c>
      <c r="F167" s="21" t="str">
        <f t="shared" si="170"/>
        <v xml:space="preserve"> </v>
      </c>
      <c r="G167" s="21" t="str">
        <f t="shared" si="298"/>
        <v xml:space="preserve">social media(1),  </v>
      </c>
      <c r="H167" s="21" t="str">
        <f t="shared" si="299"/>
        <v xml:space="preserve"> </v>
      </c>
      <c r="I167" s="21" t="str">
        <f t="shared" ref="I167" si="631">IF(I65="",I168,$C167&amp;"("&amp;I65&amp;"),"&amp;I168)</f>
        <v xml:space="preserve"> </v>
      </c>
      <c r="J167" s="21" t="str">
        <f t="shared" si="560"/>
        <v xml:space="preserve">interaction 1
 </v>
      </c>
      <c r="K167" s="21" t="str">
        <f t="shared" si="173"/>
        <v xml:space="preserve"> </v>
      </c>
      <c r="L167" s="21" t="str">
        <f t="shared" si="561"/>
        <v xml:space="preserve"> </v>
      </c>
      <c r="M167" s="21" t="str">
        <f t="shared" si="175"/>
        <v xml:space="preserve">social innovation(1), non-profit biz(1),  </v>
      </c>
      <c r="N167" s="21" t="str">
        <f t="shared" si="176"/>
        <v xml:space="preserve">marketing(1,12.5),  </v>
      </c>
      <c r="O167" s="21" t="str">
        <f t="shared" si="562"/>
        <v xml:space="preserve">marketing(12.5), </v>
      </c>
      <c r="P167" s="21" t="str">
        <f t="shared" si="560"/>
        <v xml:space="preserve">biz project 1
 </v>
      </c>
      <c r="Q167" s="21" t="str">
        <f t="shared" si="178"/>
        <v xml:space="preserve"> </v>
      </c>
      <c r="R167" s="21" t="str">
        <f t="shared" si="561"/>
        <v xml:space="preserve"> </v>
      </c>
      <c r="S167" s="21" t="str">
        <f t="shared" si="179"/>
        <v xml:space="preserve">biz enhancement(1), business(1), start-up(1),  </v>
      </c>
      <c r="T167" s="21" t="str">
        <f t="shared" si="180"/>
        <v xml:space="preserve"> </v>
      </c>
      <c r="U167" s="21" t="str">
        <f t="shared" si="562"/>
        <v xml:space="preserve"> </v>
      </c>
      <c r="V167" s="21" t="str">
        <f t="shared" si="560"/>
        <v xml:space="preserve"> </v>
      </c>
      <c r="W167" s="21" t="str">
        <f t="shared" si="181"/>
        <v xml:space="preserve"> </v>
      </c>
      <c r="X167" s="21" t="str">
        <f t="shared" si="561"/>
        <v xml:space="preserve"> </v>
      </c>
      <c r="Y167" s="21" t="str">
        <f t="shared" si="182"/>
        <v xml:space="preserve">biz project(1), biz enhancement(1), job creation(1), business(1),  </v>
      </c>
      <c r="Z167" s="21" t="str">
        <f t="shared" si="183"/>
        <v xml:space="preserve"> </v>
      </c>
      <c r="AA167" s="21" t="str">
        <f t="shared" si="562"/>
        <v xml:space="preserve"> </v>
      </c>
      <c r="AB167" s="21" t="str">
        <f t="shared" si="560"/>
        <v xml:space="preserve"> </v>
      </c>
      <c r="AC167" s="21" t="str">
        <f t="shared" si="184"/>
        <v xml:space="preserve"> </v>
      </c>
      <c r="AD167" s="21" t="str">
        <f t="shared" si="561"/>
        <v xml:space="preserve"> </v>
      </c>
      <c r="AE167" s="21" t="str">
        <f t="shared" si="185"/>
        <v xml:space="preserve">social project(1), social innovation(1), non-profit biz(1),  </v>
      </c>
      <c r="AF167" s="21" t="str">
        <f t="shared" si="186"/>
        <v xml:space="preserve"> </v>
      </c>
      <c r="AG167" s="21" t="str">
        <f t="shared" si="562"/>
        <v xml:space="preserve"> </v>
      </c>
      <c r="AH167" s="21" t="str">
        <f t="shared" si="560"/>
        <v xml:space="preserve"> </v>
      </c>
      <c r="AI167" s="21" t="str">
        <f t="shared" si="187"/>
        <v xml:space="preserve"> </v>
      </c>
      <c r="AJ167" s="21" t="str">
        <f t="shared" si="561"/>
        <v xml:space="preserve"> </v>
      </c>
      <c r="AK167" s="21" t="str">
        <f t="shared" si="188"/>
        <v xml:space="preserve">social project(1), social innovation(1), non-profit biz(1),  </v>
      </c>
      <c r="AL167" s="21" t="str">
        <f t="shared" si="189"/>
        <v xml:space="preserve"> </v>
      </c>
      <c r="AM167" s="21" t="str">
        <f t="shared" si="562"/>
        <v xml:space="preserve"> </v>
      </c>
      <c r="AN167" s="21" t="str">
        <f t="shared" si="560"/>
        <v xml:space="preserve"> </v>
      </c>
      <c r="AO167" s="21" t="str">
        <f t="shared" si="190"/>
        <v xml:space="preserve"> </v>
      </c>
      <c r="AP167" s="21" t="str">
        <f t="shared" si="561"/>
        <v xml:space="preserve"> </v>
      </c>
      <c r="AQ167" s="21" t="str">
        <f t="shared" si="191"/>
        <v xml:space="preserve">start-up(1), start-up with mvp(1), start-up with customers(1),  </v>
      </c>
      <c r="AR167" s="21" t="str">
        <f t="shared" si="192"/>
        <v xml:space="preserve"> </v>
      </c>
      <c r="AS167" s="21" t="str">
        <f t="shared" si="562"/>
        <v xml:space="preserve"> </v>
      </c>
      <c r="AT167" s="21" t="str">
        <f t="shared" si="560"/>
        <v xml:space="preserve">social project 1
 </v>
      </c>
      <c r="AU167" s="21" t="str">
        <f t="shared" si="193"/>
        <v xml:space="preserve"> </v>
      </c>
      <c r="AV167" s="21" t="str">
        <f t="shared" si="561"/>
        <v xml:space="preserve"> </v>
      </c>
      <c r="AW167" s="21" t="str">
        <f t="shared" si="194"/>
        <v xml:space="preserve">project management(2),  </v>
      </c>
      <c r="AX167" s="21" t="str">
        <f t="shared" si="195"/>
        <v xml:space="preserve">project management(1,12.5),  </v>
      </c>
      <c r="AY167" s="21" t="str">
        <f t="shared" si="562"/>
        <v xml:space="preserve">project management(12.5), </v>
      </c>
      <c r="AZ167" s="21" t="str">
        <f t="shared" si="560"/>
        <v xml:space="preserve"> </v>
      </c>
      <c r="BA167" s="21" t="str">
        <f t="shared" si="196"/>
        <v xml:space="preserve"> </v>
      </c>
      <c r="BB167" s="21" t="str">
        <f t="shared" si="561"/>
        <v xml:space="preserve"> </v>
      </c>
      <c r="BC167" s="21" t="str">
        <f t="shared" si="197"/>
        <v xml:space="preserve"> </v>
      </c>
      <c r="BD167" s="21" t="str">
        <f t="shared" si="198"/>
        <v xml:space="preserve"> </v>
      </c>
      <c r="BE167" s="21" t="str">
        <f t="shared" si="562"/>
        <v xml:space="preserve"> </v>
      </c>
      <c r="BF167" s="21" t="str">
        <f t="shared" si="560"/>
        <v xml:space="preserve">biz project 1
 </v>
      </c>
      <c r="BG167" s="21" t="str">
        <f t="shared" si="199"/>
        <v xml:space="preserve"> </v>
      </c>
      <c r="BH167" s="21" t="str">
        <f t="shared" si="561"/>
        <v xml:space="preserve"> </v>
      </c>
      <c r="BI167" s="21" t="str">
        <f t="shared" si="200"/>
        <v xml:space="preserve">project management(2),  </v>
      </c>
      <c r="BJ167" s="21" t="str">
        <f t="shared" si="201"/>
        <v xml:space="preserve">project management(1,12.5),  </v>
      </c>
      <c r="BK167" s="21" t="str">
        <f t="shared" si="562"/>
        <v xml:space="preserve">project management(12.5), </v>
      </c>
      <c r="BL167" s="21" t="str">
        <f t="shared" si="560"/>
        <v xml:space="preserve">biz enhancement 1
 </v>
      </c>
      <c r="BM167" s="21" t="str">
        <f t="shared" si="202"/>
        <v xml:space="preserve"> </v>
      </c>
      <c r="BN167" s="21" t="str">
        <f t="shared" si="561"/>
        <v xml:space="preserve"> </v>
      </c>
      <c r="BO167" s="21" t="str">
        <f t="shared" si="203"/>
        <v xml:space="preserve"> </v>
      </c>
      <c r="BP167" s="21" t="str">
        <f t="shared" si="204"/>
        <v xml:space="preserve"> </v>
      </c>
      <c r="BQ167" s="21" t="str">
        <f t="shared" si="562"/>
        <v xml:space="preserve"> </v>
      </c>
      <c r="BR167" s="21" t="str">
        <f t="shared" si="560"/>
        <v xml:space="preserve"> </v>
      </c>
      <c r="BS167" s="21" t="str">
        <f t="shared" si="205"/>
        <v xml:space="preserve"> </v>
      </c>
      <c r="BT167" s="21" t="str">
        <f t="shared" si="561"/>
        <v xml:space="preserve"> </v>
      </c>
      <c r="BU167" s="21" t="str">
        <f t="shared" si="206"/>
        <v xml:space="preserve"> </v>
      </c>
      <c r="BV167" s="21" t="str">
        <f t="shared" si="207"/>
        <v xml:space="preserve"> </v>
      </c>
      <c r="BW167" s="21" t="str">
        <f t="shared" si="562"/>
        <v xml:space="preserve"> </v>
      </c>
      <c r="BX167" s="21" t="str">
        <f t="shared" si="563"/>
        <v xml:space="preserve"> </v>
      </c>
      <c r="BY167" s="21" t="str">
        <f t="shared" si="209"/>
        <v xml:space="preserve"> </v>
      </c>
      <c r="BZ167" s="21" t="str">
        <f t="shared" si="564"/>
        <v xml:space="preserve"> </v>
      </c>
      <c r="CA167" s="21" t="str">
        <f t="shared" si="211"/>
        <v xml:space="preserve">negotiation(1),  </v>
      </c>
      <c r="CB167" s="21" t="str">
        <f t="shared" si="212"/>
        <v xml:space="preserve"> </v>
      </c>
      <c r="CC167" s="21" t="str">
        <f t="shared" si="565"/>
        <v xml:space="preserve"> </v>
      </c>
      <c r="CD167" s="21" t="str">
        <f t="shared" si="563"/>
        <v xml:space="preserve"> </v>
      </c>
      <c r="CE167" s="21" t="str">
        <f t="shared" si="214"/>
        <v xml:space="preserve"> </v>
      </c>
      <c r="CF167" s="21" t="str">
        <f t="shared" si="564"/>
        <v xml:space="preserve"> </v>
      </c>
      <c r="CG167" s="21" t="str">
        <f t="shared" si="215"/>
        <v xml:space="preserve">negotiation(1), social project(1), biz project(1), for basic literacy(1), for the elites(1), for entrepreneurs(1),  </v>
      </c>
      <c r="CH167" s="21" t="str">
        <f t="shared" si="216"/>
        <v xml:space="preserve"> </v>
      </c>
      <c r="CI167" s="21" t="str">
        <f t="shared" si="565"/>
        <v xml:space="preserve"> </v>
      </c>
      <c r="CJ167" s="21" t="str">
        <f t="shared" si="563"/>
        <v xml:space="preserve"> </v>
      </c>
      <c r="CK167" s="21" t="str">
        <f t="shared" si="217"/>
        <v xml:space="preserve"> </v>
      </c>
      <c r="CL167" s="21" t="str">
        <f t="shared" si="564"/>
        <v xml:space="preserve"> </v>
      </c>
      <c r="CM167" s="21" t="str">
        <f t="shared" si="218"/>
        <v xml:space="preserve">negotiation(1),  </v>
      </c>
      <c r="CN167" s="21" t="str">
        <f t="shared" si="219"/>
        <v xml:space="preserve"> </v>
      </c>
      <c r="CO167" s="21" t="str">
        <f t="shared" si="565"/>
        <v xml:space="preserve"> </v>
      </c>
      <c r="CP167" s="21" t="str">
        <f t="shared" si="563"/>
        <v xml:space="preserve"> </v>
      </c>
      <c r="CQ167" s="21" t="str">
        <f t="shared" si="220"/>
        <v xml:space="preserve"> </v>
      </c>
      <c r="CR167" s="21" t="str">
        <f t="shared" si="564"/>
        <v xml:space="preserve"> </v>
      </c>
      <c r="CS167" s="21" t="str">
        <f t="shared" si="221"/>
        <v xml:space="preserve">negotiation(1), web(1), infrastructrue(1), database(1), mobile apps(1), sensors(1), security(1), AI&amp; data analysis(1), mobile comm(1), VR&amp;AR(1), wood processing(1), metal processing(1), plastic processing(1), electronics(1), fabric(1),  </v>
      </c>
      <c r="CT167" s="21" t="str">
        <f t="shared" si="222"/>
        <v xml:space="preserve"> </v>
      </c>
      <c r="CU167" s="21" t="str">
        <f t="shared" si="565"/>
        <v xml:space="preserve"> </v>
      </c>
      <c r="CV167" s="21" t="str">
        <f t="shared" si="563"/>
        <v xml:space="preserve"> </v>
      </c>
      <c r="CW167" s="21" t="str">
        <f t="shared" si="223"/>
        <v xml:space="preserve"> </v>
      </c>
      <c r="CX167" s="21" t="str">
        <f t="shared" si="564"/>
        <v xml:space="preserve"> </v>
      </c>
      <c r="CY167" s="21" t="str">
        <f t="shared" si="224"/>
        <v xml:space="preserve">negotiation(1),  </v>
      </c>
      <c r="CZ167" s="21" t="str">
        <f t="shared" si="225"/>
        <v xml:space="preserve"> </v>
      </c>
      <c r="DA167" s="21" t="str">
        <f t="shared" si="565"/>
        <v xml:space="preserve"> </v>
      </c>
      <c r="DB167" s="21" t="str">
        <f t="shared" si="563"/>
        <v xml:space="preserve"> </v>
      </c>
      <c r="DC167" s="21" t="str">
        <f t="shared" si="226"/>
        <v xml:space="preserve"> </v>
      </c>
      <c r="DD167" s="21" t="str">
        <f t="shared" si="564"/>
        <v xml:space="preserve"> </v>
      </c>
      <c r="DE167" s="21" t="str">
        <f t="shared" si="227"/>
        <v xml:space="preserve">business model(1), 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7" s="21" t="str">
        <f t="shared" si="228"/>
        <v xml:space="preserve"> </v>
      </c>
      <c r="DG167" s="21" t="str">
        <f t="shared" si="565"/>
        <v xml:space="preserve"> </v>
      </c>
      <c r="DH167" s="21" t="str">
        <f t="shared" si="563"/>
        <v xml:space="preserve">social project 1
 </v>
      </c>
      <c r="DI167" s="21" t="str">
        <f t="shared" si="229"/>
        <v xml:space="preserve"> </v>
      </c>
      <c r="DJ167" s="21" t="str">
        <f t="shared" si="564"/>
        <v xml:space="preserve"> </v>
      </c>
      <c r="DK167"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7" s="21" t="str">
        <f t="shared" si="231"/>
        <v xml:space="preserve"> </v>
      </c>
      <c r="DM167" s="21" t="str">
        <f t="shared" si="565"/>
        <v xml:space="preserve"> </v>
      </c>
      <c r="DN167" s="21" t="str">
        <f t="shared" si="563"/>
        <v xml:space="preserve">biz project 1
 </v>
      </c>
      <c r="DO167" s="21" t="str">
        <f t="shared" si="232"/>
        <v xml:space="preserve"> </v>
      </c>
      <c r="DP167" s="21" t="str">
        <f t="shared" si="564"/>
        <v xml:space="preserve"> </v>
      </c>
      <c r="DQ167" s="21" t="str">
        <f t="shared" si="233"/>
        <v xml:space="preserve">business model(1), 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7" s="21" t="str">
        <f t="shared" si="234"/>
        <v xml:space="preserve"> </v>
      </c>
      <c r="DS167" s="21" t="str">
        <f t="shared" si="565"/>
        <v xml:space="preserve"> </v>
      </c>
      <c r="DT167" s="21" t="str">
        <f t="shared" si="563"/>
        <v xml:space="preserve"> </v>
      </c>
      <c r="DU167" s="21" t="str">
        <f t="shared" si="235"/>
        <v xml:space="preserve"> </v>
      </c>
      <c r="DV167" s="21" t="str">
        <f t="shared" si="564"/>
        <v xml:space="preserve"> </v>
      </c>
      <c r="DW167" s="21" t="str">
        <f t="shared" si="236"/>
        <v xml:space="preserve">marketing(1), social media(1), for basic literacy(1),  </v>
      </c>
      <c r="DX167" s="21" t="str">
        <f t="shared" si="237"/>
        <v xml:space="preserve">for basic literacy(1,6.25),  </v>
      </c>
      <c r="DY167" s="21" t="str">
        <f t="shared" si="565"/>
        <v xml:space="preserve">for basic literacy(6.25), </v>
      </c>
      <c r="DZ167" s="21" t="str">
        <f t="shared" si="563"/>
        <v xml:space="preserve"> </v>
      </c>
      <c r="EA167" s="21" t="str">
        <f t="shared" si="238"/>
        <v xml:space="preserve"> </v>
      </c>
      <c r="EB167" s="21" t="str">
        <f t="shared" si="564"/>
        <v xml:space="preserve"> </v>
      </c>
      <c r="EC167" s="21" t="str">
        <f t="shared" si="239"/>
        <v xml:space="preserve">marketing(1), social media(1), web(2), infrastructrue(2), database(2), mobile apps(2), sensors(2), security(2), AI&amp; data analysis(2), mobile comm(2), VR&amp;AR(2), wood processing(2), metal processing(2), plastic processing(2), electronics(2), fabric(2), for basic literacy(1),  </v>
      </c>
      <c r="ED167" s="21" t="str">
        <f t="shared" si="240"/>
        <v xml:space="preserve">for basic literacy(1,6.25),  </v>
      </c>
      <c r="EE167" s="21" t="str">
        <f t="shared" si="565"/>
        <v xml:space="preserve">for basic literacy(6.25), </v>
      </c>
      <c r="EF167" s="21" t="str">
        <f t="shared" si="563"/>
        <v xml:space="preserve"> </v>
      </c>
      <c r="EG167" s="21" t="str">
        <f t="shared" si="241"/>
        <v xml:space="preserve">web(1,50), mobile apps(1,50), interaction(1,50),  </v>
      </c>
      <c r="EH167" s="21" t="str">
        <f t="shared" si="564"/>
        <v xml:space="preserve">web 50
mobile apps 50
interaction 50
 </v>
      </c>
      <c r="EI167" s="21" t="str">
        <f t="shared" si="242"/>
        <v xml:space="preserve">infrastructrue(1), database(1), mobile comm(1), for entrepreneurs(1),  </v>
      </c>
      <c r="EJ167" s="21" t="str">
        <f t="shared" si="243"/>
        <v xml:space="preserve">infrastructrue(1,12.5), database(1,12.5), mobile comm(1,12.5), for entrepreneurs(1,6.25),  </v>
      </c>
      <c r="EK167" s="21" t="str">
        <f t="shared" si="565"/>
        <v xml:space="preserve">infrastructrue(12.5),database(12.5),mobile comm(12.5),for entrepreneurs(6.25), </v>
      </c>
      <c r="EL167" s="21" t="str">
        <f t="shared" si="566"/>
        <v xml:space="preserve"> </v>
      </c>
      <c r="EM167" s="21" t="str">
        <f t="shared" si="245"/>
        <v xml:space="preserve">sensors(1,50),  </v>
      </c>
      <c r="EN167" s="21" t="str">
        <f t="shared" si="567"/>
        <v xml:space="preserve">sensors 50
 </v>
      </c>
      <c r="EO167" s="21" t="str">
        <f t="shared" si="247"/>
        <v xml:space="preserve">project management(2), infrastructrue(1), database(1), mobile comm(1), for entrepreneurs(1),  </v>
      </c>
      <c r="EP167" s="21" t="str">
        <f t="shared" si="248"/>
        <v xml:space="preserve">infrastructrue(1,12.5), database(1,12.5), mobile comm(1,12.5), electronics(1,6.25), for entrepreneurs(1,6.25),  </v>
      </c>
      <c r="EQ167" s="21" t="str">
        <f t="shared" si="568"/>
        <v xml:space="preserve">infrastructrue(12.5),database(12.5),mobile comm(12.5),electronics(6.25),for entrepreneurs(6.25), </v>
      </c>
      <c r="ER167" s="21" t="str">
        <f t="shared" si="566"/>
        <v xml:space="preserve"> </v>
      </c>
      <c r="ES167" s="21" t="str">
        <f t="shared" si="250"/>
        <v xml:space="preserve">AI&amp; data analysis(1,50),  </v>
      </c>
      <c r="ET167" s="21" t="str">
        <f t="shared" si="567"/>
        <v xml:space="preserve">AI&amp; data analysis 50
 </v>
      </c>
      <c r="EU167" s="21" t="str">
        <f t="shared" si="251"/>
        <v xml:space="preserve">database(1), sensors(1), mobile comm(1), for entrepreneurs(1),  </v>
      </c>
      <c r="EV167" s="21" t="str">
        <f t="shared" si="252"/>
        <v xml:space="preserve">database(1,12.5), sensors(1,12.5), mobile comm(1,12.5), for entrepreneurs(1,6.25),  </v>
      </c>
      <c r="EW167" s="21" t="str">
        <f t="shared" si="568"/>
        <v xml:space="preserve">database(12.5),sensors(12.5),mobile comm(12.5),for entrepreneurs(6.25), </v>
      </c>
      <c r="EX167" s="21" t="str">
        <f t="shared" si="566"/>
        <v xml:space="preserve"> </v>
      </c>
      <c r="EY167" s="21" t="str">
        <f t="shared" si="253"/>
        <v xml:space="preserve">security(1,50), interaction(1,25),  </v>
      </c>
      <c r="EZ167" s="21" t="str">
        <f t="shared" si="567"/>
        <v xml:space="preserve">security 50
interaction 25
 </v>
      </c>
      <c r="FA167" s="21" t="str">
        <f t="shared" si="254"/>
        <v xml:space="preserve">for entrepreneurs(1),  </v>
      </c>
      <c r="FB167" s="21" t="str">
        <f t="shared" si="255"/>
        <v xml:space="preserve">database(1,12.5), mobile apps(1,12.5), security(1,12.5), mobile comm(1,12.5), for entrepreneurs(1,6.25),  </v>
      </c>
      <c r="FC167" s="21" t="str">
        <f t="shared" si="568"/>
        <v xml:space="preserve">database(12.5),mobile apps(12.5),security(12.5),mobile comm(12.5),for entrepreneurs(6.25), </v>
      </c>
      <c r="FD167" s="21" t="str">
        <f t="shared" si="566"/>
        <v xml:space="preserve"> </v>
      </c>
      <c r="FE167" s="21" t="str">
        <f t="shared" si="256"/>
        <v xml:space="preserve">sensors(1,50), security(1,50),  </v>
      </c>
      <c r="FF167" s="21" t="str">
        <f t="shared" si="567"/>
        <v xml:space="preserve">sensors 50
security 50
 </v>
      </c>
      <c r="FG167" s="21" t="str">
        <f t="shared" si="257"/>
        <v xml:space="preserve">project management(2), for entrepreneurs(1),  </v>
      </c>
      <c r="FH167" s="21" t="str">
        <f t="shared" si="258"/>
        <v xml:space="preserve">database(1,6.25), mobile apps(1,6.25), AI&amp; data analysis(1,6.25), mobile comm(1,6.25), for entrepreneurs(1,6.25),  </v>
      </c>
      <c r="FI167" s="21" t="str">
        <f t="shared" si="568"/>
        <v xml:space="preserve">database(6.25),mobile apps(6.25),AI&amp; data analysis(6.25),mobile comm(6.25),for entrepreneurs(6.25), </v>
      </c>
      <c r="FJ167" s="21" t="str">
        <f t="shared" si="566"/>
        <v xml:space="preserve"> </v>
      </c>
      <c r="FK167" s="21" t="str">
        <f t="shared" si="259"/>
        <v xml:space="preserve">wood processing(1,25), metal processing(1,25), plastic processing(1,25), fabric(1,25), safety(1,25), interaction(1,25),  </v>
      </c>
      <c r="FL167" s="21" t="str">
        <f t="shared" si="567"/>
        <v xml:space="preserve">project management 2
wood processing 25
metal processing 25
plastic processing 25
fabric 25
safety 25
interaction 25
 </v>
      </c>
      <c r="FM167" s="21" t="str">
        <f t="shared" si="260"/>
        <v xml:space="preserve">for entrepreneurs(1),  </v>
      </c>
      <c r="FN167" s="21" t="str">
        <f t="shared" si="261"/>
        <v xml:space="preserve">for entrepreneurs(1,6.25),  </v>
      </c>
      <c r="FO167" s="21" t="str">
        <f t="shared" si="568"/>
        <v xml:space="preserve">for entrepreneurs(6.25), </v>
      </c>
      <c r="FP167" s="21" t="str">
        <f t="shared" si="566"/>
        <v xml:space="preserve"> </v>
      </c>
      <c r="FQ167" s="21" t="str">
        <f t="shared" si="262"/>
        <v xml:space="preserve">web(1,25), mobile apps(1,50), functions(1,25), interaction(1,25),  </v>
      </c>
      <c r="FR167" s="21" t="str">
        <f t="shared" si="567"/>
        <v xml:space="preserve">web 25
mobile apps 50
functions 25
interaction 25
 </v>
      </c>
      <c r="FS167" s="21" t="str">
        <f t="shared" si="263"/>
        <v xml:space="preserve">for entrepreneurs(1),  </v>
      </c>
      <c r="FT167" s="21" t="str">
        <f t="shared" si="264"/>
        <v xml:space="preserve">for entrepreneurs(1,6.25),  </v>
      </c>
      <c r="FU167" s="21" t="str">
        <f t="shared" si="568"/>
        <v xml:space="preserve">for entrepreneurs(6.25), </v>
      </c>
      <c r="FV167" s="21" t="str">
        <f t="shared" si="566"/>
        <v xml:space="preserve"> </v>
      </c>
      <c r="FW167" s="21" t="str">
        <f t="shared" si="265"/>
        <v xml:space="preserve">mobile apps(1,50), sensors(1,50), wood processing(1,25), plastic processing(1,25), electronics(1,25), functions(1,25), interaction(1,25),  </v>
      </c>
      <c r="FX167" s="21" t="str">
        <f t="shared" si="567"/>
        <v xml:space="preserve">mobile apps 50
sensors 50
wood processing 25
plastic processing 25
electronics 25
functions 25
interaction 25
 </v>
      </c>
      <c r="FY167" s="21" t="str">
        <f t="shared" si="266"/>
        <v xml:space="preserve">project management(2), for entrepreneurs(1),  </v>
      </c>
      <c r="FZ167" s="21" t="str">
        <f t="shared" si="267"/>
        <v xml:space="preserve">web(1,6.25), database(1,6.25), AI&amp; data analysis(1,6.25), mobile comm(1,6.25), for entrepreneurs(1,6.25),  </v>
      </c>
      <c r="GA167" s="21" t="str">
        <f t="shared" si="568"/>
        <v xml:space="preserve">web(6.25),database(6.25),AI&amp; data analysis(6.25),mobile comm(6.25),for entrepreneurs(6.25), </v>
      </c>
      <c r="GB167" s="21" t="str">
        <f t="shared" si="566"/>
        <v xml:space="preserve"> </v>
      </c>
      <c r="GC167" s="21" t="str">
        <f t="shared" si="268"/>
        <v xml:space="preserve">sensors(1,25), mobile comm(1,25), electronics(1,50), functions(1,25), safety(1,25),  </v>
      </c>
      <c r="GD167" s="21" t="str">
        <f t="shared" si="567"/>
        <v xml:space="preserve">sensors 25
mobile comm 25
electronics 50
functions 25
safety 25
 </v>
      </c>
      <c r="GE167" s="21" t="str">
        <f t="shared" si="269"/>
        <v xml:space="preserve">project management(2), for entrepreneurs(1),  </v>
      </c>
      <c r="GF167" s="21" t="str">
        <f t="shared" si="270"/>
        <v xml:space="preserve">database(1,6.25), mobile apps(1,6.25), AI&amp; data analysis(1,6.25), plastic processing(1,6.25), interaction(1,6.25), for entrepreneurs(1,6.25),  </v>
      </c>
      <c r="GG167" s="21" t="str">
        <f t="shared" si="568"/>
        <v xml:space="preserve">database(6.25),mobile apps(6.25),AI&amp; data analysis(6.25),plastic processing(6.25),interaction(6.25),for entrepreneurs(6.25), </v>
      </c>
      <c r="GH167" s="21" t="str">
        <f t="shared" si="566"/>
        <v xml:space="preserve"> </v>
      </c>
      <c r="GI167" s="21" t="str">
        <f t="shared" si="271"/>
        <v xml:space="preserve">web(1,25), mobile apps(1,50), functions(1,25), interaction(1,25),  </v>
      </c>
      <c r="GJ167" s="21" t="str">
        <f t="shared" si="567"/>
        <v xml:space="preserve">web 25
mobile apps 50
functions 25
interaction 25
 </v>
      </c>
      <c r="GK167" s="21" t="str">
        <f t="shared" si="272"/>
        <v xml:space="preserve">project management(2), for entrepreneurs(1),  </v>
      </c>
      <c r="GL167" s="21" t="str">
        <f t="shared" si="273"/>
        <v xml:space="preserve">for entrepreneurs(1,6.25),  </v>
      </c>
      <c r="GM167" s="21" t="str">
        <f t="shared" si="568"/>
        <v xml:space="preserve">for entrepreneurs(6.25), </v>
      </c>
      <c r="GN167" s="21" t="str">
        <f t="shared" si="566"/>
        <v xml:space="preserve"> </v>
      </c>
      <c r="GO167" s="21" t="str">
        <f t="shared" si="274"/>
        <v xml:space="preserve">web(1,25), mobile apps(1,25), VR&amp;AR(1,25), aesthetics(1,25), functions(1,25), interaction(1,50),  </v>
      </c>
      <c r="GP167" s="21" t="str">
        <f t="shared" si="567"/>
        <v xml:space="preserve">web 25
mobile apps 25
VR&amp;AR 25
aesthetics 25
functions 25
interaction 50
 </v>
      </c>
      <c r="GQ167" s="21" t="str">
        <f t="shared" si="275"/>
        <v xml:space="preserve">project management(2), for entrepreneurs(1),  </v>
      </c>
      <c r="GR167" s="21" t="str">
        <f t="shared" si="276"/>
        <v xml:space="preserve">for entrepreneurs(1,6.25),  </v>
      </c>
      <c r="GS167" s="21" t="str">
        <f t="shared" si="568"/>
        <v xml:space="preserve">for entrepreneurs(6.25), </v>
      </c>
      <c r="GT167" s="21" t="str">
        <f t="shared" si="566"/>
        <v xml:space="preserve">web 1
mobile apps 1
mobile comm 1
 </v>
      </c>
      <c r="GU167" s="21" t="str">
        <f t="shared" si="277"/>
        <v xml:space="preserve"> </v>
      </c>
      <c r="GV167" s="21" t="str">
        <f t="shared" si="567"/>
        <v xml:space="preserve"> </v>
      </c>
      <c r="GW167" s="21" t="str">
        <f t="shared" si="278"/>
        <v xml:space="preserve">business model(2), marketing(1), team building(1), project management(1), social media(1), infrastructrue(1), database(1), sensors(1), security(1), AI&amp; data analysis(1), electronics(1),  </v>
      </c>
      <c r="GX167" s="21" t="str">
        <f t="shared" si="279"/>
        <v xml:space="preserve">project management(1,6.25), social media(1,6.25), web(1,6.25), mobile apps(1,6.25),  </v>
      </c>
      <c r="GY167" s="21" t="str">
        <f t="shared" si="568"/>
        <v xml:space="preserve">project management(6.25),social media(6.25),web(6.25),mobile apps(6.25), </v>
      </c>
      <c r="GZ167" s="21" t="str">
        <f t="shared" si="569"/>
        <v xml:space="preserve"> </v>
      </c>
      <c r="HA167" s="21" t="str">
        <f t="shared" si="281"/>
        <v xml:space="preserve"> </v>
      </c>
      <c r="HB167" s="21" t="str">
        <f t="shared" si="570"/>
        <v xml:space="preserve"> </v>
      </c>
      <c r="HC167" s="21" t="str">
        <f t="shared" si="283"/>
        <v xml:space="preserve">social media(2), web(2), mobile apps(2), sensors(2), AI&amp; data analysis(2), VR&amp;AR(2), plastic processing(2), electronics(2), aesthetics(2), interaction(2),  </v>
      </c>
      <c r="HD167" s="21" t="str">
        <f t="shared" si="284"/>
        <v xml:space="preserve">start-up with customers(1,6.25), for basic literacy(1,6.25),  </v>
      </c>
      <c r="HE167" s="21" t="str">
        <f t="shared" si="571"/>
        <v xml:space="preserve">start-up with customers(6.25),for basic literacy(6.25), </v>
      </c>
      <c r="HF167" s="21" t="str">
        <f t="shared" si="569"/>
        <v xml:space="preserve"> </v>
      </c>
      <c r="HG167" s="21" t="str">
        <f t="shared" si="286"/>
        <v xml:space="preserve"> </v>
      </c>
      <c r="HH167" s="21" t="str">
        <f t="shared" si="570"/>
        <v xml:space="preserve"> </v>
      </c>
      <c r="HI167" s="21" t="str">
        <f t="shared" si="287"/>
        <v xml:space="preserve">marketing(2), team building(3), project management(2), mobile apps(3), sensors(2), plastic processing(2), electronics(2), aesthetics(2), functions(2), interaction(2),  </v>
      </c>
      <c r="HJ167" s="21" t="str">
        <f t="shared" si="288"/>
        <v xml:space="preserve">start-up with customers(1,6.25),  </v>
      </c>
      <c r="HK167" s="21" t="str">
        <f t="shared" si="571"/>
        <v xml:space="preserve">start-up with customers(6.25), </v>
      </c>
      <c r="HL167" s="21" t="str">
        <f t="shared" si="569"/>
        <v xml:space="preserve"> </v>
      </c>
      <c r="HM167" s="21" t="str">
        <f t="shared" si="289"/>
        <v xml:space="preserve"> </v>
      </c>
      <c r="HN167" s="21" t="str">
        <f t="shared" si="570"/>
        <v xml:space="preserve"> </v>
      </c>
      <c r="HO167" s="21" t="str">
        <f t="shared" si="290"/>
        <v xml:space="preserve">marketing(2), project management(2), social media(2), web(3), mobile apps(2), wood processing(3), plastic processing(3), electronics(3), aesthetics(2), interaction(2),  </v>
      </c>
      <c r="HP167" s="21" t="str">
        <f t="shared" si="291"/>
        <v xml:space="preserve"> </v>
      </c>
      <c r="HQ167" s="47" t="str">
        <f t="shared" si="571"/>
        <v xml:space="preserve"> </v>
      </c>
      <c r="HR167" s="47" t="str">
        <f t="shared" ref="HR167:HW167" si="632">IF(HR65="",HR168,$C167&amp;"("&amp;HR65&amp;"),"&amp;HR168)</f>
        <v xml:space="preserve">mobile apps(1),sensors(1),wood processing(1),aesthetics(1), </v>
      </c>
      <c r="HS167" s="47" t="str">
        <f t="shared" si="632"/>
        <v xml:space="preserve"> </v>
      </c>
      <c r="HT167" s="47" t="str">
        <f t="shared" si="632"/>
        <v xml:space="preserve"> </v>
      </c>
      <c r="HU167" s="47" t="str">
        <f t="shared" si="632"/>
        <v xml:space="preserve">project management(2),social media(2),web(3),infrastructrue(3),database(3),mobile apps(3),sensors(3),AI&amp; data analysis(3),mobile comm(3),VR&amp;AR(3),wood processing(3),metal processing(2),plastic processing(2),electronics(2),fabric(2),aesthetics(2),interaction(2),start-up with mvp(1), </v>
      </c>
      <c r="HV167" s="47" t="str">
        <f t="shared" si="632"/>
        <v xml:space="preserve"> </v>
      </c>
      <c r="HW167" s="47" t="str">
        <f t="shared" si="632"/>
        <v xml:space="preserve"> </v>
      </c>
      <c r="HX167" s="47" t="str">
        <f t="shared" ref="HX167:IU167" si="633">IF(HX65="",HX168,$C167&amp;"("&amp;HX65&amp;"),"&amp;HX168)</f>
        <v xml:space="preserve">web(1),infrastructrue(1),database(2),mobile apps(1),sensors(1),AI&amp; data analysis(2),VR&amp;AR(1),wood processing(1),metal processing(1),plastic processing(1),electronics(1),aesthetics(1),functions(1),interaction(1), </v>
      </c>
      <c r="HY167" s="47" t="str">
        <f t="shared" si="633"/>
        <v xml:space="preserve">biz enhancement(1), </v>
      </c>
      <c r="HZ167" s="47" t="str">
        <f t="shared" si="633"/>
        <v xml:space="preserve">biz enhancement(100), </v>
      </c>
      <c r="IA167" s="47" t="str">
        <f t="shared" si="633"/>
        <v xml:space="preserve">business model(2),marketing(3),team building(2),project management(2),social media(3),negotiation(3), </v>
      </c>
      <c r="IB167" s="47" t="str">
        <f t="shared" si="633"/>
        <v xml:space="preserve">team building(1),database(1),AI&amp; data analysis(1),electronics(1),functions(1), </v>
      </c>
      <c r="IC167" s="47" t="str">
        <f t="shared" si="633"/>
        <v xml:space="preserve">team building(6.25),database(6.25),AI&amp; data analysis(6.25),electronics(6.25),functions(6.25), </v>
      </c>
      <c r="ID167" s="47" t="str">
        <f t="shared" si="633"/>
        <v xml:space="preserve"> </v>
      </c>
      <c r="IE167" s="47" t="str">
        <f t="shared" si="633"/>
        <v xml:space="preserve">web(1),mobile apps(1),security(1),AI&amp; data analysis(1), </v>
      </c>
      <c r="IF167" s="47" t="str">
        <f t="shared" si="633"/>
        <v xml:space="preserve">web(25),mobile apps(25),security(25),AI&amp; data analysis(25), </v>
      </c>
      <c r="IG167" s="47" t="str">
        <f t="shared" si="633"/>
        <v xml:space="preserve">web(2),database(2),mobile apps(2),security(2),AI&amp; data analysis(2), </v>
      </c>
      <c r="IH167" s="47" t="str">
        <f t="shared" si="633"/>
        <v xml:space="preserve">web(1),database(1),mobile apps(1),security(1),AI&amp; data analysis(1), </v>
      </c>
      <c r="II167" s="47" t="str">
        <f t="shared" si="633"/>
        <v xml:space="preserve">web(6.25),database(6.25),mobile apps(6.25),security(6.25),AI&amp; data analysis(6.25), </v>
      </c>
      <c r="IJ167" s="47" t="str">
        <f t="shared" si="633"/>
        <v xml:space="preserve"> </v>
      </c>
      <c r="IK167" s="47" t="str">
        <f t="shared" si="633"/>
        <v xml:space="preserve">wood processing(1),metal processing(1),functions(1),safety(1), </v>
      </c>
      <c r="IL167" s="47" t="str">
        <f t="shared" si="633"/>
        <v xml:space="preserve">wood processing(25),metal processing(25),functions(25),safety(25), </v>
      </c>
      <c r="IM167" s="47" t="str">
        <f t="shared" si="633"/>
        <v xml:space="preserve">wood processing(2),metal processing(2),functions(2),safety(2), </v>
      </c>
      <c r="IN167" s="47" t="str">
        <f t="shared" si="633"/>
        <v xml:space="preserve">wood processing(1),metal processing(1),functions(1),safety(1),interaction(1), </v>
      </c>
      <c r="IO167" s="47" t="str">
        <f t="shared" si="633"/>
        <v xml:space="preserve">wood processing(6.25),metal processing(6.25),functions(6.25),safety(6.25),interaction(6.25), </v>
      </c>
      <c r="IP167" s="57" t="str">
        <f t="shared" si="633"/>
        <v xml:space="preserve"> </v>
      </c>
      <c r="IQ167" s="47" t="str">
        <f t="shared" si="633"/>
        <v xml:space="preserve">marketing(1), </v>
      </c>
      <c r="IR167" s="47" t="str">
        <f t="shared" si="633"/>
        <v xml:space="preserve">marketing(25), </v>
      </c>
      <c r="IS167" s="47" t="str">
        <f t="shared" si="633"/>
        <v xml:space="preserve">marketing(2), </v>
      </c>
      <c r="IT167" s="47" t="str">
        <f t="shared" si="633"/>
        <v xml:space="preserve">marketing(1), </v>
      </c>
      <c r="IU167" s="47" t="str">
        <f t="shared" si="633"/>
        <v xml:space="preserve">marketing(6.25), </v>
      </c>
      <c r="IV167" s="57" t="str">
        <f t="shared" ref="IV167:LG167" si="634">IF(IV65="",IV168,$C167&amp;"("&amp;IV65&amp;"),"&amp;IV168)</f>
        <v xml:space="preserve"> </v>
      </c>
      <c r="IW167" s="47" t="str">
        <f t="shared" si="634"/>
        <v xml:space="preserve">marketing(1), </v>
      </c>
      <c r="IX167" s="47" t="str">
        <f t="shared" si="634"/>
        <v xml:space="preserve">marketing(25), </v>
      </c>
      <c r="IY167" s="47" t="str">
        <f t="shared" si="634"/>
        <v xml:space="preserve">marketing(2), </v>
      </c>
      <c r="IZ167" s="47" t="str">
        <f t="shared" si="634"/>
        <v xml:space="preserve">marketing(1), </v>
      </c>
      <c r="JA167" s="47" t="str">
        <f t="shared" si="634"/>
        <v xml:space="preserve">marketing(6.25), </v>
      </c>
      <c r="JB167" s="47" t="str">
        <f t="shared" si="634"/>
        <v xml:space="preserve"> </v>
      </c>
      <c r="JC167" s="47" t="str">
        <f t="shared" si="634"/>
        <v xml:space="preserve"> </v>
      </c>
      <c r="JD167" s="47" t="str">
        <f t="shared" si="634"/>
        <v xml:space="preserve"> </v>
      </c>
      <c r="JE167" s="47" t="str">
        <f t="shared" si="634"/>
        <v xml:space="preserve"> </v>
      </c>
      <c r="JF167" s="47" t="str">
        <f t="shared" si="634"/>
        <v xml:space="preserve">web(1),infrastructrue(1),database(1),mobile apps(1),sensors(1),security(1),AI&amp; data analysis(1),mobile comm(1),VR&amp;AR(1),wood processing(1),metal processing(1),plastic processing(1),electronics(1),fabric(1),aesthetics(1),functions(1),safety(1),interaction(1), </v>
      </c>
      <c r="JG167" s="47" t="str">
        <f t="shared" si="634"/>
        <v xml:space="preserve">web(6.25),infrastructrue(6.25),database(6.25),mobile apps(6.25),sensors(6.25),security(6.25),AI&amp; data analysis(6.25),mobile comm(6.25),VR&amp;AR(6.25),wood processing(6.25),metal processing(6.25),plastic processing(6.25),electronics(6.25),fabric(6.25),aesthetics(6.25),functions(6.25),safety(6.25),interaction(6.25), </v>
      </c>
      <c r="JH167" s="47" t="str">
        <f t="shared" si="634"/>
        <v xml:space="preserve"> </v>
      </c>
      <c r="JI167" s="47" t="str">
        <f t="shared" si="634"/>
        <v xml:space="preserve"> </v>
      </c>
      <c r="JJ167" s="47" t="str">
        <f t="shared" si="634"/>
        <v xml:space="preserve"> </v>
      </c>
      <c r="JK167" s="47" t="str">
        <f t="shared" si="634"/>
        <v xml:space="preserve">social media(2),negotiation(2),social project(1),social innovation(1),non-profit biz(1),biz project(1),biz enhancement(1),job creation(1),business(1),start-up(1),start-up with mvp(1),start-up with customers(1),for basic literacy(1),for the elites(1),for entrepreneurs(1), </v>
      </c>
      <c r="JL167" s="47" t="str">
        <f t="shared" si="634"/>
        <v xml:space="preserve"> </v>
      </c>
      <c r="JM167" s="47" t="str">
        <f t="shared" si="634"/>
        <v xml:space="preserve"> </v>
      </c>
      <c r="JN167" s="47" t="str">
        <f t="shared" si="634"/>
        <v xml:space="preserve"> </v>
      </c>
      <c r="JO167" s="47" t="str">
        <f t="shared" si="634"/>
        <v xml:space="preserve"> </v>
      </c>
      <c r="JP167" s="47" t="str">
        <f t="shared" si="634"/>
        <v xml:space="preserve"> </v>
      </c>
      <c r="JQ167" s="47" t="str">
        <f t="shared" si="634"/>
        <v xml:space="preserve">electronics(1),aesthetics(1),interaction(1),social project(1),social innovation(1),non-profit biz(1),biz project(1),biz enhancement(1),job creation(1),business(1),start-up(1),start-up with mvp(1),start-up with customers(1),for basic literacy(1),for the elites(1),for entrepreneurs(1), </v>
      </c>
      <c r="JR167" s="47" t="str">
        <f t="shared" si="634"/>
        <v xml:space="preserve"> </v>
      </c>
      <c r="JS167" s="47" t="str">
        <f t="shared" si="634"/>
        <v xml:space="preserve"> </v>
      </c>
      <c r="JT167" s="47" t="str">
        <f t="shared" si="634"/>
        <v xml:space="preserve"> </v>
      </c>
      <c r="JU167" s="47" t="str">
        <f t="shared" si="634"/>
        <v xml:space="preserve"> </v>
      </c>
      <c r="JV167" s="47" t="str">
        <f t="shared" si="634"/>
        <v xml:space="preserve"> </v>
      </c>
      <c r="JW167" s="47" t="str">
        <f t="shared" si="634"/>
        <v xml:space="preserve">marketing(1),team building(1),project management(1),social media(1),negotiation(1),social project(2),social innovation(1),non-profit biz(1),biz project(2),biz enhancement(2),job creation(1),business(1),start-up(2),start-up with mvp(1),start-up with customers(1),for basic literacy(2),for the elites(1),for entrepreneurs(1), </v>
      </c>
      <c r="JX167" s="47" t="str">
        <f t="shared" si="634"/>
        <v xml:space="preserve"> </v>
      </c>
      <c r="JY167" s="47" t="str">
        <f t="shared" si="634"/>
        <v xml:space="preserve"> </v>
      </c>
      <c r="JZ167" s="47" t="str">
        <f t="shared" si="634"/>
        <v xml:space="preserve">social project(2), </v>
      </c>
      <c r="KA167" s="47" t="str">
        <f t="shared" si="634"/>
        <v xml:space="preserve"> </v>
      </c>
      <c r="KB167" s="47" t="str">
        <f t="shared" si="634"/>
        <v xml:space="preserve"> </v>
      </c>
      <c r="KC167" s="47" t="str">
        <f t="shared" si="634"/>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7" s="47" t="str">
        <f t="shared" si="634"/>
        <v xml:space="preserve"> </v>
      </c>
      <c r="KE167" s="47" t="str">
        <f t="shared" si="634"/>
        <v xml:space="preserve"> </v>
      </c>
      <c r="KF167" s="47" t="str">
        <f t="shared" si="634"/>
        <v xml:space="preserve"> </v>
      </c>
      <c r="KG167" s="47" t="str">
        <f t="shared" si="634"/>
        <v xml:space="preserve"> </v>
      </c>
      <c r="KH167" s="47" t="str">
        <f t="shared" si="634"/>
        <v xml:space="preserve"> </v>
      </c>
      <c r="KI167" s="47" t="str">
        <f t="shared" si="634"/>
        <v xml:space="preserve"> </v>
      </c>
      <c r="KJ167" s="47" t="str">
        <f t="shared" si="634"/>
        <v xml:space="preserve"> </v>
      </c>
      <c r="KK167" s="47" t="str">
        <f t="shared" si="634"/>
        <v xml:space="preserve"> </v>
      </c>
      <c r="KL167" s="57" t="str">
        <f t="shared" si="634"/>
        <v xml:space="preserve"> </v>
      </c>
      <c r="KM167" s="47" t="str">
        <f t="shared" si="634"/>
        <v xml:space="preserve"> </v>
      </c>
      <c r="KN167" s="47" t="str">
        <f t="shared" si="634"/>
        <v xml:space="preserve"> </v>
      </c>
      <c r="KO167" s="47" t="str">
        <f t="shared" si="634"/>
        <v xml:space="preserve"> </v>
      </c>
      <c r="KP167" s="47" t="str">
        <f t="shared" si="634"/>
        <v xml:space="preserve"> </v>
      </c>
      <c r="KQ167" s="47" t="str">
        <f t="shared" si="634"/>
        <v xml:space="preserve"> </v>
      </c>
      <c r="KR167" s="57" t="str">
        <f t="shared" si="634"/>
        <v xml:space="preserve"> </v>
      </c>
      <c r="KS167" s="47" t="str">
        <f t="shared" si="634"/>
        <v xml:space="preserve"> </v>
      </c>
      <c r="KT167" s="47" t="str">
        <f t="shared" si="634"/>
        <v xml:space="preserve"> </v>
      </c>
      <c r="KU167" s="47" t="str">
        <f t="shared" si="634"/>
        <v xml:space="preserve"> </v>
      </c>
      <c r="KV167" s="47" t="str">
        <f t="shared" si="634"/>
        <v xml:space="preserve"> </v>
      </c>
      <c r="KW167" s="47" t="str">
        <f t="shared" si="634"/>
        <v xml:space="preserve"> </v>
      </c>
      <c r="KX167" s="57" t="str">
        <f t="shared" si="634"/>
        <v xml:space="preserve"> </v>
      </c>
      <c r="KY167" s="47" t="str">
        <f t="shared" si="634"/>
        <v xml:space="preserve"> </v>
      </c>
      <c r="KZ167" s="47" t="str">
        <f t="shared" si="634"/>
        <v xml:space="preserve"> </v>
      </c>
      <c r="LA167" s="47" t="str">
        <f t="shared" si="634"/>
        <v xml:space="preserve"> </v>
      </c>
      <c r="LB167" s="47" t="str">
        <f t="shared" si="634"/>
        <v xml:space="preserve"> </v>
      </c>
      <c r="LC167" s="47" t="str">
        <f t="shared" si="634"/>
        <v xml:space="preserve"> </v>
      </c>
      <c r="LD167" s="57" t="str">
        <f t="shared" si="634"/>
        <v xml:space="preserve"> </v>
      </c>
      <c r="LE167" s="47" t="str">
        <f t="shared" si="634"/>
        <v xml:space="preserve"> </v>
      </c>
      <c r="LF167" s="47" t="str">
        <f t="shared" si="634"/>
        <v xml:space="preserve"> </v>
      </c>
      <c r="LG167" s="47" t="str">
        <f t="shared" si="634"/>
        <v xml:space="preserve"> </v>
      </c>
      <c r="LH167" s="47" t="str">
        <f t="shared" ref="LH167:NM167" si="635">IF(LH65="",LH168,$C167&amp;"("&amp;LH65&amp;"),"&amp;LH168)</f>
        <v xml:space="preserve"> </v>
      </c>
      <c r="LI167" s="47" t="str">
        <f t="shared" si="635"/>
        <v xml:space="preserve"> </v>
      </c>
      <c r="LJ167" s="57" t="str">
        <f t="shared" si="635"/>
        <v xml:space="preserve"> </v>
      </c>
      <c r="LK167" s="47" t="str">
        <f t="shared" si="635"/>
        <v xml:space="preserve"> </v>
      </c>
      <c r="LL167" s="47" t="str">
        <f t="shared" si="635"/>
        <v xml:space="preserve"> </v>
      </c>
      <c r="LM167" s="47" t="str">
        <f t="shared" si="635"/>
        <v xml:space="preserve"> </v>
      </c>
      <c r="LN167" s="47" t="str">
        <f t="shared" si="635"/>
        <v xml:space="preserve"> </v>
      </c>
      <c r="LO167" s="47" t="str">
        <f t="shared" si="635"/>
        <v xml:space="preserve"> </v>
      </c>
      <c r="LP167" s="57" t="str">
        <f t="shared" si="635"/>
        <v xml:space="preserve"> </v>
      </c>
      <c r="LQ167" s="47" t="str">
        <f t="shared" si="635"/>
        <v xml:space="preserve"> </v>
      </c>
      <c r="LR167" s="47" t="str">
        <f t="shared" si="635"/>
        <v xml:space="preserve"> </v>
      </c>
      <c r="LS167" s="47" t="str">
        <f t="shared" si="635"/>
        <v xml:space="preserve"> </v>
      </c>
      <c r="LT167" s="47" t="str">
        <f t="shared" si="635"/>
        <v xml:space="preserve"> </v>
      </c>
      <c r="LU167" s="47" t="str">
        <f t="shared" si="635"/>
        <v xml:space="preserve"> </v>
      </c>
      <c r="LV167" s="57" t="str">
        <f t="shared" si="635"/>
        <v xml:space="preserve"> </v>
      </c>
      <c r="LW167" s="47" t="str">
        <f t="shared" si="635"/>
        <v xml:space="preserve"> </v>
      </c>
      <c r="LX167" s="47" t="str">
        <f t="shared" si="635"/>
        <v xml:space="preserve"> </v>
      </c>
      <c r="LY167" s="47" t="str">
        <f t="shared" si="635"/>
        <v xml:space="preserve"> </v>
      </c>
      <c r="LZ167" s="47" t="str">
        <f t="shared" si="635"/>
        <v xml:space="preserve"> </v>
      </c>
      <c r="MA167" s="47" t="str">
        <f t="shared" si="635"/>
        <v xml:space="preserve"> </v>
      </c>
      <c r="MB167" s="57" t="str">
        <f t="shared" si="635"/>
        <v xml:space="preserve"> </v>
      </c>
      <c r="MC167" s="47" t="str">
        <f t="shared" si="635"/>
        <v xml:space="preserve"> </v>
      </c>
      <c r="MD167" s="47" t="str">
        <f t="shared" si="635"/>
        <v xml:space="preserve"> </v>
      </c>
      <c r="ME167" s="47" t="str">
        <f t="shared" si="635"/>
        <v xml:space="preserve"> </v>
      </c>
      <c r="MF167" s="47" t="str">
        <f t="shared" si="635"/>
        <v xml:space="preserve"> </v>
      </c>
      <c r="MG167" s="47" t="str">
        <f t="shared" si="635"/>
        <v xml:space="preserve"> </v>
      </c>
      <c r="MH167" s="57" t="str">
        <f t="shared" si="635"/>
        <v xml:space="preserve"> </v>
      </c>
      <c r="MI167" s="47" t="str">
        <f t="shared" si="635"/>
        <v xml:space="preserve"> </v>
      </c>
      <c r="MJ167" s="47" t="str">
        <f t="shared" si="635"/>
        <v xml:space="preserve"> </v>
      </c>
      <c r="MK167" s="47" t="str">
        <f t="shared" si="635"/>
        <v xml:space="preserve"> </v>
      </c>
      <c r="ML167" s="47" t="str">
        <f t="shared" si="635"/>
        <v xml:space="preserve"> </v>
      </c>
      <c r="MM167" s="47" t="str">
        <f t="shared" si="635"/>
        <v xml:space="preserve"> </v>
      </c>
      <c r="MN167" s="57" t="str">
        <f t="shared" si="635"/>
        <v xml:space="preserve"> </v>
      </c>
      <c r="MO167" s="47" t="str">
        <f t="shared" si="635"/>
        <v xml:space="preserve"> </v>
      </c>
      <c r="MP167" s="47" t="str">
        <f t="shared" si="635"/>
        <v xml:space="preserve"> </v>
      </c>
      <c r="MQ167" s="47" t="str">
        <f t="shared" si="635"/>
        <v xml:space="preserve"> </v>
      </c>
      <c r="MR167" s="47" t="str">
        <f t="shared" si="635"/>
        <v xml:space="preserve"> </v>
      </c>
      <c r="MS167" s="47" t="str">
        <f t="shared" si="635"/>
        <v xml:space="preserve"> </v>
      </c>
      <c r="MT167" s="57" t="str">
        <f t="shared" si="635"/>
        <v xml:space="preserve"> </v>
      </c>
      <c r="MU167" s="47" t="str">
        <f t="shared" si="635"/>
        <v xml:space="preserve"> </v>
      </c>
      <c r="MV167" s="47" t="str">
        <f t="shared" si="635"/>
        <v xml:space="preserve"> </v>
      </c>
      <c r="MW167" s="47" t="str">
        <f t="shared" si="635"/>
        <v xml:space="preserve"> </v>
      </c>
      <c r="MX167" s="47" t="str">
        <f t="shared" si="635"/>
        <v xml:space="preserve"> </v>
      </c>
      <c r="MY167" s="47" t="str">
        <f t="shared" si="635"/>
        <v xml:space="preserve"> </v>
      </c>
      <c r="MZ167" s="57" t="str">
        <f t="shared" si="635"/>
        <v xml:space="preserve"> </v>
      </c>
      <c r="NA167" s="47" t="str">
        <f t="shared" si="635"/>
        <v xml:space="preserve"> </v>
      </c>
      <c r="NB167" s="47" t="str">
        <f t="shared" si="635"/>
        <v xml:space="preserve"> </v>
      </c>
      <c r="NC167" s="47" t="str">
        <f t="shared" si="635"/>
        <v xml:space="preserve"> </v>
      </c>
      <c r="ND167" s="47" t="str">
        <f t="shared" si="635"/>
        <v xml:space="preserve"> </v>
      </c>
      <c r="NE167" s="47" t="str">
        <f t="shared" si="635"/>
        <v xml:space="preserve"> </v>
      </c>
      <c r="NF167" s="57" t="str">
        <f t="shared" si="635"/>
        <v xml:space="preserve"> </v>
      </c>
      <c r="NG167" s="47" t="str">
        <f t="shared" si="635"/>
        <v xml:space="preserve"> </v>
      </c>
      <c r="NH167" s="47" t="str">
        <f t="shared" si="635"/>
        <v xml:space="preserve"> </v>
      </c>
      <c r="NI167" s="47" t="str">
        <f t="shared" si="635"/>
        <v xml:space="preserve"> </v>
      </c>
      <c r="NJ167" s="47" t="str">
        <f t="shared" si="635"/>
        <v xml:space="preserve"> </v>
      </c>
      <c r="NK167" s="47" t="str">
        <f t="shared" si="635"/>
        <v xml:space="preserve"> </v>
      </c>
      <c r="NL167" s="57" t="str">
        <f t="shared" si="635"/>
        <v xml:space="preserve"> </v>
      </c>
      <c r="NM167" s="47" t="str">
        <f t="shared" si="635"/>
        <v xml:space="preserve"> </v>
      </c>
    </row>
    <row r="168" spans="3:377" ht="15.75" customHeight="1">
      <c r="C168" s="7" t="str">
        <f t="shared" si="296"/>
        <v>marketing</v>
      </c>
      <c r="D168" s="21" t="str">
        <f t="shared" si="169"/>
        <v xml:space="preserve"> </v>
      </c>
      <c r="E168" s="21" t="str">
        <f t="shared" si="297"/>
        <v xml:space="preserve"> </v>
      </c>
      <c r="F168" s="21" t="str">
        <f t="shared" si="170"/>
        <v xml:space="preserve"> </v>
      </c>
      <c r="G168" s="21" t="str">
        <f t="shared" si="298"/>
        <v xml:space="preserve">social media(1),  </v>
      </c>
      <c r="H168" s="21" t="str">
        <f t="shared" si="299"/>
        <v xml:space="preserve"> </v>
      </c>
      <c r="I168" s="21" t="str">
        <f t="shared" ref="I168" si="636">IF(I66="",I169,$C168&amp;"("&amp;I66&amp;"),"&amp;I169)</f>
        <v xml:space="preserve"> </v>
      </c>
      <c r="J168" s="21" t="str">
        <f t="shared" si="560"/>
        <v xml:space="preserve">interaction 1
 </v>
      </c>
      <c r="K168" s="21" t="str">
        <f t="shared" si="173"/>
        <v xml:space="preserve"> </v>
      </c>
      <c r="L168" s="21" t="str">
        <f t="shared" si="561"/>
        <v xml:space="preserve"> </v>
      </c>
      <c r="M168" s="21" t="str">
        <f t="shared" si="175"/>
        <v xml:space="preserve">social innovation(1), non-profit biz(1),  </v>
      </c>
      <c r="N168" s="21" t="str">
        <f t="shared" si="176"/>
        <v xml:space="preserve">marketing(1,12.5),  </v>
      </c>
      <c r="O168" s="21" t="str">
        <f t="shared" si="562"/>
        <v xml:space="preserve">marketing(12.5), </v>
      </c>
      <c r="P168" s="21" t="str">
        <f t="shared" si="560"/>
        <v xml:space="preserve">biz project 1
 </v>
      </c>
      <c r="Q168" s="21" t="str">
        <f t="shared" si="178"/>
        <v xml:space="preserve"> </v>
      </c>
      <c r="R168" s="21" t="str">
        <f t="shared" si="561"/>
        <v xml:space="preserve"> </v>
      </c>
      <c r="S168" s="21" t="str">
        <f t="shared" si="179"/>
        <v xml:space="preserve">biz enhancement(1), business(1), start-up(1),  </v>
      </c>
      <c r="T168" s="21" t="str">
        <f t="shared" si="180"/>
        <v xml:space="preserve"> </v>
      </c>
      <c r="U168" s="21" t="str">
        <f t="shared" si="562"/>
        <v xml:space="preserve"> </v>
      </c>
      <c r="V168" s="21" t="str">
        <f t="shared" si="560"/>
        <v xml:space="preserve"> </v>
      </c>
      <c r="W168" s="21" t="str">
        <f t="shared" si="181"/>
        <v xml:space="preserve"> </v>
      </c>
      <c r="X168" s="21" t="str">
        <f t="shared" si="561"/>
        <v xml:space="preserve"> </v>
      </c>
      <c r="Y168" s="21" t="str">
        <f t="shared" si="182"/>
        <v xml:space="preserve">biz project(1), biz enhancement(1), job creation(1), business(1),  </v>
      </c>
      <c r="Z168" s="21" t="str">
        <f t="shared" si="183"/>
        <v xml:space="preserve"> </v>
      </c>
      <c r="AA168" s="21" t="str">
        <f t="shared" si="562"/>
        <v xml:space="preserve"> </v>
      </c>
      <c r="AB168" s="21" t="str">
        <f t="shared" si="560"/>
        <v xml:space="preserve"> </v>
      </c>
      <c r="AC168" s="21" t="str">
        <f t="shared" si="184"/>
        <v xml:space="preserve"> </v>
      </c>
      <c r="AD168" s="21" t="str">
        <f t="shared" si="561"/>
        <v xml:space="preserve"> </v>
      </c>
      <c r="AE168" s="21" t="str">
        <f t="shared" si="185"/>
        <v xml:space="preserve">social project(1), social innovation(1), non-profit biz(1),  </v>
      </c>
      <c r="AF168" s="21" t="str">
        <f t="shared" si="186"/>
        <v xml:space="preserve"> </v>
      </c>
      <c r="AG168" s="21" t="str">
        <f t="shared" si="562"/>
        <v xml:space="preserve"> </v>
      </c>
      <c r="AH168" s="21" t="str">
        <f t="shared" si="560"/>
        <v xml:space="preserve"> </v>
      </c>
      <c r="AI168" s="21" t="str">
        <f t="shared" si="187"/>
        <v xml:space="preserve"> </v>
      </c>
      <c r="AJ168" s="21" t="str">
        <f t="shared" si="561"/>
        <v xml:space="preserve"> </v>
      </c>
      <c r="AK168" s="21" t="str">
        <f t="shared" si="188"/>
        <v xml:space="preserve">social project(1), social innovation(1), non-profit biz(1),  </v>
      </c>
      <c r="AL168" s="21" t="str">
        <f t="shared" si="189"/>
        <v xml:space="preserve"> </v>
      </c>
      <c r="AM168" s="21" t="str">
        <f t="shared" si="562"/>
        <v xml:space="preserve"> </v>
      </c>
      <c r="AN168" s="21" t="str">
        <f t="shared" si="560"/>
        <v xml:space="preserve"> </v>
      </c>
      <c r="AO168" s="21" t="str">
        <f t="shared" si="190"/>
        <v xml:space="preserve"> </v>
      </c>
      <c r="AP168" s="21" t="str">
        <f t="shared" si="561"/>
        <v xml:space="preserve"> </v>
      </c>
      <c r="AQ168" s="21" t="str">
        <f t="shared" si="191"/>
        <v xml:space="preserve">start-up(1), start-up with mvp(1), start-up with customers(1),  </v>
      </c>
      <c r="AR168" s="21" t="str">
        <f t="shared" si="192"/>
        <v xml:space="preserve"> </v>
      </c>
      <c r="AS168" s="21" t="str">
        <f t="shared" si="562"/>
        <v xml:space="preserve"> </v>
      </c>
      <c r="AT168" s="21" t="str">
        <f t="shared" si="560"/>
        <v xml:space="preserve">social project 1
 </v>
      </c>
      <c r="AU168" s="21" t="str">
        <f t="shared" si="193"/>
        <v xml:space="preserve"> </v>
      </c>
      <c r="AV168" s="21" t="str">
        <f t="shared" si="561"/>
        <v xml:space="preserve"> </v>
      </c>
      <c r="AW168" s="21" t="str">
        <f t="shared" si="194"/>
        <v xml:space="preserve">project management(2),  </v>
      </c>
      <c r="AX168" s="21" t="str">
        <f t="shared" si="195"/>
        <v xml:space="preserve">project management(1,12.5),  </v>
      </c>
      <c r="AY168" s="21" t="str">
        <f t="shared" si="562"/>
        <v xml:space="preserve">project management(12.5), </v>
      </c>
      <c r="AZ168" s="21" t="str">
        <f t="shared" si="560"/>
        <v xml:space="preserve"> </v>
      </c>
      <c r="BA168" s="21" t="str">
        <f t="shared" si="196"/>
        <v xml:space="preserve"> </v>
      </c>
      <c r="BB168" s="21" t="str">
        <f t="shared" si="561"/>
        <v xml:space="preserve"> </v>
      </c>
      <c r="BC168" s="21" t="str">
        <f t="shared" si="197"/>
        <v xml:space="preserve"> </v>
      </c>
      <c r="BD168" s="21" t="str">
        <f t="shared" si="198"/>
        <v xml:space="preserve"> </v>
      </c>
      <c r="BE168" s="21" t="str">
        <f t="shared" si="562"/>
        <v xml:space="preserve"> </v>
      </c>
      <c r="BF168" s="21" t="str">
        <f t="shared" si="560"/>
        <v xml:space="preserve">biz project 1
 </v>
      </c>
      <c r="BG168" s="21" t="str">
        <f t="shared" si="199"/>
        <v xml:space="preserve"> </v>
      </c>
      <c r="BH168" s="21" t="str">
        <f t="shared" si="561"/>
        <v xml:space="preserve"> </v>
      </c>
      <c r="BI168" s="21" t="str">
        <f t="shared" si="200"/>
        <v xml:space="preserve">project management(2),  </v>
      </c>
      <c r="BJ168" s="21" t="str">
        <f t="shared" si="201"/>
        <v xml:space="preserve">project management(1,12.5),  </v>
      </c>
      <c r="BK168" s="21" t="str">
        <f t="shared" si="562"/>
        <v xml:space="preserve">project management(12.5), </v>
      </c>
      <c r="BL168" s="21" t="str">
        <f t="shared" si="560"/>
        <v xml:space="preserve">biz enhancement 1
 </v>
      </c>
      <c r="BM168" s="21" t="str">
        <f t="shared" si="202"/>
        <v xml:space="preserve"> </v>
      </c>
      <c r="BN168" s="21" t="str">
        <f t="shared" si="561"/>
        <v xml:space="preserve"> </v>
      </c>
      <c r="BO168" s="21" t="str">
        <f t="shared" si="203"/>
        <v xml:space="preserve"> </v>
      </c>
      <c r="BP168" s="21" t="str">
        <f t="shared" si="204"/>
        <v xml:space="preserve"> </v>
      </c>
      <c r="BQ168" s="21" t="str">
        <f t="shared" si="562"/>
        <v xml:space="preserve"> </v>
      </c>
      <c r="BR168" s="21" t="str">
        <f t="shared" si="560"/>
        <v xml:space="preserve"> </v>
      </c>
      <c r="BS168" s="21" t="str">
        <f t="shared" si="205"/>
        <v xml:space="preserve"> </v>
      </c>
      <c r="BT168" s="21" t="str">
        <f t="shared" si="561"/>
        <v xml:space="preserve"> </v>
      </c>
      <c r="BU168" s="21" t="str">
        <f t="shared" si="206"/>
        <v xml:space="preserve"> </v>
      </c>
      <c r="BV168" s="21" t="str">
        <f t="shared" si="207"/>
        <v xml:space="preserve"> </v>
      </c>
      <c r="BW168" s="21" t="str">
        <f t="shared" si="562"/>
        <v xml:space="preserve"> </v>
      </c>
      <c r="BX168" s="21" t="str">
        <f t="shared" si="563"/>
        <v xml:space="preserve"> </v>
      </c>
      <c r="BY168" s="21" t="str">
        <f t="shared" si="209"/>
        <v xml:space="preserve"> </v>
      </c>
      <c r="BZ168" s="21" t="str">
        <f t="shared" si="564"/>
        <v xml:space="preserve"> </v>
      </c>
      <c r="CA168" s="21" t="str">
        <f t="shared" si="211"/>
        <v xml:space="preserve">negotiation(1),  </v>
      </c>
      <c r="CB168" s="21" t="str">
        <f t="shared" si="212"/>
        <v xml:space="preserve"> </v>
      </c>
      <c r="CC168" s="21" t="str">
        <f t="shared" si="565"/>
        <v xml:space="preserve"> </v>
      </c>
      <c r="CD168" s="21" t="str">
        <f t="shared" si="563"/>
        <v xml:space="preserve"> </v>
      </c>
      <c r="CE168" s="21" t="str">
        <f t="shared" si="214"/>
        <v xml:space="preserve"> </v>
      </c>
      <c r="CF168" s="21" t="str">
        <f t="shared" si="564"/>
        <v xml:space="preserve"> </v>
      </c>
      <c r="CG168" s="21" t="str">
        <f t="shared" si="215"/>
        <v xml:space="preserve">negotiation(1), social project(1), biz project(1), for basic literacy(1), for the elites(1), for entrepreneurs(1),  </v>
      </c>
      <c r="CH168" s="21" t="str">
        <f t="shared" si="216"/>
        <v xml:space="preserve"> </v>
      </c>
      <c r="CI168" s="21" t="str">
        <f t="shared" si="565"/>
        <v xml:space="preserve"> </v>
      </c>
      <c r="CJ168" s="21" t="str">
        <f t="shared" si="563"/>
        <v xml:space="preserve"> </v>
      </c>
      <c r="CK168" s="21" t="str">
        <f t="shared" si="217"/>
        <v xml:space="preserve"> </v>
      </c>
      <c r="CL168" s="21" t="str">
        <f t="shared" si="564"/>
        <v xml:space="preserve"> </v>
      </c>
      <c r="CM168" s="21" t="str">
        <f t="shared" si="218"/>
        <v xml:space="preserve">negotiation(1),  </v>
      </c>
      <c r="CN168" s="21" t="str">
        <f t="shared" si="219"/>
        <v xml:space="preserve"> </v>
      </c>
      <c r="CO168" s="21" t="str">
        <f t="shared" si="565"/>
        <v xml:space="preserve"> </v>
      </c>
      <c r="CP168" s="21" t="str">
        <f t="shared" si="563"/>
        <v xml:space="preserve"> </v>
      </c>
      <c r="CQ168" s="21" t="str">
        <f t="shared" si="220"/>
        <v xml:space="preserve"> </v>
      </c>
      <c r="CR168" s="21" t="str">
        <f t="shared" si="564"/>
        <v xml:space="preserve"> </v>
      </c>
      <c r="CS168" s="21" t="str">
        <f t="shared" si="221"/>
        <v xml:space="preserve">negotiation(1), web(1), infrastructrue(1), database(1), mobile apps(1), sensors(1), security(1), AI&amp; data analysis(1), mobile comm(1), VR&amp;AR(1), wood processing(1), metal processing(1), plastic processing(1), electronics(1), fabric(1),  </v>
      </c>
      <c r="CT168" s="21" t="str">
        <f t="shared" si="222"/>
        <v xml:space="preserve"> </v>
      </c>
      <c r="CU168" s="21" t="str">
        <f t="shared" si="565"/>
        <v xml:space="preserve"> </v>
      </c>
      <c r="CV168" s="21" t="str">
        <f t="shared" si="563"/>
        <v xml:space="preserve"> </v>
      </c>
      <c r="CW168" s="21" t="str">
        <f t="shared" si="223"/>
        <v xml:space="preserve"> </v>
      </c>
      <c r="CX168" s="21" t="str">
        <f t="shared" si="564"/>
        <v xml:space="preserve"> </v>
      </c>
      <c r="CY168" s="21" t="str">
        <f t="shared" si="224"/>
        <v xml:space="preserve">negotiation(1),  </v>
      </c>
      <c r="CZ168" s="21" t="str">
        <f t="shared" si="225"/>
        <v xml:space="preserve"> </v>
      </c>
      <c r="DA168" s="21" t="str">
        <f t="shared" si="565"/>
        <v xml:space="preserve"> </v>
      </c>
      <c r="DB168" s="21" t="str">
        <f t="shared" si="563"/>
        <v xml:space="preserve"> </v>
      </c>
      <c r="DC168" s="21" t="str">
        <f t="shared" si="226"/>
        <v xml:space="preserve"> </v>
      </c>
      <c r="DD168" s="21" t="str">
        <f t="shared" si="564"/>
        <v xml:space="preserve"> </v>
      </c>
      <c r="DE168" s="21" t="str">
        <f t="shared" si="227"/>
        <v xml:space="preserve">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8" s="21" t="str">
        <f t="shared" si="228"/>
        <v xml:space="preserve"> </v>
      </c>
      <c r="DG168" s="21" t="str">
        <f t="shared" si="565"/>
        <v xml:space="preserve"> </v>
      </c>
      <c r="DH168" s="21" t="str">
        <f t="shared" si="563"/>
        <v xml:space="preserve">social project 1
 </v>
      </c>
      <c r="DI168" s="21" t="str">
        <f t="shared" si="229"/>
        <v xml:space="preserve"> </v>
      </c>
      <c r="DJ168" s="21" t="str">
        <f t="shared" si="564"/>
        <v xml:space="preserve"> </v>
      </c>
      <c r="DK168" s="21" t="str">
        <f t="shared" si="230"/>
        <v xml:space="preserve">marketing(1), 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8" s="21" t="str">
        <f t="shared" si="231"/>
        <v xml:space="preserve"> </v>
      </c>
      <c r="DM168" s="21" t="str">
        <f t="shared" si="565"/>
        <v xml:space="preserve"> </v>
      </c>
      <c r="DN168" s="21" t="str">
        <f t="shared" si="563"/>
        <v xml:space="preserve">biz project 1
 </v>
      </c>
      <c r="DO168" s="21" t="str">
        <f t="shared" si="232"/>
        <v xml:space="preserve"> </v>
      </c>
      <c r="DP168" s="21" t="str">
        <f t="shared" si="564"/>
        <v xml:space="preserve"> </v>
      </c>
      <c r="DQ168" s="21" t="str">
        <f t="shared" si="233"/>
        <v xml:space="preserve">marketing(1), 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8" s="21" t="str">
        <f t="shared" si="234"/>
        <v xml:space="preserve"> </v>
      </c>
      <c r="DS168" s="21" t="str">
        <f t="shared" si="565"/>
        <v xml:space="preserve"> </v>
      </c>
      <c r="DT168" s="21" t="str">
        <f t="shared" si="563"/>
        <v xml:space="preserve"> </v>
      </c>
      <c r="DU168" s="21" t="str">
        <f t="shared" si="235"/>
        <v xml:space="preserve"> </v>
      </c>
      <c r="DV168" s="21" t="str">
        <f t="shared" si="564"/>
        <v xml:space="preserve"> </v>
      </c>
      <c r="DW168" s="21" t="str">
        <f t="shared" si="236"/>
        <v xml:space="preserve">marketing(1), social media(1), for basic literacy(1),  </v>
      </c>
      <c r="DX168" s="21" t="str">
        <f t="shared" si="237"/>
        <v xml:space="preserve">for basic literacy(1,6.25),  </v>
      </c>
      <c r="DY168" s="21" t="str">
        <f t="shared" si="565"/>
        <v xml:space="preserve">for basic literacy(6.25), </v>
      </c>
      <c r="DZ168" s="21" t="str">
        <f t="shared" si="563"/>
        <v xml:space="preserve"> </v>
      </c>
      <c r="EA168" s="21" t="str">
        <f t="shared" si="238"/>
        <v xml:space="preserve"> </v>
      </c>
      <c r="EB168" s="21" t="str">
        <f t="shared" si="564"/>
        <v xml:space="preserve"> </v>
      </c>
      <c r="EC168" s="21" t="str">
        <f t="shared" si="239"/>
        <v xml:space="preserve">marketing(1), social media(1), web(2), infrastructrue(2), database(2), mobile apps(2), sensors(2), security(2), AI&amp; data analysis(2), mobile comm(2), VR&amp;AR(2), wood processing(2), metal processing(2), plastic processing(2), electronics(2), fabric(2), for basic literacy(1),  </v>
      </c>
      <c r="ED168" s="21" t="str">
        <f t="shared" si="240"/>
        <v xml:space="preserve">for basic literacy(1,6.25),  </v>
      </c>
      <c r="EE168" s="21" t="str">
        <f t="shared" si="565"/>
        <v xml:space="preserve">for basic literacy(6.25), </v>
      </c>
      <c r="EF168" s="21" t="str">
        <f t="shared" si="563"/>
        <v xml:space="preserve"> </v>
      </c>
      <c r="EG168" s="21" t="str">
        <f t="shared" si="241"/>
        <v xml:space="preserve">web(1,50), mobile apps(1,50), interaction(1,50),  </v>
      </c>
      <c r="EH168" s="21" t="str">
        <f t="shared" si="564"/>
        <v xml:space="preserve">web 50
mobile apps 50
interaction 50
 </v>
      </c>
      <c r="EI168" s="21" t="str">
        <f t="shared" si="242"/>
        <v xml:space="preserve">infrastructrue(1), database(1), mobile comm(1), for entrepreneurs(1),  </v>
      </c>
      <c r="EJ168" s="21" t="str">
        <f t="shared" si="243"/>
        <v xml:space="preserve">infrastructrue(1,12.5), database(1,12.5), mobile comm(1,12.5), for entrepreneurs(1,6.25),  </v>
      </c>
      <c r="EK168" s="21" t="str">
        <f t="shared" si="565"/>
        <v xml:space="preserve">infrastructrue(12.5),database(12.5),mobile comm(12.5),for entrepreneurs(6.25), </v>
      </c>
      <c r="EL168" s="21" t="str">
        <f t="shared" si="566"/>
        <v xml:space="preserve"> </v>
      </c>
      <c r="EM168" s="21" t="str">
        <f t="shared" si="245"/>
        <v xml:space="preserve">sensors(1,50),  </v>
      </c>
      <c r="EN168" s="21" t="str">
        <f t="shared" si="567"/>
        <v xml:space="preserve">sensors 50
 </v>
      </c>
      <c r="EO168" s="21" t="str">
        <f t="shared" si="247"/>
        <v xml:space="preserve">project management(2), infrastructrue(1), database(1), mobile comm(1), for entrepreneurs(1),  </v>
      </c>
      <c r="EP168" s="21" t="str">
        <f t="shared" si="248"/>
        <v xml:space="preserve">infrastructrue(1,12.5), database(1,12.5), mobile comm(1,12.5), electronics(1,6.25), for entrepreneurs(1,6.25),  </v>
      </c>
      <c r="EQ168" s="21" t="str">
        <f t="shared" si="568"/>
        <v xml:space="preserve">infrastructrue(12.5),database(12.5),mobile comm(12.5),electronics(6.25),for entrepreneurs(6.25), </v>
      </c>
      <c r="ER168" s="21" t="str">
        <f t="shared" si="566"/>
        <v xml:space="preserve"> </v>
      </c>
      <c r="ES168" s="21" t="str">
        <f t="shared" si="250"/>
        <v xml:space="preserve">AI&amp; data analysis(1,50),  </v>
      </c>
      <c r="ET168" s="21" t="str">
        <f t="shared" si="567"/>
        <v xml:space="preserve">AI&amp; data analysis 50
 </v>
      </c>
      <c r="EU168" s="21" t="str">
        <f t="shared" si="251"/>
        <v xml:space="preserve">database(1), sensors(1), mobile comm(1), for entrepreneurs(1),  </v>
      </c>
      <c r="EV168" s="21" t="str">
        <f t="shared" si="252"/>
        <v xml:space="preserve">database(1,12.5), sensors(1,12.5), mobile comm(1,12.5), for entrepreneurs(1,6.25),  </v>
      </c>
      <c r="EW168" s="21" t="str">
        <f t="shared" si="568"/>
        <v xml:space="preserve">database(12.5),sensors(12.5),mobile comm(12.5),for entrepreneurs(6.25), </v>
      </c>
      <c r="EX168" s="21" t="str">
        <f t="shared" si="566"/>
        <v xml:space="preserve"> </v>
      </c>
      <c r="EY168" s="21" t="str">
        <f t="shared" si="253"/>
        <v xml:space="preserve">security(1,50), interaction(1,25),  </v>
      </c>
      <c r="EZ168" s="21" t="str">
        <f t="shared" si="567"/>
        <v xml:space="preserve">security 50
interaction 25
 </v>
      </c>
      <c r="FA168" s="21" t="str">
        <f t="shared" si="254"/>
        <v xml:space="preserve">for entrepreneurs(1),  </v>
      </c>
      <c r="FB168" s="21" t="str">
        <f t="shared" si="255"/>
        <v xml:space="preserve">database(1,12.5), mobile apps(1,12.5), security(1,12.5), mobile comm(1,12.5), for entrepreneurs(1,6.25),  </v>
      </c>
      <c r="FC168" s="21" t="str">
        <f t="shared" si="568"/>
        <v xml:space="preserve">database(12.5),mobile apps(12.5),security(12.5),mobile comm(12.5),for entrepreneurs(6.25), </v>
      </c>
      <c r="FD168" s="21" t="str">
        <f t="shared" si="566"/>
        <v xml:space="preserve"> </v>
      </c>
      <c r="FE168" s="21" t="str">
        <f t="shared" si="256"/>
        <v xml:space="preserve">sensors(1,50), security(1,50),  </v>
      </c>
      <c r="FF168" s="21" t="str">
        <f t="shared" si="567"/>
        <v xml:space="preserve">sensors 50
security 50
 </v>
      </c>
      <c r="FG168" s="21" t="str">
        <f t="shared" si="257"/>
        <v xml:space="preserve">project management(2), for entrepreneurs(1),  </v>
      </c>
      <c r="FH168" s="21" t="str">
        <f t="shared" si="258"/>
        <v xml:space="preserve">database(1,6.25), mobile apps(1,6.25), AI&amp; data analysis(1,6.25), mobile comm(1,6.25), for entrepreneurs(1,6.25),  </v>
      </c>
      <c r="FI168" s="21" t="str">
        <f t="shared" si="568"/>
        <v xml:space="preserve">database(6.25),mobile apps(6.25),AI&amp; data analysis(6.25),mobile comm(6.25),for entrepreneurs(6.25), </v>
      </c>
      <c r="FJ168" s="21" t="str">
        <f t="shared" si="566"/>
        <v xml:space="preserve"> </v>
      </c>
      <c r="FK168" s="21" t="str">
        <f t="shared" si="259"/>
        <v xml:space="preserve">wood processing(1,25), metal processing(1,25), plastic processing(1,25), fabric(1,25), safety(1,25), interaction(1,25),  </v>
      </c>
      <c r="FL168" s="21" t="str">
        <f t="shared" si="567"/>
        <v xml:space="preserve">project management 2
wood processing 25
metal processing 25
plastic processing 25
fabric 25
safety 25
interaction 25
 </v>
      </c>
      <c r="FM168" s="21" t="str">
        <f t="shared" si="260"/>
        <v xml:space="preserve">for entrepreneurs(1),  </v>
      </c>
      <c r="FN168" s="21" t="str">
        <f t="shared" si="261"/>
        <v xml:space="preserve">for entrepreneurs(1,6.25),  </v>
      </c>
      <c r="FO168" s="21" t="str">
        <f t="shared" si="568"/>
        <v xml:space="preserve">for entrepreneurs(6.25), </v>
      </c>
      <c r="FP168" s="21" t="str">
        <f t="shared" si="566"/>
        <v xml:space="preserve"> </v>
      </c>
      <c r="FQ168" s="21" t="str">
        <f t="shared" si="262"/>
        <v xml:space="preserve">web(1,25), mobile apps(1,50), functions(1,25), interaction(1,25),  </v>
      </c>
      <c r="FR168" s="21" t="str">
        <f t="shared" si="567"/>
        <v xml:space="preserve">web 25
mobile apps 50
functions 25
interaction 25
 </v>
      </c>
      <c r="FS168" s="21" t="str">
        <f t="shared" si="263"/>
        <v xml:space="preserve">for entrepreneurs(1),  </v>
      </c>
      <c r="FT168" s="21" t="str">
        <f t="shared" si="264"/>
        <v xml:space="preserve">for entrepreneurs(1,6.25),  </v>
      </c>
      <c r="FU168" s="21" t="str">
        <f t="shared" si="568"/>
        <v xml:space="preserve">for entrepreneurs(6.25), </v>
      </c>
      <c r="FV168" s="21" t="str">
        <f t="shared" si="566"/>
        <v xml:space="preserve"> </v>
      </c>
      <c r="FW168" s="21" t="str">
        <f t="shared" si="265"/>
        <v xml:space="preserve">mobile apps(1,50), sensors(1,50), wood processing(1,25), plastic processing(1,25), electronics(1,25), functions(1,25), interaction(1,25),  </v>
      </c>
      <c r="FX168" s="21" t="str">
        <f t="shared" si="567"/>
        <v xml:space="preserve">mobile apps 50
sensors 50
wood processing 25
plastic processing 25
electronics 25
functions 25
interaction 25
 </v>
      </c>
      <c r="FY168" s="21" t="str">
        <f t="shared" si="266"/>
        <v xml:space="preserve">project management(2), for entrepreneurs(1),  </v>
      </c>
      <c r="FZ168" s="21" t="str">
        <f t="shared" si="267"/>
        <v xml:space="preserve">web(1,6.25), database(1,6.25), AI&amp; data analysis(1,6.25), mobile comm(1,6.25), for entrepreneurs(1,6.25),  </v>
      </c>
      <c r="GA168" s="21" t="str">
        <f t="shared" si="568"/>
        <v xml:space="preserve">web(6.25),database(6.25),AI&amp; data analysis(6.25),mobile comm(6.25),for entrepreneurs(6.25), </v>
      </c>
      <c r="GB168" s="21" t="str">
        <f t="shared" si="566"/>
        <v xml:space="preserve"> </v>
      </c>
      <c r="GC168" s="21" t="str">
        <f t="shared" si="268"/>
        <v xml:space="preserve">sensors(1,25), mobile comm(1,25), electronics(1,50), functions(1,25), safety(1,25),  </v>
      </c>
      <c r="GD168" s="21" t="str">
        <f t="shared" si="567"/>
        <v xml:space="preserve">sensors 25
mobile comm 25
electronics 50
functions 25
safety 25
 </v>
      </c>
      <c r="GE168" s="21" t="str">
        <f t="shared" si="269"/>
        <v xml:space="preserve">project management(2), for entrepreneurs(1),  </v>
      </c>
      <c r="GF168" s="21" t="str">
        <f t="shared" si="270"/>
        <v xml:space="preserve">database(1,6.25), mobile apps(1,6.25), AI&amp; data analysis(1,6.25), plastic processing(1,6.25), interaction(1,6.25), for entrepreneurs(1,6.25),  </v>
      </c>
      <c r="GG168" s="21" t="str">
        <f t="shared" si="568"/>
        <v xml:space="preserve">database(6.25),mobile apps(6.25),AI&amp; data analysis(6.25),plastic processing(6.25),interaction(6.25),for entrepreneurs(6.25), </v>
      </c>
      <c r="GH168" s="21" t="str">
        <f t="shared" si="566"/>
        <v xml:space="preserve"> </v>
      </c>
      <c r="GI168" s="21" t="str">
        <f t="shared" si="271"/>
        <v xml:space="preserve">web(1,25), mobile apps(1,50), functions(1,25), interaction(1,25),  </v>
      </c>
      <c r="GJ168" s="21" t="str">
        <f t="shared" si="567"/>
        <v xml:space="preserve">web 25
mobile apps 50
functions 25
interaction 25
 </v>
      </c>
      <c r="GK168" s="21" t="str">
        <f t="shared" si="272"/>
        <v xml:space="preserve">project management(2), for entrepreneurs(1),  </v>
      </c>
      <c r="GL168" s="21" t="str">
        <f t="shared" si="273"/>
        <v xml:space="preserve">for entrepreneurs(1,6.25),  </v>
      </c>
      <c r="GM168" s="21" t="str">
        <f t="shared" si="568"/>
        <v xml:space="preserve">for entrepreneurs(6.25), </v>
      </c>
      <c r="GN168" s="21" t="str">
        <f t="shared" si="566"/>
        <v xml:space="preserve"> </v>
      </c>
      <c r="GO168" s="21" t="str">
        <f t="shared" si="274"/>
        <v xml:space="preserve">web(1,25), mobile apps(1,25), VR&amp;AR(1,25), aesthetics(1,25), functions(1,25), interaction(1,50),  </v>
      </c>
      <c r="GP168" s="21" t="str">
        <f t="shared" si="567"/>
        <v xml:space="preserve">web 25
mobile apps 25
VR&amp;AR 25
aesthetics 25
functions 25
interaction 50
 </v>
      </c>
      <c r="GQ168" s="21" t="str">
        <f t="shared" si="275"/>
        <v xml:space="preserve">project management(2), for entrepreneurs(1),  </v>
      </c>
      <c r="GR168" s="21" t="str">
        <f t="shared" si="276"/>
        <v xml:space="preserve">for entrepreneurs(1,6.25),  </v>
      </c>
      <c r="GS168" s="21" t="str">
        <f t="shared" si="568"/>
        <v xml:space="preserve">for entrepreneurs(6.25), </v>
      </c>
      <c r="GT168" s="21" t="str">
        <f t="shared" si="566"/>
        <v xml:space="preserve">web 1
mobile apps 1
mobile comm 1
 </v>
      </c>
      <c r="GU168" s="21" t="str">
        <f t="shared" si="277"/>
        <v xml:space="preserve"> </v>
      </c>
      <c r="GV168" s="21" t="str">
        <f t="shared" si="567"/>
        <v xml:space="preserve"> </v>
      </c>
      <c r="GW168" s="21" t="str">
        <f t="shared" si="278"/>
        <v xml:space="preserve">marketing(1), team building(1), project management(1), social media(1), infrastructrue(1), database(1), sensors(1), security(1), AI&amp; data analysis(1), electronics(1),  </v>
      </c>
      <c r="GX168" s="21" t="str">
        <f t="shared" si="279"/>
        <v xml:space="preserve">project management(1,6.25), social media(1,6.25), web(1,6.25), mobile apps(1,6.25),  </v>
      </c>
      <c r="GY168" s="21" t="str">
        <f t="shared" si="568"/>
        <v xml:space="preserve">project management(6.25),social media(6.25),web(6.25),mobile apps(6.25), </v>
      </c>
      <c r="GZ168" s="21" t="str">
        <f t="shared" si="569"/>
        <v xml:space="preserve"> </v>
      </c>
      <c r="HA168" s="21" t="str">
        <f t="shared" si="281"/>
        <v xml:space="preserve"> </v>
      </c>
      <c r="HB168" s="21" t="str">
        <f t="shared" si="570"/>
        <v xml:space="preserve"> </v>
      </c>
      <c r="HC168" s="21" t="str">
        <f t="shared" si="283"/>
        <v xml:space="preserve">social media(2), web(2), mobile apps(2), sensors(2), AI&amp; data analysis(2), VR&amp;AR(2), plastic processing(2), electronics(2), aesthetics(2), interaction(2),  </v>
      </c>
      <c r="HD168" s="21" t="str">
        <f t="shared" si="284"/>
        <v xml:space="preserve">start-up with customers(1,6.25), for basic literacy(1,6.25),  </v>
      </c>
      <c r="HE168" s="21" t="str">
        <f t="shared" si="571"/>
        <v xml:space="preserve">start-up with customers(6.25),for basic literacy(6.25), </v>
      </c>
      <c r="HF168" s="21" t="str">
        <f t="shared" si="569"/>
        <v xml:space="preserve"> </v>
      </c>
      <c r="HG168" s="21" t="str">
        <f t="shared" si="286"/>
        <v xml:space="preserve"> </v>
      </c>
      <c r="HH168" s="21" t="str">
        <f t="shared" si="570"/>
        <v xml:space="preserve"> </v>
      </c>
      <c r="HI168" s="21" t="str">
        <f t="shared" si="287"/>
        <v xml:space="preserve">marketing(2), team building(3), project management(2), mobile apps(3), sensors(2), plastic processing(2), electronics(2), aesthetics(2), functions(2), interaction(2),  </v>
      </c>
      <c r="HJ168" s="21" t="str">
        <f t="shared" si="288"/>
        <v xml:space="preserve">start-up with customers(1,6.25),  </v>
      </c>
      <c r="HK168" s="21" t="str">
        <f t="shared" si="571"/>
        <v xml:space="preserve">start-up with customers(6.25), </v>
      </c>
      <c r="HL168" s="21" t="str">
        <f t="shared" si="569"/>
        <v xml:space="preserve"> </v>
      </c>
      <c r="HM168" s="21" t="str">
        <f t="shared" si="289"/>
        <v xml:space="preserve"> </v>
      </c>
      <c r="HN168" s="21" t="str">
        <f t="shared" si="570"/>
        <v xml:space="preserve"> </v>
      </c>
      <c r="HO168" s="21" t="str">
        <f t="shared" si="290"/>
        <v xml:space="preserve">marketing(2), project management(2), social media(2), web(3), mobile apps(2), wood processing(3), plastic processing(3), electronics(3), aesthetics(2), interaction(2),  </v>
      </c>
      <c r="HP168" s="21" t="str">
        <f t="shared" si="291"/>
        <v xml:space="preserve"> </v>
      </c>
      <c r="HQ168" s="47" t="str">
        <f t="shared" si="571"/>
        <v xml:space="preserve"> </v>
      </c>
      <c r="HR168" s="47" t="str">
        <f t="shared" ref="HR168:HW168" si="637">IF(HR66="",HR169,$C168&amp;"("&amp;HR66&amp;"),"&amp;HR169)</f>
        <v xml:space="preserve">mobile apps(1),sensors(1),wood processing(1),aesthetics(1), </v>
      </c>
      <c r="HS168" s="47" t="str">
        <f t="shared" si="637"/>
        <v xml:space="preserve"> </v>
      </c>
      <c r="HT168" s="47" t="str">
        <f t="shared" si="637"/>
        <v xml:space="preserve"> </v>
      </c>
      <c r="HU168" s="47" t="str">
        <f t="shared" si="637"/>
        <v xml:space="preserve">project management(2),social media(2),web(3),infrastructrue(3),database(3),mobile apps(3),sensors(3),AI&amp; data analysis(3),mobile comm(3),VR&amp;AR(3),wood processing(3),metal processing(2),plastic processing(2),electronics(2),fabric(2),aesthetics(2),interaction(2),start-up with mvp(1), </v>
      </c>
      <c r="HV168" s="47" t="str">
        <f t="shared" si="637"/>
        <v xml:space="preserve"> </v>
      </c>
      <c r="HW168" s="47" t="str">
        <f t="shared" si="637"/>
        <v xml:space="preserve"> </v>
      </c>
      <c r="HX168" s="47" t="str">
        <f t="shared" ref="HX168:IU168" si="638">IF(HX66="",HX169,$C168&amp;"("&amp;HX66&amp;"),"&amp;HX169)</f>
        <v xml:space="preserve">web(1),infrastructrue(1),database(2),mobile apps(1),sensors(1),AI&amp; data analysis(2),VR&amp;AR(1),wood processing(1),metal processing(1),plastic processing(1),electronics(1),aesthetics(1),functions(1),interaction(1), </v>
      </c>
      <c r="HY168" s="47" t="str">
        <f t="shared" si="638"/>
        <v xml:space="preserve">biz enhancement(1), </v>
      </c>
      <c r="HZ168" s="47" t="str">
        <f t="shared" si="638"/>
        <v xml:space="preserve">biz enhancement(100), </v>
      </c>
      <c r="IA168" s="47" t="str">
        <f t="shared" si="638"/>
        <v xml:space="preserve">marketing(3),team building(2),project management(2),social media(3),negotiation(3), </v>
      </c>
      <c r="IB168" s="47" t="str">
        <f t="shared" si="638"/>
        <v xml:space="preserve">team building(1),database(1),AI&amp; data analysis(1),electronics(1),functions(1), </v>
      </c>
      <c r="IC168" s="47" t="str">
        <f t="shared" si="638"/>
        <v xml:space="preserve">team building(6.25),database(6.25),AI&amp; data analysis(6.25),electronics(6.25),functions(6.25), </v>
      </c>
      <c r="ID168" s="47" t="str">
        <f t="shared" si="638"/>
        <v xml:space="preserve"> </v>
      </c>
      <c r="IE168" s="47" t="str">
        <f t="shared" si="638"/>
        <v xml:space="preserve">web(1),mobile apps(1),security(1),AI&amp; data analysis(1), </v>
      </c>
      <c r="IF168" s="47" t="str">
        <f t="shared" si="638"/>
        <v xml:space="preserve">web(25),mobile apps(25),security(25),AI&amp; data analysis(25), </v>
      </c>
      <c r="IG168" s="47" t="str">
        <f t="shared" si="638"/>
        <v xml:space="preserve">web(2),database(2),mobile apps(2),security(2),AI&amp; data analysis(2), </v>
      </c>
      <c r="IH168" s="47" t="str">
        <f t="shared" si="638"/>
        <v xml:space="preserve">web(1),database(1),mobile apps(1),security(1),AI&amp; data analysis(1), </v>
      </c>
      <c r="II168" s="47" t="str">
        <f t="shared" si="638"/>
        <v xml:space="preserve">web(6.25),database(6.25),mobile apps(6.25),security(6.25),AI&amp; data analysis(6.25), </v>
      </c>
      <c r="IJ168" s="47" t="str">
        <f t="shared" si="638"/>
        <v xml:space="preserve"> </v>
      </c>
      <c r="IK168" s="47" t="str">
        <f t="shared" si="638"/>
        <v xml:space="preserve">wood processing(1),metal processing(1),functions(1),safety(1), </v>
      </c>
      <c r="IL168" s="47" t="str">
        <f t="shared" si="638"/>
        <v xml:space="preserve">wood processing(25),metal processing(25),functions(25),safety(25), </v>
      </c>
      <c r="IM168" s="47" t="str">
        <f t="shared" si="638"/>
        <v xml:space="preserve">wood processing(2),metal processing(2),functions(2),safety(2), </v>
      </c>
      <c r="IN168" s="47" t="str">
        <f t="shared" si="638"/>
        <v xml:space="preserve">wood processing(1),metal processing(1),functions(1),safety(1),interaction(1), </v>
      </c>
      <c r="IO168" s="47" t="str">
        <f t="shared" si="638"/>
        <v xml:space="preserve">wood processing(6.25),metal processing(6.25),functions(6.25),safety(6.25),interaction(6.25), </v>
      </c>
      <c r="IP168" s="57" t="str">
        <f t="shared" si="638"/>
        <v xml:space="preserve"> </v>
      </c>
      <c r="IQ168" s="47" t="str">
        <f t="shared" si="638"/>
        <v xml:space="preserve">marketing(1), </v>
      </c>
      <c r="IR168" s="47" t="str">
        <f t="shared" si="638"/>
        <v xml:space="preserve">marketing(25), </v>
      </c>
      <c r="IS168" s="47" t="str">
        <f t="shared" si="638"/>
        <v xml:space="preserve">marketing(2), </v>
      </c>
      <c r="IT168" s="47" t="str">
        <f t="shared" si="638"/>
        <v xml:space="preserve">marketing(1), </v>
      </c>
      <c r="IU168" s="47" t="str">
        <f t="shared" si="638"/>
        <v xml:space="preserve">marketing(6.25), </v>
      </c>
      <c r="IV168" s="57" t="str">
        <f t="shared" ref="IV168:LG168" si="639">IF(IV66="",IV169,$C168&amp;"("&amp;IV66&amp;"),"&amp;IV169)</f>
        <v xml:space="preserve"> </v>
      </c>
      <c r="IW168" s="47" t="str">
        <f t="shared" si="639"/>
        <v xml:space="preserve">marketing(1), </v>
      </c>
      <c r="IX168" s="47" t="str">
        <f t="shared" si="639"/>
        <v xml:space="preserve">marketing(25), </v>
      </c>
      <c r="IY168" s="47" t="str">
        <f t="shared" si="639"/>
        <v xml:space="preserve">marketing(2), </v>
      </c>
      <c r="IZ168" s="47" t="str">
        <f t="shared" si="639"/>
        <v xml:space="preserve">marketing(1), </v>
      </c>
      <c r="JA168" s="47" t="str">
        <f t="shared" si="639"/>
        <v xml:space="preserve">marketing(6.25), </v>
      </c>
      <c r="JB168" s="47" t="str">
        <f t="shared" si="639"/>
        <v xml:space="preserve"> </v>
      </c>
      <c r="JC168" s="47" t="str">
        <f t="shared" si="639"/>
        <v xml:space="preserve"> </v>
      </c>
      <c r="JD168" s="47" t="str">
        <f t="shared" si="639"/>
        <v xml:space="preserve"> </v>
      </c>
      <c r="JE168" s="47" t="str">
        <f t="shared" si="639"/>
        <v xml:space="preserve"> </v>
      </c>
      <c r="JF168" s="47" t="str">
        <f t="shared" si="639"/>
        <v xml:space="preserve">web(1),infrastructrue(1),database(1),mobile apps(1),sensors(1),security(1),AI&amp; data analysis(1),mobile comm(1),VR&amp;AR(1),wood processing(1),metal processing(1),plastic processing(1),electronics(1),fabric(1),aesthetics(1),functions(1),safety(1),interaction(1), </v>
      </c>
      <c r="JG168" s="47" t="str">
        <f t="shared" si="639"/>
        <v xml:space="preserve">web(6.25),infrastructrue(6.25),database(6.25),mobile apps(6.25),sensors(6.25),security(6.25),AI&amp; data analysis(6.25),mobile comm(6.25),VR&amp;AR(6.25),wood processing(6.25),metal processing(6.25),plastic processing(6.25),electronics(6.25),fabric(6.25),aesthetics(6.25),functions(6.25),safety(6.25),interaction(6.25), </v>
      </c>
      <c r="JH168" s="47" t="str">
        <f t="shared" si="639"/>
        <v xml:space="preserve"> </v>
      </c>
      <c r="JI168" s="47" t="str">
        <f t="shared" si="639"/>
        <v xml:space="preserve"> </v>
      </c>
      <c r="JJ168" s="47" t="str">
        <f t="shared" si="639"/>
        <v xml:space="preserve"> </v>
      </c>
      <c r="JK168" s="47" t="str">
        <f t="shared" si="639"/>
        <v xml:space="preserve">social media(2),negotiation(2),social project(1),social innovation(1),non-profit biz(1),biz project(1),biz enhancement(1),job creation(1),business(1),start-up(1),start-up with mvp(1),start-up with customers(1),for basic literacy(1),for the elites(1),for entrepreneurs(1), </v>
      </c>
      <c r="JL168" s="47" t="str">
        <f t="shared" si="639"/>
        <v xml:space="preserve"> </v>
      </c>
      <c r="JM168" s="47" t="str">
        <f t="shared" si="639"/>
        <v xml:space="preserve"> </v>
      </c>
      <c r="JN168" s="47" t="str">
        <f t="shared" si="639"/>
        <v xml:space="preserve"> </v>
      </c>
      <c r="JO168" s="47" t="str">
        <f t="shared" si="639"/>
        <v xml:space="preserve"> </v>
      </c>
      <c r="JP168" s="47" t="str">
        <f t="shared" si="639"/>
        <v xml:space="preserve"> </v>
      </c>
      <c r="JQ168" s="47" t="str">
        <f t="shared" si="639"/>
        <v xml:space="preserve">electronics(1),aesthetics(1),interaction(1),social project(1),social innovation(1),non-profit biz(1),biz project(1),biz enhancement(1),job creation(1),business(1),start-up(1),start-up with mvp(1),start-up with customers(1),for basic literacy(1),for the elites(1),for entrepreneurs(1), </v>
      </c>
      <c r="JR168" s="47" t="str">
        <f t="shared" si="639"/>
        <v xml:space="preserve"> </v>
      </c>
      <c r="JS168" s="47" t="str">
        <f t="shared" si="639"/>
        <v xml:space="preserve"> </v>
      </c>
      <c r="JT168" s="47" t="str">
        <f t="shared" si="639"/>
        <v xml:space="preserve"> </v>
      </c>
      <c r="JU168" s="47" t="str">
        <f t="shared" si="639"/>
        <v xml:space="preserve"> </v>
      </c>
      <c r="JV168" s="47" t="str">
        <f t="shared" si="639"/>
        <v xml:space="preserve"> </v>
      </c>
      <c r="JW168" s="47" t="str">
        <f t="shared" si="639"/>
        <v xml:space="preserve">marketing(1),team building(1),project management(1),social media(1),negotiation(1),social project(2),social innovation(1),non-profit biz(1),biz project(2),biz enhancement(2),job creation(1),business(1),start-up(2),start-up with mvp(1),start-up with customers(1),for basic literacy(2),for the elites(1),for entrepreneurs(1), </v>
      </c>
      <c r="JX168" s="47" t="str">
        <f t="shared" si="639"/>
        <v xml:space="preserve"> </v>
      </c>
      <c r="JY168" s="47" t="str">
        <f t="shared" si="639"/>
        <v xml:space="preserve"> </v>
      </c>
      <c r="JZ168" s="47" t="str">
        <f t="shared" si="639"/>
        <v xml:space="preserve">social project(2), </v>
      </c>
      <c r="KA168" s="47" t="str">
        <f t="shared" si="639"/>
        <v xml:space="preserve"> </v>
      </c>
      <c r="KB168" s="47" t="str">
        <f t="shared" si="639"/>
        <v xml:space="preserve"> </v>
      </c>
      <c r="KC168" s="47" t="str">
        <f t="shared" si="639"/>
        <v xml:space="preserve">marketing(1),web(1),mobile apps(1),sensors(1),AI&amp; data analysis(1),electronics(1),aesthetics(1),social project(3),social innovation(1),non-profit biz(1),biz project(2),biz enhancement(2),job creation(1),business(1),start-up(2),start-up with mvp(1),start-up with customers(1),for basic literacy(2),for the elites(1),for entrepreneurs(1), </v>
      </c>
      <c r="KD168" s="47" t="str">
        <f t="shared" si="639"/>
        <v xml:space="preserve"> </v>
      </c>
      <c r="KE168" s="47" t="str">
        <f t="shared" si="639"/>
        <v xml:space="preserve"> </v>
      </c>
      <c r="KF168" s="47" t="str">
        <f t="shared" si="639"/>
        <v xml:space="preserve"> </v>
      </c>
      <c r="KG168" s="47" t="str">
        <f t="shared" si="639"/>
        <v xml:space="preserve"> </v>
      </c>
      <c r="KH168" s="47" t="str">
        <f t="shared" si="639"/>
        <v xml:space="preserve"> </v>
      </c>
      <c r="KI168" s="47" t="str">
        <f t="shared" si="639"/>
        <v xml:space="preserve"> </v>
      </c>
      <c r="KJ168" s="47" t="str">
        <f t="shared" si="639"/>
        <v xml:space="preserve"> </v>
      </c>
      <c r="KK168" s="47" t="str">
        <f t="shared" si="639"/>
        <v xml:space="preserve"> </v>
      </c>
      <c r="KL168" s="57" t="str">
        <f t="shared" si="639"/>
        <v xml:space="preserve"> </v>
      </c>
      <c r="KM168" s="47" t="str">
        <f t="shared" si="639"/>
        <v xml:space="preserve"> </v>
      </c>
      <c r="KN168" s="47" t="str">
        <f t="shared" si="639"/>
        <v xml:space="preserve"> </v>
      </c>
      <c r="KO168" s="47" t="str">
        <f t="shared" si="639"/>
        <v xml:space="preserve"> </v>
      </c>
      <c r="KP168" s="47" t="str">
        <f t="shared" si="639"/>
        <v xml:space="preserve"> </v>
      </c>
      <c r="KQ168" s="47" t="str">
        <f t="shared" si="639"/>
        <v xml:space="preserve"> </v>
      </c>
      <c r="KR168" s="57" t="str">
        <f t="shared" si="639"/>
        <v xml:space="preserve"> </v>
      </c>
      <c r="KS168" s="47" t="str">
        <f t="shared" si="639"/>
        <v xml:space="preserve"> </v>
      </c>
      <c r="KT168" s="47" t="str">
        <f t="shared" si="639"/>
        <v xml:space="preserve"> </v>
      </c>
      <c r="KU168" s="47" t="str">
        <f t="shared" si="639"/>
        <v xml:space="preserve"> </v>
      </c>
      <c r="KV168" s="47" t="str">
        <f t="shared" si="639"/>
        <v xml:space="preserve"> </v>
      </c>
      <c r="KW168" s="47" t="str">
        <f t="shared" si="639"/>
        <v xml:space="preserve"> </v>
      </c>
      <c r="KX168" s="57" t="str">
        <f t="shared" si="639"/>
        <v xml:space="preserve"> </v>
      </c>
      <c r="KY168" s="47" t="str">
        <f t="shared" si="639"/>
        <v xml:space="preserve"> </v>
      </c>
      <c r="KZ168" s="47" t="str">
        <f t="shared" si="639"/>
        <v xml:space="preserve"> </v>
      </c>
      <c r="LA168" s="47" t="str">
        <f t="shared" si="639"/>
        <v xml:space="preserve"> </v>
      </c>
      <c r="LB168" s="47" t="str">
        <f t="shared" si="639"/>
        <v xml:space="preserve"> </v>
      </c>
      <c r="LC168" s="47" t="str">
        <f t="shared" si="639"/>
        <v xml:space="preserve"> </v>
      </c>
      <c r="LD168" s="57" t="str">
        <f t="shared" si="639"/>
        <v xml:space="preserve"> </v>
      </c>
      <c r="LE168" s="47" t="str">
        <f t="shared" si="639"/>
        <v xml:space="preserve"> </v>
      </c>
      <c r="LF168" s="47" t="str">
        <f t="shared" si="639"/>
        <v xml:space="preserve"> </v>
      </c>
      <c r="LG168" s="47" t="str">
        <f t="shared" si="639"/>
        <v xml:space="preserve"> </v>
      </c>
      <c r="LH168" s="47" t="str">
        <f t="shared" ref="LH168:NM168" si="640">IF(LH66="",LH169,$C168&amp;"("&amp;LH66&amp;"),"&amp;LH169)</f>
        <v xml:space="preserve"> </v>
      </c>
      <c r="LI168" s="47" t="str">
        <f t="shared" si="640"/>
        <v xml:space="preserve"> </v>
      </c>
      <c r="LJ168" s="57" t="str">
        <f t="shared" si="640"/>
        <v xml:space="preserve"> </v>
      </c>
      <c r="LK168" s="47" t="str">
        <f t="shared" si="640"/>
        <v xml:space="preserve"> </v>
      </c>
      <c r="LL168" s="47" t="str">
        <f t="shared" si="640"/>
        <v xml:space="preserve"> </v>
      </c>
      <c r="LM168" s="47" t="str">
        <f t="shared" si="640"/>
        <v xml:space="preserve"> </v>
      </c>
      <c r="LN168" s="47" t="str">
        <f t="shared" si="640"/>
        <v xml:space="preserve"> </v>
      </c>
      <c r="LO168" s="47" t="str">
        <f t="shared" si="640"/>
        <v xml:space="preserve"> </v>
      </c>
      <c r="LP168" s="57" t="str">
        <f t="shared" si="640"/>
        <v xml:space="preserve"> </v>
      </c>
      <c r="LQ168" s="47" t="str">
        <f t="shared" si="640"/>
        <v xml:space="preserve"> </v>
      </c>
      <c r="LR168" s="47" t="str">
        <f t="shared" si="640"/>
        <v xml:space="preserve"> </v>
      </c>
      <c r="LS168" s="47" t="str">
        <f t="shared" si="640"/>
        <v xml:space="preserve"> </v>
      </c>
      <c r="LT168" s="47" t="str">
        <f t="shared" si="640"/>
        <v xml:space="preserve"> </v>
      </c>
      <c r="LU168" s="47" t="str">
        <f t="shared" si="640"/>
        <v xml:space="preserve"> </v>
      </c>
      <c r="LV168" s="57" t="str">
        <f t="shared" si="640"/>
        <v xml:space="preserve"> </v>
      </c>
      <c r="LW168" s="47" t="str">
        <f t="shared" si="640"/>
        <v xml:space="preserve"> </v>
      </c>
      <c r="LX168" s="47" t="str">
        <f t="shared" si="640"/>
        <v xml:space="preserve"> </v>
      </c>
      <c r="LY168" s="47" t="str">
        <f t="shared" si="640"/>
        <v xml:space="preserve"> </v>
      </c>
      <c r="LZ168" s="47" t="str">
        <f t="shared" si="640"/>
        <v xml:space="preserve"> </v>
      </c>
      <c r="MA168" s="47" t="str">
        <f t="shared" si="640"/>
        <v xml:space="preserve"> </v>
      </c>
      <c r="MB168" s="57" t="str">
        <f t="shared" si="640"/>
        <v xml:space="preserve"> </v>
      </c>
      <c r="MC168" s="47" t="str">
        <f t="shared" si="640"/>
        <v xml:space="preserve"> </v>
      </c>
      <c r="MD168" s="47" t="str">
        <f t="shared" si="640"/>
        <v xml:space="preserve"> </v>
      </c>
      <c r="ME168" s="47" t="str">
        <f t="shared" si="640"/>
        <v xml:space="preserve"> </v>
      </c>
      <c r="MF168" s="47" t="str">
        <f t="shared" si="640"/>
        <v xml:space="preserve"> </v>
      </c>
      <c r="MG168" s="47" t="str">
        <f t="shared" si="640"/>
        <v xml:space="preserve"> </v>
      </c>
      <c r="MH168" s="57" t="str">
        <f t="shared" si="640"/>
        <v xml:space="preserve"> </v>
      </c>
      <c r="MI168" s="47" t="str">
        <f t="shared" si="640"/>
        <v xml:space="preserve"> </v>
      </c>
      <c r="MJ168" s="47" t="str">
        <f t="shared" si="640"/>
        <v xml:space="preserve"> </v>
      </c>
      <c r="MK168" s="47" t="str">
        <f t="shared" si="640"/>
        <v xml:space="preserve"> </v>
      </c>
      <c r="ML168" s="47" t="str">
        <f t="shared" si="640"/>
        <v xml:space="preserve"> </v>
      </c>
      <c r="MM168" s="47" t="str">
        <f t="shared" si="640"/>
        <v xml:space="preserve"> </v>
      </c>
      <c r="MN168" s="57" t="str">
        <f t="shared" si="640"/>
        <v xml:space="preserve"> </v>
      </c>
      <c r="MO168" s="47" t="str">
        <f t="shared" si="640"/>
        <v xml:space="preserve"> </v>
      </c>
      <c r="MP168" s="47" t="str">
        <f t="shared" si="640"/>
        <v xml:space="preserve"> </v>
      </c>
      <c r="MQ168" s="47" t="str">
        <f t="shared" si="640"/>
        <v xml:space="preserve"> </v>
      </c>
      <c r="MR168" s="47" t="str">
        <f t="shared" si="640"/>
        <v xml:space="preserve"> </v>
      </c>
      <c r="MS168" s="47" t="str">
        <f t="shared" si="640"/>
        <v xml:space="preserve"> </v>
      </c>
      <c r="MT168" s="57" t="str">
        <f t="shared" si="640"/>
        <v xml:space="preserve"> </v>
      </c>
      <c r="MU168" s="47" t="str">
        <f t="shared" si="640"/>
        <v xml:space="preserve"> </v>
      </c>
      <c r="MV168" s="47" t="str">
        <f t="shared" si="640"/>
        <v xml:space="preserve"> </v>
      </c>
      <c r="MW168" s="47" t="str">
        <f t="shared" si="640"/>
        <v xml:space="preserve"> </v>
      </c>
      <c r="MX168" s="47" t="str">
        <f t="shared" si="640"/>
        <v xml:space="preserve"> </v>
      </c>
      <c r="MY168" s="47" t="str">
        <f t="shared" si="640"/>
        <v xml:space="preserve"> </v>
      </c>
      <c r="MZ168" s="57" t="str">
        <f t="shared" si="640"/>
        <v xml:space="preserve"> </v>
      </c>
      <c r="NA168" s="47" t="str">
        <f t="shared" si="640"/>
        <v xml:space="preserve"> </v>
      </c>
      <c r="NB168" s="47" t="str">
        <f t="shared" si="640"/>
        <v xml:space="preserve"> </v>
      </c>
      <c r="NC168" s="47" t="str">
        <f t="shared" si="640"/>
        <v xml:space="preserve"> </v>
      </c>
      <c r="ND168" s="47" t="str">
        <f t="shared" si="640"/>
        <v xml:space="preserve"> </v>
      </c>
      <c r="NE168" s="47" t="str">
        <f t="shared" si="640"/>
        <v xml:space="preserve"> </v>
      </c>
      <c r="NF168" s="57" t="str">
        <f t="shared" si="640"/>
        <v xml:space="preserve"> </v>
      </c>
      <c r="NG168" s="47" t="str">
        <f t="shared" si="640"/>
        <v xml:space="preserve"> </v>
      </c>
      <c r="NH168" s="47" t="str">
        <f t="shared" si="640"/>
        <v xml:space="preserve"> </v>
      </c>
      <c r="NI168" s="47" t="str">
        <f t="shared" si="640"/>
        <v xml:space="preserve"> </v>
      </c>
      <c r="NJ168" s="47" t="str">
        <f t="shared" si="640"/>
        <v xml:space="preserve"> </v>
      </c>
      <c r="NK168" s="47" t="str">
        <f t="shared" si="640"/>
        <v xml:space="preserve"> </v>
      </c>
      <c r="NL168" s="57" t="str">
        <f t="shared" si="640"/>
        <v xml:space="preserve"> </v>
      </c>
      <c r="NM168" s="47" t="str">
        <f t="shared" si="640"/>
        <v xml:space="preserve"> </v>
      </c>
    </row>
    <row r="169" spans="3:377" ht="15.75" customHeight="1">
      <c r="C169" s="7" t="str">
        <f t="shared" si="296"/>
        <v>team building</v>
      </c>
      <c r="D169" s="21" t="str">
        <f t="shared" si="169"/>
        <v xml:space="preserve"> </v>
      </c>
      <c r="E169" s="21" t="str">
        <f t="shared" si="297"/>
        <v xml:space="preserve"> </v>
      </c>
      <c r="F169" s="21" t="str">
        <f t="shared" si="170"/>
        <v xml:space="preserve"> </v>
      </c>
      <c r="G169" s="21" t="str">
        <f t="shared" si="298"/>
        <v xml:space="preserve">social media(1),  </v>
      </c>
      <c r="H169" s="21" t="str">
        <f t="shared" si="299"/>
        <v xml:space="preserve"> </v>
      </c>
      <c r="I169" s="21" t="str">
        <f t="shared" ref="I169" si="641">IF(I67="",I170,$C169&amp;"("&amp;I67&amp;"),"&amp;I170)</f>
        <v xml:space="preserve"> </v>
      </c>
      <c r="J169" s="21" t="str">
        <f t="shared" si="560"/>
        <v xml:space="preserve">interaction 1
 </v>
      </c>
      <c r="K169" s="21" t="str">
        <f t="shared" si="173"/>
        <v xml:space="preserve"> </v>
      </c>
      <c r="L169" s="21" t="str">
        <f t="shared" si="561"/>
        <v xml:space="preserve"> </v>
      </c>
      <c r="M169" s="21" t="str">
        <f t="shared" si="175"/>
        <v xml:space="preserve">social innovation(1), non-profit biz(1),  </v>
      </c>
      <c r="N169" s="21" t="str">
        <f t="shared" si="176"/>
        <v xml:space="preserve"> </v>
      </c>
      <c r="O169" s="21" t="str">
        <f t="shared" si="562"/>
        <v xml:space="preserve"> </v>
      </c>
      <c r="P169" s="21" t="str">
        <f t="shared" si="560"/>
        <v xml:space="preserve">biz project 1
 </v>
      </c>
      <c r="Q169" s="21" t="str">
        <f t="shared" si="178"/>
        <v xml:space="preserve"> </v>
      </c>
      <c r="R169" s="21" t="str">
        <f t="shared" si="561"/>
        <v xml:space="preserve"> </v>
      </c>
      <c r="S169" s="21" t="str">
        <f t="shared" si="179"/>
        <v xml:space="preserve">biz enhancement(1), business(1), start-up(1),  </v>
      </c>
      <c r="T169" s="21" t="str">
        <f t="shared" si="180"/>
        <v xml:space="preserve"> </v>
      </c>
      <c r="U169" s="21" t="str">
        <f t="shared" si="562"/>
        <v xml:space="preserve"> </v>
      </c>
      <c r="V169" s="21" t="str">
        <f t="shared" si="560"/>
        <v xml:space="preserve"> </v>
      </c>
      <c r="W169" s="21" t="str">
        <f t="shared" si="181"/>
        <v xml:space="preserve"> </v>
      </c>
      <c r="X169" s="21" t="str">
        <f t="shared" si="561"/>
        <v xml:space="preserve"> </v>
      </c>
      <c r="Y169" s="21" t="str">
        <f t="shared" si="182"/>
        <v xml:space="preserve">biz project(1), biz enhancement(1), job creation(1), business(1),  </v>
      </c>
      <c r="Z169" s="21" t="str">
        <f t="shared" si="183"/>
        <v xml:space="preserve"> </v>
      </c>
      <c r="AA169" s="21" t="str">
        <f t="shared" si="562"/>
        <v xml:space="preserve"> </v>
      </c>
      <c r="AB169" s="21" t="str">
        <f t="shared" si="560"/>
        <v xml:space="preserve"> </v>
      </c>
      <c r="AC169" s="21" t="str">
        <f t="shared" si="184"/>
        <v xml:space="preserve"> </v>
      </c>
      <c r="AD169" s="21" t="str">
        <f t="shared" si="561"/>
        <v xml:space="preserve"> </v>
      </c>
      <c r="AE169" s="21" t="str">
        <f t="shared" si="185"/>
        <v xml:space="preserve">social project(1), social innovation(1), non-profit biz(1),  </v>
      </c>
      <c r="AF169" s="21" t="str">
        <f t="shared" si="186"/>
        <v xml:space="preserve"> </v>
      </c>
      <c r="AG169" s="21" t="str">
        <f t="shared" si="562"/>
        <v xml:space="preserve"> </v>
      </c>
      <c r="AH169" s="21" t="str">
        <f t="shared" si="560"/>
        <v xml:space="preserve"> </v>
      </c>
      <c r="AI169" s="21" t="str">
        <f t="shared" si="187"/>
        <v xml:space="preserve"> </v>
      </c>
      <c r="AJ169" s="21" t="str">
        <f t="shared" si="561"/>
        <v xml:space="preserve"> </v>
      </c>
      <c r="AK169" s="21" t="str">
        <f t="shared" si="188"/>
        <v xml:space="preserve">social project(1), social innovation(1), non-profit biz(1),  </v>
      </c>
      <c r="AL169" s="21" t="str">
        <f t="shared" si="189"/>
        <v xml:space="preserve"> </v>
      </c>
      <c r="AM169" s="21" t="str">
        <f t="shared" si="562"/>
        <v xml:space="preserve"> </v>
      </c>
      <c r="AN169" s="21" t="str">
        <f t="shared" si="560"/>
        <v xml:space="preserve"> </v>
      </c>
      <c r="AO169" s="21" t="str">
        <f t="shared" si="190"/>
        <v xml:space="preserve"> </v>
      </c>
      <c r="AP169" s="21" t="str">
        <f t="shared" si="561"/>
        <v xml:space="preserve"> </v>
      </c>
      <c r="AQ169" s="21" t="str">
        <f t="shared" si="191"/>
        <v xml:space="preserve">start-up(1), start-up with mvp(1), start-up with customers(1),  </v>
      </c>
      <c r="AR169" s="21" t="str">
        <f t="shared" si="192"/>
        <v xml:space="preserve"> </v>
      </c>
      <c r="AS169" s="21" t="str">
        <f t="shared" si="562"/>
        <v xml:space="preserve"> </v>
      </c>
      <c r="AT169" s="21" t="str">
        <f t="shared" si="560"/>
        <v xml:space="preserve">social project 1
 </v>
      </c>
      <c r="AU169" s="21" t="str">
        <f t="shared" si="193"/>
        <v xml:space="preserve"> </v>
      </c>
      <c r="AV169" s="21" t="str">
        <f t="shared" si="561"/>
        <v xml:space="preserve"> </v>
      </c>
      <c r="AW169" s="21" t="str">
        <f t="shared" si="194"/>
        <v xml:space="preserve">project management(2),  </v>
      </c>
      <c r="AX169" s="21" t="str">
        <f t="shared" si="195"/>
        <v xml:space="preserve">project management(1,12.5),  </v>
      </c>
      <c r="AY169" s="21" t="str">
        <f t="shared" si="562"/>
        <v xml:space="preserve">project management(12.5), </v>
      </c>
      <c r="AZ169" s="21" t="str">
        <f t="shared" si="560"/>
        <v xml:space="preserve"> </v>
      </c>
      <c r="BA169" s="21" t="str">
        <f t="shared" si="196"/>
        <v xml:space="preserve"> </v>
      </c>
      <c r="BB169" s="21" t="str">
        <f t="shared" si="561"/>
        <v xml:space="preserve"> </v>
      </c>
      <c r="BC169" s="21" t="str">
        <f t="shared" si="197"/>
        <v xml:space="preserve"> </v>
      </c>
      <c r="BD169" s="21" t="str">
        <f t="shared" si="198"/>
        <v xml:space="preserve"> </v>
      </c>
      <c r="BE169" s="21" t="str">
        <f t="shared" si="562"/>
        <v xml:space="preserve"> </v>
      </c>
      <c r="BF169" s="21" t="str">
        <f t="shared" si="560"/>
        <v xml:space="preserve">biz project 1
 </v>
      </c>
      <c r="BG169" s="21" t="str">
        <f t="shared" si="199"/>
        <v xml:space="preserve"> </v>
      </c>
      <c r="BH169" s="21" t="str">
        <f t="shared" si="561"/>
        <v xml:space="preserve"> </v>
      </c>
      <c r="BI169" s="21" t="str">
        <f t="shared" si="200"/>
        <v xml:space="preserve">project management(2),  </v>
      </c>
      <c r="BJ169" s="21" t="str">
        <f t="shared" si="201"/>
        <v xml:space="preserve">project management(1,12.5),  </v>
      </c>
      <c r="BK169" s="21" t="str">
        <f t="shared" si="562"/>
        <v xml:space="preserve">project management(12.5), </v>
      </c>
      <c r="BL169" s="21" t="str">
        <f t="shared" si="560"/>
        <v xml:space="preserve">biz enhancement 1
 </v>
      </c>
      <c r="BM169" s="21" t="str">
        <f t="shared" si="202"/>
        <v xml:space="preserve"> </v>
      </c>
      <c r="BN169" s="21" t="str">
        <f t="shared" si="561"/>
        <v xml:space="preserve"> </v>
      </c>
      <c r="BO169" s="21" t="str">
        <f t="shared" si="203"/>
        <v xml:space="preserve"> </v>
      </c>
      <c r="BP169" s="21" t="str">
        <f t="shared" si="204"/>
        <v xml:space="preserve"> </v>
      </c>
      <c r="BQ169" s="21" t="str">
        <f t="shared" si="562"/>
        <v xml:space="preserve"> </v>
      </c>
      <c r="BR169" s="21" t="str">
        <f t="shared" si="560"/>
        <v xml:space="preserve"> </v>
      </c>
      <c r="BS169" s="21" t="str">
        <f t="shared" si="205"/>
        <v xml:space="preserve"> </v>
      </c>
      <c r="BT169" s="21" t="str">
        <f t="shared" si="561"/>
        <v xml:space="preserve"> </v>
      </c>
      <c r="BU169" s="21" t="str">
        <f t="shared" si="206"/>
        <v xml:space="preserve"> </v>
      </c>
      <c r="BV169" s="21" t="str">
        <f t="shared" si="207"/>
        <v xml:space="preserve"> </v>
      </c>
      <c r="BW169" s="21" t="str">
        <f t="shared" si="562"/>
        <v xml:space="preserve"> </v>
      </c>
      <c r="BX169" s="21" t="str">
        <f t="shared" si="563"/>
        <v xml:space="preserve"> </v>
      </c>
      <c r="BY169" s="21" t="str">
        <f t="shared" si="209"/>
        <v xml:space="preserve"> </v>
      </c>
      <c r="BZ169" s="21" t="str">
        <f t="shared" si="564"/>
        <v xml:space="preserve"> </v>
      </c>
      <c r="CA169" s="21" t="str">
        <f t="shared" si="211"/>
        <v xml:space="preserve">negotiation(1),  </v>
      </c>
      <c r="CB169" s="21" t="str">
        <f t="shared" si="212"/>
        <v xml:space="preserve"> </v>
      </c>
      <c r="CC169" s="21" t="str">
        <f t="shared" si="565"/>
        <v xml:space="preserve"> </v>
      </c>
      <c r="CD169" s="21" t="str">
        <f t="shared" si="563"/>
        <v xml:space="preserve"> </v>
      </c>
      <c r="CE169" s="21" t="str">
        <f t="shared" si="214"/>
        <v xml:space="preserve"> </v>
      </c>
      <c r="CF169" s="21" t="str">
        <f t="shared" si="564"/>
        <v xml:space="preserve"> </v>
      </c>
      <c r="CG169" s="21" t="str">
        <f t="shared" si="215"/>
        <v xml:space="preserve">negotiation(1), social project(1), biz project(1), for basic literacy(1), for the elites(1), for entrepreneurs(1),  </v>
      </c>
      <c r="CH169" s="21" t="str">
        <f t="shared" si="216"/>
        <v xml:space="preserve"> </v>
      </c>
      <c r="CI169" s="21" t="str">
        <f t="shared" si="565"/>
        <v xml:space="preserve"> </v>
      </c>
      <c r="CJ169" s="21" t="str">
        <f t="shared" si="563"/>
        <v xml:space="preserve"> </v>
      </c>
      <c r="CK169" s="21" t="str">
        <f t="shared" si="217"/>
        <v xml:space="preserve"> </v>
      </c>
      <c r="CL169" s="21" t="str">
        <f t="shared" si="564"/>
        <v xml:space="preserve"> </v>
      </c>
      <c r="CM169" s="21" t="str">
        <f t="shared" si="218"/>
        <v xml:space="preserve">negotiation(1),  </v>
      </c>
      <c r="CN169" s="21" t="str">
        <f t="shared" si="219"/>
        <v xml:space="preserve"> </v>
      </c>
      <c r="CO169" s="21" t="str">
        <f t="shared" si="565"/>
        <v xml:space="preserve"> </v>
      </c>
      <c r="CP169" s="21" t="str">
        <f t="shared" si="563"/>
        <v xml:space="preserve"> </v>
      </c>
      <c r="CQ169" s="21" t="str">
        <f t="shared" si="220"/>
        <v xml:space="preserve"> </v>
      </c>
      <c r="CR169" s="21" t="str">
        <f t="shared" si="564"/>
        <v xml:space="preserve"> </v>
      </c>
      <c r="CS169" s="21" t="str">
        <f t="shared" si="221"/>
        <v xml:space="preserve">negotiation(1), web(1), infrastructrue(1), database(1), mobile apps(1), sensors(1), security(1), AI&amp; data analysis(1), mobile comm(1), VR&amp;AR(1), wood processing(1), metal processing(1), plastic processing(1), electronics(1), fabric(1),  </v>
      </c>
      <c r="CT169" s="21" t="str">
        <f t="shared" si="222"/>
        <v xml:space="preserve"> </v>
      </c>
      <c r="CU169" s="21" t="str">
        <f t="shared" si="565"/>
        <v xml:space="preserve"> </v>
      </c>
      <c r="CV169" s="21" t="str">
        <f t="shared" si="563"/>
        <v xml:space="preserve"> </v>
      </c>
      <c r="CW169" s="21" t="str">
        <f t="shared" si="223"/>
        <v xml:space="preserve"> </v>
      </c>
      <c r="CX169" s="21" t="str">
        <f t="shared" si="564"/>
        <v xml:space="preserve"> </v>
      </c>
      <c r="CY169" s="21" t="str">
        <f t="shared" si="224"/>
        <v xml:space="preserve">negotiation(1),  </v>
      </c>
      <c r="CZ169" s="21" t="str">
        <f t="shared" si="225"/>
        <v xml:space="preserve"> </v>
      </c>
      <c r="DA169" s="21" t="str">
        <f t="shared" si="565"/>
        <v xml:space="preserve"> </v>
      </c>
      <c r="DB169" s="21" t="str">
        <f t="shared" si="563"/>
        <v xml:space="preserve"> </v>
      </c>
      <c r="DC169" s="21" t="str">
        <f t="shared" si="226"/>
        <v xml:space="preserve"> </v>
      </c>
      <c r="DD169" s="21" t="str">
        <f t="shared" si="564"/>
        <v xml:space="preserve"> </v>
      </c>
      <c r="DE169" s="21" t="str">
        <f t="shared" si="227"/>
        <v xml:space="preserve">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69" s="21" t="str">
        <f t="shared" si="228"/>
        <v xml:space="preserve"> </v>
      </c>
      <c r="DG169" s="21" t="str">
        <f t="shared" si="565"/>
        <v xml:space="preserve"> </v>
      </c>
      <c r="DH169" s="21" t="str">
        <f t="shared" si="563"/>
        <v xml:space="preserve">social project 1
 </v>
      </c>
      <c r="DI169" s="21" t="str">
        <f t="shared" si="229"/>
        <v xml:space="preserve"> </v>
      </c>
      <c r="DJ169" s="21" t="str">
        <f t="shared" si="564"/>
        <v xml:space="preserve"> </v>
      </c>
      <c r="DK169" s="21" t="str">
        <f t="shared" si="230"/>
        <v xml:space="preserve">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69" s="21" t="str">
        <f t="shared" si="231"/>
        <v xml:space="preserve"> </v>
      </c>
      <c r="DM169" s="21" t="str">
        <f t="shared" si="565"/>
        <v xml:space="preserve"> </v>
      </c>
      <c r="DN169" s="21" t="str">
        <f t="shared" si="563"/>
        <v xml:space="preserve">biz project 1
 </v>
      </c>
      <c r="DO169" s="21" t="str">
        <f t="shared" si="232"/>
        <v xml:space="preserve"> </v>
      </c>
      <c r="DP169" s="21" t="str">
        <f t="shared" si="564"/>
        <v xml:space="preserve"> </v>
      </c>
      <c r="DQ169" s="21" t="str">
        <f t="shared" si="233"/>
        <v xml:space="preserve">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69" s="21" t="str">
        <f t="shared" si="234"/>
        <v xml:space="preserve"> </v>
      </c>
      <c r="DS169" s="21" t="str">
        <f t="shared" si="565"/>
        <v xml:space="preserve"> </v>
      </c>
      <c r="DT169" s="21" t="str">
        <f t="shared" si="563"/>
        <v xml:space="preserve"> </v>
      </c>
      <c r="DU169" s="21" t="str">
        <f t="shared" si="235"/>
        <v xml:space="preserve"> </v>
      </c>
      <c r="DV169" s="21" t="str">
        <f t="shared" si="564"/>
        <v xml:space="preserve"> </v>
      </c>
      <c r="DW169" s="21" t="str">
        <f t="shared" si="236"/>
        <v xml:space="preserve">social media(1), for basic literacy(1),  </v>
      </c>
      <c r="DX169" s="21" t="str">
        <f t="shared" si="237"/>
        <v xml:space="preserve">for basic literacy(1,6.25),  </v>
      </c>
      <c r="DY169" s="21" t="str">
        <f t="shared" si="565"/>
        <v xml:space="preserve">for basic literacy(6.25), </v>
      </c>
      <c r="DZ169" s="21" t="str">
        <f t="shared" si="563"/>
        <v xml:space="preserve"> </v>
      </c>
      <c r="EA169" s="21" t="str">
        <f t="shared" si="238"/>
        <v xml:space="preserve"> </v>
      </c>
      <c r="EB169" s="21" t="str">
        <f t="shared" si="564"/>
        <v xml:space="preserve"> </v>
      </c>
      <c r="EC169" s="21" t="str">
        <f t="shared" si="239"/>
        <v xml:space="preserve">social media(1), web(2), infrastructrue(2), database(2), mobile apps(2), sensors(2), security(2), AI&amp; data analysis(2), mobile comm(2), VR&amp;AR(2), wood processing(2), metal processing(2), plastic processing(2), electronics(2), fabric(2), for basic literacy(1),  </v>
      </c>
      <c r="ED169" s="21" t="str">
        <f t="shared" si="240"/>
        <v xml:space="preserve">for basic literacy(1,6.25),  </v>
      </c>
      <c r="EE169" s="21" t="str">
        <f t="shared" si="565"/>
        <v xml:space="preserve">for basic literacy(6.25), </v>
      </c>
      <c r="EF169" s="21" t="str">
        <f t="shared" si="563"/>
        <v xml:space="preserve"> </v>
      </c>
      <c r="EG169" s="21" t="str">
        <f t="shared" si="241"/>
        <v xml:space="preserve">web(1,50), mobile apps(1,50), interaction(1,50),  </v>
      </c>
      <c r="EH169" s="21" t="str">
        <f t="shared" si="564"/>
        <v xml:space="preserve">web 50
mobile apps 50
interaction 50
 </v>
      </c>
      <c r="EI169" s="21" t="str">
        <f t="shared" si="242"/>
        <v xml:space="preserve">infrastructrue(1), database(1), mobile comm(1), for entrepreneurs(1),  </v>
      </c>
      <c r="EJ169" s="21" t="str">
        <f t="shared" si="243"/>
        <v xml:space="preserve">infrastructrue(1,12.5), database(1,12.5), mobile comm(1,12.5), for entrepreneurs(1,6.25),  </v>
      </c>
      <c r="EK169" s="21" t="str">
        <f t="shared" si="565"/>
        <v xml:space="preserve">infrastructrue(12.5),database(12.5),mobile comm(12.5),for entrepreneurs(6.25), </v>
      </c>
      <c r="EL169" s="21" t="str">
        <f t="shared" si="566"/>
        <v xml:space="preserve"> </v>
      </c>
      <c r="EM169" s="21" t="str">
        <f t="shared" si="245"/>
        <v xml:space="preserve">sensors(1,50),  </v>
      </c>
      <c r="EN169" s="21" t="str">
        <f t="shared" si="567"/>
        <v xml:space="preserve">sensors 50
 </v>
      </c>
      <c r="EO169" s="21" t="str">
        <f t="shared" si="247"/>
        <v xml:space="preserve">project management(2), infrastructrue(1), database(1), mobile comm(1), for entrepreneurs(1),  </v>
      </c>
      <c r="EP169" s="21" t="str">
        <f t="shared" si="248"/>
        <v xml:space="preserve">infrastructrue(1,12.5), database(1,12.5), mobile comm(1,12.5), electronics(1,6.25), for entrepreneurs(1,6.25),  </v>
      </c>
      <c r="EQ169" s="21" t="str">
        <f t="shared" si="568"/>
        <v xml:space="preserve">infrastructrue(12.5),database(12.5),mobile comm(12.5),electronics(6.25),for entrepreneurs(6.25), </v>
      </c>
      <c r="ER169" s="21" t="str">
        <f t="shared" si="566"/>
        <v xml:space="preserve"> </v>
      </c>
      <c r="ES169" s="21" t="str">
        <f t="shared" si="250"/>
        <v xml:space="preserve">AI&amp; data analysis(1,50),  </v>
      </c>
      <c r="ET169" s="21" t="str">
        <f t="shared" si="567"/>
        <v xml:space="preserve">AI&amp; data analysis 50
 </v>
      </c>
      <c r="EU169" s="21" t="str">
        <f t="shared" si="251"/>
        <v xml:space="preserve">database(1), sensors(1), mobile comm(1), for entrepreneurs(1),  </v>
      </c>
      <c r="EV169" s="21" t="str">
        <f t="shared" si="252"/>
        <v xml:space="preserve">database(1,12.5), sensors(1,12.5), mobile comm(1,12.5), for entrepreneurs(1,6.25),  </v>
      </c>
      <c r="EW169" s="21" t="str">
        <f t="shared" si="568"/>
        <v xml:space="preserve">database(12.5),sensors(12.5),mobile comm(12.5),for entrepreneurs(6.25), </v>
      </c>
      <c r="EX169" s="21" t="str">
        <f t="shared" si="566"/>
        <v xml:space="preserve"> </v>
      </c>
      <c r="EY169" s="21" t="str">
        <f t="shared" si="253"/>
        <v xml:space="preserve">security(1,50), interaction(1,25),  </v>
      </c>
      <c r="EZ169" s="21" t="str">
        <f t="shared" si="567"/>
        <v xml:space="preserve">security 50
interaction 25
 </v>
      </c>
      <c r="FA169" s="21" t="str">
        <f t="shared" si="254"/>
        <v xml:space="preserve">for entrepreneurs(1),  </v>
      </c>
      <c r="FB169" s="21" t="str">
        <f t="shared" si="255"/>
        <v xml:space="preserve">database(1,12.5), mobile apps(1,12.5), security(1,12.5), mobile comm(1,12.5), for entrepreneurs(1,6.25),  </v>
      </c>
      <c r="FC169" s="21" t="str">
        <f t="shared" si="568"/>
        <v xml:space="preserve">database(12.5),mobile apps(12.5),security(12.5),mobile comm(12.5),for entrepreneurs(6.25), </v>
      </c>
      <c r="FD169" s="21" t="str">
        <f t="shared" si="566"/>
        <v xml:space="preserve"> </v>
      </c>
      <c r="FE169" s="21" t="str">
        <f t="shared" si="256"/>
        <v xml:space="preserve">sensors(1,50), security(1,50),  </v>
      </c>
      <c r="FF169" s="21" t="str">
        <f t="shared" si="567"/>
        <v xml:space="preserve">sensors 50
security 50
 </v>
      </c>
      <c r="FG169" s="21" t="str">
        <f t="shared" si="257"/>
        <v xml:space="preserve">project management(2), for entrepreneurs(1),  </v>
      </c>
      <c r="FH169" s="21" t="str">
        <f t="shared" si="258"/>
        <v xml:space="preserve">database(1,6.25), mobile apps(1,6.25), AI&amp; data analysis(1,6.25), mobile comm(1,6.25), for entrepreneurs(1,6.25),  </v>
      </c>
      <c r="FI169" s="21" t="str">
        <f t="shared" si="568"/>
        <v xml:space="preserve">database(6.25),mobile apps(6.25),AI&amp; data analysis(6.25),mobile comm(6.25),for entrepreneurs(6.25), </v>
      </c>
      <c r="FJ169" s="21" t="str">
        <f t="shared" si="566"/>
        <v xml:space="preserve"> </v>
      </c>
      <c r="FK169" s="21" t="str">
        <f t="shared" si="259"/>
        <v xml:space="preserve">wood processing(1,25), metal processing(1,25), plastic processing(1,25), fabric(1,25), safety(1,25), interaction(1,25),  </v>
      </c>
      <c r="FL169" s="21" t="str">
        <f t="shared" si="567"/>
        <v xml:space="preserve">project management 2
wood processing 25
metal processing 25
plastic processing 25
fabric 25
safety 25
interaction 25
 </v>
      </c>
      <c r="FM169" s="21" t="str">
        <f t="shared" si="260"/>
        <v xml:space="preserve">for entrepreneurs(1),  </v>
      </c>
      <c r="FN169" s="21" t="str">
        <f t="shared" si="261"/>
        <v xml:space="preserve">for entrepreneurs(1,6.25),  </v>
      </c>
      <c r="FO169" s="21" t="str">
        <f t="shared" si="568"/>
        <v xml:space="preserve">for entrepreneurs(6.25), </v>
      </c>
      <c r="FP169" s="21" t="str">
        <f t="shared" si="566"/>
        <v xml:space="preserve"> </v>
      </c>
      <c r="FQ169" s="21" t="str">
        <f t="shared" si="262"/>
        <v xml:space="preserve">web(1,25), mobile apps(1,50), functions(1,25), interaction(1,25),  </v>
      </c>
      <c r="FR169" s="21" t="str">
        <f t="shared" si="567"/>
        <v xml:space="preserve">web 25
mobile apps 50
functions 25
interaction 25
 </v>
      </c>
      <c r="FS169" s="21" t="str">
        <f t="shared" si="263"/>
        <v xml:space="preserve">for entrepreneurs(1),  </v>
      </c>
      <c r="FT169" s="21" t="str">
        <f t="shared" si="264"/>
        <v xml:space="preserve">for entrepreneurs(1,6.25),  </v>
      </c>
      <c r="FU169" s="21" t="str">
        <f t="shared" si="568"/>
        <v xml:space="preserve">for entrepreneurs(6.25), </v>
      </c>
      <c r="FV169" s="21" t="str">
        <f t="shared" si="566"/>
        <v xml:space="preserve"> </v>
      </c>
      <c r="FW169" s="21" t="str">
        <f t="shared" si="265"/>
        <v xml:space="preserve">mobile apps(1,50), sensors(1,50), wood processing(1,25), plastic processing(1,25), electronics(1,25), functions(1,25), interaction(1,25),  </v>
      </c>
      <c r="FX169" s="21" t="str">
        <f t="shared" si="567"/>
        <v xml:space="preserve">mobile apps 50
sensors 50
wood processing 25
plastic processing 25
electronics 25
functions 25
interaction 25
 </v>
      </c>
      <c r="FY169" s="21" t="str">
        <f t="shared" si="266"/>
        <v xml:space="preserve">project management(2), for entrepreneurs(1),  </v>
      </c>
      <c r="FZ169" s="21" t="str">
        <f t="shared" si="267"/>
        <v xml:space="preserve">web(1,6.25), database(1,6.25), AI&amp; data analysis(1,6.25), mobile comm(1,6.25), for entrepreneurs(1,6.25),  </v>
      </c>
      <c r="GA169" s="21" t="str">
        <f t="shared" si="568"/>
        <v xml:space="preserve">web(6.25),database(6.25),AI&amp; data analysis(6.25),mobile comm(6.25),for entrepreneurs(6.25), </v>
      </c>
      <c r="GB169" s="21" t="str">
        <f t="shared" si="566"/>
        <v xml:space="preserve"> </v>
      </c>
      <c r="GC169" s="21" t="str">
        <f t="shared" si="268"/>
        <v xml:space="preserve">sensors(1,25), mobile comm(1,25), electronics(1,50), functions(1,25), safety(1,25),  </v>
      </c>
      <c r="GD169" s="21" t="str">
        <f t="shared" si="567"/>
        <v xml:space="preserve">sensors 25
mobile comm 25
electronics 50
functions 25
safety 25
 </v>
      </c>
      <c r="GE169" s="21" t="str">
        <f t="shared" si="269"/>
        <v xml:space="preserve">project management(2), for entrepreneurs(1),  </v>
      </c>
      <c r="GF169" s="21" t="str">
        <f t="shared" si="270"/>
        <v xml:space="preserve">database(1,6.25), mobile apps(1,6.25), AI&amp; data analysis(1,6.25), plastic processing(1,6.25), interaction(1,6.25), for entrepreneurs(1,6.25),  </v>
      </c>
      <c r="GG169" s="21" t="str">
        <f t="shared" si="568"/>
        <v xml:space="preserve">database(6.25),mobile apps(6.25),AI&amp; data analysis(6.25),plastic processing(6.25),interaction(6.25),for entrepreneurs(6.25), </v>
      </c>
      <c r="GH169" s="21" t="str">
        <f t="shared" si="566"/>
        <v xml:space="preserve"> </v>
      </c>
      <c r="GI169" s="21" t="str">
        <f t="shared" si="271"/>
        <v xml:space="preserve">web(1,25), mobile apps(1,50), functions(1,25), interaction(1,25),  </v>
      </c>
      <c r="GJ169" s="21" t="str">
        <f t="shared" si="567"/>
        <v xml:space="preserve">web 25
mobile apps 50
functions 25
interaction 25
 </v>
      </c>
      <c r="GK169" s="21" t="str">
        <f t="shared" si="272"/>
        <v xml:space="preserve">project management(2), for entrepreneurs(1),  </v>
      </c>
      <c r="GL169" s="21" t="str">
        <f t="shared" si="273"/>
        <v xml:space="preserve">for entrepreneurs(1,6.25),  </v>
      </c>
      <c r="GM169" s="21" t="str">
        <f t="shared" si="568"/>
        <v xml:space="preserve">for entrepreneurs(6.25), </v>
      </c>
      <c r="GN169" s="21" t="str">
        <f t="shared" si="566"/>
        <v xml:space="preserve"> </v>
      </c>
      <c r="GO169" s="21" t="str">
        <f t="shared" si="274"/>
        <v xml:space="preserve">web(1,25), mobile apps(1,25), VR&amp;AR(1,25), aesthetics(1,25), functions(1,25), interaction(1,50),  </v>
      </c>
      <c r="GP169" s="21" t="str">
        <f t="shared" si="567"/>
        <v xml:space="preserve">web 25
mobile apps 25
VR&amp;AR 25
aesthetics 25
functions 25
interaction 50
 </v>
      </c>
      <c r="GQ169" s="21" t="str">
        <f t="shared" si="275"/>
        <v xml:space="preserve">project management(2), for entrepreneurs(1),  </v>
      </c>
      <c r="GR169" s="21" t="str">
        <f t="shared" si="276"/>
        <v xml:space="preserve">for entrepreneurs(1,6.25),  </v>
      </c>
      <c r="GS169" s="21" t="str">
        <f t="shared" si="568"/>
        <v xml:space="preserve">for entrepreneurs(6.25), </v>
      </c>
      <c r="GT169" s="21" t="str">
        <f t="shared" si="566"/>
        <v xml:space="preserve">web 1
mobile apps 1
mobile comm 1
 </v>
      </c>
      <c r="GU169" s="21" t="str">
        <f t="shared" si="277"/>
        <v xml:space="preserve"> </v>
      </c>
      <c r="GV169" s="21" t="str">
        <f t="shared" si="567"/>
        <v xml:space="preserve"> </v>
      </c>
      <c r="GW169" s="21" t="str">
        <f t="shared" si="278"/>
        <v xml:space="preserve">team building(1), project management(1), social media(1), infrastructrue(1), database(1), sensors(1), security(1), AI&amp; data analysis(1), electronics(1),  </v>
      </c>
      <c r="GX169" s="21" t="str">
        <f t="shared" si="279"/>
        <v xml:space="preserve">project management(1,6.25), social media(1,6.25), web(1,6.25), mobile apps(1,6.25),  </v>
      </c>
      <c r="GY169" s="21" t="str">
        <f t="shared" si="568"/>
        <v xml:space="preserve">project management(6.25),social media(6.25),web(6.25),mobile apps(6.25), </v>
      </c>
      <c r="GZ169" s="21" t="str">
        <f t="shared" si="569"/>
        <v xml:space="preserve"> </v>
      </c>
      <c r="HA169" s="21" t="str">
        <f t="shared" si="281"/>
        <v xml:space="preserve"> </v>
      </c>
      <c r="HB169" s="21" t="str">
        <f t="shared" si="570"/>
        <v xml:space="preserve"> </v>
      </c>
      <c r="HC169" s="21" t="str">
        <f t="shared" si="283"/>
        <v xml:space="preserve">social media(2), web(2), mobile apps(2), sensors(2), AI&amp; data analysis(2), VR&amp;AR(2), plastic processing(2), electronics(2), aesthetics(2), interaction(2),  </v>
      </c>
      <c r="HD169" s="21" t="str">
        <f t="shared" si="284"/>
        <v xml:space="preserve">start-up with customers(1,6.25), for basic literacy(1,6.25),  </v>
      </c>
      <c r="HE169" s="21" t="str">
        <f t="shared" si="571"/>
        <v xml:space="preserve">start-up with customers(6.25),for basic literacy(6.25), </v>
      </c>
      <c r="HF169" s="21" t="str">
        <f t="shared" si="569"/>
        <v xml:space="preserve"> </v>
      </c>
      <c r="HG169" s="21" t="str">
        <f t="shared" si="286"/>
        <v xml:space="preserve"> </v>
      </c>
      <c r="HH169" s="21" t="str">
        <f t="shared" si="570"/>
        <v xml:space="preserve"> </v>
      </c>
      <c r="HI169" s="21" t="str">
        <f t="shared" si="287"/>
        <v xml:space="preserve">team building(3), project management(2), mobile apps(3), sensors(2), plastic processing(2), electronics(2), aesthetics(2), functions(2), interaction(2),  </v>
      </c>
      <c r="HJ169" s="21" t="str">
        <f t="shared" si="288"/>
        <v xml:space="preserve">start-up with customers(1,6.25),  </v>
      </c>
      <c r="HK169" s="21" t="str">
        <f t="shared" si="571"/>
        <v xml:space="preserve">start-up with customers(6.25), </v>
      </c>
      <c r="HL169" s="21" t="str">
        <f t="shared" si="569"/>
        <v xml:space="preserve"> </v>
      </c>
      <c r="HM169" s="21" t="str">
        <f t="shared" si="289"/>
        <v xml:space="preserve"> </v>
      </c>
      <c r="HN169" s="21" t="str">
        <f t="shared" si="570"/>
        <v xml:space="preserve"> </v>
      </c>
      <c r="HO169" s="21" t="str">
        <f t="shared" si="290"/>
        <v xml:space="preserve">project management(2), social media(2), web(3), mobile apps(2), wood processing(3), plastic processing(3), electronics(3), aesthetics(2), interaction(2),  </v>
      </c>
      <c r="HP169" s="21" t="str">
        <f t="shared" si="291"/>
        <v xml:space="preserve"> </v>
      </c>
      <c r="HQ169" s="47" t="str">
        <f t="shared" si="571"/>
        <v xml:space="preserve"> </v>
      </c>
      <c r="HR169" s="47" t="str">
        <f t="shared" ref="HR169:HW169" si="642">IF(HR67="",HR170,$C169&amp;"("&amp;HR67&amp;"),"&amp;HR170)</f>
        <v xml:space="preserve">mobile apps(1),sensors(1),wood processing(1),aesthetics(1), </v>
      </c>
      <c r="HS169" s="47" t="str">
        <f t="shared" si="642"/>
        <v xml:space="preserve"> </v>
      </c>
      <c r="HT169" s="47" t="str">
        <f t="shared" si="642"/>
        <v xml:space="preserve"> </v>
      </c>
      <c r="HU169" s="47" t="str">
        <f t="shared" si="642"/>
        <v xml:space="preserve">project management(2),social media(2),web(3),infrastructrue(3),database(3),mobile apps(3),sensors(3),AI&amp; data analysis(3),mobile comm(3),VR&amp;AR(3),wood processing(3),metal processing(2),plastic processing(2),electronics(2),fabric(2),aesthetics(2),interaction(2),start-up with mvp(1), </v>
      </c>
      <c r="HV169" s="47" t="str">
        <f t="shared" si="642"/>
        <v xml:space="preserve"> </v>
      </c>
      <c r="HW169" s="47" t="str">
        <f t="shared" si="642"/>
        <v xml:space="preserve"> </v>
      </c>
      <c r="HX169" s="47" t="str">
        <f t="shared" ref="HX169:IU169" si="643">IF(HX67="",HX170,$C169&amp;"("&amp;HX67&amp;"),"&amp;HX170)</f>
        <v xml:space="preserve">web(1),infrastructrue(1),database(2),mobile apps(1),sensors(1),AI&amp; data analysis(2),VR&amp;AR(1),wood processing(1),metal processing(1),plastic processing(1),electronics(1),aesthetics(1),functions(1),interaction(1), </v>
      </c>
      <c r="HY169" s="47" t="str">
        <f t="shared" si="643"/>
        <v xml:space="preserve">biz enhancement(1), </v>
      </c>
      <c r="HZ169" s="47" t="str">
        <f t="shared" si="643"/>
        <v xml:space="preserve">biz enhancement(100), </v>
      </c>
      <c r="IA169" s="47" t="str">
        <f t="shared" si="643"/>
        <v xml:space="preserve">team building(2),project management(2),social media(3),negotiation(3), </v>
      </c>
      <c r="IB169" s="47" t="str">
        <f t="shared" si="643"/>
        <v xml:space="preserve">team building(1),database(1),AI&amp; data analysis(1),electronics(1),functions(1), </v>
      </c>
      <c r="IC169" s="47" t="str">
        <f t="shared" si="643"/>
        <v xml:space="preserve">team building(6.25),database(6.25),AI&amp; data analysis(6.25),electronics(6.25),functions(6.25), </v>
      </c>
      <c r="ID169" s="47" t="str">
        <f t="shared" si="643"/>
        <v xml:space="preserve"> </v>
      </c>
      <c r="IE169" s="47" t="str">
        <f t="shared" si="643"/>
        <v xml:space="preserve">web(1),mobile apps(1),security(1),AI&amp; data analysis(1), </v>
      </c>
      <c r="IF169" s="47" t="str">
        <f t="shared" si="643"/>
        <v xml:space="preserve">web(25),mobile apps(25),security(25),AI&amp; data analysis(25), </v>
      </c>
      <c r="IG169" s="47" t="str">
        <f t="shared" si="643"/>
        <v xml:space="preserve">web(2),database(2),mobile apps(2),security(2),AI&amp; data analysis(2), </v>
      </c>
      <c r="IH169" s="47" t="str">
        <f t="shared" si="643"/>
        <v xml:space="preserve">web(1),database(1),mobile apps(1),security(1),AI&amp; data analysis(1), </v>
      </c>
      <c r="II169" s="47" t="str">
        <f t="shared" si="643"/>
        <v xml:space="preserve">web(6.25),database(6.25),mobile apps(6.25),security(6.25),AI&amp; data analysis(6.25), </v>
      </c>
      <c r="IJ169" s="47" t="str">
        <f t="shared" si="643"/>
        <v xml:space="preserve"> </v>
      </c>
      <c r="IK169" s="47" t="str">
        <f t="shared" si="643"/>
        <v xml:space="preserve">wood processing(1),metal processing(1),functions(1),safety(1), </v>
      </c>
      <c r="IL169" s="47" t="str">
        <f t="shared" si="643"/>
        <v xml:space="preserve">wood processing(25),metal processing(25),functions(25),safety(25), </v>
      </c>
      <c r="IM169" s="47" t="str">
        <f t="shared" si="643"/>
        <v xml:space="preserve">wood processing(2),metal processing(2),functions(2),safety(2), </v>
      </c>
      <c r="IN169" s="47" t="str">
        <f t="shared" si="643"/>
        <v xml:space="preserve">wood processing(1),metal processing(1),functions(1),safety(1),interaction(1), </v>
      </c>
      <c r="IO169" s="47" t="str">
        <f t="shared" si="643"/>
        <v xml:space="preserve">wood processing(6.25),metal processing(6.25),functions(6.25),safety(6.25),interaction(6.25), </v>
      </c>
      <c r="IP169" s="57" t="str">
        <f t="shared" si="643"/>
        <v xml:space="preserve"> </v>
      </c>
      <c r="IQ169" s="47" t="str">
        <f t="shared" si="643"/>
        <v xml:space="preserve"> </v>
      </c>
      <c r="IR169" s="47" t="str">
        <f t="shared" si="643"/>
        <v xml:space="preserve"> </v>
      </c>
      <c r="IS169" s="47" t="str">
        <f t="shared" si="643"/>
        <v xml:space="preserve"> </v>
      </c>
      <c r="IT169" s="47" t="str">
        <f t="shared" si="643"/>
        <v xml:space="preserve"> </v>
      </c>
      <c r="IU169" s="47" t="str">
        <f t="shared" si="643"/>
        <v xml:space="preserve"> </v>
      </c>
      <c r="IV169" s="57" t="str">
        <f t="shared" ref="IV169:LG169" si="644">IF(IV67="",IV170,$C169&amp;"("&amp;IV67&amp;"),"&amp;IV170)</f>
        <v xml:space="preserve"> </v>
      </c>
      <c r="IW169" s="47" t="str">
        <f t="shared" si="644"/>
        <v xml:space="preserve"> </v>
      </c>
      <c r="IX169" s="47" t="str">
        <f t="shared" si="644"/>
        <v xml:space="preserve"> </v>
      </c>
      <c r="IY169" s="47" t="str">
        <f t="shared" si="644"/>
        <v xml:space="preserve"> </v>
      </c>
      <c r="IZ169" s="47" t="str">
        <f t="shared" si="644"/>
        <v xml:space="preserve"> </v>
      </c>
      <c r="JA169" s="47" t="str">
        <f t="shared" si="644"/>
        <v xml:space="preserve"> </v>
      </c>
      <c r="JB169" s="47" t="str">
        <f t="shared" si="644"/>
        <v xml:space="preserve"> </v>
      </c>
      <c r="JC169" s="47" t="str">
        <f t="shared" si="644"/>
        <v xml:space="preserve"> </v>
      </c>
      <c r="JD169" s="47" t="str">
        <f t="shared" si="644"/>
        <v xml:space="preserve"> </v>
      </c>
      <c r="JE169" s="47" t="str">
        <f t="shared" si="644"/>
        <v xml:space="preserve"> </v>
      </c>
      <c r="JF169" s="47" t="str">
        <f t="shared" si="644"/>
        <v xml:space="preserve">web(1),infrastructrue(1),database(1),mobile apps(1),sensors(1),security(1),AI&amp; data analysis(1),mobile comm(1),VR&amp;AR(1),wood processing(1),metal processing(1),plastic processing(1),electronics(1),fabric(1),aesthetics(1),functions(1),safety(1),interaction(1), </v>
      </c>
      <c r="JG169" s="47" t="str">
        <f t="shared" si="644"/>
        <v xml:space="preserve">web(6.25),infrastructrue(6.25),database(6.25),mobile apps(6.25),sensors(6.25),security(6.25),AI&amp; data analysis(6.25),mobile comm(6.25),VR&amp;AR(6.25),wood processing(6.25),metal processing(6.25),plastic processing(6.25),electronics(6.25),fabric(6.25),aesthetics(6.25),functions(6.25),safety(6.25),interaction(6.25), </v>
      </c>
      <c r="JH169" s="47" t="str">
        <f t="shared" si="644"/>
        <v xml:space="preserve"> </v>
      </c>
      <c r="JI169" s="47" t="str">
        <f t="shared" si="644"/>
        <v xml:space="preserve"> </v>
      </c>
      <c r="JJ169" s="47" t="str">
        <f t="shared" si="644"/>
        <v xml:space="preserve"> </v>
      </c>
      <c r="JK169" s="47" t="str">
        <f t="shared" si="644"/>
        <v xml:space="preserve">social media(2),negotiation(2),social project(1),social innovation(1),non-profit biz(1),biz project(1),biz enhancement(1),job creation(1),business(1),start-up(1),start-up with mvp(1),start-up with customers(1),for basic literacy(1),for the elites(1),for entrepreneurs(1), </v>
      </c>
      <c r="JL169" s="47" t="str">
        <f t="shared" si="644"/>
        <v xml:space="preserve"> </v>
      </c>
      <c r="JM169" s="47" t="str">
        <f t="shared" si="644"/>
        <v xml:space="preserve"> </v>
      </c>
      <c r="JN169" s="47" t="str">
        <f t="shared" si="644"/>
        <v xml:space="preserve"> </v>
      </c>
      <c r="JO169" s="47" t="str">
        <f t="shared" si="644"/>
        <v xml:space="preserve"> </v>
      </c>
      <c r="JP169" s="47" t="str">
        <f t="shared" si="644"/>
        <v xml:space="preserve"> </v>
      </c>
      <c r="JQ169" s="47" t="str">
        <f t="shared" si="644"/>
        <v xml:space="preserve">electronics(1),aesthetics(1),interaction(1),social project(1),social innovation(1),non-profit biz(1),biz project(1),biz enhancement(1),job creation(1),business(1),start-up(1),start-up with mvp(1),start-up with customers(1),for basic literacy(1),for the elites(1),for entrepreneurs(1), </v>
      </c>
      <c r="JR169" s="47" t="str">
        <f t="shared" si="644"/>
        <v xml:space="preserve"> </v>
      </c>
      <c r="JS169" s="47" t="str">
        <f t="shared" si="644"/>
        <v xml:space="preserve"> </v>
      </c>
      <c r="JT169" s="47" t="str">
        <f t="shared" si="644"/>
        <v xml:space="preserve"> </v>
      </c>
      <c r="JU169" s="47" t="str">
        <f t="shared" si="644"/>
        <v xml:space="preserve"> </v>
      </c>
      <c r="JV169" s="47" t="str">
        <f t="shared" si="644"/>
        <v xml:space="preserve"> </v>
      </c>
      <c r="JW169" s="47" t="str">
        <f t="shared" si="644"/>
        <v xml:space="preserve">team building(1),project management(1),social media(1),negotiation(1),social project(2),social innovation(1),non-profit biz(1),biz project(2),biz enhancement(2),job creation(1),business(1),start-up(2),start-up with mvp(1),start-up with customers(1),for basic literacy(2),for the elites(1),for entrepreneurs(1), </v>
      </c>
      <c r="JX169" s="47" t="str">
        <f t="shared" si="644"/>
        <v xml:space="preserve"> </v>
      </c>
      <c r="JY169" s="47" t="str">
        <f t="shared" si="644"/>
        <v xml:space="preserve"> </v>
      </c>
      <c r="JZ169" s="47" t="str">
        <f t="shared" si="644"/>
        <v xml:space="preserve">social project(2), </v>
      </c>
      <c r="KA169" s="47" t="str">
        <f t="shared" si="644"/>
        <v xml:space="preserve"> </v>
      </c>
      <c r="KB169" s="47" t="str">
        <f t="shared" si="644"/>
        <v xml:space="preserve"> </v>
      </c>
      <c r="KC169" s="47" t="str">
        <f t="shared" si="644"/>
        <v xml:space="preserve">web(1),mobile apps(1),sensors(1),AI&amp; data analysis(1),electronics(1),aesthetics(1),social project(3),social innovation(1),non-profit biz(1),biz project(2),biz enhancement(2),job creation(1),business(1),start-up(2),start-up with mvp(1),start-up with customers(1),for basic literacy(2),for the elites(1),for entrepreneurs(1), </v>
      </c>
      <c r="KD169" s="47" t="str">
        <f t="shared" si="644"/>
        <v xml:space="preserve"> </v>
      </c>
      <c r="KE169" s="47" t="str">
        <f t="shared" si="644"/>
        <v xml:space="preserve"> </v>
      </c>
      <c r="KF169" s="47" t="str">
        <f t="shared" si="644"/>
        <v xml:space="preserve"> </v>
      </c>
      <c r="KG169" s="47" t="str">
        <f t="shared" si="644"/>
        <v xml:space="preserve"> </v>
      </c>
      <c r="KH169" s="47" t="str">
        <f t="shared" si="644"/>
        <v xml:space="preserve"> </v>
      </c>
      <c r="KI169" s="47" t="str">
        <f t="shared" si="644"/>
        <v xml:space="preserve"> </v>
      </c>
      <c r="KJ169" s="47" t="str">
        <f t="shared" si="644"/>
        <v xml:space="preserve"> </v>
      </c>
      <c r="KK169" s="47" t="str">
        <f t="shared" si="644"/>
        <v xml:space="preserve"> </v>
      </c>
      <c r="KL169" s="57" t="str">
        <f t="shared" si="644"/>
        <v xml:space="preserve"> </v>
      </c>
      <c r="KM169" s="47" t="str">
        <f t="shared" si="644"/>
        <v xml:space="preserve"> </v>
      </c>
      <c r="KN169" s="47" t="str">
        <f t="shared" si="644"/>
        <v xml:space="preserve"> </v>
      </c>
      <c r="KO169" s="47" t="str">
        <f t="shared" si="644"/>
        <v xml:space="preserve"> </v>
      </c>
      <c r="KP169" s="47" t="str">
        <f t="shared" si="644"/>
        <v xml:space="preserve"> </v>
      </c>
      <c r="KQ169" s="47" t="str">
        <f t="shared" si="644"/>
        <v xml:space="preserve"> </v>
      </c>
      <c r="KR169" s="57" t="str">
        <f t="shared" si="644"/>
        <v xml:space="preserve"> </v>
      </c>
      <c r="KS169" s="47" t="str">
        <f t="shared" si="644"/>
        <v xml:space="preserve"> </v>
      </c>
      <c r="KT169" s="47" t="str">
        <f t="shared" si="644"/>
        <v xml:space="preserve"> </v>
      </c>
      <c r="KU169" s="47" t="str">
        <f t="shared" si="644"/>
        <v xml:space="preserve"> </v>
      </c>
      <c r="KV169" s="47" t="str">
        <f t="shared" si="644"/>
        <v xml:space="preserve"> </v>
      </c>
      <c r="KW169" s="47" t="str">
        <f t="shared" si="644"/>
        <v xml:space="preserve"> </v>
      </c>
      <c r="KX169" s="57" t="str">
        <f t="shared" si="644"/>
        <v xml:space="preserve"> </v>
      </c>
      <c r="KY169" s="47" t="str">
        <f t="shared" si="644"/>
        <v xml:space="preserve"> </v>
      </c>
      <c r="KZ169" s="47" t="str">
        <f t="shared" si="644"/>
        <v xml:space="preserve"> </v>
      </c>
      <c r="LA169" s="47" t="str">
        <f t="shared" si="644"/>
        <v xml:space="preserve"> </v>
      </c>
      <c r="LB169" s="47" t="str">
        <f t="shared" si="644"/>
        <v xml:space="preserve"> </v>
      </c>
      <c r="LC169" s="47" t="str">
        <f t="shared" si="644"/>
        <v xml:space="preserve"> </v>
      </c>
      <c r="LD169" s="57" t="str">
        <f t="shared" si="644"/>
        <v xml:space="preserve"> </v>
      </c>
      <c r="LE169" s="47" t="str">
        <f t="shared" si="644"/>
        <v xml:space="preserve"> </v>
      </c>
      <c r="LF169" s="47" t="str">
        <f t="shared" si="644"/>
        <v xml:space="preserve"> </v>
      </c>
      <c r="LG169" s="47" t="str">
        <f t="shared" si="644"/>
        <v xml:space="preserve"> </v>
      </c>
      <c r="LH169" s="47" t="str">
        <f t="shared" ref="LH169:NM169" si="645">IF(LH67="",LH170,$C169&amp;"("&amp;LH67&amp;"),"&amp;LH170)</f>
        <v xml:space="preserve"> </v>
      </c>
      <c r="LI169" s="47" t="str">
        <f t="shared" si="645"/>
        <v xml:space="preserve"> </v>
      </c>
      <c r="LJ169" s="57" t="str">
        <f t="shared" si="645"/>
        <v xml:space="preserve"> </v>
      </c>
      <c r="LK169" s="47" t="str">
        <f t="shared" si="645"/>
        <v xml:space="preserve"> </v>
      </c>
      <c r="LL169" s="47" t="str">
        <f t="shared" si="645"/>
        <v xml:space="preserve"> </v>
      </c>
      <c r="LM169" s="47" t="str">
        <f t="shared" si="645"/>
        <v xml:space="preserve"> </v>
      </c>
      <c r="LN169" s="47" t="str">
        <f t="shared" si="645"/>
        <v xml:space="preserve"> </v>
      </c>
      <c r="LO169" s="47" t="str">
        <f t="shared" si="645"/>
        <v xml:space="preserve"> </v>
      </c>
      <c r="LP169" s="57" t="str">
        <f t="shared" si="645"/>
        <v xml:space="preserve"> </v>
      </c>
      <c r="LQ169" s="47" t="str">
        <f t="shared" si="645"/>
        <v xml:space="preserve"> </v>
      </c>
      <c r="LR169" s="47" t="str">
        <f t="shared" si="645"/>
        <v xml:space="preserve"> </v>
      </c>
      <c r="LS169" s="47" t="str">
        <f t="shared" si="645"/>
        <v xml:space="preserve"> </v>
      </c>
      <c r="LT169" s="47" t="str">
        <f t="shared" si="645"/>
        <v xml:space="preserve"> </v>
      </c>
      <c r="LU169" s="47" t="str">
        <f t="shared" si="645"/>
        <v xml:space="preserve"> </v>
      </c>
      <c r="LV169" s="57" t="str">
        <f t="shared" si="645"/>
        <v xml:space="preserve"> </v>
      </c>
      <c r="LW169" s="47" t="str">
        <f t="shared" si="645"/>
        <v xml:space="preserve"> </v>
      </c>
      <c r="LX169" s="47" t="str">
        <f t="shared" si="645"/>
        <v xml:space="preserve"> </v>
      </c>
      <c r="LY169" s="47" t="str">
        <f t="shared" si="645"/>
        <v xml:space="preserve"> </v>
      </c>
      <c r="LZ169" s="47" t="str">
        <f t="shared" si="645"/>
        <v xml:space="preserve"> </v>
      </c>
      <c r="MA169" s="47" t="str">
        <f t="shared" si="645"/>
        <v xml:space="preserve"> </v>
      </c>
      <c r="MB169" s="57" t="str">
        <f t="shared" si="645"/>
        <v xml:space="preserve"> </v>
      </c>
      <c r="MC169" s="47" t="str">
        <f t="shared" si="645"/>
        <v xml:space="preserve"> </v>
      </c>
      <c r="MD169" s="47" t="str">
        <f t="shared" si="645"/>
        <v xml:space="preserve"> </v>
      </c>
      <c r="ME169" s="47" t="str">
        <f t="shared" si="645"/>
        <v xml:space="preserve"> </v>
      </c>
      <c r="MF169" s="47" t="str">
        <f t="shared" si="645"/>
        <v xml:space="preserve"> </v>
      </c>
      <c r="MG169" s="47" t="str">
        <f t="shared" si="645"/>
        <v xml:space="preserve"> </v>
      </c>
      <c r="MH169" s="57" t="str">
        <f t="shared" si="645"/>
        <v xml:space="preserve"> </v>
      </c>
      <c r="MI169" s="47" t="str">
        <f t="shared" si="645"/>
        <v xml:space="preserve"> </v>
      </c>
      <c r="MJ169" s="47" t="str">
        <f t="shared" si="645"/>
        <v xml:space="preserve"> </v>
      </c>
      <c r="MK169" s="47" t="str">
        <f t="shared" si="645"/>
        <v xml:space="preserve"> </v>
      </c>
      <c r="ML169" s="47" t="str">
        <f t="shared" si="645"/>
        <v xml:space="preserve"> </v>
      </c>
      <c r="MM169" s="47" t="str">
        <f t="shared" si="645"/>
        <v xml:space="preserve"> </v>
      </c>
      <c r="MN169" s="57" t="str">
        <f t="shared" si="645"/>
        <v xml:space="preserve"> </v>
      </c>
      <c r="MO169" s="47" t="str">
        <f t="shared" si="645"/>
        <v xml:space="preserve"> </v>
      </c>
      <c r="MP169" s="47" t="str">
        <f t="shared" si="645"/>
        <v xml:space="preserve"> </v>
      </c>
      <c r="MQ169" s="47" t="str">
        <f t="shared" si="645"/>
        <v xml:space="preserve"> </v>
      </c>
      <c r="MR169" s="47" t="str">
        <f t="shared" si="645"/>
        <v xml:space="preserve"> </v>
      </c>
      <c r="MS169" s="47" t="str">
        <f t="shared" si="645"/>
        <v xml:space="preserve"> </v>
      </c>
      <c r="MT169" s="57" t="str">
        <f t="shared" si="645"/>
        <v xml:space="preserve"> </v>
      </c>
      <c r="MU169" s="47" t="str">
        <f t="shared" si="645"/>
        <v xml:space="preserve"> </v>
      </c>
      <c r="MV169" s="47" t="str">
        <f t="shared" si="645"/>
        <v xml:space="preserve"> </v>
      </c>
      <c r="MW169" s="47" t="str">
        <f t="shared" si="645"/>
        <v xml:space="preserve"> </v>
      </c>
      <c r="MX169" s="47" t="str">
        <f t="shared" si="645"/>
        <v xml:space="preserve"> </v>
      </c>
      <c r="MY169" s="47" t="str">
        <f t="shared" si="645"/>
        <v xml:space="preserve"> </v>
      </c>
      <c r="MZ169" s="57" t="str">
        <f t="shared" si="645"/>
        <v xml:space="preserve"> </v>
      </c>
      <c r="NA169" s="47" t="str">
        <f t="shared" si="645"/>
        <v xml:space="preserve"> </v>
      </c>
      <c r="NB169" s="47" t="str">
        <f t="shared" si="645"/>
        <v xml:space="preserve"> </v>
      </c>
      <c r="NC169" s="47" t="str">
        <f t="shared" si="645"/>
        <v xml:space="preserve"> </v>
      </c>
      <c r="ND169" s="47" t="str">
        <f t="shared" si="645"/>
        <v xml:space="preserve"> </v>
      </c>
      <c r="NE169" s="47" t="str">
        <f t="shared" si="645"/>
        <v xml:space="preserve"> </v>
      </c>
      <c r="NF169" s="57" t="str">
        <f t="shared" si="645"/>
        <v xml:space="preserve"> </v>
      </c>
      <c r="NG169" s="47" t="str">
        <f t="shared" si="645"/>
        <v xml:space="preserve"> </v>
      </c>
      <c r="NH169" s="47" t="str">
        <f t="shared" si="645"/>
        <v xml:space="preserve"> </v>
      </c>
      <c r="NI169" s="47" t="str">
        <f t="shared" si="645"/>
        <v xml:space="preserve"> </v>
      </c>
      <c r="NJ169" s="47" t="str">
        <f t="shared" si="645"/>
        <v xml:space="preserve"> </v>
      </c>
      <c r="NK169" s="47" t="str">
        <f t="shared" si="645"/>
        <v xml:space="preserve"> </v>
      </c>
      <c r="NL169" s="57" t="str">
        <f t="shared" si="645"/>
        <v xml:space="preserve"> </v>
      </c>
      <c r="NM169" s="47" t="str">
        <f t="shared" si="645"/>
        <v xml:space="preserve"> </v>
      </c>
    </row>
    <row r="170" spans="3:377" ht="15.75" customHeight="1">
      <c r="C170" s="7" t="str">
        <f t="shared" si="296"/>
        <v>project management</v>
      </c>
      <c r="D170" s="21" t="str">
        <f t="shared" si="169"/>
        <v xml:space="preserve"> </v>
      </c>
      <c r="E170" s="21" t="str">
        <f t="shared" si="297"/>
        <v xml:space="preserve"> </v>
      </c>
      <c r="F170" s="21" t="str">
        <f t="shared" si="170"/>
        <v xml:space="preserve"> </v>
      </c>
      <c r="G170" s="21" t="str">
        <f t="shared" si="298"/>
        <v xml:space="preserve">social media(1),  </v>
      </c>
      <c r="H170" s="21" t="str">
        <f t="shared" si="299"/>
        <v xml:space="preserve"> </v>
      </c>
      <c r="I170" s="21" t="str">
        <f t="shared" ref="I170" si="646">IF(I68="",I171,$C170&amp;"("&amp;I68&amp;"),"&amp;I171)</f>
        <v xml:space="preserve"> </v>
      </c>
      <c r="J170" s="21" t="str">
        <f t="shared" si="560"/>
        <v xml:space="preserve">interaction 1
 </v>
      </c>
      <c r="K170" s="21" t="str">
        <f t="shared" si="173"/>
        <v xml:space="preserve"> </v>
      </c>
      <c r="L170" s="21" t="str">
        <f t="shared" si="561"/>
        <v xml:space="preserve"> </v>
      </c>
      <c r="M170" s="21" t="str">
        <f t="shared" si="175"/>
        <v xml:space="preserve">social innovation(1), non-profit biz(1),  </v>
      </c>
      <c r="N170" s="21" t="str">
        <f t="shared" si="176"/>
        <v xml:space="preserve"> </v>
      </c>
      <c r="O170" s="21" t="str">
        <f t="shared" si="562"/>
        <v xml:space="preserve"> </v>
      </c>
      <c r="P170" s="21" t="str">
        <f t="shared" si="560"/>
        <v xml:space="preserve">biz project 1
 </v>
      </c>
      <c r="Q170" s="21" t="str">
        <f t="shared" si="178"/>
        <v xml:space="preserve"> </v>
      </c>
      <c r="R170" s="21" t="str">
        <f t="shared" si="561"/>
        <v xml:space="preserve"> </v>
      </c>
      <c r="S170" s="21" t="str">
        <f t="shared" si="179"/>
        <v xml:space="preserve">biz enhancement(1), business(1), start-up(1),  </v>
      </c>
      <c r="T170" s="21" t="str">
        <f t="shared" si="180"/>
        <v xml:space="preserve"> </v>
      </c>
      <c r="U170" s="21" t="str">
        <f t="shared" si="562"/>
        <v xml:space="preserve"> </v>
      </c>
      <c r="V170" s="21" t="str">
        <f t="shared" si="560"/>
        <v xml:space="preserve"> </v>
      </c>
      <c r="W170" s="21" t="str">
        <f t="shared" si="181"/>
        <v xml:space="preserve"> </v>
      </c>
      <c r="X170" s="21" t="str">
        <f t="shared" si="561"/>
        <v xml:space="preserve"> </v>
      </c>
      <c r="Y170" s="21" t="str">
        <f t="shared" si="182"/>
        <v xml:space="preserve">biz project(1), biz enhancement(1), job creation(1), business(1),  </v>
      </c>
      <c r="Z170" s="21" t="str">
        <f t="shared" si="183"/>
        <v xml:space="preserve"> </v>
      </c>
      <c r="AA170" s="21" t="str">
        <f t="shared" si="562"/>
        <v xml:space="preserve"> </v>
      </c>
      <c r="AB170" s="21" t="str">
        <f t="shared" si="560"/>
        <v xml:space="preserve"> </v>
      </c>
      <c r="AC170" s="21" t="str">
        <f t="shared" si="184"/>
        <v xml:space="preserve"> </v>
      </c>
      <c r="AD170" s="21" t="str">
        <f t="shared" si="561"/>
        <v xml:space="preserve"> </v>
      </c>
      <c r="AE170" s="21" t="str">
        <f t="shared" si="185"/>
        <v xml:space="preserve">social project(1), social innovation(1), non-profit biz(1),  </v>
      </c>
      <c r="AF170" s="21" t="str">
        <f t="shared" si="186"/>
        <v xml:space="preserve"> </v>
      </c>
      <c r="AG170" s="21" t="str">
        <f t="shared" si="562"/>
        <v xml:space="preserve"> </v>
      </c>
      <c r="AH170" s="21" t="str">
        <f t="shared" si="560"/>
        <v xml:space="preserve"> </v>
      </c>
      <c r="AI170" s="21" t="str">
        <f t="shared" si="187"/>
        <v xml:space="preserve"> </v>
      </c>
      <c r="AJ170" s="21" t="str">
        <f t="shared" si="561"/>
        <v xml:space="preserve"> </v>
      </c>
      <c r="AK170" s="21" t="str">
        <f t="shared" si="188"/>
        <v xml:space="preserve">social project(1), social innovation(1), non-profit biz(1),  </v>
      </c>
      <c r="AL170" s="21" t="str">
        <f t="shared" si="189"/>
        <v xml:space="preserve"> </v>
      </c>
      <c r="AM170" s="21" t="str">
        <f t="shared" si="562"/>
        <v xml:space="preserve"> </v>
      </c>
      <c r="AN170" s="21" t="str">
        <f t="shared" si="560"/>
        <v xml:space="preserve"> </v>
      </c>
      <c r="AO170" s="21" t="str">
        <f t="shared" si="190"/>
        <v xml:space="preserve"> </v>
      </c>
      <c r="AP170" s="21" t="str">
        <f t="shared" si="561"/>
        <v xml:space="preserve"> </v>
      </c>
      <c r="AQ170" s="21" t="str">
        <f t="shared" si="191"/>
        <v xml:space="preserve">start-up(1), start-up with mvp(1), start-up with customers(1),  </v>
      </c>
      <c r="AR170" s="21" t="str">
        <f t="shared" si="192"/>
        <v xml:space="preserve"> </v>
      </c>
      <c r="AS170" s="21" t="str">
        <f t="shared" si="562"/>
        <v xml:space="preserve"> </v>
      </c>
      <c r="AT170" s="21" t="str">
        <f t="shared" si="560"/>
        <v xml:space="preserve">social project 1
 </v>
      </c>
      <c r="AU170" s="21" t="str">
        <f t="shared" si="193"/>
        <v xml:space="preserve"> </v>
      </c>
      <c r="AV170" s="21" t="str">
        <f t="shared" si="561"/>
        <v xml:space="preserve"> </v>
      </c>
      <c r="AW170" s="21" t="str">
        <f t="shared" si="194"/>
        <v xml:space="preserve">project management(2),  </v>
      </c>
      <c r="AX170" s="21" t="str">
        <f t="shared" si="195"/>
        <v xml:space="preserve">project management(1,12.5),  </v>
      </c>
      <c r="AY170" s="21" t="str">
        <f t="shared" si="562"/>
        <v xml:space="preserve">project management(12.5), </v>
      </c>
      <c r="AZ170" s="21" t="str">
        <f t="shared" si="560"/>
        <v xml:space="preserve"> </v>
      </c>
      <c r="BA170" s="21" t="str">
        <f t="shared" si="196"/>
        <v xml:space="preserve"> </v>
      </c>
      <c r="BB170" s="21" t="str">
        <f t="shared" si="561"/>
        <v xml:space="preserve"> </v>
      </c>
      <c r="BC170" s="21" t="str">
        <f t="shared" si="197"/>
        <v xml:space="preserve"> </v>
      </c>
      <c r="BD170" s="21" t="str">
        <f t="shared" si="198"/>
        <v xml:space="preserve"> </v>
      </c>
      <c r="BE170" s="21" t="str">
        <f t="shared" si="562"/>
        <v xml:space="preserve"> </v>
      </c>
      <c r="BF170" s="21" t="str">
        <f t="shared" si="560"/>
        <v xml:space="preserve">biz project 1
 </v>
      </c>
      <c r="BG170" s="21" t="str">
        <f t="shared" si="199"/>
        <v xml:space="preserve"> </v>
      </c>
      <c r="BH170" s="21" t="str">
        <f t="shared" si="561"/>
        <v xml:space="preserve"> </v>
      </c>
      <c r="BI170" s="21" t="str">
        <f t="shared" si="200"/>
        <v xml:space="preserve">project management(2),  </v>
      </c>
      <c r="BJ170" s="21" t="str">
        <f t="shared" si="201"/>
        <v xml:space="preserve">project management(1,12.5),  </v>
      </c>
      <c r="BK170" s="21" t="str">
        <f t="shared" si="562"/>
        <v xml:space="preserve">project management(12.5), </v>
      </c>
      <c r="BL170" s="21" t="str">
        <f t="shared" si="560"/>
        <v xml:space="preserve">biz enhancement 1
 </v>
      </c>
      <c r="BM170" s="21" t="str">
        <f t="shared" si="202"/>
        <v xml:space="preserve"> </v>
      </c>
      <c r="BN170" s="21" t="str">
        <f t="shared" si="561"/>
        <v xml:space="preserve"> </v>
      </c>
      <c r="BO170" s="21" t="str">
        <f t="shared" si="203"/>
        <v xml:space="preserve"> </v>
      </c>
      <c r="BP170" s="21" t="str">
        <f t="shared" si="204"/>
        <v xml:space="preserve"> </v>
      </c>
      <c r="BQ170" s="21" t="str">
        <f t="shared" si="562"/>
        <v xml:space="preserve"> </v>
      </c>
      <c r="BR170" s="21" t="str">
        <f t="shared" si="560"/>
        <v xml:space="preserve"> </v>
      </c>
      <c r="BS170" s="21" t="str">
        <f t="shared" si="205"/>
        <v xml:space="preserve"> </v>
      </c>
      <c r="BT170" s="21" t="str">
        <f t="shared" si="561"/>
        <v xml:space="preserve"> </v>
      </c>
      <c r="BU170" s="21" t="str">
        <f t="shared" si="206"/>
        <v xml:space="preserve"> </v>
      </c>
      <c r="BV170" s="21" t="str">
        <f t="shared" si="207"/>
        <v xml:space="preserve"> </v>
      </c>
      <c r="BW170" s="21" t="str">
        <f t="shared" si="562"/>
        <v xml:space="preserve"> </v>
      </c>
      <c r="BX170" s="21" t="str">
        <f t="shared" si="563"/>
        <v xml:space="preserve"> </v>
      </c>
      <c r="BY170" s="21" t="str">
        <f t="shared" si="209"/>
        <v xml:space="preserve"> </v>
      </c>
      <c r="BZ170" s="21" t="str">
        <f t="shared" si="564"/>
        <v xml:space="preserve"> </v>
      </c>
      <c r="CA170" s="21" t="str">
        <f t="shared" si="211"/>
        <v xml:space="preserve">negotiation(1),  </v>
      </c>
      <c r="CB170" s="21" t="str">
        <f t="shared" si="212"/>
        <v xml:space="preserve"> </v>
      </c>
      <c r="CC170" s="21" t="str">
        <f t="shared" si="565"/>
        <v xml:space="preserve"> </v>
      </c>
      <c r="CD170" s="21" t="str">
        <f t="shared" si="563"/>
        <v xml:space="preserve"> </v>
      </c>
      <c r="CE170" s="21" t="str">
        <f t="shared" si="214"/>
        <v xml:space="preserve"> </v>
      </c>
      <c r="CF170" s="21" t="str">
        <f t="shared" si="564"/>
        <v xml:space="preserve"> </v>
      </c>
      <c r="CG170" s="21" t="str">
        <f t="shared" si="215"/>
        <v xml:space="preserve">negotiation(1), social project(1), biz project(1), for basic literacy(1), for the elites(1), for entrepreneurs(1),  </v>
      </c>
      <c r="CH170" s="21" t="str">
        <f t="shared" si="216"/>
        <v xml:space="preserve"> </v>
      </c>
      <c r="CI170" s="21" t="str">
        <f t="shared" si="565"/>
        <v xml:space="preserve"> </v>
      </c>
      <c r="CJ170" s="21" t="str">
        <f t="shared" si="563"/>
        <v xml:space="preserve"> </v>
      </c>
      <c r="CK170" s="21" t="str">
        <f t="shared" si="217"/>
        <v xml:space="preserve"> </v>
      </c>
      <c r="CL170" s="21" t="str">
        <f t="shared" si="564"/>
        <v xml:space="preserve"> </v>
      </c>
      <c r="CM170" s="21" t="str">
        <f t="shared" si="218"/>
        <v xml:space="preserve">negotiation(1),  </v>
      </c>
      <c r="CN170" s="21" t="str">
        <f t="shared" si="219"/>
        <v xml:space="preserve"> </v>
      </c>
      <c r="CO170" s="21" t="str">
        <f t="shared" si="565"/>
        <v xml:space="preserve"> </v>
      </c>
      <c r="CP170" s="21" t="str">
        <f t="shared" si="563"/>
        <v xml:space="preserve"> </v>
      </c>
      <c r="CQ170" s="21" t="str">
        <f t="shared" si="220"/>
        <v xml:space="preserve"> </v>
      </c>
      <c r="CR170" s="21" t="str">
        <f t="shared" si="564"/>
        <v xml:space="preserve"> </v>
      </c>
      <c r="CS170" s="21" t="str">
        <f t="shared" si="221"/>
        <v xml:space="preserve">negotiation(1), web(1), infrastructrue(1), database(1), mobile apps(1), sensors(1), security(1), AI&amp; data analysis(1), mobile comm(1), VR&amp;AR(1), wood processing(1), metal processing(1), plastic processing(1), electronics(1), fabric(1),  </v>
      </c>
      <c r="CT170" s="21" t="str">
        <f t="shared" si="222"/>
        <v xml:space="preserve"> </v>
      </c>
      <c r="CU170" s="21" t="str">
        <f t="shared" si="565"/>
        <v xml:space="preserve"> </v>
      </c>
      <c r="CV170" s="21" t="str">
        <f t="shared" si="563"/>
        <v xml:space="preserve"> </v>
      </c>
      <c r="CW170" s="21" t="str">
        <f t="shared" si="223"/>
        <v xml:space="preserve"> </v>
      </c>
      <c r="CX170" s="21" t="str">
        <f t="shared" si="564"/>
        <v xml:space="preserve"> </v>
      </c>
      <c r="CY170" s="21" t="str">
        <f t="shared" si="224"/>
        <v xml:space="preserve">negotiation(1),  </v>
      </c>
      <c r="CZ170" s="21" t="str">
        <f t="shared" si="225"/>
        <v xml:space="preserve"> </v>
      </c>
      <c r="DA170" s="21" t="str">
        <f t="shared" si="565"/>
        <v xml:space="preserve"> </v>
      </c>
      <c r="DB170" s="21" t="str">
        <f t="shared" si="563"/>
        <v xml:space="preserve"> </v>
      </c>
      <c r="DC170" s="21" t="str">
        <f t="shared" si="226"/>
        <v xml:space="preserve"> </v>
      </c>
      <c r="DD170" s="21" t="str">
        <f t="shared" si="564"/>
        <v xml:space="preserve"> </v>
      </c>
      <c r="DE170" s="21" t="str">
        <f t="shared" si="227"/>
        <v xml:space="preserve">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0" s="21" t="str">
        <f t="shared" si="228"/>
        <v xml:space="preserve"> </v>
      </c>
      <c r="DG170" s="21" t="str">
        <f t="shared" si="565"/>
        <v xml:space="preserve"> </v>
      </c>
      <c r="DH170" s="21" t="str">
        <f t="shared" si="563"/>
        <v xml:space="preserve">social project 1
 </v>
      </c>
      <c r="DI170" s="21" t="str">
        <f t="shared" si="229"/>
        <v xml:space="preserve"> </v>
      </c>
      <c r="DJ170" s="21" t="str">
        <f t="shared" si="564"/>
        <v xml:space="preserve"> </v>
      </c>
      <c r="DK170" s="21" t="str">
        <f t="shared" si="230"/>
        <v xml:space="preserve">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70" s="21" t="str">
        <f t="shared" si="231"/>
        <v xml:space="preserve"> </v>
      </c>
      <c r="DM170" s="21" t="str">
        <f t="shared" si="565"/>
        <v xml:space="preserve"> </v>
      </c>
      <c r="DN170" s="21" t="str">
        <f t="shared" si="563"/>
        <v xml:space="preserve">biz project 1
 </v>
      </c>
      <c r="DO170" s="21" t="str">
        <f t="shared" si="232"/>
        <v xml:space="preserve"> </v>
      </c>
      <c r="DP170" s="21" t="str">
        <f t="shared" si="564"/>
        <v xml:space="preserve"> </v>
      </c>
      <c r="DQ170" s="21" t="str">
        <f t="shared" si="233"/>
        <v xml:space="preserve">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0" s="21" t="str">
        <f t="shared" si="234"/>
        <v xml:space="preserve"> </v>
      </c>
      <c r="DS170" s="21" t="str">
        <f t="shared" si="565"/>
        <v xml:space="preserve"> </v>
      </c>
      <c r="DT170" s="21" t="str">
        <f t="shared" si="563"/>
        <v xml:space="preserve"> </v>
      </c>
      <c r="DU170" s="21" t="str">
        <f t="shared" si="235"/>
        <v xml:space="preserve"> </v>
      </c>
      <c r="DV170" s="21" t="str">
        <f t="shared" si="564"/>
        <v xml:space="preserve"> </v>
      </c>
      <c r="DW170" s="21" t="str">
        <f t="shared" si="236"/>
        <v xml:space="preserve">social media(1), for basic literacy(1),  </v>
      </c>
      <c r="DX170" s="21" t="str">
        <f t="shared" si="237"/>
        <v xml:space="preserve">for basic literacy(1,6.25),  </v>
      </c>
      <c r="DY170" s="21" t="str">
        <f t="shared" si="565"/>
        <v xml:space="preserve">for basic literacy(6.25), </v>
      </c>
      <c r="DZ170" s="21" t="str">
        <f t="shared" si="563"/>
        <v xml:space="preserve"> </v>
      </c>
      <c r="EA170" s="21" t="str">
        <f t="shared" si="238"/>
        <v xml:space="preserve"> </v>
      </c>
      <c r="EB170" s="21" t="str">
        <f t="shared" si="564"/>
        <v xml:space="preserve"> </v>
      </c>
      <c r="EC170" s="21" t="str">
        <f t="shared" si="239"/>
        <v xml:space="preserve">social media(1), web(2), infrastructrue(2), database(2), mobile apps(2), sensors(2), security(2), AI&amp; data analysis(2), mobile comm(2), VR&amp;AR(2), wood processing(2), metal processing(2), plastic processing(2), electronics(2), fabric(2), for basic literacy(1),  </v>
      </c>
      <c r="ED170" s="21" t="str">
        <f t="shared" si="240"/>
        <v xml:space="preserve">for basic literacy(1,6.25),  </v>
      </c>
      <c r="EE170" s="21" t="str">
        <f t="shared" si="565"/>
        <v xml:space="preserve">for basic literacy(6.25), </v>
      </c>
      <c r="EF170" s="21" t="str">
        <f t="shared" si="563"/>
        <v xml:space="preserve"> </v>
      </c>
      <c r="EG170" s="21" t="str">
        <f t="shared" si="241"/>
        <v xml:space="preserve">web(1,50), mobile apps(1,50), interaction(1,50),  </v>
      </c>
      <c r="EH170" s="21" t="str">
        <f t="shared" si="564"/>
        <v xml:space="preserve">web 50
mobile apps 50
interaction 50
 </v>
      </c>
      <c r="EI170" s="21" t="str">
        <f t="shared" si="242"/>
        <v xml:space="preserve">infrastructrue(1), database(1), mobile comm(1), for entrepreneurs(1),  </v>
      </c>
      <c r="EJ170" s="21" t="str">
        <f t="shared" si="243"/>
        <v xml:space="preserve">infrastructrue(1,12.5), database(1,12.5), mobile comm(1,12.5), for entrepreneurs(1,6.25),  </v>
      </c>
      <c r="EK170" s="21" t="str">
        <f t="shared" si="565"/>
        <v xml:space="preserve">infrastructrue(12.5),database(12.5),mobile comm(12.5),for entrepreneurs(6.25), </v>
      </c>
      <c r="EL170" s="21" t="str">
        <f t="shared" si="566"/>
        <v xml:space="preserve"> </v>
      </c>
      <c r="EM170" s="21" t="str">
        <f t="shared" si="245"/>
        <v xml:space="preserve">sensors(1,50),  </v>
      </c>
      <c r="EN170" s="21" t="str">
        <f t="shared" si="567"/>
        <v xml:space="preserve">sensors 50
 </v>
      </c>
      <c r="EO170" s="21" t="str">
        <f t="shared" si="247"/>
        <v xml:space="preserve">project management(2), infrastructrue(1), database(1), mobile comm(1), for entrepreneurs(1),  </v>
      </c>
      <c r="EP170" s="21" t="str">
        <f t="shared" si="248"/>
        <v xml:space="preserve">infrastructrue(1,12.5), database(1,12.5), mobile comm(1,12.5), electronics(1,6.25), for entrepreneurs(1,6.25),  </v>
      </c>
      <c r="EQ170" s="21" t="str">
        <f t="shared" si="568"/>
        <v xml:space="preserve">infrastructrue(12.5),database(12.5),mobile comm(12.5),electronics(6.25),for entrepreneurs(6.25), </v>
      </c>
      <c r="ER170" s="21" t="str">
        <f t="shared" si="566"/>
        <v xml:space="preserve"> </v>
      </c>
      <c r="ES170" s="21" t="str">
        <f t="shared" si="250"/>
        <v xml:space="preserve">AI&amp; data analysis(1,50),  </v>
      </c>
      <c r="ET170" s="21" t="str">
        <f t="shared" si="567"/>
        <v xml:space="preserve">AI&amp; data analysis 50
 </v>
      </c>
      <c r="EU170" s="21" t="str">
        <f t="shared" si="251"/>
        <v xml:space="preserve">database(1), sensors(1), mobile comm(1), for entrepreneurs(1),  </v>
      </c>
      <c r="EV170" s="21" t="str">
        <f t="shared" si="252"/>
        <v xml:space="preserve">database(1,12.5), sensors(1,12.5), mobile comm(1,12.5), for entrepreneurs(1,6.25),  </v>
      </c>
      <c r="EW170" s="21" t="str">
        <f t="shared" si="568"/>
        <v xml:space="preserve">database(12.5),sensors(12.5),mobile comm(12.5),for entrepreneurs(6.25), </v>
      </c>
      <c r="EX170" s="21" t="str">
        <f t="shared" si="566"/>
        <v xml:space="preserve"> </v>
      </c>
      <c r="EY170" s="21" t="str">
        <f t="shared" si="253"/>
        <v xml:space="preserve">security(1,50), interaction(1,25),  </v>
      </c>
      <c r="EZ170" s="21" t="str">
        <f t="shared" si="567"/>
        <v xml:space="preserve">security 50
interaction 25
 </v>
      </c>
      <c r="FA170" s="21" t="str">
        <f t="shared" si="254"/>
        <v xml:space="preserve">for entrepreneurs(1),  </v>
      </c>
      <c r="FB170" s="21" t="str">
        <f t="shared" si="255"/>
        <v xml:space="preserve">database(1,12.5), mobile apps(1,12.5), security(1,12.5), mobile comm(1,12.5), for entrepreneurs(1,6.25),  </v>
      </c>
      <c r="FC170" s="21" t="str">
        <f t="shared" si="568"/>
        <v xml:space="preserve">database(12.5),mobile apps(12.5),security(12.5),mobile comm(12.5),for entrepreneurs(6.25), </v>
      </c>
      <c r="FD170" s="21" t="str">
        <f t="shared" si="566"/>
        <v xml:space="preserve"> </v>
      </c>
      <c r="FE170" s="21" t="str">
        <f t="shared" si="256"/>
        <v xml:space="preserve">sensors(1,50), security(1,50),  </v>
      </c>
      <c r="FF170" s="21" t="str">
        <f t="shared" si="567"/>
        <v xml:space="preserve">sensors 50
security 50
 </v>
      </c>
      <c r="FG170" s="21" t="str">
        <f t="shared" si="257"/>
        <v xml:space="preserve">project management(2), for entrepreneurs(1),  </v>
      </c>
      <c r="FH170" s="21" t="str">
        <f t="shared" si="258"/>
        <v xml:space="preserve">database(1,6.25), mobile apps(1,6.25), AI&amp; data analysis(1,6.25), mobile comm(1,6.25), for entrepreneurs(1,6.25),  </v>
      </c>
      <c r="FI170" s="21" t="str">
        <f t="shared" si="568"/>
        <v xml:space="preserve">database(6.25),mobile apps(6.25),AI&amp; data analysis(6.25),mobile comm(6.25),for entrepreneurs(6.25), </v>
      </c>
      <c r="FJ170" s="21" t="str">
        <f t="shared" si="566"/>
        <v xml:space="preserve"> </v>
      </c>
      <c r="FK170" s="21" t="str">
        <f t="shared" si="259"/>
        <v xml:space="preserve">wood processing(1,25), metal processing(1,25), plastic processing(1,25), fabric(1,25), safety(1,25), interaction(1,25),  </v>
      </c>
      <c r="FL170" s="21" t="str">
        <f t="shared" si="567"/>
        <v xml:space="preserve">project management 2
wood processing 25
metal processing 25
plastic processing 25
fabric 25
safety 25
interaction 25
 </v>
      </c>
      <c r="FM170" s="21" t="str">
        <f t="shared" si="260"/>
        <v xml:space="preserve">for entrepreneurs(1),  </v>
      </c>
      <c r="FN170" s="21" t="str">
        <f t="shared" si="261"/>
        <v xml:space="preserve">for entrepreneurs(1,6.25),  </v>
      </c>
      <c r="FO170" s="21" t="str">
        <f t="shared" si="568"/>
        <v xml:space="preserve">for entrepreneurs(6.25), </v>
      </c>
      <c r="FP170" s="21" t="str">
        <f t="shared" si="566"/>
        <v xml:space="preserve"> </v>
      </c>
      <c r="FQ170" s="21" t="str">
        <f t="shared" si="262"/>
        <v xml:space="preserve">web(1,25), mobile apps(1,50), functions(1,25), interaction(1,25),  </v>
      </c>
      <c r="FR170" s="21" t="str">
        <f t="shared" si="567"/>
        <v xml:space="preserve">web 25
mobile apps 50
functions 25
interaction 25
 </v>
      </c>
      <c r="FS170" s="21" t="str">
        <f t="shared" si="263"/>
        <v xml:space="preserve">for entrepreneurs(1),  </v>
      </c>
      <c r="FT170" s="21" t="str">
        <f t="shared" si="264"/>
        <v xml:space="preserve">for entrepreneurs(1,6.25),  </v>
      </c>
      <c r="FU170" s="21" t="str">
        <f t="shared" si="568"/>
        <v xml:space="preserve">for entrepreneurs(6.25), </v>
      </c>
      <c r="FV170" s="21" t="str">
        <f t="shared" si="566"/>
        <v xml:space="preserve"> </v>
      </c>
      <c r="FW170" s="21" t="str">
        <f t="shared" si="265"/>
        <v xml:space="preserve">mobile apps(1,50), sensors(1,50), wood processing(1,25), plastic processing(1,25), electronics(1,25), functions(1,25), interaction(1,25),  </v>
      </c>
      <c r="FX170" s="21" t="str">
        <f t="shared" si="567"/>
        <v xml:space="preserve">mobile apps 50
sensors 50
wood processing 25
plastic processing 25
electronics 25
functions 25
interaction 25
 </v>
      </c>
      <c r="FY170" s="21" t="str">
        <f t="shared" si="266"/>
        <v xml:space="preserve">project management(2), for entrepreneurs(1),  </v>
      </c>
      <c r="FZ170" s="21" t="str">
        <f t="shared" si="267"/>
        <v xml:space="preserve">web(1,6.25), database(1,6.25), AI&amp; data analysis(1,6.25), mobile comm(1,6.25), for entrepreneurs(1,6.25),  </v>
      </c>
      <c r="GA170" s="21" t="str">
        <f t="shared" si="568"/>
        <v xml:space="preserve">web(6.25),database(6.25),AI&amp; data analysis(6.25),mobile comm(6.25),for entrepreneurs(6.25), </v>
      </c>
      <c r="GB170" s="21" t="str">
        <f t="shared" si="566"/>
        <v xml:space="preserve"> </v>
      </c>
      <c r="GC170" s="21" t="str">
        <f t="shared" si="268"/>
        <v xml:space="preserve">sensors(1,25), mobile comm(1,25), electronics(1,50), functions(1,25), safety(1,25),  </v>
      </c>
      <c r="GD170" s="21" t="str">
        <f t="shared" si="567"/>
        <v xml:space="preserve">sensors 25
mobile comm 25
electronics 50
functions 25
safety 25
 </v>
      </c>
      <c r="GE170" s="21" t="str">
        <f t="shared" si="269"/>
        <v xml:space="preserve">project management(2), for entrepreneurs(1),  </v>
      </c>
      <c r="GF170" s="21" t="str">
        <f t="shared" si="270"/>
        <v xml:space="preserve">database(1,6.25), mobile apps(1,6.25), AI&amp; data analysis(1,6.25), plastic processing(1,6.25), interaction(1,6.25), for entrepreneurs(1,6.25),  </v>
      </c>
      <c r="GG170" s="21" t="str">
        <f t="shared" si="568"/>
        <v xml:space="preserve">database(6.25),mobile apps(6.25),AI&amp; data analysis(6.25),plastic processing(6.25),interaction(6.25),for entrepreneurs(6.25), </v>
      </c>
      <c r="GH170" s="21" t="str">
        <f t="shared" si="566"/>
        <v xml:space="preserve"> </v>
      </c>
      <c r="GI170" s="21" t="str">
        <f t="shared" si="271"/>
        <v xml:space="preserve">web(1,25), mobile apps(1,50), functions(1,25), interaction(1,25),  </v>
      </c>
      <c r="GJ170" s="21" t="str">
        <f t="shared" si="567"/>
        <v xml:space="preserve">web 25
mobile apps 50
functions 25
interaction 25
 </v>
      </c>
      <c r="GK170" s="21" t="str">
        <f t="shared" si="272"/>
        <v xml:space="preserve">project management(2), for entrepreneurs(1),  </v>
      </c>
      <c r="GL170" s="21" t="str">
        <f t="shared" si="273"/>
        <v xml:space="preserve">for entrepreneurs(1,6.25),  </v>
      </c>
      <c r="GM170" s="21" t="str">
        <f t="shared" si="568"/>
        <v xml:space="preserve">for entrepreneurs(6.25), </v>
      </c>
      <c r="GN170" s="21" t="str">
        <f t="shared" si="566"/>
        <v xml:space="preserve"> </v>
      </c>
      <c r="GO170" s="21" t="str">
        <f t="shared" si="274"/>
        <v xml:space="preserve">web(1,25), mobile apps(1,25), VR&amp;AR(1,25), aesthetics(1,25), functions(1,25), interaction(1,50),  </v>
      </c>
      <c r="GP170" s="21" t="str">
        <f t="shared" si="567"/>
        <v xml:space="preserve">web 25
mobile apps 25
VR&amp;AR 25
aesthetics 25
functions 25
interaction 50
 </v>
      </c>
      <c r="GQ170" s="21" t="str">
        <f t="shared" si="275"/>
        <v xml:space="preserve">project management(2), for entrepreneurs(1),  </v>
      </c>
      <c r="GR170" s="21" t="str">
        <f t="shared" si="276"/>
        <v xml:space="preserve">for entrepreneurs(1,6.25),  </v>
      </c>
      <c r="GS170" s="21" t="str">
        <f t="shared" si="568"/>
        <v xml:space="preserve">for entrepreneurs(6.25), </v>
      </c>
      <c r="GT170" s="21" t="str">
        <f t="shared" si="566"/>
        <v xml:space="preserve">web 1
mobile apps 1
mobile comm 1
 </v>
      </c>
      <c r="GU170" s="21" t="str">
        <f t="shared" si="277"/>
        <v xml:space="preserve"> </v>
      </c>
      <c r="GV170" s="21" t="str">
        <f t="shared" si="567"/>
        <v xml:space="preserve"> </v>
      </c>
      <c r="GW170" s="21" t="str">
        <f t="shared" si="278"/>
        <v xml:space="preserve">project management(1), social media(1), infrastructrue(1), database(1), sensors(1), security(1), AI&amp; data analysis(1), electronics(1),  </v>
      </c>
      <c r="GX170" s="21" t="str">
        <f t="shared" si="279"/>
        <v xml:space="preserve">project management(1,6.25), social media(1,6.25), web(1,6.25), mobile apps(1,6.25),  </v>
      </c>
      <c r="GY170" s="21" t="str">
        <f t="shared" si="568"/>
        <v xml:space="preserve">project management(6.25),social media(6.25),web(6.25),mobile apps(6.25), </v>
      </c>
      <c r="GZ170" s="21" t="str">
        <f t="shared" si="569"/>
        <v xml:space="preserve"> </v>
      </c>
      <c r="HA170" s="21" t="str">
        <f t="shared" si="281"/>
        <v xml:space="preserve"> </v>
      </c>
      <c r="HB170" s="21" t="str">
        <f t="shared" si="570"/>
        <v xml:space="preserve"> </v>
      </c>
      <c r="HC170" s="21" t="str">
        <f t="shared" si="283"/>
        <v xml:space="preserve">social media(2), web(2), mobile apps(2), sensors(2), AI&amp; data analysis(2), VR&amp;AR(2), plastic processing(2), electronics(2), aesthetics(2), interaction(2),  </v>
      </c>
      <c r="HD170" s="21" t="str">
        <f t="shared" si="284"/>
        <v xml:space="preserve">start-up with customers(1,6.25), for basic literacy(1,6.25),  </v>
      </c>
      <c r="HE170" s="21" t="str">
        <f t="shared" si="571"/>
        <v xml:space="preserve">start-up with customers(6.25),for basic literacy(6.25), </v>
      </c>
      <c r="HF170" s="21" t="str">
        <f t="shared" si="569"/>
        <v xml:space="preserve"> </v>
      </c>
      <c r="HG170" s="21" t="str">
        <f t="shared" si="286"/>
        <v xml:space="preserve"> </v>
      </c>
      <c r="HH170" s="21" t="str">
        <f t="shared" si="570"/>
        <v xml:space="preserve"> </v>
      </c>
      <c r="HI170" s="21" t="str">
        <f t="shared" si="287"/>
        <v xml:space="preserve">project management(2), mobile apps(3), sensors(2), plastic processing(2), electronics(2), aesthetics(2), functions(2), interaction(2),  </v>
      </c>
      <c r="HJ170" s="21" t="str">
        <f t="shared" si="288"/>
        <v xml:space="preserve">start-up with customers(1,6.25),  </v>
      </c>
      <c r="HK170" s="21" t="str">
        <f t="shared" si="571"/>
        <v xml:space="preserve">start-up with customers(6.25), </v>
      </c>
      <c r="HL170" s="21" t="str">
        <f t="shared" si="569"/>
        <v xml:space="preserve"> </v>
      </c>
      <c r="HM170" s="21" t="str">
        <f t="shared" si="289"/>
        <v xml:space="preserve"> </v>
      </c>
      <c r="HN170" s="21" t="str">
        <f t="shared" si="570"/>
        <v xml:space="preserve"> </v>
      </c>
      <c r="HO170" s="21" t="str">
        <f t="shared" si="290"/>
        <v xml:space="preserve">project management(2), social media(2), web(3), mobile apps(2), wood processing(3), plastic processing(3), electronics(3), aesthetics(2), interaction(2),  </v>
      </c>
      <c r="HP170" s="21" t="str">
        <f t="shared" si="291"/>
        <v xml:space="preserve"> </v>
      </c>
      <c r="HQ170" s="47" t="str">
        <f t="shared" si="571"/>
        <v xml:space="preserve"> </v>
      </c>
      <c r="HR170" s="47" t="str">
        <f t="shared" ref="HR170:HW170" si="647">IF(HR68="",HR171,$C170&amp;"("&amp;HR68&amp;"),"&amp;HR171)</f>
        <v xml:space="preserve">mobile apps(1),sensors(1),wood processing(1),aesthetics(1), </v>
      </c>
      <c r="HS170" s="47" t="str">
        <f t="shared" si="647"/>
        <v xml:space="preserve"> </v>
      </c>
      <c r="HT170" s="47" t="str">
        <f t="shared" si="647"/>
        <v xml:space="preserve"> </v>
      </c>
      <c r="HU170" s="47" t="str">
        <f t="shared" si="647"/>
        <v xml:space="preserve">project management(2),social media(2),web(3),infrastructrue(3),database(3),mobile apps(3),sensors(3),AI&amp; data analysis(3),mobile comm(3),VR&amp;AR(3),wood processing(3),metal processing(2),plastic processing(2),electronics(2),fabric(2),aesthetics(2),interaction(2),start-up with mvp(1), </v>
      </c>
      <c r="HV170" s="47" t="str">
        <f t="shared" si="647"/>
        <v xml:space="preserve"> </v>
      </c>
      <c r="HW170" s="47" t="str">
        <f t="shared" si="647"/>
        <v xml:space="preserve"> </v>
      </c>
      <c r="HX170" s="47" t="str">
        <f t="shared" ref="HX170:IU170" si="648">IF(HX68="",HX171,$C170&amp;"("&amp;HX68&amp;"),"&amp;HX171)</f>
        <v xml:space="preserve">web(1),infrastructrue(1),database(2),mobile apps(1),sensors(1),AI&amp; data analysis(2),VR&amp;AR(1),wood processing(1),metal processing(1),plastic processing(1),electronics(1),aesthetics(1),functions(1),interaction(1), </v>
      </c>
      <c r="HY170" s="47" t="str">
        <f t="shared" si="648"/>
        <v xml:space="preserve">biz enhancement(1), </v>
      </c>
      <c r="HZ170" s="47" t="str">
        <f t="shared" si="648"/>
        <v xml:space="preserve">biz enhancement(100), </v>
      </c>
      <c r="IA170" s="47" t="str">
        <f t="shared" si="648"/>
        <v xml:space="preserve">project management(2),social media(3),negotiation(3), </v>
      </c>
      <c r="IB170" s="47" t="str">
        <f t="shared" si="648"/>
        <v xml:space="preserve">database(1),AI&amp; data analysis(1),electronics(1),functions(1), </v>
      </c>
      <c r="IC170" s="47" t="str">
        <f t="shared" si="648"/>
        <v xml:space="preserve">database(6.25),AI&amp; data analysis(6.25),electronics(6.25),functions(6.25), </v>
      </c>
      <c r="ID170" s="47" t="str">
        <f t="shared" si="648"/>
        <v xml:space="preserve"> </v>
      </c>
      <c r="IE170" s="47" t="str">
        <f t="shared" si="648"/>
        <v xml:space="preserve">web(1),mobile apps(1),security(1),AI&amp; data analysis(1), </v>
      </c>
      <c r="IF170" s="47" t="str">
        <f t="shared" si="648"/>
        <v xml:space="preserve">web(25),mobile apps(25),security(25),AI&amp; data analysis(25), </v>
      </c>
      <c r="IG170" s="47" t="str">
        <f t="shared" si="648"/>
        <v xml:space="preserve">web(2),database(2),mobile apps(2),security(2),AI&amp; data analysis(2), </v>
      </c>
      <c r="IH170" s="47" t="str">
        <f t="shared" si="648"/>
        <v xml:space="preserve">web(1),database(1),mobile apps(1),security(1),AI&amp; data analysis(1), </v>
      </c>
      <c r="II170" s="47" t="str">
        <f t="shared" si="648"/>
        <v xml:space="preserve">web(6.25),database(6.25),mobile apps(6.25),security(6.25),AI&amp; data analysis(6.25), </v>
      </c>
      <c r="IJ170" s="47" t="str">
        <f t="shared" si="648"/>
        <v xml:space="preserve"> </v>
      </c>
      <c r="IK170" s="47" t="str">
        <f t="shared" si="648"/>
        <v xml:space="preserve">wood processing(1),metal processing(1),functions(1),safety(1), </v>
      </c>
      <c r="IL170" s="47" t="str">
        <f t="shared" si="648"/>
        <v xml:space="preserve">wood processing(25),metal processing(25),functions(25),safety(25), </v>
      </c>
      <c r="IM170" s="47" t="str">
        <f t="shared" si="648"/>
        <v xml:space="preserve">wood processing(2),metal processing(2),functions(2),safety(2), </v>
      </c>
      <c r="IN170" s="47" t="str">
        <f t="shared" si="648"/>
        <v xml:space="preserve">wood processing(1),metal processing(1),functions(1),safety(1),interaction(1), </v>
      </c>
      <c r="IO170" s="47" t="str">
        <f t="shared" si="648"/>
        <v xml:space="preserve">wood processing(6.25),metal processing(6.25),functions(6.25),safety(6.25),interaction(6.25), </v>
      </c>
      <c r="IP170" s="57" t="str">
        <f t="shared" si="648"/>
        <v xml:space="preserve"> </v>
      </c>
      <c r="IQ170" s="47" t="str">
        <f t="shared" si="648"/>
        <v xml:space="preserve"> </v>
      </c>
      <c r="IR170" s="47" t="str">
        <f t="shared" si="648"/>
        <v xml:space="preserve"> </v>
      </c>
      <c r="IS170" s="47" t="str">
        <f t="shared" si="648"/>
        <v xml:space="preserve"> </v>
      </c>
      <c r="IT170" s="47" t="str">
        <f t="shared" si="648"/>
        <v xml:space="preserve"> </v>
      </c>
      <c r="IU170" s="47" t="str">
        <f t="shared" si="648"/>
        <v xml:space="preserve"> </v>
      </c>
      <c r="IV170" s="57" t="str">
        <f t="shared" ref="IV170:LG170" si="649">IF(IV68="",IV171,$C170&amp;"("&amp;IV68&amp;"),"&amp;IV171)</f>
        <v xml:space="preserve"> </v>
      </c>
      <c r="IW170" s="47" t="str">
        <f t="shared" si="649"/>
        <v xml:space="preserve"> </v>
      </c>
      <c r="IX170" s="47" t="str">
        <f t="shared" si="649"/>
        <v xml:space="preserve"> </v>
      </c>
      <c r="IY170" s="47" t="str">
        <f t="shared" si="649"/>
        <v xml:space="preserve"> </v>
      </c>
      <c r="IZ170" s="47" t="str">
        <f t="shared" si="649"/>
        <v xml:space="preserve"> </v>
      </c>
      <c r="JA170" s="47" t="str">
        <f t="shared" si="649"/>
        <v xml:space="preserve"> </v>
      </c>
      <c r="JB170" s="47" t="str">
        <f t="shared" si="649"/>
        <v xml:space="preserve"> </v>
      </c>
      <c r="JC170" s="47" t="str">
        <f t="shared" si="649"/>
        <v xml:space="preserve"> </v>
      </c>
      <c r="JD170" s="47" t="str">
        <f t="shared" si="649"/>
        <v xml:space="preserve"> </v>
      </c>
      <c r="JE170" s="47" t="str">
        <f t="shared" si="649"/>
        <v xml:space="preserve"> </v>
      </c>
      <c r="JF170" s="47" t="str">
        <f t="shared" si="649"/>
        <v xml:space="preserve">web(1),infrastructrue(1),database(1),mobile apps(1),sensors(1),security(1),AI&amp; data analysis(1),mobile comm(1),VR&amp;AR(1),wood processing(1),metal processing(1),plastic processing(1),electronics(1),fabric(1),aesthetics(1),functions(1),safety(1),interaction(1), </v>
      </c>
      <c r="JG170" s="47" t="str">
        <f t="shared" si="649"/>
        <v xml:space="preserve">web(6.25),infrastructrue(6.25),database(6.25),mobile apps(6.25),sensors(6.25),security(6.25),AI&amp; data analysis(6.25),mobile comm(6.25),VR&amp;AR(6.25),wood processing(6.25),metal processing(6.25),plastic processing(6.25),electronics(6.25),fabric(6.25),aesthetics(6.25),functions(6.25),safety(6.25),interaction(6.25), </v>
      </c>
      <c r="JH170" s="47" t="str">
        <f t="shared" si="649"/>
        <v xml:space="preserve"> </v>
      </c>
      <c r="JI170" s="47" t="str">
        <f t="shared" si="649"/>
        <v xml:space="preserve"> </v>
      </c>
      <c r="JJ170" s="47" t="str">
        <f t="shared" si="649"/>
        <v xml:space="preserve"> </v>
      </c>
      <c r="JK170" s="47" t="str">
        <f t="shared" si="649"/>
        <v xml:space="preserve">social media(2),negotiation(2),social project(1),social innovation(1),non-profit biz(1),biz project(1),biz enhancement(1),job creation(1),business(1),start-up(1),start-up with mvp(1),start-up with customers(1),for basic literacy(1),for the elites(1),for entrepreneurs(1), </v>
      </c>
      <c r="JL170" s="47" t="str">
        <f t="shared" si="649"/>
        <v xml:space="preserve"> </v>
      </c>
      <c r="JM170" s="47" t="str">
        <f t="shared" si="649"/>
        <v xml:space="preserve"> </v>
      </c>
      <c r="JN170" s="47" t="str">
        <f t="shared" si="649"/>
        <v xml:space="preserve"> </v>
      </c>
      <c r="JO170" s="47" t="str">
        <f t="shared" si="649"/>
        <v xml:space="preserve"> </v>
      </c>
      <c r="JP170" s="47" t="str">
        <f t="shared" si="649"/>
        <v xml:space="preserve"> </v>
      </c>
      <c r="JQ170" s="47" t="str">
        <f t="shared" si="649"/>
        <v xml:space="preserve">electronics(1),aesthetics(1),interaction(1),social project(1),social innovation(1),non-profit biz(1),biz project(1),biz enhancement(1),job creation(1),business(1),start-up(1),start-up with mvp(1),start-up with customers(1),for basic literacy(1),for the elites(1),for entrepreneurs(1), </v>
      </c>
      <c r="JR170" s="47" t="str">
        <f t="shared" si="649"/>
        <v xml:space="preserve"> </v>
      </c>
      <c r="JS170" s="47" t="str">
        <f t="shared" si="649"/>
        <v xml:space="preserve"> </v>
      </c>
      <c r="JT170" s="47" t="str">
        <f t="shared" si="649"/>
        <v xml:space="preserve"> </v>
      </c>
      <c r="JU170" s="47" t="str">
        <f t="shared" si="649"/>
        <v xml:space="preserve"> </v>
      </c>
      <c r="JV170" s="47" t="str">
        <f t="shared" si="649"/>
        <v xml:space="preserve"> </v>
      </c>
      <c r="JW170" s="47" t="str">
        <f t="shared" si="649"/>
        <v xml:space="preserve">project management(1),social media(1),negotiation(1),social project(2),social innovation(1),non-profit biz(1),biz project(2),biz enhancement(2),job creation(1),business(1),start-up(2),start-up with mvp(1),start-up with customers(1),for basic literacy(2),for the elites(1),for entrepreneurs(1), </v>
      </c>
      <c r="JX170" s="47" t="str">
        <f t="shared" si="649"/>
        <v xml:space="preserve"> </v>
      </c>
      <c r="JY170" s="47" t="str">
        <f t="shared" si="649"/>
        <v xml:space="preserve"> </v>
      </c>
      <c r="JZ170" s="47" t="str">
        <f t="shared" si="649"/>
        <v xml:space="preserve">social project(2), </v>
      </c>
      <c r="KA170" s="47" t="str">
        <f t="shared" si="649"/>
        <v xml:space="preserve"> </v>
      </c>
      <c r="KB170" s="47" t="str">
        <f t="shared" si="649"/>
        <v xml:space="preserve"> </v>
      </c>
      <c r="KC170" s="47" t="str">
        <f t="shared" si="649"/>
        <v xml:space="preserve">web(1),mobile apps(1),sensors(1),AI&amp; data analysis(1),electronics(1),aesthetics(1),social project(3),social innovation(1),non-profit biz(1),biz project(2),biz enhancement(2),job creation(1),business(1),start-up(2),start-up with mvp(1),start-up with customers(1),for basic literacy(2),for the elites(1),for entrepreneurs(1), </v>
      </c>
      <c r="KD170" s="47" t="str">
        <f t="shared" si="649"/>
        <v xml:space="preserve"> </v>
      </c>
      <c r="KE170" s="47" t="str">
        <f t="shared" si="649"/>
        <v xml:space="preserve"> </v>
      </c>
      <c r="KF170" s="47" t="str">
        <f t="shared" si="649"/>
        <v xml:space="preserve"> </v>
      </c>
      <c r="KG170" s="47" t="str">
        <f t="shared" si="649"/>
        <v xml:space="preserve"> </v>
      </c>
      <c r="KH170" s="47" t="str">
        <f t="shared" si="649"/>
        <v xml:space="preserve"> </v>
      </c>
      <c r="KI170" s="47" t="str">
        <f t="shared" si="649"/>
        <v xml:space="preserve"> </v>
      </c>
      <c r="KJ170" s="47" t="str">
        <f t="shared" si="649"/>
        <v xml:space="preserve"> </v>
      </c>
      <c r="KK170" s="47" t="str">
        <f t="shared" si="649"/>
        <v xml:space="preserve"> </v>
      </c>
      <c r="KL170" s="57" t="str">
        <f t="shared" si="649"/>
        <v xml:space="preserve"> </v>
      </c>
      <c r="KM170" s="47" t="str">
        <f t="shared" si="649"/>
        <v xml:space="preserve"> </v>
      </c>
      <c r="KN170" s="47" t="str">
        <f t="shared" si="649"/>
        <v xml:space="preserve"> </v>
      </c>
      <c r="KO170" s="47" t="str">
        <f t="shared" si="649"/>
        <v xml:space="preserve"> </v>
      </c>
      <c r="KP170" s="47" t="str">
        <f t="shared" si="649"/>
        <v xml:space="preserve"> </v>
      </c>
      <c r="KQ170" s="47" t="str">
        <f t="shared" si="649"/>
        <v xml:space="preserve"> </v>
      </c>
      <c r="KR170" s="57" t="str">
        <f t="shared" si="649"/>
        <v xml:space="preserve"> </v>
      </c>
      <c r="KS170" s="47" t="str">
        <f t="shared" si="649"/>
        <v xml:space="preserve"> </v>
      </c>
      <c r="KT170" s="47" t="str">
        <f t="shared" si="649"/>
        <v xml:space="preserve"> </v>
      </c>
      <c r="KU170" s="47" t="str">
        <f t="shared" si="649"/>
        <v xml:space="preserve"> </v>
      </c>
      <c r="KV170" s="47" t="str">
        <f t="shared" si="649"/>
        <v xml:space="preserve"> </v>
      </c>
      <c r="KW170" s="47" t="str">
        <f t="shared" si="649"/>
        <v xml:space="preserve"> </v>
      </c>
      <c r="KX170" s="57" t="str">
        <f t="shared" si="649"/>
        <v xml:space="preserve"> </v>
      </c>
      <c r="KY170" s="47" t="str">
        <f t="shared" si="649"/>
        <v xml:space="preserve"> </v>
      </c>
      <c r="KZ170" s="47" t="str">
        <f t="shared" si="649"/>
        <v xml:space="preserve"> </v>
      </c>
      <c r="LA170" s="47" t="str">
        <f t="shared" si="649"/>
        <v xml:space="preserve"> </v>
      </c>
      <c r="LB170" s="47" t="str">
        <f t="shared" si="649"/>
        <v xml:space="preserve"> </v>
      </c>
      <c r="LC170" s="47" t="str">
        <f t="shared" si="649"/>
        <v xml:space="preserve"> </v>
      </c>
      <c r="LD170" s="57" t="str">
        <f t="shared" si="649"/>
        <v xml:space="preserve"> </v>
      </c>
      <c r="LE170" s="47" t="str">
        <f t="shared" si="649"/>
        <v xml:space="preserve"> </v>
      </c>
      <c r="LF170" s="47" t="str">
        <f t="shared" si="649"/>
        <v xml:space="preserve"> </v>
      </c>
      <c r="LG170" s="47" t="str">
        <f t="shared" si="649"/>
        <v xml:space="preserve"> </v>
      </c>
      <c r="LH170" s="47" t="str">
        <f t="shared" ref="LH170:NM170" si="650">IF(LH68="",LH171,$C170&amp;"("&amp;LH68&amp;"),"&amp;LH171)</f>
        <v xml:space="preserve"> </v>
      </c>
      <c r="LI170" s="47" t="str">
        <f t="shared" si="650"/>
        <v xml:space="preserve"> </v>
      </c>
      <c r="LJ170" s="57" t="str">
        <f t="shared" si="650"/>
        <v xml:space="preserve"> </v>
      </c>
      <c r="LK170" s="47" t="str">
        <f t="shared" si="650"/>
        <v xml:space="preserve"> </v>
      </c>
      <c r="LL170" s="47" t="str">
        <f t="shared" si="650"/>
        <v xml:space="preserve"> </v>
      </c>
      <c r="LM170" s="47" t="str">
        <f t="shared" si="650"/>
        <v xml:space="preserve"> </v>
      </c>
      <c r="LN170" s="47" t="str">
        <f t="shared" si="650"/>
        <v xml:space="preserve"> </v>
      </c>
      <c r="LO170" s="47" t="str">
        <f t="shared" si="650"/>
        <v xml:space="preserve"> </v>
      </c>
      <c r="LP170" s="57" t="str">
        <f t="shared" si="650"/>
        <v xml:space="preserve"> </v>
      </c>
      <c r="LQ170" s="47" t="str">
        <f t="shared" si="650"/>
        <v xml:space="preserve"> </v>
      </c>
      <c r="LR170" s="47" t="str">
        <f t="shared" si="650"/>
        <v xml:space="preserve"> </v>
      </c>
      <c r="LS170" s="47" t="str">
        <f t="shared" si="650"/>
        <v xml:space="preserve"> </v>
      </c>
      <c r="LT170" s="47" t="str">
        <f t="shared" si="650"/>
        <v xml:space="preserve"> </v>
      </c>
      <c r="LU170" s="47" t="str">
        <f t="shared" si="650"/>
        <v xml:space="preserve"> </v>
      </c>
      <c r="LV170" s="57" t="str">
        <f t="shared" si="650"/>
        <v xml:space="preserve"> </v>
      </c>
      <c r="LW170" s="47" t="str">
        <f t="shared" si="650"/>
        <v xml:space="preserve"> </v>
      </c>
      <c r="LX170" s="47" t="str">
        <f t="shared" si="650"/>
        <v xml:space="preserve"> </v>
      </c>
      <c r="LY170" s="47" t="str">
        <f t="shared" si="650"/>
        <v xml:space="preserve"> </v>
      </c>
      <c r="LZ170" s="47" t="str">
        <f t="shared" si="650"/>
        <v xml:space="preserve"> </v>
      </c>
      <c r="MA170" s="47" t="str">
        <f t="shared" si="650"/>
        <v xml:space="preserve"> </v>
      </c>
      <c r="MB170" s="57" t="str">
        <f t="shared" si="650"/>
        <v xml:space="preserve"> </v>
      </c>
      <c r="MC170" s="47" t="str">
        <f t="shared" si="650"/>
        <v xml:space="preserve"> </v>
      </c>
      <c r="MD170" s="47" t="str">
        <f t="shared" si="650"/>
        <v xml:space="preserve"> </v>
      </c>
      <c r="ME170" s="47" t="str">
        <f t="shared" si="650"/>
        <v xml:space="preserve"> </v>
      </c>
      <c r="MF170" s="47" t="str">
        <f t="shared" si="650"/>
        <v xml:space="preserve"> </v>
      </c>
      <c r="MG170" s="47" t="str">
        <f t="shared" si="650"/>
        <v xml:space="preserve"> </v>
      </c>
      <c r="MH170" s="57" t="str">
        <f t="shared" si="650"/>
        <v xml:space="preserve"> </v>
      </c>
      <c r="MI170" s="47" t="str">
        <f t="shared" si="650"/>
        <v xml:space="preserve"> </v>
      </c>
      <c r="MJ170" s="47" t="str">
        <f t="shared" si="650"/>
        <v xml:space="preserve"> </v>
      </c>
      <c r="MK170" s="47" t="str">
        <f t="shared" si="650"/>
        <v xml:space="preserve"> </v>
      </c>
      <c r="ML170" s="47" t="str">
        <f t="shared" si="650"/>
        <v xml:space="preserve"> </v>
      </c>
      <c r="MM170" s="47" t="str">
        <f t="shared" si="650"/>
        <v xml:space="preserve"> </v>
      </c>
      <c r="MN170" s="57" t="str">
        <f t="shared" si="650"/>
        <v xml:space="preserve"> </v>
      </c>
      <c r="MO170" s="47" t="str">
        <f t="shared" si="650"/>
        <v xml:space="preserve"> </v>
      </c>
      <c r="MP170" s="47" t="str">
        <f t="shared" si="650"/>
        <v xml:space="preserve"> </v>
      </c>
      <c r="MQ170" s="47" t="str">
        <f t="shared" si="650"/>
        <v xml:space="preserve"> </v>
      </c>
      <c r="MR170" s="47" t="str">
        <f t="shared" si="650"/>
        <v xml:space="preserve"> </v>
      </c>
      <c r="MS170" s="47" t="str">
        <f t="shared" si="650"/>
        <v xml:space="preserve"> </v>
      </c>
      <c r="MT170" s="57" t="str">
        <f t="shared" si="650"/>
        <v xml:space="preserve"> </v>
      </c>
      <c r="MU170" s="47" t="str">
        <f t="shared" si="650"/>
        <v xml:space="preserve"> </v>
      </c>
      <c r="MV170" s="47" t="str">
        <f t="shared" si="650"/>
        <v xml:space="preserve"> </v>
      </c>
      <c r="MW170" s="47" t="str">
        <f t="shared" si="650"/>
        <v xml:space="preserve"> </v>
      </c>
      <c r="MX170" s="47" t="str">
        <f t="shared" si="650"/>
        <v xml:space="preserve"> </v>
      </c>
      <c r="MY170" s="47" t="str">
        <f t="shared" si="650"/>
        <v xml:space="preserve"> </v>
      </c>
      <c r="MZ170" s="57" t="str">
        <f t="shared" si="650"/>
        <v xml:space="preserve"> </v>
      </c>
      <c r="NA170" s="47" t="str">
        <f t="shared" si="650"/>
        <v xml:space="preserve"> </v>
      </c>
      <c r="NB170" s="47" t="str">
        <f t="shared" si="650"/>
        <v xml:space="preserve"> </v>
      </c>
      <c r="NC170" s="47" t="str">
        <f t="shared" si="650"/>
        <v xml:space="preserve"> </v>
      </c>
      <c r="ND170" s="47" t="str">
        <f t="shared" si="650"/>
        <v xml:space="preserve"> </v>
      </c>
      <c r="NE170" s="47" t="str">
        <f t="shared" si="650"/>
        <v xml:space="preserve"> </v>
      </c>
      <c r="NF170" s="57" t="str">
        <f t="shared" si="650"/>
        <v xml:space="preserve"> </v>
      </c>
      <c r="NG170" s="47" t="str">
        <f t="shared" si="650"/>
        <v xml:space="preserve"> </v>
      </c>
      <c r="NH170" s="47" t="str">
        <f t="shared" si="650"/>
        <v xml:space="preserve"> </v>
      </c>
      <c r="NI170" s="47" t="str">
        <f t="shared" si="650"/>
        <v xml:space="preserve"> </v>
      </c>
      <c r="NJ170" s="47" t="str">
        <f t="shared" si="650"/>
        <v xml:space="preserve"> </v>
      </c>
      <c r="NK170" s="47" t="str">
        <f t="shared" si="650"/>
        <v xml:space="preserve"> </v>
      </c>
      <c r="NL170" s="57" t="str">
        <f t="shared" si="650"/>
        <v xml:space="preserve"> </v>
      </c>
      <c r="NM170" s="47" t="str">
        <f t="shared" si="650"/>
        <v xml:space="preserve"> </v>
      </c>
    </row>
    <row r="171" spans="3:377" ht="15.75" customHeight="1">
      <c r="C171" s="7" t="str">
        <f t="shared" si="296"/>
        <v>social media</v>
      </c>
      <c r="D171" s="21" t="str">
        <f t="shared" ref="D171:F186" si="651">IF(D69="",D172,$C171&amp;" "&amp;D69&amp;CHAR(10)&amp;D172)</f>
        <v xml:space="preserve"> </v>
      </c>
      <c r="E171" s="21" t="str">
        <f t="shared" si="297"/>
        <v xml:space="preserve"> </v>
      </c>
      <c r="F171" s="21" t="str">
        <f t="shared" si="651"/>
        <v xml:space="preserve"> </v>
      </c>
      <c r="G171" s="21" t="str">
        <f t="shared" si="298"/>
        <v xml:space="preserve">social media(1),  </v>
      </c>
      <c r="H171" s="21" t="str">
        <f t="shared" si="299"/>
        <v xml:space="preserve"> </v>
      </c>
      <c r="I171" s="21" t="str">
        <f t="shared" ref="I171" si="652">IF(I69="",I172,$C171&amp;"("&amp;I69&amp;"),"&amp;I172)</f>
        <v xml:space="preserve"> </v>
      </c>
      <c r="J171" s="21" t="str">
        <f t="shared" ref="J171" si="653">IF(J69="",J172,$C171&amp;" "&amp;J69&amp;CHAR(10)&amp;J172)</f>
        <v xml:space="preserve">interaction 1
 </v>
      </c>
      <c r="K171" s="21" t="str">
        <f t="shared" ref="K171:K203" si="654">IF(K69="",K172,$C171&amp;"("&amp;K69&amp;","&amp;L69&amp;"), "&amp;K172)</f>
        <v xml:space="preserve"> </v>
      </c>
      <c r="L171" s="21" t="str">
        <f t="shared" ref="L171" si="655">IF(L69="",L172,$C171&amp;" "&amp;L69&amp;CHAR(10)&amp;L172)</f>
        <v xml:space="preserve"> </v>
      </c>
      <c r="M171" s="21" t="str">
        <f t="shared" ref="M171:M203" si="656">IF(M69="",M172,$C171&amp;"("&amp;M69&amp;"), "&amp;M172)</f>
        <v xml:space="preserve">social innovation(1), non-profit biz(1),  </v>
      </c>
      <c r="N171" s="21" t="str">
        <f t="shared" ref="N171:N203" si="657">IF(N69="",N172,$C171&amp;"("&amp;N69&amp;","&amp;O69&amp;"), "&amp;N172)</f>
        <v xml:space="preserve"> </v>
      </c>
      <c r="O171" s="21" t="str">
        <f t="shared" ref="O171:BW186" si="658">IF(O69="",O172,$C171&amp;"("&amp;O69&amp;"),"&amp;O172)</f>
        <v xml:space="preserve"> </v>
      </c>
      <c r="P171" s="21" t="str">
        <f t="shared" ref="P171" si="659">IF(P69="",P172,$C171&amp;" "&amp;P69&amp;CHAR(10)&amp;P172)</f>
        <v xml:space="preserve">biz project 1
 </v>
      </c>
      <c r="Q171" s="21" t="str">
        <f t="shared" ref="Q171:Q203" si="660">IF(Q69="",Q172,$C171&amp;"("&amp;Q69&amp;","&amp;R69&amp;"), "&amp;Q172)</f>
        <v xml:space="preserve"> </v>
      </c>
      <c r="R171" s="21" t="str">
        <f t="shared" ref="R171" si="661">IF(R69="",R172,$C171&amp;" "&amp;R69&amp;CHAR(10)&amp;R172)</f>
        <v xml:space="preserve"> </v>
      </c>
      <c r="S171" s="21" t="str">
        <f t="shared" ref="S171:S203" si="662">IF(S69="",S172,$C171&amp;"("&amp;S69&amp;"), "&amp;S172)</f>
        <v xml:space="preserve">biz enhancement(1), business(1), start-up(1),  </v>
      </c>
      <c r="T171" s="21" t="str">
        <f t="shared" ref="T171:T203" si="663">IF(T69="",T172,$C171&amp;"("&amp;T69&amp;","&amp;U69&amp;"), "&amp;T172)</f>
        <v xml:space="preserve"> </v>
      </c>
      <c r="U171" s="21" t="str">
        <f t="shared" si="658"/>
        <v xml:space="preserve"> </v>
      </c>
      <c r="V171" s="21" t="str">
        <f t="shared" ref="V171" si="664">IF(V69="",V172,$C171&amp;" "&amp;V69&amp;CHAR(10)&amp;V172)</f>
        <v xml:space="preserve"> </v>
      </c>
      <c r="W171" s="21" t="str">
        <f t="shared" ref="W171:W203" si="665">IF(W69="",W172,$C171&amp;"("&amp;W69&amp;","&amp;X69&amp;"), "&amp;W172)</f>
        <v xml:space="preserve"> </v>
      </c>
      <c r="X171" s="21" t="str">
        <f t="shared" ref="X171" si="666">IF(X69="",X172,$C171&amp;" "&amp;X69&amp;CHAR(10)&amp;X172)</f>
        <v xml:space="preserve"> </v>
      </c>
      <c r="Y171" s="21" t="str">
        <f t="shared" ref="Y171:Y203" si="667">IF(Y69="",Y172,$C171&amp;"("&amp;Y69&amp;"), "&amp;Y172)</f>
        <v xml:space="preserve">biz project(1), biz enhancement(1), job creation(1), business(1),  </v>
      </c>
      <c r="Z171" s="21" t="str">
        <f t="shared" ref="Z171:Z203" si="668">IF(Z69="",Z172,$C171&amp;"("&amp;Z69&amp;","&amp;AA69&amp;"), "&amp;Z172)</f>
        <v xml:space="preserve"> </v>
      </c>
      <c r="AA171" s="21" t="str">
        <f t="shared" si="658"/>
        <v xml:space="preserve"> </v>
      </c>
      <c r="AB171" s="21" t="str">
        <f t="shared" ref="AB171" si="669">IF(AB69="",AB172,$C171&amp;" "&amp;AB69&amp;CHAR(10)&amp;AB172)</f>
        <v xml:space="preserve"> </v>
      </c>
      <c r="AC171" s="21" t="str">
        <f t="shared" ref="AC171:AC203" si="670">IF(AC69="",AC172,$C171&amp;"("&amp;AC69&amp;","&amp;AD69&amp;"), "&amp;AC172)</f>
        <v xml:space="preserve"> </v>
      </c>
      <c r="AD171" s="21" t="str">
        <f t="shared" ref="AD171" si="671">IF(AD69="",AD172,$C171&amp;" "&amp;AD69&amp;CHAR(10)&amp;AD172)</f>
        <v xml:space="preserve"> </v>
      </c>
      <c r="AE171" s="21" t="str">
        <f t="shared" ref="AE171:AE203" si="672">IF(AE69="",AE172,$C171&amp;"("&amp;AE69&amp;"), "&amp;AE172)</f>
        <v xml:space="preserve">social project(1), social innovation(1), non-profit biz(1),  </v>
      </c>
      <c r="AF171" s="21" t="str">
        <f t="shared" ref="AF171:AF203" si="673">IF(AF69="",AF172,$C171&amp;"("&amp;AF69&amp;","&amp;AG69&amp;"), "&amp;AF172)</f>
        <v xml:space="preserve"> </v>
      </c>
      <c r="AG171" s="21" t="str">
        <f t="shared" si="658"/>
        <v xml:space="preserve"> </v>
      </c>
      <c r="AH171" s="21" t="str">
        <f t="shared" ref="AH171" si="674">IF(AH69="",AH172,$C171&amp;" "&amp;AH69&amp;CHAR(10)&amp;AH172)</f>
        <v xml:space="preserve"> </v>
      </c>
      <c r="AI171" s="21" t="str">
        <f t="shared" ref="AI171:AI203" si="675">IF(AI69="",AI172,$C171&amp;"("&amp;AI69&amp;","&amp;AJ69&amp;"), "&amp;AI172)</f>
        <v xml:space="preserve"> </v>
      </c>
      <c r="AJ171" s="21" t="str">
        <f t="shared" ref="AJ171" si="676">IF(AJ69="",AJ172,$C171&amp;" "&amp;AJ69&amp;CHAR(10)&amp;AJ172)</f>
        <v xml:space="preserve"> </v>
      </c>
      <c r="AK171" s="21" t="str">
        <f t="shared" ref="AK171:AK203" si="677">IF(AK69="",AK172,$C171&amp;"("&amp;AK69&amp;"), "&amp;AK172)</f>
        <v xml:space="preserve">social project(1), social innovation(1), non-profit biz(1),  </v>
      </c>
      <c r="AL171" s="21" t="str">
        <f t="shared" ref="AL171:AL203" si="678">IF(AL69="",AL172,$C171&amp;"("&amp;AL69&amp;","&amp;AM69&amp;"), "&amp;AL172)</f>
        <v xml:space="preserve"> </v>
      </c>
      <c r="AM171" s="21" t="str">
        <f t="shared" si="658"/>
        <v xml:space="preserve"> </v>
      </c>
      <c r="AN171" s="21" t="str">
        <f t="shared" ref="AN171" si="679">IF(AN69="",AN172,$C171&amp;" "&amp;AN69&amp;CHAR(10)&amp;AN172)</f>
        <v xml:space="preserve"> </v>
      </c>
      <c r="AO171" s="21" t="str">
        <f t="shared" ref="AO171:AO203" si="680">IF(AO69="",AO172,$C171&amp;"("&amp;AO69&amp;","&amp;AP69&amp;"), "&amp;AO172)</f>
        <v xml:space="preserve"> </v>
      </c>
      <c r="AP171" s="21" t="str">
        <f t="shared" ref="AP171" si="681">IF(AP69="",AP172,$C171&amp;" "&amp;AP69&amp;CHAR(10)&amp;AP172)</f>
        <v xml:space="preserve"> </v>
      </c>
      <c r="AQ171" s="21" t="str">
        <f t="shared" ref="AQ171:AQ203" si="682">IF(AQ69="",AQ172,$C171&amp;"("&amp;AQ69&amp;"), "&amp;AQ172)</f>
        <v xml:space="preserve">start-up(1), start-up with mvp(1), start-up with customers(1),  </v>
      </c>
      <c r="AR171" s="21" t="str">
        <f t="shared" ref="AR171:AR203" si="683">IF(AR69="",AR172,$C171&amp;"("&amp;AR69&amp;","&amp;AS69&amp;"), "&amp;AR172)</f>
        <v xml:space="preserve"> </v>
      </c>
      <c r="AS171" s="21" t="str">
        <f t="shared" si="658"/>
        <v xml:space="preserve"> </v>
      </c>
      <c r="AT171" s="21" t="str">
        <f t="shared" ref="AT171" si="684">IF(AT69="",AT172,$C171&amp;" "&amp;AT69&amp;CHAR(10)&amp;AT172)</f>
        <v xml:space="preserve">social project 1
 </v>
      </c>
      <c r="AU171" s="21" t="str">
        <f t="shared" ref="AU171:AU203" si="685">IF(AU69="",AU172,$C171&amp;"("&amp;AU69&amp;","&amp;AV69&amp;"), "&amp;AU172)</f>
        <v xml:space="preserve"> </v>
      </c>
      <c r="AV171" s="21" t="str">
        <f t="shared" ref="AV171" si="686">IF(AV69="",AV172,$C171&amp;" "&amp;AV69&amp;CHAR(10)&amp;AV172)</f>
        <v xml:space="preserve"> </v>
      </c>
      <c r="AW171" s="21" t="str">
        <f t="shared" ref="AW171:AW203" si="687">IF(AW69="",AW172,$C171&amp;"("&amp;AW69&amp;"), "&amp;AW172)</f>
        <v xml:space="preserve"> </v>
      </c>
      <c r="AX171" s="21" t="str">
        <f t="shared" ref="AX171:AX203" si="688">IF(AX69="",AX172,$C171&amp;"("&amp;AX69&amp;","&amp;AY69&amp;"), "&amp;AX172)</f>
        <v xml:space="preserve"> </v>
      </c>
      <c r="AY171" s="21" t="str">
        <f t="shared" si="658"/>
        <v xml:space="preserve"> </v>
      </c>
      <c r="AZ171" s="21" t="str">
        <f t="shared" ref="AZ171" si="689">IF(AZ69="",AZ172,$C171&amp;" "&amp;AZ69&amp;CHAR(10)&amp;AZ172)</f>
        <v xml:space="preserve"> </v>
      </c>
      <c r="BA171" s="21" t="str">
        <f t="shared" ref="BA171:BA203" si="690">IF(BA69="",BA172,$C171&amp;"("&amp;BA69&amp;","&amp;BB69&amp;"), "&amp;BA172)</f>
        <v xml:space="preserve"> </v>
      </c>
      <c r="BB171" s="21" t="str">
        <f t="shared" ref="BB171" si="691">IF(BB69="",BB172,$C171&amp;" "&amp;BB69&amp;CHAR(10)&amp;BB172)</f>
        <v xml:space="preserve"> </v>
      </c>
      <c r="BC171" s="21" t="str">
        <f t="shared" ref="BC171:BC203" si="692">IF(BC69="",BC172,$C171&amp;"("&amp;BC69&amp;"), "&amp;BC172)</f>
        <v xml:space="preserve"> </v>
      </c>
      <c r="BD171" s="21" t="str">
        <f t="shared" ref="BD171:BD203" si="693">IF(BD69="",BD172,$C171&amp;"("&amp;BD69&amp;","&amp;BE69&amp;"), "&amp;BD172)</f>
        <v xml:space="preserve"> </v>
      </c>
      <c r="BE171" s="21" t="str">
        <f t="shared" si="658"/>
        <v xml:space="preserve"> </v>
      </c>
      <c r="BF171" s="21" t="str">
        <f t="shared" ref="BF171" si="694">IF(BF69="",BF172,$C171&amp;" "&amp;BF69&amp;CHAR(10)&amp;BF172)</f>
        <v xml:space="preserve">biz project 1
 </v>
      </c>
      <c r="BG171" s="21" t="str">
        <f t="shared" ref="BG171:BG203" si="695">IF(BG69="",BG172,$C171&amp;"("&amp;BG69&amp;","&amp;BH69&amp;"), "&amp;BG172)</f>
        <v xml:space="preserve"> </v>
      </c>
      <c r="BH171" s="21" t="str">
        <f t="shared" ref="BH171" si="696">IF(BH69="",BH172,$C171&amp;" "&amp;BH69&amp;CHAR(10)&amp;BH172)</f>
        <v xml:space="preserve"> </v>
      </c>
      <c r="BI171" s="21" t="str">
        <f t="shared" ref="BI171:BI203" si="697">IF(BI69="",BI172,$C171&amp;"("&amp;BI69&amp;"), "&amp;BI172)</f>
        <v xml:space="preserve"> </v>
      </c>
      <c r="BJ171" s="21" t="str">
        <f t="shared" ref="BJ171:BJ203" si="698">IF(BJ69="",BJ172,$C171&amp;"("&amp;BJ69&amp;","&amp;BK69&amp;"), "&amp;BJ172)</f>
        <v xml:space="preserve"> </v>
      </c>
      <c r="BK171" s="21" t="str">
        <f t="shared" si="658"/>
        <v xml:space="preserve"> </v>
      </c>
      <c r="BL171" s="21" t="str">
        <f t="shared" ref="BL171" si="699">IF(BL69="",BL172,$C171&amp;" "&amp;BL69&amp;CHAR(10)&amp;BL172)</f>
        <v xml:space="preserve">biz enhancement 1
 </v>
      </c>
      <c r="BM171" s="21" t="str">
        <f t="shared" ref="BM171:BM203" si="700">IF(BM69="",BM172,$C171&amp;"("&amp;BM69&amp;","&amp;BN69&amp;"), "&amp;BM172)</f>
        <v xml:space="preserve"> </v>
      </c>
      <c r="BN171" s="21" t="str">
        <f t="shared" ref="BN171" si="701">IF(BN69="",BN172,$C171&amp;" "&amp;BN69&amp;CHAR(10)&amp;BN172)</f>
        <v xml:space="preserve"> </v>
      </c>
      <c r="BO171" s="21" t="str">
        <f t="shared" ref="BO171:BO203" si="702">IF(BO69="",BO172,$C171&amp;"("&amp;BO69&amp;"), "&amp;BO172)</f>
        <v xml:space="preserve"> </v>
      </c>
      <c r="BP171" s="21" t="str">
        <f t="shared" ref="BP171:BP203" si="703">IF(BP69="",BP172,$C171&amp;"("&amp;BP69&amp;","&amp;BQ69&amp;"), "&amp;BP172)</f>
        <v xml:space="preserve"> </v>
      </c>
      <c r="BQ171" s="21" t="str">
        <f t="shared" si="658"/>
        <v xml:space="preserve"> </v>
      </c>
      <c r="BR171" s="21" t="str">
        <f t="shared" ref="BR171" si="704">IF(BR69="",BR172,$C171&amp;" "&amp;BR69&amp;CHAR(10)&amp;BR172)</f>
        <v xml:space="preserve"> </v>
      </c>
      <c r="BS171" s="21" t="str">
        <f t="shared" ref="BS171:BS203" si="705">IF(BS69="",BS172,$C171&amp;"("&amp;BS69&amp;","&amp;BT69&amp;"), "&amp;BS172)</f>
        <v xml:space="preserve"> </v>
      </c>
      <c r="BT171" s="21" t="str">
        <f t="shared" ref="BT171" si="706">IF(BT69="",BT172,$C171&amp;" "&amp;BT69&amp;CHAR(10)&amp;BT172)</f>
        <v xml:space="preserve"> </v>
      </c>
      <c r="BU171" s="21" t="str">
        <f t="shared" ref="BU171:BU203" si="707">IF(BU69="",BU172,$C171&amp;"("&amp;BU69&amp;"), "&amp;BU172)</f>
        <v xml:space="preserve"> </v>
      </c>
      <c r="BV171" s="21" t="str">
        <f t="shared" ref="BV171:BV203" si="708">IF(BV69="",BV172,$C171&amp;"("&amp;BV69&amp;","&amp;BW69&amp;"), "&amp;BV172)</f>
        <v xml:space="preserve"> </v>
      </c>
      <c r="BW171" s="21" t="str">
        <f t="shared" si="658"/>
        <v xml:space="preserve"> </v>
      </c>
      <c r="BX171" s="21" t="str">
        <f t="shared" ref="BX171" si="709">IF(BX69="",BX172,$C171&amp;" "&amp;BX69&amp;CHAR(10)&amp;BX172)</f>
        <v xml:space="preserve"> </v>
      </c>
      <c r="BY171" s="21" t="str">
        <f t="shared" ref="BY171:BY203" si="710">IF(BY69="",BY172,$C171&amp;"("&amp;BY69&amp;","&amp;BZ69&amp;"), "&amp;BY172)</f>
        <v xml:space="preserve"> </v>
      </c>
      <c r="BZ171" s="21" t="str">
        <f t="shared" ref="BZ171" si="711">IF(BZ69="",BZ172,$C171&amp;" "&amp;BZ69&amp;CHAR(10)&amp;BZ172)</f>
        <v xml:space="preserve"> </v>
      </c>
      <c r="CA171" s="21" t="str">
        <f t="shared" ref="CA171:CA203" si="712">IF(CA69="",CA172,$C171&amp;"("&amp;CA69&amp;"), "&amp;CA172)</f>
        <v xml:space="preserve">negotiation(1),  </v>
      </c>
      <c r="CB171" s="21" t="str">
        <f t="shared" ref="CB171:CB203" si="713">IF(CB69="",CB172,$C171&amp;"("&amp;CB69&amp;","&amp;CC69&amp;"), "&amp;CB172)</f>
        <v xml:space="preserve"> </v>
      </c>
      <c r="CC171" s="21" t="str">
        <f t="shared" ref="CC171:EK186" si="714">IF(CC69="",CC172,$C171&amp;"("&amp;CC69&amp;"),"&amp;CC172)</f>
        <v xml:space="preserve"> </v>
      </c>
      <c r="CD171" s="21" t="str">
        <f t="shared" ref="CD171" si="715">IF(CD69="",CD172,$C171&amp;" "&amp;CD69&amp;CHAR(10)&amp;CD172)</f>
        <v xml:space="preserve"> </v>
      </c>
      <c r="CE171" s="21" t="str">
        <f t="shared" ref="CE171:CE203" si="716">IF(CE69="",CE172,$C171&amp;"("&amp;CE69&amp;","&amp;CF69&amp;"), "&amp;CE172)</f>
        <v xml:space="preserve"> </v>
      </c>
      <c r="CF171" s="21" t="str">
        <f t="shared" ref="CF171" si="717">IF(CF69="",CF172,$C171&amp;" "&amp;CF69&amp;CHAR(10)&amp;CF172)</f>
        <v xml:space="preserve"> </v>
      </c>
      <c r="CG171" s="21" t="str">
        <f t="shared" ref="CG171:CG203" si="718">IF(CG69="",CG172,$C171&amp;"("&amp;CG69&amp;"), "&amp;CG172)</f>
        <v xml:space="preserve">negotiation(1), social project(1), biz project(1), for basic literacy(1), for the elites(1), for entrepreneurs(1),  </v>
      </c>
      <c r="CH171" s="21" t="str">
        <f t="shared" ref="CH171:CH203" si="719">IF(CH69="",CH172,$C171&amp;"("&amp;CH69&amp;","&amp;CI69&amp;"), "&amp;CH172)</f>
        <v xml:space="preserve"> </v>
      </c>
      <c r="CI171" s="21" t="str">
        <f t="shared" si="714"/>
        <v xml:space="preserve"> </v>
      </c>
      <c r="CJ171" s="21" t="str">
        <f t="shared" ref="CJ171" si="720">IF(CJ69="",CJ172,$C171&amp;" "&amp;CJ69&amp;CHAR(10)&amp;CJ172)</f>
        <v xml:space="preserve"> </v>
      </c>
      <c r="CK171" s="21" t="str">
        <f t="shared" ref="CK171:CK203" si="721">IF(CK69="",CK172,$C171&amp;"("&amp;CK69&amp;","&amp;CL69&amp;"), "&amp;CK172)</f>
        <v xml:space="preserve"> </v>
      </c>
      <c r="CL171" s="21" t="str">
        <f t="shared" ref="CL171" si="722">IF(CL69="",CL172,$C171&amp;" "&amp;CL69&amp;CHAR(10)&amp;CL172)</f>
        <v xml:space="preserve"> </v>
      </c>
      <c r="CM171" s="21" t="str">
        <f t="shared" ref="CM171:CM203" si="723">IF(CM69="",CM172,$C171&amp;"("&amp;CM69&amp;"), "&amp;CM172)</f>
        <v xml:space="preserve">negotiation(1),  </v>
      </c>
      <c r="CN171" s="21" t="str">
        <f t="shared" ref="CN171:CN203" si="724">IF(CN69="",CN172,$C171&amp;"("&amp;CN69&amp;","&amp;CO69&amp;"), "&amp;CN172)</f>
        <v xml:space="preserve"> </v>
      </c>
      <c r="CO171" s="21" t="str">
        <f t="shared" si="714"/>
        <v xml:space="preserve"> </v>
      </c>
      <c r="CP171" s="21" t="str">
        <f t="shared" ref="CP171" si="725">IF(CP69="",CP172,$C171&amp;" "&amp;CP69&amp;CHAR(10)&amp;CP172)</f>
        <v xml:space="preserve"> </v>
      </c>
      <c r="CQ171" s="21" t="str">
        <f t="shared" ref="CQ171:CQ203" si="726">IF(CQ69="",CQ172,$C171&amp;"("&amp;CQ69&amp;","&amp;CR69&amp;"), "&amp;CQ172)</f>
        <v xml:space="preserve"> </v>
      </c>
      <c r="CR171" s="21" t="str">
        <f t="shared" ref="CR171" si="727">IF(CR69="",CR172,$C171&amp;" "&amp;CR69&amp;CHAR(10)&amp;CR172)</f>
        <v xml:space="preserve"> </v>
      </c>
      <c r="CS171" s="21" t="str">
        <f t="shared" ref="CS171:CS203" si="728">IF(CS69="",CS172,$C171&amp;"("&amp;CS69&amp;"), "&amp;CS172)</f>
        <v xml:space="preserve">negotiation(1), web(1), infrastructrue(1), database(1), mobile apps(1), sensors(1), security(1), AI&amp; data analysis(1), mobile comm(1), VR&amp;AR(1), wood processing(1), metal processing(1), plastic processing(1), electronics(1), fabric(1),  </v>
      </c>
      <c r="CT171" s="21" t="str">
        <f t="shared" ref="CT171:CT203" si="729">IF(CT69="",CT172,$C171&amp;"("&amp;CT69&amp;","&amp;CU69&amp;"), "&amp;CT172)</f>
        <v xml:space="preserve"> </v>
      </c>
      <c r="CU171" s="21" t="str">
        <f t="shared" si="714"/>
        <v xml:space="preserve"> </v>
      </c>
      <c r="CV171" s="21" t="str">
        <f t="shared" ref="CV171" si="730">IF(CV69="",CV172,$C171&amp;" "&amp;CV69&amp;CHAR(10)&amp;CV172)</f>
        <v xml:space="preserve"> </v>
      </c>
      <c r="CW171" s="21" t="str">
        <f t="shared" ref="CW171:CW203" si="731">IF(CW69="",CW172,$C171&amp;"("&amp;CW69&amp;","&amp;CX69&amp;"), "&amp;CW172)</f>
        <v xml:space="preserve"> </v>
      </c>
      <c r="CX171" s="21" t="str">
        <f t="shared" ref="CX171" si="732">IF(CX69="",CX172,$C171&amp;" "&amp;CX69&amp;CHAR(10)&amp;CX172)</f>
        <v xml:space="preserve"> </v>
      </c>
      <c r="CY171" s="21" t="str">
        <f t="shared" ref="CY171:CY203" si="733">IF(CY69="",CY172,$C171&amp;"("&amp;CY69&amp;"), "&amp;CY172)</f>
        <v xml:space="preserve">negotiation(1),  </v>
      </c>
      <c r="CZ171" s="21" t="str">
        <f t="shared" ref="CZ171:CZ203" si="734">IF(CZ69="",CZ172,$C171&amp;"("&amp;CZ69&amp;","&amp;DA69&amp;"), "&amp;CZ172)</f>
        <v xml:space="preserve"> </v>
      </c>
      <c r="DA171" s="21" t="str">
        <f t="shared" si="714"/>
        <v xml:space="preserve"> </v>
      </c>
      <c r="DB171" s="21" t="str">
        <f t="shared" ref="DB171" si="735">IF(DB69="",DB172,$C171&amp;" "&amp;DB69&amp;CHAR(10)&amp;DB172)</f>
        <v xml:space="preserve"> </v>
      </c>
      <c r="DC171" s="21" t="str">
        <f t="shared" ref="DC171:DC203" si="736">IF(DC69="",DC172,$C171&amp;"("&amp;DC69&amp;","&amp;DD69&amp;"), "&amp;DC172)</f>
        <v xml:space="preserve"> </v>
      </c>
      <c r="DD171" s="21" t="str">
        <f t="shared" ref="DD171" si="737">IF(DD69="",DD172,$C171&amp;" "&amp;DD69&amp;CHAR(10)&amp;DD172)</f>
        <v xml:space="preserve"> </v>
      </c>
      <c r="DE171" s="21" t="str">
        <f t="shared" ref="DE171:DE203" si="738">IF(DE69="",DE172,$C171&amp;"("&amp;DE69&amp;"), "&amp;DE172)</f>
        <v xml:space="preserve">social media(1), 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1" s="21" t="str">
        <f t="shared" ref="DF171:DF203" si="739">IF(DF69="",DF172,$C171&amp;"("&amp;DF69&amp;","&amp;DG69&amp;"), "&amp;DF172)</f>
        <v xml:space="preserve"> </v>
      </c>
      <c r="DG171" s="21" t="str">
        <f t="shared" si="714"/>
        <v xml:space="preserve"> </v>
      </c>
      <c r="DH171" s="21" t="str">
        <f t="shared" ref="DH171" si="740">IF(DH69="",DH172,$C171&amp;" "&amp;DH69&amp;CHAR(10)&amp;DH172)</f>
        <v xml:space="preserve">social project 1
 </v>
      </c>
      <c r="DI171" s="21" t="str">
        <f t="shared" ref="DI171:DI203" si="741">IF(DI69="",DI172,$C171&amp;"("&amp;DI69&amp;","&amp;DJ69&amp;"), "&amp;DI172)</f>
        <v xml:space="preserve"> </v>
      </c>
      <c r="DJ171" s="21" t="str">
        <f t="shared" ref="DJ171" si="742">IF(DJ69="",DJ172,$C171&amp;" "&amp;DJ69&amp;CHAR(10)&amp;DJ172)</f>
        <v xml:space="preserve"> </v>
      </c>
      <c r="DK171" s="21" t="str">
        <f t="shared" ref="DK171:DK203" si="743">IF(DK69="",DK172,$C171&amp;"("&amp;DK69&amp;"), "&amp;DK172)</f>
        <v xml:space="preserve">social media(1), 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71" s="21" t="str">
        <f t="shared" ref="DL171:DL203" si="744">IF(DL69="",DL172,$C171&amp;"("&amp;DL69&amp;","&amp;DM69&amp;"), "&amp;DL172)</f>
        <v xml:space="preserve"> </v>
      </c>
      <c r="DM171" s="21" t="str">
        <f t="shared" si="714"/>
        <v xml:space="preserve"> </v>
      </c>
      <c r="DN171" s="21" t="str">
        <f t="shared" ref="DN171" si="745">IF(DN69="",DN172,$C171&amp;" "&amp;DN69&amp;CHAR(10)&amp;DN172)</f>
        <v xml:space="preserve">biz project 1
 </v>
      </c>
      <c r="DO171" s="21" t="str">
        <f t="shared" ref="DO171:DO203" si="746">IF(DO69="",DO172,$C171&amp;"("&amp;DO69&amp;","&amp;DP69&amp;"), "&amp;DO172)</f>
        <v xml:space="preserve"> </v>
      </c>
      <c r="DP171" s="21" t="str">
        <f t="shared" ref="DP171" si="747">IF(DP69="",DP172,$C171&amp;" "&amp;DP69&amp;CHAR(10)&amp;DP172)</f>
        <v xml:space="preserve"> </v>
      </c>
      <c r="DQ171" s="21" t="str">
        <f t="shared" ref="DQ171:DQ203" si="748">IF(DQ69="",DQ172,$C171&amp;"("&amp;DQ69&amp;"), "&amp;DQ172)</f>
        <v xml:space="preserve">social media(1), 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1" s="21" t="str">
        <f t="shared" ref="DR171:DR203" si="749">IF(DR69="",DR172,$C171&amp;"("&amp;DR69&amp;","&amp;DS69&amp;"), "&amp;DR172)</f>
        <v xml:space="preserve"> </v>
      </c>
      <c r="DS171" s="21" t="str">
        <f t="shared" si="714"/>
        <v xml:space="preserve"> </v>
      </c>
      <c r="DT171" s="21" t="str">
        <f t="shared" ref="DT171" si="750">IF(DT69="",DT172,$C171&amp;" "&amp;DT69&amp;CHAR(10)&amp;DT172)</f>
        <v xml:space="preserve"> </v>
      </c>
      <c r="DU171" s="21" t="str">
        <f t="shared" ref="DU171:DU203" si="751">IF(DU69="",DU172,$C171&amp;"("&amp;DU69&amp;","&amp;DV69&amp;"), "&amp;DU172)</f>
        <v xml:space="preserve"> </v>
      </c>
      <c r="DV171" s="21" t="str">
        <f t="shared" ref="DV171" si="752">IF(DV69="",DV172,$C171&amp;" "&amp;DV69&amp;CHAR(10)&amp;DV172)</f>
        <v xml:space="preserve"> </v>
      </c>
      <c r="DW171" s="21" t="str">
        <f t="shared" ref="DW171:DW203" si="753">IF(DW69="",DW172,$C171&amp;"("&amp;DW69&amp;"), "&amp;DW172)</f>
        <v xml:space="preserve">social media(1), for basic literacy(1),  </v>
      </c>
      <c r="DX171" s="21" t="str">
        <f t="shared" ref="DX171:DX203" si="754">IF(DX69="",DX172,$C171&amp;"("&amp;DX69&amp;","&amp;DY69&amp;"), "&amp;DX172)</f>
        <v xml:space="preserve">for basic literacy(1,6.25),  </v>
      </c>
      <c r="DY171" s="21" t="str">
        <f t="shared" si="714"/>
        <v xml:space="preserve">for basic literacy(6.25), </v>
      </c>
      <c r="DZ171" s="21" t="str">
        <f t="shared" ref="DZ171" si="755">IF(DZ69="",DZ172,$C171&amp;" "&amp;DZ69&amp;CHAR(10)&amp;DZ172)</f>
        <v xml:space="preserve"> </v>
      </c>
      <c r="EA171" s="21" t="str">
        <f t="shared" ref="EA171:EA203" si="756">IF(EA69="",EA172,$C171&amp;"("&amp;EA69&amp;","&amp;EB69&amp;"), "&amp;EA172)</f>
        <v xml:space="preserve"> </v>
      </c>
      <c r="EB171" s="21" t="str">
        <f t="shared" ref="EB171" si="757">IF(EB69="",EB172,$C171&amp;" "&amp;EB69&amp;CHAR(10)&amp;EB172)</f>
        <v xml:space="preserve"> </v>
      </c>
      <c r="EC171" s="21" t="str">
        <f t="shared" ref="EC171:EC203" si="758">IF(EC69="",EC172,$C171&amp;"("&amp;EC69&amp;"), "&amp;EC172)</f>
        <v xml:space="preserve">social media(1), web(2), infrastructrue(2), database(2), mobile apps(2), sensors(2), security(2), AI&amp; data analysis(2), mobile comm(2), VR&amp;AR(2), wood processing(2), metal processing(2), plastic processing(2), electronics(2), fabric(2), for basic literacy(1),  </v>
      </c>
      <c r="ED171" s="21" t="str">
        <f t="shared" ref="ED171:ED203" si="759">IF(ED69="",ED172,$C171&amp;"("&amp;ED69&amp;","&amp;EE69&amp;"), "&amp;ED172)</f>
        <v xml:space="preserve">for basic literacy(1,6.25),  </v>
      </c>
      <c r="EE171" s="21" t="str">
        <f t="shared" si="714"/>
        <v xml:space="preserve">for basic literacy(6.25), </v>
      </c>
      <c r="EF171" s="21" t="str">
        <f t="shared" ref="EF171" si="760">IF(EF69="",EF172,$C171&amp;" "&amp;EF69&amp;CHAR(10)&amp;EF172)</f>
        <v xml:space="preserve"> </v>
      </c>
      <c r="EG171" s="21" t="str">
        <f t="shared" ref="EG171:EG203" si="761">IF(EG69="",EG172,$C171&amp;"("&amp;EG69&amp;","&amp;EH69&amp;"), "&amp;EG172)</f>
        <v xml:space="preserve">web(1,50), mobile apps(1,50), interaction(1,50),  </v>
      </c>
      <c r="EH171" s="21" t="str">
        <f t="shared" ref="EH171" si="762">IF(EH69="",EH172,$C171&amp;" "&amp;EH69&amp;CHAR(10)&amp;EH172)</f>
        <v xml:space="preserve">web 50
mobile apps 50
interaction 50
 </v>
      </c>
      <c r="EI171" s="21" t="str">
        <f t="shared" ref="EI171:EI203" si="763">IF(EI69="",EI172,$C171&amp;"("&amp;EI69&amp;"), "&amp;EI172)</f>
        <v xml:space="preserve">infrastructrue(1), database(1), mobile comm(1), for entrepreneurs(1),  </v>
      </c>
      <c r="EJ171" s="21" t="str">
        <f t="shared" ref="EJ171:EJ203" si="764">IF(EJ69="",EJ172,$C171&amp;"("&amp;EJ69&amp;","&amp;EK69&amp;"), "&amp;EJ172)</f>
        <v xml:space="preserve">infrastructrue(1,12.5), database(1,12.5), mobile comm(1,12.5), for entrepreneurs(1,6.25),  </v>
      </c>
      <c r="EK171" s="21" t="str">
        <f t="shared" si="714"/>
        <v xml:space="preserve">infrastructrue(12.5),database(12.5),mobile comm(12.5),for entrepreneurs(6.25), </v>
      </c>
      <c r="EL171" s="21" t="str">
        <f t="shared" ref="EL171" si="765">IF(EL69="",EL172,$C171&amp;" "&amp;EL69&amp;CHAR(10)&amp;EL172)</f>
        <v xml:space="preserve"> </v>
      </c>
      <c r="EM171" s="21" t="str">
        <f t="shared" ref="EM171:EM203" si="766">IF(EM69="",EM172,$C171&amp;"("&amp;EM69&amp;","&amp;EN69&amp;"), "&amp;EM172)</f>
        <v xml:space="preserve">sensors(1,50),  </v>
      </c>
      <c r="EN171" s="21" t="str">
        <f t="shared" ref="EN171" si="767">IF(EN69="",EN172,$C171&amp;" "&amp;EN69&amp;CHAR(10)&amp;EN172)</f>
        <v xml:space="preserve">sensors 50
 </v>
      </c>
      <c r="EO171" s="21" t="str">
        <f t="shared" ref="EO171:EO203" si="768">IF(EO69="",EO172,$C171&amp;"("&amp;EO69&amp;"), "&amp;EO172)</f>
        <v xml:space="preserve">infrastructrue(1), database(1), mobile comm(1), for entrepreneurs(1),  </v>
      </c>
      <c r="EP171" s="21" t="str">
        <f t="shared" ref="EP171:EP203" si="769">IF(EP69="",EP172,$C171&amp;"("&amp;EP69&amp;","&amp;EQ69&amp;"), "&amp;EP172)</f>
        <v xml:space="preserve">infrastructrue(1,12.5), database(1,12.5), mobile comm(1,12.5), electronics(1,6.25), for entrepreneurs(1,6.25),  </v>
      </c>
      <c r="EQ171" s="21" t="str">
        <f t="shared" ref="EQ171:GY186" si="770">IF(EQ69="",EQ172,$C171&amp;"("&amp;EQ69&amp;"),"&amp;EQ172)</f>
        <v xml:space="preserve">infrastructrue(12.5),database(12.5),mobile comm(12.5),electronics(6.25),for entrepreneurs(6.25), </v>
      </c>
      <c r="ER171" s="21" t="str">
        <f t="shared" ref="ER171" si="771">IF(ER69="",ER172,$C171&amp;" "&amp;ER69&amp;CHAR(10)&amp;ER172)</f>
        <v xml:space="preserve"> </v>
      </c>
      <c r="ES171" s="21" t="str">
        <f t="shared" ref="ES171:ES203" si="772">IF(ES69="",ES172,$C171&amp;"("&amp;ES69&amp;","&amp;ET69&amp;"), "&amp;ES172)</f>
        <v xml:space="preserve">AI&amp; data analysis(1,50),  </v>
      </c>
      <c r="ET171" s="21" t="str">
        <f t="shared" ref="ET171" si="773">IF(ET69="",ET172,$C171&amp;" "&amp;ET69&amp;CHAR(10)&amp;ET172)</f>
        <v xml:space="preserve">AI&amp; data analysis 50
 </v>
      </c>
      <c r="EU171" s="21" t="str">
        <f t="shared" ref="EU171:EU203" si="774">IF(EU69="",EU172,$C171&amp;"("&amp;EU69&amp;"), "&amp;EU172)</f>
        <v xml:space="preserve">database(1), sensors(1), mobile comm(1), for entrepreneurs(1),  </v>
      </c>
      <c r="EV171" s="21" t="str">
        <f t="shared" ref="EV171:EV203" si="775">IF(EV69="",EV172,$C171&amp;"("&amp;EV69&amp;","&amp;EW69&amp;"), "&amp;EV172)</f>
        <v xml:space="preserve">database(1,12.5), sensors(1,12.5), mobile comm(1,12.5), for entrepreneurs(1,6.25),  </v>
      </c>
      <c r="EW171" s="21" t="str">
        <f t="shared" si="770"/>
        <v xml:space="preserve">database(12.5),sensors(12.5),mobile comm(12.5),for entrepreneurs(6.25), </v>
      </c>
      <c r="EX171" s="21" t="str">
        <f t="shared" ref="EX171" si="776">IF(EX69="",EX172,$C171&amp;" "&amp;EX69&amp;CHAR(10)&amp;EX172)</f>
        <v xml:space="preserve"> </v>
      </c>
      <c r="EY171" s="21" t="str">
        <f t="shared" ref="EY171:EY203" si="777">IF(EY69="",EY172,$C171&amp;"("&amp;EY69&amp;","&amp;EZ69&amp;"), "&amp;EY172)</f>
        <v xml:space="preserve">security(1,50), interaction(1,25),  </v>
      </c>
      <c r="EZ171" s="21" t="str">
        <f t="shared" ref="EZ171" si="778">IF(EZ69="",EZ172,$C171&amp;" "&amp;EZ69&amp;CHAR(10)&amp;EZ172)</f>
        <v xml:space="preserve">security 50
interaction 25
 </v>
      </c>
      <c r="FA171" s="21" t="str">
        <f t="shared" ref="FA171:FA203" si="779">IF(FA69="",FA172,$C171&amp;"("&amp;FA69&amp;"), "&amp;FA172)</f>
        <v xml:space="preserve">for entrepreneurs(1),  </v>
      </c>
      <c r="FB171" s="21" t="str">
        <f t="shared" ref="FB171:FB203" si="780">IF(FB69="",FB172,$C171&amp;"("&amp;FB69&amp;","&amp;FC69&amp;"), "&amp;FB172)</f>
        <v xml:space="preserve">database(1,12.5), mobile apps(1,12.5), security(1,12.5), mobile comm(1,12.5), for entrepreneurs(1,6.25),  </v>
      </c>
      <c r="FC171" s="21" t="str">
        <f t="shared" si="770"/>
        <v xml:space="preserve">database(12.5),mobile apps(12.5),security(12.5),mobile comm(12.5),for entrepreneurs(6.25), </v>
      </c>
      <c r="FD171" s="21" t="str">
        <f t="shared" ref="FD171" si="781">IF(FD69="",FD172,$C171&amp;" "&amp;FD69&amp;CHAR(10)&amp;FD172)</f>
        <v xml:space="preserve"> </v>
      </c>
      <c r="FE171" s="21" t="str">
        <f t="shared" ref="FE171:FE203" si="782">IF(FE69="",FE172,$C171&amp;"("&amp;FE69&amp;","&amp;FF69&amp;"), "&amp;FE172)</f>
        <v xml:space="preserve">sensors(1,50), security(1,50),  </v>
      </c>
      <c r="FF171" s="21" t="str">
        <f t="shared" ref="FF171" si="783">IF(FF69="",FF172,$C171&amp;" "&amp;FF69&amp;CHAR(10)&amp;FF172)</f>
        <v xml:space="preserve">sensors 50
security 50
 </v>
      </c>
      <c r="FG171" s="21" t="str">
        <f t="shared" ref="FG171:FG203" si="784">IF(FG69="",FG172,$C171&amp;"("&amp;FG69&amp;"), "&amp;FG172)</f>
        <v xml:space="preserve">for entrepreneurs(1),  </v>
      </c>
      <c r="FH171" s="21" t="str">
        <f t="shared" ref="FH171:FH203" si="785">IF(FH69="",FH172,$C171&amp;"("&amp;FH69&amp;","&amp;FI69&amp;"), "&amp;FH172)</f>
        <v xml:space="preserve">database(1,6.25), mobile apps(1,6.25), AI&amp; data analysis(1,6.25), mobile comm(1,6.25), for entrepreneurs(1,6.25),  </v>
      </c>
      <c r="FI171" s="21" t="str">
        <f t="shared" si="770"/>
        <v xml:space="preserve">database(6.25),mobile apps(6.25),AI&amp; data analysis(6.25),mobile comm(6.25),for entrepreneurs(6.25), </v>
      </c>
      <c r="FJ171" s="21" t="str">
        <f t="shared" ref="FJ171" si="786">IF(FJ69="",FJ172,$C171&amp;" "&amp;FJ69&amp;CHAR(10)&amp;FJ172)</f>
        <v xml:space="preserve"> </v>
      </c>
      <c r="FK171" s="21" t="str">
        <f t="shared" ref="FK171:FK203" si="787">IF(FK69="",FK172,$C171&amp;"("&amp;FK69&amp;","&amp;FL69&amp;"), "&amp;FK172)</f>
        <v xml:space="preserve">wood processing(1,25), metal processing(1,25), plastic processing(1,25), fabric(1,25), safety(1,25), interaction(1,25),  </v>
      </c>
      <c r="FL171" s="21" t="str">
        <f t="shared" ref="FL171" si="788">IF(FL69="",FL172,$C171&amp;" "&amp;FL69&amp;CHAR(10)&amp;FL172)</f>
        <v xml:space="preserve">wood processing 25
metal processing 25
plastic processing 25
fabric 25
safety 25
interaction 25
 </v>
      </c>
      <c r="FM171" s="21" t="str">
        <f t="shared" ref="FM171:FM203" si="789">IF(FM69="",FM172,$C171&amp;"("&amp;FM69&amp;"), "&amp;FM172)</f>
        <v xml:space="preserve">for entrepreneurs(1),  </v>
      </c>
      <c r="FN171" s="21" t="str">
        <f t="shared" ref="FN171:FN203" si="790">IF(FN69="",FN172,$C171&amp;"("&amp;FN69&amp;","&amp;FO69&amp;"), "&amp;FN172)</f>
        <v xml:space="preserve">for entrepreneurs(1,6.25),  </v>
      </c>
      <c r="FO171" s="21" t="str">
        <f t="shared" si="770"/>
        <v xml:space="preserve">for entrepreneurs(6.25), </v>
      </c>
      <c r="FP171" s="21" t="str">
        <f t="shared" ref="FP171" si="791">IF(FP69="",FP172,$C171&amp;" "&amp;FP69&amp;CHAR(10)&amp;FP172)</f>
        <v xml:space="preserve"> </v>
      </c>
      <c r="FQ171" s="21" t="str">
        <f t="shared" ref="FQ171:FQ203" si="792">IF(FQ69="",FQ172,$C171&amp;"("&amp;FQ69&amp;","&amp;FR69&amp;"), "&amp;FQ172)</f>
        <v xml:space="preserve">web(1,25), mobile apps(1,50), functions(1,25), interaction(1,25),  </v>
      </c>
      <c r="FR171" s="21" t="str">
        <f t="shared" ref="FR171" si="793">IF(FR69="",FR172,$C171&amp;" "&amp;FR69&amp;CHAR(10)&amp;FR172)</f>
        <v xml:space="preserve">web 25
mobile apps 50
functions 25
interaction 25
 </v>
      </c>
      <c r="FS171" s="21" t="str">
        <f t="shared" ref="FS171:FS203" si="794">IF(FS69="",FS172,$C171&amp;"("&amp;FS69&amp;"), "&amp;FS172)</f>
        <v xml:space="preserve">for entrepreneurs(1),  </v>
      </c>
      <c r="FT171" s="21" t="str">
        <f t="shared" ref="FT171:FT203" si="795">IF(FT69="",FT172,$C171&amp;"("&amp;FT69&amp;","&amp;FU69&amp;"), "&amp;FT172)</f>
        <v xml:space="preserve">for entrepreneurs(1,6.25),  </v>
      </c>
      <c r="FU171" s="21" t="str">
        <f t="shared" si="770"/>
        <v xml:space="preserve">for entrepreneurs(6.25), </v>
      </c>
      <c r="FV171" s="21" t="str">
        <f t="shared" ref="FV171" si="796">IF(FV69="",FV172,$C171&amp;" "&amp;FV69&amp;CHAR(10)&amp;FV172)</f>
        <v xml:space="preserve"> </v>
      </c>
      <c r="FW171" s="21" t="str">
        <f t="shared" ref="FW171:FW203" si="797">IF(FW69="",FW172,$C171&amp;"("&amp;FW69&amp;","&amp;FX69&amp;"), "&amp;FW172)</f>
        <v xml:space="preserve">mobile apps(1,50), sensors(1,50), wood processing(1,25), plastic processing(1,25), electronics(1,25), functions(1,25), interaction(1,25),  </v>
      </c>
      <c r="FX171" s="21" t="str">
        <f t="shared" ref="FX171" si="798">IF(FX69="",FX172,$C171&amp;" "&amp;FX69&amp;CHAR(10)&amp;FX172)</f>
        <v xml:space="preserve">mobile apps 50
sensors 50
wood processing 25
plastic processing 25
electronics 25
functions 25
interaction 25
 </v>
      </c>
      <c r="FY171" s="21" t="str">
        <f t="shared" ref="FY171:FY203" si="799">IF(FY69="",FY172,$C171&amp;"("&amp;FY69&amp;"), "&amp;FY172)</f>
        <v xml:space="preserve">for entrepreneurs(1),  </v>
      </c>
      <c r="FZ171" s="21" t="str">
        <f t="shared" ref="FZ171:FZ203" si="800">IF(FZ69="",FZ172,$C171&amp;"("&amp;FZ69&amp;","&amp;GA69&amp;"), "&amp;FZ172)</f>
        <v xml:space="preserve">web(1,6.25), database(1,6.25), AI&amp; data analysis(1,6.25), mobile comm(1,6.25), for entrepreneurs(1,6.25),  </v>
      </c>
      <c r="GA171" s="21" t="str">
        <f t="shared" si="770"/>
        <v xml:space="preserve">web(6.25),database(6.25),AI&amp; data analysis(6.25),mobile comm(6.25),for entrepreneurs(6.25), </v>
      </c>
      <c r="GB171" s="21" t="str">
        <f t="shared" ref="GB171" si="801">IF(GB69="",GB172,$C171&amp;" "&amp;GB69&amp;CHAR(10)&amp;GB172)</f>
        <v xml:space="preserve"> </v>
      </c>
      <c r="GC171" s="21" t="str">
        <f t="shared" ref="GC171:GC203" si="802">IF(GC69="",GC172,$C171&amp;"("&amp;GC69&amp;","&amp;GD69&amp;"), "&amp;GC172)</f>
        <v xml:space="preserve">sensors(1,25), mobile comm(1,25), electronics(1,50), functions(1,25), safety(1,25),  </v>
      </c>
      <c r="GD171" s="21" t="str">
        <f t="shared" ref="GD171" si="803">IF(GD69="",GD172,$C171&amp;" "&amp;GD69&amp;CHAR(10)&amp;GD172)</f>
        <v xml:space="preserve">sensors 25
mobile comm 25
electronics 50
functions 25
safety 25
 </v>
      </c>
      <c r="GE171" s="21" t="str">
        <f t="shared" ref="GE171:GE203" si="804">IF(GE69="",GE172,$C171&amp;"("&amp;GE69&amp;"), "&amp;GE172)</f>
        <v xml:space="preserve">for entrepreneurs(1),  </v>
      </c>
      <c r="GF171" s="21" t="str">
        <f t="shared" ref="GF171:GF203" si="805">IF(GF69="",GF172,$C171&amp;"("&amp;GF69&amp;","&amp;GG69&amp;"), "&amp;GF172)</f>
        <v xml:space="preserve">database(1,6.25), mobile apps(1,6.25), AI&amp; data analysis(1,6.25), plastic processing(1,6.25), interaction(1,6.25), for entrepreneurs(1,6.25),  </v>
      </c>
      <c r="GG171" s="21" t="str">
        <f t="shared" si="770"/>
        <v xml:space="preserve">database(6.25),mobile apps(6.25),AI&amp; data analysis(6.25),plastic processing(6.25),interaction(6.25),for entrepreneurs(6.25), </v>
      </c>
      <c r="GH171" s="21" t="str">
        <f t="shared" ref="GH171" si="806">IF(GH69="",GH172,$C171&amp;" "&amp;GH69&amp;CHAR(10)&amp;GH172)</f>
        <v xml:space="preserve"> </v>
      </c>
      <c r="GI171" s="21" t="str">
        <f t="shared" ref="GI171:GI203" si="807">IF(GI69="",GI172,$C171&amp;"("&amp;GI69&amp;","&amp;GJ69&amp;"), "&amp;GI172)</f>
        <v xml:space="preserve">web(1,25), mobile apps(1,50), functions(1,25), interaction(1,25),  </v>
      </c>
      <c r="GJ171" s="21" t="str">
        <f t="shared" ref="GJ171" si="808">IF(GJ69="",GJ172,$C171&amp;" "&amp;GJ69&amp;CHAR(10)&amp;GJ172)</f>
        <v xml:space="preserve">web 25
mobile apps 50
functions 25
interaction 25
 </v>
      </c>
      <c r="GK171" s="21" t="str">
        <f t="shared" ref="GK171:GK203" si="809">IF(GK69="",GK172,$C171&amp;"("&amp;GK69&amp;"), "&amp;GK172)</f>
        <v xml:space="preserve">for entrepreneurs(1),  </v>
      </c>
      <c r="GL171" s="21" t="str">
        <f t="shared" ref="GL171:GL203" si="810">IF(GL69="",GL172,$C171&amp;"("&amp;GL69&amp;","&amp;GM69&amp;"), "&amp;GL172)</f>
        <v xml:space="preserve">for entrepreneurs(1,6.25),  </v>
      </c>
      <c r="GM171" s="21" t="str">
        <f t="shared" si="770"/>
        <v xml:space="preserve">for entrepreneurs(6.25), </v>
      </c>
      <c r="GN171" s="21" t="str">
        <f t="shared" ref="GN171" si="811">IF(GN69="",GN172,$C171&amp;" "&amp;GN69&amp;CHAR(10)&amp;GN172)</f>
        <v xml:space="preserve"> </v>
      </c>
      <c r="GO171" s="21" t="str">
        <f t="shared" ref="GO171:GO203" si="812">IF(GO69="",GO172,$C171&amp;"("&amp;GO69&amp;","&amp;GP69&amp;"), "&amp;GO172)</f>
        <v xml:space="preserve">web(1,25), mobile apps(1,25), VR&amp;AR(1,25), aesthetics(1,25), functions(1,25), interaction(1,50),  </v>
      </c>
      <c r="GP171" s="21" t="str">
        <f t="shared" ref="GP171" si="813">IF(GP69="",GP172,$C171&amp;" "&amp;GP69&amp;CHAR(10)&amp;GP172)</f>
        <v xml:space="preserve">web 25
mobile apps 25
VR&amp;AR 25
aesthetics 25
functions 25
interaction 50
 </v>
      </c>
      <c r="GQ171" s="21" t="str">
        <f t="shared" ref="GQ171:GQ203" si="814">IF(GQ69="",GQ172,$C171&amp;"("&amp;GQ69&amp;"), "&amp;GQ172)</f>
        <v xml:space="preserve">for entrepreneurs(1),  </v>
      </c>
      <c r="GR171" s="21" t="str">
        <f t="shared" ref="GR171:GR203" si="815">IF(GR69="",GR172,$C171&amp;"("&amp;GR69&amp;","&amp;GS69&amp;"), "&amp;GR172)</f>
        <v xml:space="preserve">for entrepreneurs(1,6.25),  </v>
      </c>
      <c r="GS171" s="21" t="str">
        <f t="shared" si="770"/>
        <v xml:space="preserve">for entrepreneurs(6.25), </v>
      </c>
      <c r="GT171" s="21" t="str">
        <f t="shared" ref="GT171" si="816">IF(GT69="",GT172,$C171&amp;" "&amp;GT69&amp;CHAR(10)&amp;GT172)</f>
        <v xml:space="preserve">web 1
mobile apps 1
mobile comm 1
 </v>
      </c>
      <c r="GU171" s="21" t="str">
        <f t="shared" ref="GU171:GU203" si="817">IF(GU69="",GU172,$C171&amp;"("&amp;GU69&amp;","&amp;GV69&amp;"), "&amp;GU172)</f>
        <v xml:space="preserve"> </v>
      </c>
      <c r="GV171" s="21" t="str">
        <f t="shared" ref="GV171" si="818">IF(GV69="",GV172,$C171&amp;" "&amp;GV69&amp;CHAR(10)&amp;GV172)</f>
        <v xml:space="preserve"> </v>
      </c>
      <c r="GW171" s="21" t="str">
        <f t="shared" ref="GW171:GW203" si="819">IF(GW69="",GW172,$C171&amp;"("&amp;GW69&amp;"), "&amp;GW172)</f>
        <v xml:space="preserve">social media(1), infrastructrue(1), database(1), sensors(1), security(1), AI&amp; data analysis(1), electronics(1),  </v>
      </c>
      <c r="GX171" s="21" t="str">
        <f t="shared" ref="GX171:GX203" si="820">IF(GX69="",GX172,$C171&amp;"("&amp;GX69&amp;","&amp;GY69&amp;"), "&amp;GX172)</f>
        <v xml:space="preserve">social media(1,6.25), web(1,6.25), mobile apps(1,6.25),  </v>
      </c>
      <c r="GY171" s="21" t="str">
        <f t="shared" si="770"/>
        <v xml:space="preserve">social media(6.25),web(6.25),mobile apps(6.25), </v>
      </c>
      <c r="GZ171" s="21" t="str">
        <f t="shared" ref="GZ171" si="821">IF(GZ69="",GZ172,$C171&amp;" "&amp;GZ69&amp;CHAR(10)&amp;GZ172)</f>
        <v xml:space="preserve"> </v>
      </c>
      <c r="HA171" s="21" t="str">
        <f t="shared" ref="HA171:HA203" si="822">IF(HA69="",HA172,$C171&amp;"("&amp;HA69&amp;","&amp;HB69&amp;"), "&amp;HA172)</f>
        <v xml:space="preserve"> </v>
      </c>
      <c r="HB171" s="21" t="str">
        <f t="shared" ref="HB171" si="823">IF(HB69="",HB172,$C171&amp;" "&amp;HB69&amp;CHAR(10)&amp;HB172)</f>
        <v xml:space="preserve"> </v>
      </c>
      <c r="HC171" s="21" t="str">
        <f t="shared" ref="HC171:HC203" si="824">IF(HC69="",HC172,$C171&amp;"("&amp;HC69&amp;"), "&amp;HC172)</f>
        <v xml:space="preserve">social media(2), web(2), mobile apps(2), sensors(2), AI&amp; data analysis(2), VR&amp;AR(2), plastic processing(2), electronics(2), aesthetics(2), interaction(2),  </v>
      </c>
      <c r="HD171" s="21" t="str">
        <f t="shared" ref="HD171:HD200" si="825">IF(HD69="",HD172,$C171&amp;"("&amp;HD69&amp;","&amp;HE69&amp;"), "&amp;HD172)</f>
        <v xml:space="preserve">start-up with customers(1,6.25), for basic literacy(1,6.25),  </v>
      </c>
      <c r="HE171" s="21" t="str">
        <f t="shared" ref="HE171:HQ186" si="826">IF(HE69="",HE172,$C171&amp;"("&amp;HE69&amp;"),"&amp;HE172)</f>
        <v xml:space="preserve">start-up with customers(6.25),for basic literacy(6.25), </v>
      </c>
      <c r="HF171" s="21" t="str">
        <f t="shared" ref="HF171" si="827">IF(HF69="",HF172,$C171&amp;" "&amp;HF69&amp;CHAR(10)&amp;HF172)</f>
        <v xml:space="preserve"> </v>
      </c>
      <c r="HG171" s="21" t="str">
        <f t="shared" ref="HG171:HG203" si="828">IF(HG69="",HG172,$C171&amp;"("&amp;HG69&amp;","&amp;HH69&amp;"), "&amp;HG172)</f>
        <v xml:space="preserve"> </v>
      </c>
      <c r="HH171" s="21" t="str">
        <f t="shared" ref="HH171" si="829">IF(HH69="",HH172,$C171&amp;" "&amp;HH69&amp;CHAR(10)&amp;HH172)</f>
        <v xml:space="preserve"> </v>
      </c>
      <c r="HI171" s="21" t="str">
        <f t="shared" ref="HI171:HI203" si="830">IF(HI69="",HI172,$C171&amp;"("&amp;HI69&amp;"), "&amp;HI172)</f>
        <v xml:space="preserve">mobile apps(3), sensors(2), plastic processing(2), electronics(2), aesthetics(2), functions(2), interaction(2),  </v>
      </c>
      <c r="HJ171" s="21" t="str">
        <f t="shared" ref="HJ171:HJ203" si="831">IF(HJ69="",HJ172,$C171&amp;"("&amp;HJ69&amp;","&amp;HK69&amp;"), "&amp;HJ172)</f>
        <v xml:space="preserve">start-up with customers(1,6.25),  </v>
      </c>
      <c r="HK171" s="21" t="str">
        <f t="shared" si="826"/>
        <v xml:space="preserve">start-up with customers(6.25), </v>
      </c>
      <c r="HL171" s="21" t="str">
        <f t="shared" ref="HL171" si="832">IF(HL69="",HL172,$C171&amp;" "&amp;HL69&amp;CHAR(10)&amp;HL172)</f>
        <v xml:space="preserve"> </v>
      </c>
      <c r="HM171" s="21" t="str">
        <f t="shared" ref="HM171:HM203" si="833">IF(HM69="",HM172,$C171&amp;"("&amp;HM69&amp;","&amp;HN69&amp;"), "&amp;HM172)</f>
        <v xml:space="preserve"> </v>
      </c>
      <c r="HN171" s="21" t="str">
        <f t="shared" ref="HN171" si="834">IF(HN69="",HN172,$C171&amp;" "&amp;HN69&amp;CHAR(10)&amp;HN172)</f>
        <v xml:space="preserve"> </v>
      </c>
      <c r="HO171" s="21" t="str">
        <f t="shared" ref="HO171:HO203" si="835">IF(HO69="",HO172,$C171&amp;"("&amp;HO69&amp;"), "&amp;HO172)</f>
        <v xml:space="preserve">social media(2), web(3), mobile apps(2), wood processing(3), plastic processing(3), electronics(3), aesthetics(2), interaction(2),  </v>
      </c>
      <c r="HP171" s="21" t="str">
        <f t="shared" ref="HP171:HP203" si="836">IF(HP69="",HP172,$C171&amp;"("&amp;HP69&amp;","&amp;HQ69&amp;"), "&amp;HP172)</f>
        <v xml:space="preserve"> </v>
      </c>
      <c r="HQ171" s="47" t="str">
        <f t="shared" si="826"/>
        <v xml:space="preserve"> </v>
      </c>
      <c r="HR171" s="47" t="str">
        <f t="shared" ref="HR171:HW171" si="837">IF(HR69="",HR172,$C171&amp;"("&amp;HR69&amp;"),"&amp;HR172)</f>
        <v xml:space="preserve">mobile apps(1),sensors(1),wood processing(1),aesthetics(1), </v>
      </c>
      <c r="HS171" s="47" t="str">
        <f t="shared" si="837"/>
        <v xml:space="preserve"> </v>
      </c>
      <c r="HT171" s="47" t="str">
        <f t="shared" si="837"/>
        <v xml:space="preserve"> </v>
      </c>
      <c r="HU171" s="47" t="str">
        <f t="shared" si="837"/>
        <v xml:space="preserve">social media(2),web(3),infrastructrue(3),database(3),mobile apps(3),sensors(3),AI&amp; data analysis(3),mobile comm(3),VR&amp;AR(3),wood processing(3),metal processing(2),plastic processing(2),electronics(2),fabric(2),aesthetics(2),interaction(2),start-up with mvp(1), </v>
      </c>
      <c r="HV171" s="47" t="str">
        <f t="shared" si="837"/>
        <v xml:space="preserve"> </v>
      </c>
      <c r="HW171" s="47" t="str">
        <f t="shared" si="837"/>
        <v xml:space="preserve"> </v>
      </c>
      <c r="HX171" s="47" t="str">
        <f t="shared" ref="HX171:IU171" si="838">IF(HX69="",HX172,$C171&amp;"("&amp;HX69&amp;"),"&amp;HX172)</f>
        <v xml:space="preserve">web(1),infrastructrue(1),database(2),mobile apps(1),sensors(1),AI&amp; data analysis(2),VR&amp;AR(1),wood processing(1),metal processing(1),plastic processing(1),electronics(1),aesthetics(1),functions(1),interaction(1), </v>
      </c>
      <c r="HY171" s="47" t="str">
        <f t="shared" si="838"/>
        <v xml:space="preserve">biz enhancement(1), </v>
      </c>
      <c r="HZ171" s="47" t="str">
        <f t="shared" si="838"/>
        <v xml:space="preserve">biz enhancement(100), </v>
      </c>
      <c r="IA171" s="47" t="str">
        <f t="shared" si="838"/>
        <v xml:space="preserve">social media(3),negotiation(3), </v>
      </c>
      <c r="IB171" s="47" t="str">
        <f t="shared" si="838"/>
        <v xml:space="preserve">database(1),AI&amp; data analysis(1),electronics(1),functions(1), </v>
      </c>
      <c r="IC171" s="47" t="str">
        <f t="shared" si="838"/>
        <v xml:space="preserve">database(6.25),AI&amp; data analysis(6.25),electronics(6.25),functions(6.25), </v>
      </c>
      <c r="ID171" s="47" t="str">
        <f t="shared" si="838"/>
        <v xml:space="preserve"> </v>
      </c>
      <c r="IE171" s="47" t="str">
        <f t="shared" si="838"/>
        <v xml:space="preserve">web(1),mobile apps(1),security(1),AI&amp; data analysis(1), </v>
      </c>
      <c r="IF171" s="47" t="str">
        <f t="shared" si="838"/>
        <v xml:space="preserve">web(25),mobile apps(25),security(25),AI&amp; data analysis(25), </v>
      </c>
      <c r="IG171" s="47" t="str">
        <f t="shared" si="838"/>
        <v xml:space="preserve">web(2),database(2),mobile apps(2),security(2),AI&amp; data analysis(2), </v>
      </c>
      <c r="IH171" s="47" t="str">
        <f t="shared" si="838"/>
        <v xml:space="preserve">web(1),database(1),mobile apps(1),security(1),AI&amp; data analysis(1), </v>
      </c>
      <c r="II171" s="47" t="str">
        <f t="shared" si="838"/>
        <v xml:space="preserve">web(6.25),database(6.25),mobile apps(6.25),security(6.25),AI&amp; data analysis(6.25), </v>
      </c>
      <c r="IJ171" s="47" t="str">
        <f t="shared" si="838"/>
        <v xml:space="preserve"> </v>
      </c>
      <c r="IK171" s="47" t="str">
        <f t="shared" si="838"/>
        <v xml:space="preserve">wood processing(1),metal processing(1),functions(1),safety(1), </v>
      </c>
      <c r="IL171" s="47" t="str">
        <f t="shared" si="838"/>
        <v xml:space="preserve">wood processing(25),metal processing(25),functions(25),safety(25), </v>
      </c>
      <c r="IM171" s="47" t="str">
        <f t="shared" si="838"/>
        <v xml:space="preserve">wood processing(2),metal processing(2),functions(2),safety(2), </v>
      </c>
      <c r="IN171" s="47" t="str">
        <f t="shared" si="838"/>
        <v xml:space="preserve">wood processing(1),metal processing(1),functions(1),safety(1),interaction(1), </v>
      </c>
      <c r="IO171" s="47" t="str">
        <f t="shared" si="838"/>
        <v xml:space="preserve">wood processing(6.25),metal processing(6.25),functions(6.25),safety(6.25),interaction(6.25), </v>
      </c>
      <c r="IP171" s="57" t="str">
        <f t="shared" si="838"/>
        <v xml:space="preserve"> </v>
      </c>
      <c r="IQ171" s="47" t="str">
        <f t="shared" si="838"/>
        <v xml:space="preserve"> </v>
      </c>
      <c r="IR171" s="47" t="str">
        <f t="shared" si="838"/>
        <v xml:space="preserve"> </v>
      </c>
      <c r="IS171" s="47" t="str">
        <f t="shared" si="838"/>
        <v xml:space="preserve"> </v>
      </c>
      <c r="IT171" s="47" t="str">
        <f t="shared" si="838"/>
        <v xml:space="preserve"> </v>
      </c>
      <c r="IU171" s="47" t="str">
        <f t="shared" si="838"/>
        <v xml:space="preserve"> </v>
      </c>
      <c r="IV171" s="57" t="str">
        <f t="shared" ref="IV171:LG171" si="839">IF(IV69="",IV172,$C171&amp;"("&amp;IV69&amp;"),"&amp;IV172)</f>
        <v xml:space="preserve"> </v>
      </c>
      <c r="IW171" s="47" t="str">
        <f t="shared" si="839"/>
        <v xml:space="preserve"> </v>
      </c>
      <c r="IX171" s="47" t="str">
        <f t="shared" si="839"/>
        <v xml:space="preserve"> </v>
      </c>
      <c r="IY171" s="47" t="str">
        <f t="shared" si="839"/>
        <v xml:space="preserve"> </v>
      </c>
      <c r="IZ171" s="47" t="str">
        <f t="shared" si="839"/>
        <v xml:space="preserve"> </v>
      </c>
      <c r="JA171" s="47" t="str">
        <f t="shared" si="839"/>
        <v xml:space="preserve"> </v>
      </c>
      <c r="JB171" s="47" t="str">
        <f t="shared" si="839"/>
        <v xml:space="preserve"> </v>
      </c>
      <c r="JC171" s="47" t="str">
        <f t="shared" si="839"/>
        <v xml:space="preserve"> </v>
      </c>
      <c r="JD171" s="47" t="str">
        <f t="shared" si="839"/>
        <v xml:space="preserve"> </v>
      </c>
      <c r="JE171" s="47" t="str">
        <f t="shared" si="839"/>
        <v xml:space="preserve"> </v>
      </c>
      <c r="JF171" s="47" t="str">
        <f t="shared" si="839"/>
        <v xml:space="preserve">web(1),infrastructrue(1),database(1),mobile apps(1),sensors(1),security(1),AI&amp; data analysis(1),mobile comm(1),VR&amp;AR(1),wood processing(1),metal processing(1),plastic processing(1),electronics(1),fabric(1),aesthetics(1),functions(1),safety(1),interaction(1), </v>
      </c>
      <c r="JG171" s="47" t="str">
        <f t="shared" si="839"/>
        <v xml:space="preserve">web(6.25),infrastructrue(6.25),database(6.25),mobile apps(6.25),sensors(6.25),security(6.25),AI&amp; data analysis(6.25),mobile comm(6.25),VR&amp;AR(6.25),wood processing(6.25),metal processing(6.25),plastic processing(6.25),electronics(6.25),fabric(6.25),aesthetics(6.25),functions(6.25),safety(6.25),interaction(6.25), </v>
      </c>
      <c r="JH171" s="47" t="str">
        <f t="shared" si="839"/>
        <v xml:space="preserve"> </v>
      </c>
      <c r="JI171" s="47" t="str">
        <f t="shared" si="839"/>
        <v xml:space="preserve"> </v>
      </c>
      <c r="JJ171" s="47" t="str">
        <f t="shared" si="839"/>
        <v xml:space="preserve"> </v>
      </c>
      <c r="JK171" s="47" t="str">
        <f t="shared" si="839"/>
        <v xml:space="preserve">social media(2),negotiation(2),social project(1),social innovation(1),non-profit biz(1),biz project(1),biz enhancement(1),job creation(1),business(1),start-up(1),start-up with mvp(1),start-up with customers(1),for basic literacy(1),for the elites(1),for entrepreneurs(1), </v>
      </c>
      <c r="JL171" s="47" t="str">
        <f t="shared" si="839"/>
        <v xml:space="preserve"> </v>
      </c>
      <c r="JM171" s="47" t="str">
        <f t="shared" si="839"/>
        <v xml:space="preserve"> </v>
      </c>
      <c r="JN171" s="47" t="str">
        <f t="shared" si="839"/>
        <v xml:space="preserve"> </v>
      </c>
      <c r="JO171" s="47" t="str">
        <f t="shared" si="839"/>
        <v xml:space="preserve"> </v>
      </c>
      <c r="JP171" s="47" t="str">
        <f t="shared" si="839"/>
        <v xml:space="preserve"> </v>
      </c>
      <c r="JQ171" s="47" t="str">
        <f t="shared" si="839"/>
        <v xml:space="preserve">electronics(1),aesthetics(1),interaction(1),social project(1),social innovation(1),non-profit biz(1),biz project(1),biz enhancement(1),job creation(1),business(1),start-up(1),start-up with mvp(1),start-up with customers(1),for basic literacy(1),for the elites(1),for entrepreneurs(1), </v>
      </c>
      <c r="JR171" s="47" t="str">
        <f t="shared" si="839"/>
        <v xml:space="preserve"> </v>
      </c>
      <c r="JS171" s="47" t="str">
        <f t="shared" si="839"/>
        <v xml:space="preserve"> </v>
      </c>
      <c r="JT171" s="47" t="str">
        <f t="shared" si="839"/>
        <v xml:space="preserve"> </v>
      </c>
      <c r="JU171" s="47" t="str">
        <f t="shared" si="839"/>
        <v xml:space="preserve"> </v>
      </c>
      <c r="JV171" s="47" t="str">
        <f t="shared" si="839"/>
        <v xml:space="preserve"> </v>
      </c>
      <c r="JW171" s="47" t="str">
        <f t="shared" si="839"/>
        <v xml:space="preserve">social media(1),negotiation(1),social project(2),social innovation(1),non-profit biz(1),biz project(2),biz enhancement(2),job creation(1),business(1),start-up(2),start-up with mvp(1),start-up with customers(1),for basic literacy(2),for the elites(1),for entrepreneurs(1), </v>
      </c>
      <c r="JX171" s="47" t="str">
        <f t="shared" si="839"/>
        <v xml:space="preserve"> </v>
      </c>
      <c r="JY171" s="47" t="str">
        <f t="shared" si="839"/>
        <v xml:space="preserve"> </v>
      </c>
      <c r="JZ171" s="47" t="str">
        <f t="shared" si="839"/>
        <v xml:space="preserve">social project(2), </v>
      </c>
      <c r="KA171" s="47" t="str">
        <f t="shared" si="839"/>
        <v xml:space="preserve"> </v>
      </c>
      <c r="KB171" s="47" t="str">
        <f t="shared" si="839"/>
        <v xml:space="preserve"> </v>
      </c>
      <c r="KC171" s="47" t="str">
        <f t="shared" si="839"/>
        <v xml:space="preserve">web(1),mobile apps(1),sensors(1),AI&amp; data analysis(1),electronics(1),aesthetics(1),social project(3),social innovation(1),non-profit biz(1),biz project(2),biz enhancement(2),job creation(1),business(1),start-up(2),start-up with mvp(1),start-up with customers(1),for basic literacy(2),for the elites(1),for entrepreneurs(1), </v>
      </c>
      <c r="KD171" s="47" t="str">
        <f t="shared" si="839"/>
        <v xml:space="preserve"> </v>
      </c>
      <c r="KE171" s="47" t="str">
        <f t="shared" si="839"/>
        <v xml:space="preserve"> </v>
      </c>
      <c r="KF171" s="47" t="str">
        <f t="shared" si="839"/>
        <v xml:space="preserve"> </v>
      </c>
      <c r="KG171" s="47" t="str">
        <f t="shared" si="839"/>
        <v xml:space="preserve"> </v>
      </c>
      <c r="KH171" s="47" t="str">
        <f t="shared" si="839"/>
        <v xml:space="preserve"> </v>
      </c>
      <c r="KI171" s="47" t="str">
        <f t="shared" si="839"/>
        <v xml:space="preserve"> </v>
      </c>
      <c r="KJ171" s="47" t="str">
        <f t="shared" si="839"/>
        <v xml:space="preserve"> </v>
      </c>
      <c r="KK171" s="47" t="str">
        <f t="shared" si="839"/>
        <v xml:space="preserve"> </v>
      </c>
      <c r="KL171" s="57" t="str">
        <f t="shared" si="839"/>
        <v xml:space="preserve"> </v>
      </c>
      <c r="KM171" s="47" t="str">
        <f t="shared" si="839"/>
        <v xml:space="preserve"> </v>
      </c>
      <c r="KN171" s="47" t="str">
        <f t="shared" si="839"/>
        <v xml:space="preserve"> </v>
      </c>
      <c r="KO171" s="47" t="str">
        <f t="shared" si="839"/>
        <v xml:space="preserve"> </v>
      </c>
      <c r="KP171" s="47" t="str">
        <f t="shared" si="839"/>
        <v xml:space="preserve"> </v>
      </c>
      <c r="KQ171" s="47" t="str">
        <f t="shared" si="839"/>
        <v xml:space="preserve"> </v>
      </c>
      <c r="KR171" s="57" t="str">
        <f t="shared" si="839"/>
        <v xml:space="preserve"> </v>
      </c>
      <c r="KS171" s="47" t="str">
        <f t="shared" si="839"/>
        <v xml:space="preserve"> </v>
      </c>
      <c r="KT171" s="47" t="str">
        <f t="shared" si="839"/>
        <v xml:space="preserve"> </v>
      </c>
      <c r="KU171" s="47" t="str">
        <f t="shared" si="839"/>
        <v xml:space="preserve"> </v>
      </c>
      <c r="KV171" s="47" t="str">
        <f t="shared" si="839"/>
        <v xml:space="preserve"> </v>
      </c>
      <c r="KW171" s="47" t="str">
        <f t="shared" si="839"/>
        <v xml:space="preserve"> </v>
      </c>
      <c r="KX171" s="57" t="str">
        <f t="shared" si="839"/>
        <v xml:space="preserve"> </v>
      </c>
      <c r="KY171" s="47" t="str">
        <f t="shared" si="839"/>
        <v xml:space="preserve"> </v>
      </c>
      <c r="KZ171" s="47" t="str">
        <f t="shared" si="839"/>
        <v xml:space="preserve"> </v>
      </c>
      <c r="LA171" s="47" t="str">
        <f t="shared" si="839"/>
        <v xml:space="preserve"> </v>
      </c>
      <c r="LB171" s="47" t="str">
        <f t="shared" si="839"/>
        <v xml:space="preserve"> </v>
      </c>
      <c r="LC171" s="47" t="str">
        <f t="shared" si="839"/>
        <v xml:space="preserve"> </v>
      </c>
      <c r="LD171" s="57" t="str">
        <f t="shared" si="839"/>
        <v xml:space="preserve"> </v>
      </c>
      <c r="LE171" s="47" t="str">
        <f t="shared" si="839"/>
        <v xml:space="preserve"> </v>
      </c>
      <c r="LF171" s="47" t="str">
        <f t="shared" si="839"/>
        <v xml:space="preserve"> </v>
      </c>
      <c r="LG171" s="47" t="str">
        <f t="shared" si="839"/>
        <v xml:space="preserve"> </v>
      </c>
      <c r="LH171" s="47" t="str">
        <f t="shared" ref="LH171:NM171" si="840">IF(LH69="",LH172,$C171&amp;"("&amp;LH69&amp;"),"&amp;LH172)</f>
        <v xml:space="preserve"> </v>
      </c>
      <c r="LI171" s="47" t="str">
        <f t="shared" si="840"/>
        <v xml:space="preserve"> </v>
      </c>
      <c r="LJ171" s="57" t="str">
        <f t="shared" si="840"/>
        <v xml:space="preserve"> </v>
      </c>
      <c r="LK171" s="47" t="str">
        <f t="shared" si="840"/>
        <v xml:space="preserve"> </v>
      </c>
      <c r="LL171" s="47" t="str">
        <f t="shared" si="840"/>
        <v xml:space="preserve"> </v>
      </c>
      <c r="LM171" s="47" t="str">
        <f t="shared" si="840"/>
        <v xml:space="preserve"> </v>
      </c>
      <c r="LN171" s="47" t="str">
        <f t="shared" si="840"/>
        <v xml:space="preserve"> </v>
      </c>
      <c r="LO171" s="47" t="str">
        <f t="shared" si="840"/>
        <v xml:space="preserve"> </v>
      </c>
      <c r="LP171" s="57" t="str">
        <f t="shared" si="840"/>
        <v xml:space="preserve"> </v>
      </c>
      <c r="LQ171" s="47" t="str">
        <f t="shared" si="840"/>
        <v xml:space="preserve"> </v>
      </c>
      <c r="LR171" s="47" t="str">
        <f t="shared" si="840"/>
        <v xml:space="preserve"> </v>
      </c>
      <c r="LS171" s="47" t="str">
        <f t="shared" si="840"/>
        <v xml:space="preserve"> </v>
      </c>
      <c r="LT171" s="47" t="str">
        <f t="shared" si="840"/>
        <v xml:space="preserve"> </v>
      </c>
      <c r="LU171" s="47" t="str">
        <f t="shared" si="840"/>
        <v xml:space="preserve"> </v>
      </c>
      <c r="LV171" s="57" t="str">
        <f t="shared" si="840"/>
        <v xml:space="preserve"> </v>
      </c>
      <c r="LW171" s="47" t="str">
        <f t="shared" si="840"/>
        <v xml:space="preserve"> </v>
      </c>
      <c r="LX171" s="47" t="str">
        <f t="shared" si="840"/>
        <v xml:space="preserve"> </v>
      </c>
      <c r="LY171" s="47" t="str">
        <f t="shared" si="840"/>
        <v xml:space="preserve"> </v>
      </c>
      <c r="LZ171" s="47" t="str">
        <f t="shared" si="840"/>
        <v xml:space="preserve"> </v>
      </c>
      <c r="MA171" s="47" t="str">
        <f t="shared" si="840"/>
        <v xml:space="preserve"> </v>
      </c>
      <c r="MB171" s="57" t="str">
        <f t="shared" si="840"/>
        <v xml:space="preserve"> </v>
      </c>
      <c r="MC171" s="47" t="str">
        <f t="shared" si="840"/>
        <v xml:space="preserve"> </v>
      </c>
      <c r="MD171" s="47" t="str">
        <f t="shared" si="840"/>
        <v xml:space="preserve"> </v>
      </c>
      <c r="ME171" s="47" t="str">
        <f t="shared" si="840"/>
        <v xml:space="preserve"> </v>
      </c>
      <c r="MF171" s="47" t="str">
        <f t="shared" si="840"/>
        <v xml:space="preserve"> </v>
      </c>
      <c r="MG171" s="47" t="str">
        <f t="shared" si="840"/>
        <v xml:space="preserve"> </v>
      </c>
      <c r="MH171" s="57" t="str">
        <f t="shared" si="840"/>
        <v xml:space="preserve"> </v>
      </c>
      <c r="MI171" s="47" t="str">
        <f t="shared" si="840"/>
        <v xml:space="preserve"> </v>
      </c>
      <c r="MJ171" s="47" t="str">
        <f t="shared" si="840"/>
        <v xml:space="preserve"> </v>
      </c>
      <c r="MK171" s="47" t="str">
        <f t="shared" si="840"/>
        <v xml:space="preserve"> </v>
      </c>
      <c r="ML171" s="47" t="str">
        <f t="shared" si="840"/>
        <v xml:space="preserve"> </v>
      </c>
      <c r="MM171" s="47" t="str">
        <f t="shared" si="840"/>
        <v xml:space="preserve"> </v>
      </c>
      <c r="MN171" s="57" t="str">
        <f t="shared" si="840"/>
        <v xml:space="preserve"> </v>
      </c>
      <c r="MO171" s="47" t="str">
        <f t="shared" si="840"/>
        <v xml:space="preserve"> </v>
      </c>
      <c r="MP171" s="47" t="str">
        <f t="shared" si="840"/>
        <v xml:space="preserve"> </v>
      </c>
      <c r="MQ171" s="47" t="str">
        <f t="shared" si="840"/>
        <v xml:space="preserve"> </v>
      </c>
      <c r="MR171" s="47" t="str">
        <f t="shared" si="840"/>
        <v xml:space="preserve"> </v>
      </c>
      <c r="MS171" s="47" t="str">
        <f t="shared" si="840"/>
        <v xml:space="preserve"> </v>
      </c>
      <c r="MT171" s="57" t="str">
        <f t="shared" si="840"/>
        <v xml:space="preserve"> </v>
      </c>
      <c r="MU171" s="47" t="str">
        <f t="shared" si="840"/>
        <v xml:space="preserve"> </v>
      </c>
      <c r="MV171" s="47" t="str">
        <f t="shared" si="840"/>
        <v xml:space="preserve"> </v>
      </c>
      <c r="MW171" s="47" t="str">
        <f t="shared" si="840"/>
        <v xml:space="preserve"> </v>
      </c>
      <c r="MX171" s="47" t="str">
        <f t="shared" si="840"/>
        <v xml:space="preserve"> </v>
      </c>
      <c r="MY171" s="47" t="str">
        <f t="shared" si="840"/>
        <v xml:space="preserve"> </v>
      </c>
      <c r="MZ171" s="57" t="str">
        <f t="shared" si="840"/>
        <v xml:space="preserve"> </v>
      </c>
      <c r="NA171" s="47" t="str">
        <f t="shared" si="840"/>
        <v xml:space="preserve"> </v>
      </c>
      <c r="NB171" s="47" t="str">
        <f t="shared" si="840"/>
        <v xml:space="preserve"> </v>
      </c>
      <c r="NC171" s="47" t="str">
        <f t="shared" si="840"/>
        <v xml:space="preserve"> </v>
      </c>
      <c r="ND171" s="47" t="str">
        <f t="shared" si="840"/>
        <v xml:space="preserve"> </v>
      </c>
      <c r="NE171" s="47" t="str">
        <f t="shared" si="840"/>
        <v xml:space="preserve"> </v>
      </c>
      <c r="NF171" s="57" t="str">
        <f t="shared" si="840"/>
        <v xml:space="preserve"> </v>
      </c>
      <c r="NG171" s="47" t="str">
        <f t="shared" si="840"/>
        <v xml:space="preserve"> </v>
      </c>
      <c r="NH171" s="47" t="str">
        <f t="shared" si="840"/>
        <v xml:space="preserve"> </v>
      </c>
      <c r="NI171" s="47" t="str">
        <f t="shared" si="840"/>
        <v xml:space="preserve"> </v>
      </c>
      <c r="NJ171" s="47" t="str">
        <f t="shared" si="840"/>
        <v xml:space="preserve"> </v>
      </c>
      <c r="NK171" s="47" t="str">
        <f t="shared" si="840"/>
        <v xml:space="preserve"> </v>
      </c>
      <c r="NL171" s="57" t="str">
        <f t="shared" si="840"/>
        <v xml:space="preserve"> </v>
      </c>
      <c r="NM171" s="47" t="str">
        <f t="shared" si="840"/>
        <v xml:space="preserve"> </v>
      </c>
    </row>
    <row r="172" spans="3:377" ht="15.75" customHeight="1">
      <c r="C172" s="7" t="str">
        <f t="shared" ref="C172:C203" si="841">C70</f>
        <v>negotiation</v>
      </c>
      <c r="D172" s="21" t="str">
        <f t="shared" si="651"/>
        <v xml:space="preserve"> </v>
      </c>
      <c r="E172" s="21" t="str">
        <f t="shared" ref="E172:E203" si="842">IF(E70="",E173,$C172&amp;"("&amp;E70&amp;","&amp;F70&amp;"), "&amp;E173)</f>
        <v xml:space="preserve"> </v>
      </c>
      <c r="F172" s="21" t="str">
        <f t="shared" si="651"/>
        <v xml:space="preserve"> </v>
      </c>
      <c r="G172" s="21" t="str">
        <f t="shared" ref="G172:G203" si="843">IF(G70="",G173,$C172&amp;"("&amp;G70&amp;"), "&amp;G173)</f>
        <v xml:space="preserve"> </v>
      </c>
      <c r="H172" s="21" t="str">
        <f t="shared" ref="H172:H203" si="844">IF(H70="",H173,$C172&amp;"("&amp;H70&amp;","&amp;I70&amp;"), "&amp;H173)</f>
        <v xml:space="preserve"> </v>
      </c>
      <c r="I172" s="21" t="str">
        <f t="shared" ref="I172" si="845">IF(I70="",I173,$C172&amp;"("&amp;I70&amp;"),"&amp;I173)</f>
        <v xml:space="preserve"> </v>
      </c>
      <c r="J172" s="21" t="str">
        <f t="shared" ref="J172" si="846">IF(J70="",J173,$C172&amp;" "&amp;J70&amp;CHAR(10)&amp;J173)</f>
        <v xml:space="preserve">interaction 1
 </v>
      </c>
      <c r="K172" s="21" t="str">
        <f t="shared" si="654"/>
        <v xml:space="preserve"> </v>
      </c>
      <c r="L172" s="21" t="str">
        <f t="shared" ref="L172" si="847">IF(L70="",L173,$C172&amp;" "&amp;L70&amp;CHAR(10)&amp;L173)</f>
        <v xml:space="preserve"> </v>
      </c>
      <c r="M172" s="21" t="str">
        <f t="shared" si="656"/>
        <v xml:space="preserve">social innovation(1), non-profit biz(1),  </v>
      </c>
      <c r="N172" s="21" t="str">
        <f t="shared" si="657"/>
        <v xml:space="preserve"> </v>
      </c>
      <c r="O172" s="21" t="str">
        <f t="shared" si="658"/>
        <v xml:space="preserve"> </v>
      </c>
      <c r="P172" s="21" t="str">
        <f t="shared" ref="P172" si="848">IF(P70="",P173,$C172&amp;" "&amp;P70&amp;CHAR(10)&amp;P173)</f>
        <v xml:space="preserve">biz project 1
 </v>
      </c>
      <c r="Q172" s="21" t="str">
        <f t="shared" si="660"/>
        <v xml:space="preserve"> </v>
      </c>
      <c r="R172" s="21" t="str">
        <f t="shared" ref="R172" si="849">IF(R70="",R173,$C172&amp;" "&amp;R70&amp;CHAR(10)&amp;R173)</f>
        <v xml:space="preserve"> </v>
      </c>
      <c r="S172" s="21" t="str">
        <f t="shared" si="662"/>
        <v xml:space="preserve">biz enhancement(1), business(1), start-up(1),  </v>
      </c>
      <c r="T172" s="21" t="str">
        <f t="shared" si="663"/>
        <v xml:space="preserve"> </v>
      </c>
      <c r="U172" s="21" t="str">
        <f t="shared" si="658"/>
        <v xml:space="preserve"> </v>
      </c>
      <c r="V172" s="21" t="str">
        <f t="shared" ref="V172" si="850">IF(V70="",V173,$C172&amp;" "&amp;V70&amp;CHAR(10)&amp;V173)</f>
        <v xml:space="preserve"> </v>
      </c>
      <c r="W172" s="21" t="str">
        <f t="shared" si="665"/>
        <v xml:space="preserve"> </v>
      </c>
      <c r="X172" s="21" t="str">
        <f t="shared" ref="X172" si="851">IF(X70="",X173,$C172&amp;" "&amp;X70&amp;CHAR(10)&amp;X173)</f>
        <v xml:space="preserve"> </v>
      </c>
      <c r="Y172" s="21" t="str">
        <f t="shared" si="667"/>
        <v xml:space="preserve">biz project(1), biz enhancement(1), job creation(1), business(1),  </v>
      </c>
      <c r="Z172" s="21" t="str">
        <f t="shared" si="668"/>
        <v xml:space="preserve"> </v>
      </c>
      <c r="AA172" s="21" t="str">
        <f t="shared" si="658"/>
        <v xml:space="preserve"> </v>
      </c>
      <c r="AB172" s="21" t="str">
        <f t="shared" ref="AB172" si="852">IF(AB70="",AB173,$C172&amp;" "&amp;AB70&amp;CHAR(10)&amp;AB173)</f>
        <v xml:space="preserve"> </v>
      </c>
      <c r="AC172" s="21" t="str">
        <f t="shared" si="670"/>
        <v xml:space="preserve"> </v>
      </c>
      <c r="AD172" s="21" t="str">
        <f t="shared" ref="AD172" si="853">IF(AD70="",AD173,$C172&amp;" "&amp;AD70&amp;CHAR(10)&amp;AD173)</f>
        <v xml:space="preserve"> </v>
      </c>
      <c r="AE172" s="21" t="str">
        <f t="shared" si="672"/>
        <v xml:space="preserve">social project(1), social innovation(1), non-profit biz(1),  </v>
      </c>
      <c r="AF172" s="21" t="str">
        <f t="shared" si="673"/>
        <v xml:space="preserve"> </v>
      </c>
      <c r="AG172" s="21" t="str">
        <f t="shared" si="658"/>
        <v xml:space="preserve"> </v>
      </c>
      <c r="AH172" s="21" t="str">
        <f t="shared" ref="AH172" si="854">IF(AH70="",AH173,$C172&amp;" "&amp;AH70&amp;CHAR(10)&amp;AH173)</f>
        <v xml:space="preserve"> </v>
      </c>
      <c r="AI172" s="21" t="str">
        <f t="shared" si="675"/>
        <v xml:space="preserve"> </v>
      </c>
      <c r="AJ172" s="21" t="str">
        <f t="shared" ref="AJ172" si="855">IF(AJ70="",AJ173,$C172&amp;" "&amp;AJ70&amp;CHAR(10)&amp;AJ173)</f>
        <v xml:space="preserve"> </v>
      </c>
      <c r="AK172" s="21" t="str">
        <f t="shared" si="677"/>
        <v xml:space="preserve">social project(1), social innovation(1), non-profit biz(1),  </v>
      </c>
      <c r="AL172" s="21" t="str">
        <f t="shared" si="678"/>
        <v xml:space="preserve"> </v>
      </c>
      <c r="AM172" s="21" t="str">
        <f t="shared" si="658"/>
        <v xml:space="preserve"> </v>
      </c>
      <c r="AN172" s="21" t="str">
        <f t="shared" ref="AN172" si="856">IF(AN70="",AN173,$C172&amp;" "&amp;AN70&amp;CHAR(10)&amp;AN173)</f>
        <v xml:space="preserve"> </v>
      </c>
      <c r="AO172" s="21" t="str">
        <f t="shared" si="680"/>
        <v xml:space="preserve"> </v>
      </c>
      <c r="AP172" s="21" t="str">
        <f t="shared" ref="AP172" si="857">IF(AP70="",AP173,$C172&amp;" "&amp;AP70&amp;CHAR(10)&amp;AP173)</f>
        <v xml:space="preserve"> </v>
      </c>
      <c r="AQ172" s="21" t="str">
        <f t="shared" si="682"/>
        <v xml:space="preserve">start-up(1), start-up with mvp(1), start-up with customers(1),  </v>
      </c>
      <c r="AR172" s="21" t="str">
        <f t="shared" si="683"/>
        <v xml:space="preserve"> </v>
      </c>
      <c r="AS172" s="21" t="str">
        <f t="shared" si="658"/>
        <v xml:space="preserve"> </v>
      </c>
      <c r="AT172" s="21" t="str">
        <f t="shared" ref="AT172" si="858">IF(AT70="",AT173,$C172&amp;" "&amp;AT70&amp;CHAR(10)&amp;AT173)</f>
        <v xml:space="preserve">social project 1
 </v>
      </c>
      <c r="AU172" s="21" t="str">
        <f t="shared" si="685"/>
        <v xml:space="preserve"> </v>
      </c>
      <c r="AV172" s="21" t="str">
        <f t="shared" ref="AV172" si="859">IF(AV70="",AV173,$C172&amp;" "&amp;AV70&amp;CHAR(10)&amp;AV173)</f>
        <v xml:space="preserve"> </v>
      </c>
      <c r="AW172" s="21" t="str">
        <f t="shared" si="687"/>
        <v xml:space="preserve"> </v>
      </c>
      <c r="AX172" s="21" t="str">
        <f t="shared" si="688"/>
        <v xml:space="preserve"> </v>
      </c>
      <c r="AY172" s="21" t="str">
        <f t="shared" si="658"/>
        <v xml:space="preserve"> </v>
      </c>
      <c r="AZ172" s="21" t="str">
        <f t="shared" ref="AZ172" si="860">IF(AZ70="",AZ173,$C172&amp;" "&amp;AZ70&amp;CHAR(10)&amp;AZ173)</f>
        <v xml:space="preserve"> </v>
      </c>
      <c r="BA172" s="21" t="str">
        <f t="shared" si="690"/>
        <v xml:space="preserve"> </v>
      </c>
      <c r="BB172" s="21" t="str">
        <f t="shared" ref="BB172" si="861">IF(BB70="",BB173,$C172&amp;" "&amp;BB70&amp;CHAR(10)&amp;BB173)</f>
        <v xml:space="preserve"> </v>
      </c>
      <c r="BC172" s="21" t="str">
        <f t="shared" si="692"/>
        <v xml:space="preserve"> </v>
      </c>
      <c r="BD172" s="21" t="str">
        <f t="shared" si="693"/>
        <v xml:space="preserve"> </v>
      </c>
      <c r="BE172" s="21" t="str">
        <f t="shared" si="658"/>
        <v xml:space="preserve"> </v>
      </c>
      <c r="BF172" s="21" t="str">
        <f t="shared" ref="BF172" si="862">IF(BF70="",BF173,$C172&amp;" "&amp;BF70&amp;CHAR(10)&amp;BF173)</f>
        <v xml:space="preserve">biz project 1
 </v>
      </c>
      <c r="BG172" s="21" t="str">
        <f t="shared" si="695"/>
        <v xml:space="preserve"> </v>
      </c>
      <c r="BH172" s="21" t="str">
        <f t="shared" ref="BH172" si="863">IF(BH70="",BH173,$C172&amp;" "&amp;BH70&amp;CHAR(10)&amp;BH173)</f>
        <v xml:space="preserve"> </v>
      </c>
      <c r="BI172" s="21" t="str">
        <f t="shared" si="697"/>
        <v xml:space="preserve"> </v>
      </c>
      <c r="BJ172" s="21" t="str">
        <f t="shared" si="698"/>
        <v xml:space="preserve"> </v>
      </c>
      <c r="BK172" s="21" t="str">
        <f t="shared" si="658"/>
        <v xml:space="preserve"> </v>
      </c>
      <c r="BL172" s="21" t="str">
        <f t="shared" ref="BL172" si="864">IF(BL70="",BL173,$C172&amp;" "&amp;BL70&amp;CHAR(10)&amp;BL173)</f>
        <v xml:space="preserve">biz enhancement 1
 </v>
      </c>
      <c r="BM172" s="21" t="str">
        <f t="shared" si="700"/>
        <v xml:space="preserve"> </v>
      </c>
      <c r="BN172" s="21" t="str">
        <f t="shared" ref="BN172" si="865">IF(BN70="",BN173,$C172&amp;" "&amp;BN70&amp;CHAR(10)&amp;BN173)</f>
        <v xml:space="preserve"> </v>
      </c>
      <c r="BO172" s="21" t="str">
        <f t="shared" si="702"/>
        <v xml:space="preserve"> </v>
      </c>
      <c r="BP172" s="21" t="str">
        <f t="shared" si="703"/>
        <v xml:space="preserve"> </v>
      </c>
      <c r="BQ172" s="21" t="str">
        <f t="shared" si="658"/>
        <v xml:space="preserve"> </v>
      </c>
      <c r="BR172" s="21" t="str">
        <f t="shared" ref="BR172" si="866">IF(BR70="",BR173,$C172&amp;" "&amp;BR70&amp;CHAR(10)&amp;BR173)</f>
        <v xml:space="preserve"> </v>
      </c>
      <c r="BS172" s="21" t="str">
        <f t="shared" si="705"/>
        <v xml:space="preserve"> </v>
      </c>
      <c r="BT172" s="21" t="str">
        <f t="shared" ref="BT172" si="867">IF(BT70="",BT173,$C172&amp;" "&amp;BT70&amp;CHAR(10)&amp;BT173)</f>
        <v xml:space="preserve"> </v>
      </c>
      <c r="BU172" s="21" t="str">
        <f t="shared" si="707"/>
        <v xml:space="preserve"> </v>
      </c>
      <c r="BV172" s="21" t="str">
        <f t="shared" si="708"/>
        <v xml:space="preserve"> </v>
      </c>
      <c r="BW172" s="21" t="str">
        <f t="shared" si="658"/>
        <v xml:space="preserve"> </v>
      </c>
      <c r="BX172" s="21" t="str">
        <f t="shared" ref="BX172" si="868">IF(BX70="",BX173,$C172&amp;" "&amp;BX70&amp;CHAR(10)&amp;BX173)</f>
        <v xml:space="preserve"> </v>
      </c>
      <c r="BY172" s="21" t="str">
        <f t="shared" si="710"/>
        <v xml:space="preserve"> </v>
      </c>
      <c r="BZ172" s="21" t="str">
        <f t="shared" ref="BZ172" si="869">IF(BZ70="",BZ173,$C172&amp;" "&amp;BZ70&amp;CHAR(10)&amp;BZ173)</f>
        <v xml:space="preserve"> </v>
      </c>
      <c r="CA172" s="21" t="str">
        <f t="shared" si="712"/>
        <v xml:space="preserve">negotiation(1),  </v>
      </c>
      <c r="CB172" s="21" t="str">
        <f t="shared" si="713"/>
        <v xml:space="preserve"> </v>
      </c>
      <c r="CC172" s="21" t="str">
        <f t="shared" si="714"/>
        <v xml:space="preserve"> </v>
      </c>
      <c r="CD172" s="21" t="str">
        <f t="shared" ref="CD172" si="870">IF(CD70="",CD173,$C172&amp;" "&amp;CD70&amp;CHAR(10)&amp;CD173)</f>
        <v xml:space="preserve"> </v>
      </c>
      <c r="CE172" s="21" t="str">
        <f t="shared" si="716"/>
        <v xml:space="preserve"> </v>
      </c>
      <c r="CF172" s="21" t="str">
        <f t="shared" ref="CF172" si="871">IF(CF70="",CF173,$C172&amp;" "&amp;CF70&amp;CHAR(10)&amp;CF173)</f>
        <v xml:space="preserve"> </v>
      </c>
      <c r="CG172" s="21" t="str">
        <f t="shared" si="718"/>
        <v xml:space="preserve">negotiation(1), social project(1), biz project(1), for basic literacy(1), for the elites(1), for entrepreneurs(1),  </v>
      </c>
      <c r="CH172" s="21" t="str">
        <f t="shared" si="719"/>
        <v xml:space="preserve"> </v>
      </c>
      <c r="CI172" s="21" t="str">
        <f t="shared" si="714"/>
        <v xml:space="preserve"> </v>
      </c>
      <c r="CJ172" s="21" t="str">
        <f t="shared" ref="CJ172" si="872">IF(CJ70="",CJ173,$C172&amp;" "&amp;CJ70&amp;CHAR(10)&amp;CJ173)</f>
        <v xml:space="preserve"> </v>
      </c>
      <c r="CK172" s="21" t="str">
        <f t="shared" si="721"/>
        <v xml:space="preserve"> </v>
      </c>
      <c r="CL172" s="21" t="str">
        <f t="shared" ref="CL172" si="873">IF(CL70="",CL173,$C172&amp;" "&amp;CL70&amp;CHAR(10)&amp;CL173)</f>
        <v xml:space="preserve"> </v>
      </c>
      <c r="CM172" s="21" t="str">
        <f t="shared" si="723"/>
        <v xml:space="preserve">negotiation(1),  </v>
      </c>
      <c r="CN172" s="21" t="str">
        <f t="shared" si="724"/>
        <v xml:space="preserve"> </v>
      </c>
      <c r="CO172" s="21" t="str">
        <f t="shared" si="714"/>
        <v xml:space="preserve"> </v>
      </c>
      <c r="CP172" s="21" t="str">
        <f t="shared" ref="CP172" si="874">IF(CP70="",CP173,$C172&amp;" "&amp;CP70&amp;CHAR(10)&amp;CP173)</f>
        <v xml:space="preserve"> </v>
      </c>
      <c r="CQ172" s="21" t="str">
        <f t="shared" si="726"/>
        <v xml:space="preserve"> </v>
      </c>
      <c r="CR172" s="21" t="str">
        <f t="shared" ref="CR172" si="875">IF(CR70="",CR173,$C172&amp;" "&amp;CR70&amp;CHAR(10)&amp;CR173)</f>
        <v xml:space="preserve"> </v>
      </c>
      <c r="CS172" s="21" t="str">
        <f t="shared" si="728"/>
        <v xml:space="preserve">negotiation(1), web(1), infrastructrue(1), database(1), mobile apps(1), sensors(1), security(1), AI&amp; data analysis(1), mobile comm(1), VR&amp;AR(1), wood processing(1), metal processing(1), plastic processing(1), electronics(1), fabric(1),  </v>
      </c>
      <c r="CT172" s="21" t="str">
        <f t="shared" si="729"/>
        <v xml:space="preserve"> </v>
      </c>
      <c r="CU172" s="21" t="str">
        <f t="shared" si="714"/>
        <v xml:space="preserve"> </v>
      </c>
      <c r="CV172" s="21" t="str">
        <f t="shared" ref="CV172" si="876">IF(CV70="",CV173,$C172&amp;" "&amp;CV70&amp;CHAR(10)&amp;CV173)</f>
        <v xml:space="preserve"> </v>
      </c>
      <c r="CW172" s="21" t="str">
        <f t="shared" si="731"/>
        <v xml:space="preserve"> </v>
      </c>
      <c r="CX172" s="21" t="str">
        <f t="shared" ref="CX172" si="877">IF(CX70="",CX173,$C172&amp;" "&amp;CX70&amp;CHAR(10)&amp;CX173)</f>
        <v xml:space="preserve"> </v>
      </c>
      <c r="CY172" s="21" t="str">
        <f t="shared" si="733"/>
        <v xml:space="preserve">negotiation(1),  </v>
      </c>
      <c r="CZ172" s="21" t="str">
        <f t="shared" si="734"/>
        <v xml:space="preserve"> </v>
      </c>
      <c r="DA172" s="21" t="str">
        <f t="shared" si="714"/>
        <v xml:space="preserve"> </v>
      </c>
      <c r="DB172" s="21" t="str">
        <f t="shared" ref="DB172" si="878">IF(DB70="",DB173,$C172&amp;" "&amp;DB70&amp;CHAR(10)&amp;DB173)</f>
        <v xml:space="preserve"> </v>
      </c>
      <c r="DC172" s="21" t="str">
        <f t="shared" si="736"/>
        <v xml:space="preserve"> </v>
      </c>
      <c r="DD172" s="21" t="str">
        <f t="shared" ref="DD172" si="879">IF(DD70="",DD173,$C172&amp;" "&amp;DD70&amp;CHAR(10)&amp;DD173)</f>
        <v xml:space="preserve"> </v>
      </c>
      <c r="DE172" s="21" t="str">
        <f t="shared" si="738"/>
        <v xml:space="preserve">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2" s="21" t="str">
        <f t="shared" si="739"/>
        <v xml:space="preserve"> </v>
      </c>
      <c r="DG172" s="21" t="str">
        <f t="shared" si="714"/>
        <v xml:space="preserve"> </v>
      </c>
      <c r="DH172" s="21" t="str">
        <f t="shared" ref="DH172" si="880">IF(DH70="",DH173,$C172&amp;" "&amp;DH70&amp;CHAR(10)&amp;DH173)</f>
        <v xml:space="preserve">social project 1
 </v>
      </c>
      <c r="DI172" s="21" t="str">
        <f t="shared" si="741"/>
        <v xml:space="preserve"> </v>
      </c>
      <c r="DJ172" s="21" t="str">
        <f t="shared" ref="DJ172" si="881">IF(DJ70="",DJ173,$C172&amp;" "&amp;DJ70&amp;CHAR(10)&amp;DJ173)</f>
        <v xml:space="preserve"> </v>
      </c>
      <c r="DK172" s="21" t="str">
        <f t="shared" si="743"/>
        <v xml:space="preserve">negotiation(1), 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72" s="21" t="str">
        <f t="shared" si="744"/>
        <v xml:space="preserve"> </v>
      </c>
      <c r="DM172" s="21" t="str">
        <f t="shared" si="714"/>
        <v xml:space="preserve"> </v>
      </c>
      <c r="DN172" s="21" t="str">
        <f t="shared" ref="DN172" si="882">IF(DN70="",DN173,$C172&amp;" "&amp;DN70&amp;CHAR(10)&amp;DN173)</f>
        <v xml:space="preserve">biz project 1
 </v>
      </c>
      <c r="DO172" s="21" t="str">
        <f t="shared" si="746"/>
        <v xml:space="preserve"> </v>
      </c>
      <c r="DP172" s="21" t="str">
        <f t="shared" ref="DP172" si="883">IF(DP70="",DP173,$C172&amp;" "&amp;DP70&amp;CHAR(10)&amp;DP173)</f>
        <v xml:space="preserve"> </v>
      </c>
      <c r="DQ172" s="21" t="str">
        <f t="shared" si="748"/>
        <v xml:space="preserve">negotiation(1), 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2" s="21" t="str">
        <f t="shared" si="749"/>
        <v xml:space="preserve"> </v>
      </c>
      <c r="DS172" s="21" t="str">
        <f t="shared" si="714"/>
        <v xml:space="preserve"> </v>
      </c>
      <c r="DT172" s="21" t="str">
        <f t="shared" ref="DT172" si="884">IF(DT70="",DT173,$C172&amp;" "&amp;DT70&amp;CHAR(10)&amp;DT173)</f>
        <v xml:space="preserve"> </v>
      </c>
      <c r="DU172" s="21" t="str">
        <f t="shared" si="751"/>
        <v xml:space="preserve"> </v>
      </c>
      <c r="DV172" s="21" t="str">
        <f t="shared" ref="DV172" si="885">IF(DV70="",DV173,$C172&amp;" "&amp;DV70&amp;CHAR(10)&amp;DV173)</f>
        <v xml:space="preserve"> </v>
      </c>
      <c r="DW172" s="21" t="str">
        <f t="shared" si="753"/>
        <v xml:space="preserve">for basic literacy(1),  </v>
      </c>
      <c r="DX172" s="21" t="str">
        <f t="shared" si="754"/>
        <v xml:space="preserve">for basic literacy(1,6.25),  </v>
      </c>
      <c r="DY172" s="21" t="str">
        <f t="shared" si="714"/>
        <v xml:space="preserve">for basic literacy(6.25), </v>
      </c>
      <c r="DZ172" s="21" t="str">
        <f t="shared" ref="DZ172" si="886">IF(DZ70="",DZ173,$C172&amp;" "&amp;DZ70&amp;CHAR(10)&amp;DZ173)</f>
        <v xml:space="preserve"> </v>
      </c>
      <c r="EA172" s="21" t="str">
        <f t="shared" si="756"/>
        <v xml:space="preserve"> </v>
      </c>
      <c r="EB172" s="21" t="str">
        <f t="shared" ref="EB172" si="887">IF(EB70="",EB173,$C172&amp;" "&amp;EB70&amp;CHAR(10)&amp;EB173)</f>
        <v xml:space="preserve"> </v>
      </c>
      <c r="EC172" s="21" t="str">
        <f t="shared" si="758"/>
        <v xml:space="preserve">web(2), infrastructrue(2), database(2), mobile apps(2), sensors(2), security(2), AI&amp; data analysis(2), mobile comm(2), VR&amp;AR(2), wood processing(2), metal processing(2), plastic processing(2), electronics(2), fabric(2), for basic literacy(1),  </v>
      </c>
      <c r="ED172" s="21" t="str">
        <f t="shared" si="759"/>
        <v xml:space="preserve">for basic literacy(1,6.25),  </v>
      </c>
      <c r="EE172" s="21" t="str">
        <f t="shared" si="714"/>
        <v xml:space="preserve">for basic literacy(6.25), </v>
      </c>
      <c r="EF172" s="21" t="str">
        <f t="shared" ref="EF172" si="888">IF(EF70="",EF173,$C172&amp;" "&amp;EF70&amp;CHAR(10)&amp;EF173)</f>
        <v xml:space="preserve"> </v>
      </c>
      <c r="EG172" s="21" t="str">
        <f t="shared" si="761"/>
        <v xml:space="preserve">web(1,50), mobile apps(1,50), interaction(1,50),  </v>
      </c>
      <c r="EH172" s="21" t="str">
        <f t="shared" ref="EH172" si="889">IF(EH70="",EH173,$C172&amp;" "&amp;EH70&amp;CHAR(10)&amp;EH173)</f>
        <v xml:space="preserve">web 50
mobile apps 50
interaction 50
 </v>
      </c>
      <c r="EI172" s="21" t="str">
        <f t="shared" si="763"/>
        <v xml:space="preserve">infrastructrue(1), database(1), mobile comm(1), for entrepreneurs(1),  </v>
      </c>
      <c r="EJ172" s="21" t="str">
        <f t="shared" si="764"/>
        <v xml:space="preserve">infrastructrue(1,12.5), database(1,12.5), mobile comm(1,12.5), for entrepreneurs(1,6.25),  </v>
      </c>
      <c r="EK172" s="21" t="str">
        <f t="shared" si="714"/>
        <v xml:space="preserve">infrastructrue(12.5),database(12.5),mobile comm(12.5),for entrepreneurs(6.25), </v>
      </c>
      <c r="EL172" s="21" t="str">
        <f t="shared" ref="EL172" si="890">IF(EL70="",EL173,$C172&amp;" "&amp;EL70&amp;CHAR(10)&amp;EL173)</f>
        <v xml:space="preserve"> </v>
      </c>
      <c r="EM172" s="21" t="str">
        <f t="shared" si="766"/>
        <v xml:space="preserve">sensors(1,50),  </v>
      </c>
      <c r="EN172" s="21" t="str">
        <f t="shared" ref="EN172" si="891">IF(EN70="",EN173,$C172&amp;" "&amp;EN70&amp;CHAR(10)&amp;EN173)</f>
        <v xml:space="preserve">sensors 50
 </v>
      </c>
      <c r="EO172" s="21" t="str">
        <f t="shared" si="768"/>
        <v xml:space="preserve">infrastructrue(1), database(1), mobile comm(1), for entrepreneurs(1),  </v>
      </c>
      <c r="EP172" s="21" t="str">
        <f t="shared" si="769"/>
        <v xml:space="preserve">infrastructrue(1,12.5), database(1,12.5), mobile comm(1,12.5), electronics(1,6.25), for entrepreneurs(1,6.25),  </v>
      </c>
      <c r="EQ172" s="21" t="str">
        <f t="shared" si="770"/>
        <v xml:space="preserve">infrastructrue(12.5),database(12.5),mobile comm(12.5),electronics(6.25),for entrepreneurs(6.25), </v>
      </c>
      <c r="ER172" s="21" t="str">
        <f t="shared" ref="ER172" si="892">IF(ER70="",ER173,$C172&amp;" "&amp;ER70&amp;CHAR(10)&amp;ER173)</f>
        <v xml:space="preserve"> </v>
      </c>
      <c r="ES172" s="21" t="str">
        <f t="shared" si="772"/>
        <v xml:space="preserve">AI&amp; data analysis(1,50),  </v>
      </c>
      <c r="ET172" s="21" t="str">
        <f t="shared" ref="ET172" si="893">IF(ET70="",ET173,$C172&amp;" "&amp;ET70&amp;CHAR(10)&amp;ET173)</f>
        <v xml:space="preserve">AI&amp; data analysis 50
 </v>
      </c>
      <c r="EU172" s="21" t="str">
        <f t="shared" si="774"/>
        <v xml:space="preserve">database(1), sensors(1), mobile comm(1), for entrepreneurs(1),  </v>
      </c>
      <c r="EV172" s="21" t="str">
        <f t="shared" si="775"/>
        <v xml:space="preserve">database(1,12.5), sensors(1,12.5), mobile comm(1,12.5), for entrepreneurs(1,6.25),  </v>
      </c>
      <c r="EW172" s="21" t="str">
        <f t="shared" si="770"/>
        <v xml:space="preserve">database(12.5),sensors(12.5),mobile comm(12.5),for entrepreneurs(6.25), </v>
      </c>
      <c r="EX172" s="21" t="str">
        <f t="shared" ref="EX172" si="894">IF(EX70="",EX173,$C172&amp;" "&amp;EX70&amp;CHAR(10)&amp;EX173)</f>
        <v xml:space="preserve"> </v>
      </c>
      <c r="EY172" s="21" t="str">
        <f t="shared" si="777"/>
        <v xml:space="preserve">security(1,50), interaction(1,25),  </v>
      </c>
      <c r="EZ172" s="21" t="str">
        <f t="shared" ref="EZ172" si="895">IF(EZ70="",EZ173,$C172&amp;" "&amp;EZ70&amp;CHAR(10)&amp;EZ173)</f>
        <v xml:space="preserve">security 50
interaction 25
 </v>
      </c>
      <c r="FA172" s="21" t="str">
        <f t="shared" si="779"/>
        <v xml:space="preserve">for entrepreneurs(1),  </v>
      </c>
      <c r="FB172" s="21" t="str">
        <f t="shared" si="780"/>
        <v xml:space="preserve">database(1,12.5), mobile apps(1,12.5), security(1,12.5), mobile comm(1,12.5), for entrepreneurs(1,6.25),  </v>
      </c>
      <c r="FC172" s="21" t="str">
        <f t="shared" si="770"/>
        <v xml:space="preserve">database(12.5),mobile apps(12.5),security(12.5),mobile comm(12.5),for entrepreneurs(6.25), </v>
      </c>
      <c r="FD172" s="21" t="str">
        <f t="shared" ref="FD172" si="896">IF(FD70="",FD173,$C172&amp;" "&amp;FD70&amp;CHAR(10)&amp;FD173)</f>
        <v xml:space="preserve"> </v>
      </c>
      <c r="FE172" s="21" t="str">
        <f t="shared" si="782"/>
        <v xml:space="preserve">sensors(1,50), security(1,50),  </v>
      </c>
      <c r="FF172" s="21" t="str">
        <f t="shared" ref="FF172" si="897">IF(FF70="",FF173,$C172&amp;" "&amp;FF70&amp;CHAR(10)&amp;FF173)</f>
        <v xml:space="preserve">sensors 50
security 50
 </v>
      </c>
      <c r="FG172" s="21" t="str">
        <f t="shared" si="784"/>
        <v xml:space="preserve">for entrepreneurs(1),  </v>
      </c>
      <c r="FH172" s="21" t="str">
        <f t="shared" si="785"/>
        <v xml:space="preserve">database(1,6.25), mobile apps(1,6.25), AI&amp; data analysis(1,6.25), mobile comm(1,6.25), for entrepreneurs(1,6.25),  </v>
      </c>
      <c r="FI172" s="21" t="str">
        <f t="shared" si="770"/>
        <v xml:space="preserve">database(6.25),mobile apps(6.25),AI&amp; data analysis(6.25),mobile comm(6.25),for entrepreneurs(6.25), </v>
      </c>
      <c r="FJ172" s="21" t="str">
        <f t="shared" ref="FJ172" si="898">IF(FJ70="",FJ173,$C172&amp;" "&amp;FJ70&amp;CHAR(10)&amp;FJ173)</f>
        <v xml:space="preserve"> </v>
      </c>
      <c r="FK172" s="21" t="str">
        <f t="shared" si="787"/>
        <v xml:space="preserve">wood processing(1,25), metal processing(1,25), plastic processing(1,25), fabric(1,25), safety(1,25), interaction(1,25),  </v>
      </c>
      <c r="FL172" s="21" t="str">
        <f t="shared" ref="FL172" si="899">IF(FL70="",FL173,$C172&amp;" "&amp;FL70&amp;CHAR(10)&amp;FL173)</f>
        <v xml:space="preserve">wood processing 25
metal processing 25
plastic processing 25
fabric 25
safety 25
interaction 25
 </v>
      </c>
      <c r="FM172" s="21" t="str">
        <f t="shared" si="789"/>
        <v xml:space="preserve">for entrepreneurs(1),  </v>
      </c>
      <c r="FN172" s="21" t="str">
        <f t="shared" si="790"/>
        <v xml:space="preserve">for entrepreneurs(1,6.25),  </v>
      </c>
      <c r="FO172" s="21" t="str">
        <f t="shared" si="770"/>
        <v xml:space="preserve">for entrepreneurs(6.25), </v>
      </c>
      <c r="FP172" s="21" t="str">
        <f t="shared" ref="FP172" si="900">IF(FP70="",FP173,$C172&amp;" "&amp;FP70&amp;CHAR(10)&amp;FP173)</f>
        <v xml:space="preserve"> </v>
      </c>
      <c r="FQ172" s="21" t="str">
        <f t="shared" si="792"/>
        <v xml:space="preserve">web(1,25), mobile apps(1,50), functions(1,25), interaction(1,25),  </v>
      </c>
      <c r="FR172" s="21" t="str">
        <f t="shared" ref="FR172" si="901">IF(FR70="",FR173,$C172&amp;" "&amp;FR70&amp;CHAR(10)&amp;FR173)</f>
        <v xml:space="preserve">web 25
mobile apps 50
functions 25
interaction 25
 </v>
      </c>
      <c r="FS172" s="21" t="str">
        <f t="shared" si="794"/>
        <v xml:space="preserve">for entrepreneurs(1),  </v>
      </c>
      <c r="FT172" s="21" t="str">
        <f t="shared" si="795"/>
        <v xml:space="preserve">for entrepreneurs(1,6.25),  </v>
      </c>
      <c r="FU172" s="21" t="str">
        <f t="shared" si="770"/>
        <v xml:space="preserve">for entrepreneurs(6.25), </v>
      </c>
      <c r="FV172" s="21" t="str">
        <f t="shared" ref="FV172" si="902">IF(FV70="",FV173,$C172&amp;" "&amp;FV70&amp;CHAR(10)&amp;FV173)</f>
        <v xml:space="preserve"> </v>
      </c>
      <c r="FW172" s="21" t="str">
        <f t="shared" si="797"/>
        <v xml:space="preserve">mobile apps(1,50), sensors(1,50), wood processing(1,25), plastic processing(1,25), electronics(1,25), functions(1,25), interaction(1,25),  </v>
      </c>
      <c r="FX172" s="21" t="str">
        <f t="shared" ref="FX172" si="903">IF(FX70="",FX173,$C172&amp;" "&amp;FX70&amp;CHAR(10)&amp;FX173)</f>
        <v xml:space="preserve">mobile apps 50
sensors 50
wood processing 25
plastic processing 25
electronics 25
functions 25
interaction 25
 </v>
      </c>
      <c r="FY172" s="21" t="str">
        <f t="shared" si="799"/>
        <v xml:space="preserve">for entrepreneurs(1),  </v>
      </c>
      <c r="FZ172" s="21" t="str">
        <f t="shared" si="800"/>
        <v xml:space="preserve">web(1,6.25), database(1,6.25), AI&amp; data analysis(1,6.25), mobile comm(1,6.25), for entrepreneurs(1,6.25),  </v>
      </c>
      <c r="GA172" s="21" t="str">
        <f t="shared" si="770"/>
        <v xml:space="preserve">web(6.25),database(6.25),AI&amp; data analysis(6.25),mobile comm(6.25),for entrepreneurs(6.25), </v>
      </c>
      <c r="GB172" s="21" t="str">
        <f t="shared" ref="GB172" si="904">IF(GB70="",GB173,$C172&amp;" "&amp;GB70&amp;CHAR(10)&amp;GB173)</f>
        <v xml:space="preserve"> </v>
      </c>
      <c r="GC172" s="21" t="str">
        <f t="shared" si="802"/>
        <v xml:space="preserve">sensors(1,25), mobile comm(1,25), electronics(1,50), functions(1,25), safety(1,25),  </v>
      </c>
      <c r="GD172" s="21" t="str">
        <f t="shared" ref="GD172" si="905">IF(GD70="",GD173,$C172&amp;" "&amp;GD70&amp;CHAR(10)&amp;GD173)</f>
        <v xml:space="preserve">sensors 25
mobile comm 25
electronics 50
functions 25
safety 25
 </v>
      </c>
      <c r="GE172" s="21" t="str">
        <f t="shared" si="804"/>
        <v xml:space="preserve">for entrepreneurs(1),  </v>
      </c>
      <c r="GF172" s="21" t="str">
        <f t="shared" si="805"/>
        <v xml:space="preserve">database(1,6.25), mobile apps(1,6.25), AI&amp; data analysis(1,6.25), plastic processing(1,6.25), interaction(1,6.25), for entrepreneurs(1,6.25),  </v>
      </c>
      <c r="GG172" s="21" t="str">
        <f t="shared" si="770"/>
        <v xml:space="preserve">database(6.25),mobile apps(6.25),AI&amp; data analysis(6.25),plastic processing(6.25),interaction(6.25),for entrepreneurs(6.25), </v>
      </c>
      <c r="GH172" s="21" t="str">
        <f t="shared" ref="GH172" si="906">IF(GH70="",GH173,$C172&amp;" "&amp;GH70&amp;CHAR(10)&amp;GH173)</f>
        <v xml:space="preserve"> </v>
      </c>
      <c r="GI172" s="21" t="str">
        <f t="shared" si="807"/>
        <v xml:space="preserve">web(1,25), mobile apps(1,50), functions(1,25), interaction(1,25),  </v>
      </c>
      <c r="GJ172" s="21" t="str">
        <f t="shared" ref="GJ172" si="907">IF(GJ70="",GJ173,$C172&amp;" "&amp;GJ70&amp;CHAR(10)&amp;GJ173)</f>
        <v xml:space="preserve">web 25
mobile apps 50
functions 25
interaction 25
 </v>
      </c>
      <c r="GK172" s="21" t="str">
        <f t="shared" si="809"/>
        <v xml:space="preserve">for entrepreneurs(1),  </v>
      </c>
      <c r="GL172" s="21" t="str">
        <f t="shared" si="810"/>
        <v xml:space="preserve">for entrepreneurs(1,6.25),  </v>
      </c>
      <c r="GM172" s="21" t="str">
        <f t="shared" si="770"/>
        <v xml:space="preserve">for entrepreneurs(6.25), </v>
      </c>
      <c r="GN172" s="21" t="str">
        <f t="shared" ref="GN172" si="908">IF(GN70="",GN173,$C172&amp;" "&amp;GN70&amp;CHAR(10)&amp;GN173)</f>
        <v xml:space="preserve"> </v>
      </c>
      <c r="GO172" s="21" t="str">
        <f t="shared" si="812"/>
        <v xml:space="preserve">web(1,25), mobile apps(1,25), VR&amp;AR(1,25), aesthetics(1,25), functions(1,25), interaction(1,50),  </v>
      </c>
      <c r="GP172" s="21" t="str">
        <f t="shared" ref="GP172" si="909">IF(GP70="",GP173,$C172&amp;" "&amp;GP70&amp;CHAR(10)&amp;GP173)</f>
        <v xml:space="preserve">web 25
mobile apps 25
VR&amp;AR 25
aesthetics 25
functions 25
interaction 50
 </v>
      </c>
      <c r="GQ172" s="21" t="str">
        <f t="shared" si="814"/>
        <v xml:space="preserve">for entrepreneurs(1),  </v>
      </c>
      <c r="GR172" s="21" t="str">
        <f t="shared" si="815"/>
        <v xml:space="preserve">for entrepreneurs(1,6.25),  </v>
      </c>
      <c r="GS172" s="21" t="str">
        <f t="shared" si="770"/>
        <v xml:space="preserve">for entrepreneurs(6.25), </v>
      </c>
      <c r="GT172" s="21" t="str">
        <f t="shared" ref="GT172" si="910">IF(GT70="",GT173,$C172&amp;" "&amp;GT70&amp;CHAR(10)&amp;GT173)</f>
        <v xml:space="preserve">web 1
mobile apps 1
mobile comm 1
 </v>
      </c>
      <c r="GU172" s="21" t="str">
        <f t="shared" si="817"/>
        <v xml:space="preserve"> </v>
      </c>
      <c r="GV172" s="21" t="str">
        <f t="shared" ref="GV172" si="911">IF(GV70="",GV173,$C172&amp;" "&amp;GV70&amp;CHAR(10)&amp;GV173)</f>
        <v xml:space="preserve"> </v>
      </c>
      <c r="GW172" s="21" t="str">
        <f t="shared" si="819"/>
        <v xml:space="preserve">infrastructrue(1), database(1), sensors(1), security(1), AI&amp; data analysis(1), electronics(1),  </v>
      </c>
      <c r="GX172" s="21" t="str">
        <f t="shared" si="820"/>
        <v xml:space="preserve">web(1,6.25), mobile apps(1,6.25),  </v>
      </c>
      <c r="GY172" s="21" t="str">
        <f t="shared" si="770"/>
        <v xml:space="preserve">web(6.25),mobile apps(6.25), </v>
      </c>
      <c r="GZ172" s="21" t="str">
        <f t="shared" ref="GZ172" si="912">IF(GZ70="",GZ173,$C172&amp;" "&amp;GZ70&amp;CHAR(10)&amp;GZ173)</f>
        <v xml:space="preserve"> </v>
      </c>
      <c r="HA172" s="21" t="str">
        <f t="shared" si="822"/>
        <v xml:space="preserve"> </v>
      </c>
      <c r="HB172" s="21" t="str">
        <f t="shared" ref="HB172" si="913">IF(HB70="",HB173,$C172&amp;" "&amp;HB70&amp;CHAR(10)&amp;HB173)</f>
        <v xml:space="preserve"> </v>
      </c>
      <c r="HC172" s="21" t="str">
        <f t="shared" si="824"/>
        <v xml:space="preserve">web(2), mobile apps(2), sensors(2), AI&amp; data analysis(2), VR&amp;AR(2), plastic processing(2), electronics(2), aesthetics(2), interaction(2),  </v>
      </c>
      <c r="HD172" s="21" t="str">
        <f t="shared" si="825"/>
        <v xml:space="preserve">start-up with customers(1,6.25), for basic literacy(1,6.25),  </v>
      </c>
      <c r="HE172" s="21" t="str">
        <f t="shared" si="826"/>
        <v xml:space="preserve">start-up with customers(6.25),for basic literacy(6.25), </v>
      </c>
      <c r="HF172" s="21" t="str">
        <f t="shared" ref="HF172" si="914">IF(HF70="",HF173,$C172&amp;" "&amp;HF70&amp;CHAR(10)&amp;HF173)</f>
        <v xml:space="preserve"> </v>
      </c>
      <c r="HG172" s="21" t="str">
        <f t="shared" si="828"/>
        <v xml:space="preserve"> </v>
      </c>
      <c r="HH172" s="21" t="str">
        <f t="shared" ref="HH172" si="915">IF(HH70="",HH173,$C172&amp;" "&amp;HH70&amp;CHAR(10)&amp;HH173)</f>
        <v xml:space="preserve"> </v>
      </c>
      <c r="HI172" s="21" t="str">
        <f t="shared" si="830"/>
        <v xml:space="preserve">mobile apps(3), sensors(2), plastic processing(2), electronics(2), aesthetics(2), functions(2), interaction(2),  </v>
      </c>
      <c r="HJ172" s="21" t="str">
        <f t="shared" si="831"/>
        <v xml:space="preserve">start-up with customers(1,6.25),  </v>
      </c>
      <c r="HK172" s="21" t="str">
        <f t="shared" si="826"/>
        <v xml:space="preserve">start-up with customers(6.25), </v>
      </c>
      <c r="HL172" s="21" t="str">
        <f t="shared" ref="HL172" si="916">IF(HL70="",HL173,$C172&amp;" "&amp;HL70&amp;CHAR(10)&amp;HL173)</f>
        <v xml:space="preserve"> </v>
      </c>
      <c r="HM172" s="21" t="str">
        <f t="shared" si="833"/>
        <v xml:space="preserve"> </v>
      </c>
      <c r="HN172" s="21" t="str">
        <f t="shared" ref="HN172" si="917">IF(HN70="",HN173,$C172&amp;" "&amp;HN70&amp;CHAR(10)&amp;HN173)</f>
        <v xml:space="preserve"> </v>
      </c>
      <c r="HO172" s="21" t="str">
        <f t="shared" si="835"/>
        <v xml:space="preserve">web(3), mobile apps(2), wood processing(3), plastic processing(3), electronics(3), aesthetics(2), interaction(2),  </v>
      </c>
      <c r="HP172" s="21" t="str">
        <f t="shared" si="836"/>
        <v xml:space="preserve"> </v>
      </c>
      <c r="HQ172" s="47" t="str">
        <f t="shared" si="826"/>
        <v xml:space="preserve"> </v>
      </c>
      <c r="HR172" s="47" t="str">
        <f t="shared" ref="HR172:HW172" si="918">IF(HR70="",HR173,$C172&amp;"("&amp;HR70&amp;"),"&amp;HR173)</f>
        <v xml:space="preserve">mobile apps(1),sensors(1),wood processing(1),aesthetics(1), </v>
      </c>
      <c r="HS172" s="47" t="str">
        <f t="shared" si="918"/>
        <v xml:space="preserve"> </v>
      </c>
      <c r="HT172" s="47" t="str">
        <f t="shared" si="918"/>
        <v xml:space="preserve"> </v>
      </c>
      <c r="HU172" s="47" t="str">
        <f t="shared" si="918"/>
        <v xml:space="preserve">web(3),infrastructrue(3),database(3),mobile apps(3),sensors(3),AI&amp; data analysis(3),mobile comm(3),VR&amp;AR(3),wood processing(3),metal processing(2),plastic processing(2),electronics(2),fabric(2),aesthetics(2),interaction(2),start-up with mvp(1), </v>
      </c>
      <c r="HV172" s="47" t="str">
        <f t="shared" si="918"/>
        <v xml:space="preserve"> </v>
      </c>
      <c r="HW172" s="47" t="str">
        <f t="shared" si="918"/>
        <v xml:space="preserve"> </v>
      </c>
      <c r="HX172" s="47" t="str">
        <f t="shared" ref="HX172:IU172" si="919">IF(HX70="",HX173,$C172&amp;"("&amp;HX70&amp;"),"&amp;HX173)</f>
        <v xml:space="preserve">web(1),infrastructrue(1),database(2),mobile apps(1),sensors(1),AI&amp; data analysis(2),VR&amp;AR(1),wood processing(1),metal processing(1),plastic processing(1),electronics(1),aesthetics(1),functions(1),interaction(1), </v>
      </c>
      <c r="HY172" s="47" t="str">
        <f t="shared" si="919"/>
        <v xml:space="preserve">biz enhancement(1), </v>
      </c>
      <c r="HZ172" s="47" t="str">
        <f t="shared" si="919"/>
        <v xml:space="preserve">biz enhancement(100), </v>
      </c>
      <c r="IA172" s="47" t="str">
        <f t="shared" si="919"/>
        <v xml:space="preserve">negotiation(3), </v>
      </c>
      <c r="IB172" s="47" t="str">
        <f t="shared" si="919"/>
        <v xml:space="preserve">database(1),AI&amp; data analysis(1),electronics(1),functions(1), </v>
      </c>
      <c r="IC172" s="47" t="str">
        <f t="shared" si="919"/>
        <v xml:space="preserve">database(6.25),AI&amp; data analysis(6.25),electronics(6.25),functions(6.25), </v>
      </c>
      <c r="ID172" s="47" t="str">
        <f t="shared" si="919"/>
        <v xml:space="preserve"> </v>
      </c>
      <c r="IE172" s="47" t="str">
        <f t="shared" si="919"/>
        <v xml:space="preserve">web(1),mobile apps(1),security(1),AI&amp; data analysis(1), </v>
      </c>
      <c r="IF172" s="47" t="str">
        <f t="shared" si="919"/>
        <v xml:space="preserve">web(25),mobile apps(25),security(25),AI&amp; data analysis(25), </v>
      </c>
      <c r="IG172" s="47" t="str">
        <f t="shared" si="919"/>
        <v xml:space="preserve">web(2),database(2),mobile apps(2),security(2),AI&amp; data analysis(2), </v>
      </c>
      <c r="IH172" s="47" t="str">
        <f t="shared" si="919"/>
        <v xml:space="preserve">web(1),database(1),mobile apps(1),security(1),AI&amp; data analysis(1), </v>
      </c>
      <c r="II172" s="47" t="str">
        <f t="shared" si="919"/>
        <v xml:space="preserve">web(6.25),database(6.25),mobile apps(6.25),security(6.25),AI&amp; data analysis(6.25), </v>
      </c>
      <c r="IJ172" s="47" t="str">
        <f t="shared" si="919"/>
        <v xml:space="preserve"> </v>
      </c>
      <c r="IK172" s="47" t="str">
        <f t="shared" si="919"/>
        <v xml:space="preserve">wood processing(1),metal processing(1),functions(1),safety(1), </v>
      </c>
      <c r="IL172" s="47" t="str">
        <f t="shared" si="919"/>
        <v xml:space="preserve">wood processing(25),metal processing(25),functions(25),safety(25), </v>
      </c>
      <c r="IM172" s="47" t="str">
        <f t="shared" si="919"/>
        <v xml:space="preserve">wood processing(2),metal processing(2),functions(2),safety(2), </v>
      </c>
      <c r="IN172" s="47" t="str">
        <f t="shared" si="919"/>
        <v xml:space="preserve">wood processing(1),metal processing(1),functions(1),safety(1),interaction(1), </v>
      </c>
      <c r="IO172" s="47" t="str">
        <f t="shared" si="919"/>
        <v xml:space="preserve">wood processing(6.25),metal processing(6.25),functions(6.25),safety(6.25),interaction(6.25), </v>
      </c>
      <c r="IP172" s="57" t="str">
        <f t="shared" si="919"/>
        <v xml:space="preserve"> </v>
      </c>
      <c r="IQ172" s="47" t="str">
        <f t="shared" si="919"/>
        <v xml:space="preserve"> </v>
      </c>
      <c r="IR172" s="47" t="str">
        <f t="shared" si="919"/>
        <v xml:space="preserve"> </v>
      </c>
      <c r="IS172" s="47" t="str">
        <f t="shared" si="919"/>
        <v xml:space="preserve"> </v>
      </c>
      <c r="IT172" s="47" t="str">
        <f t="shared" si="919"/>
        <v xml:space="preserve"> </v>
      </c>
      <c r="IU172" s="47" t="str">
        <f t="shared" si="919"/>
        <v xml:space="preserve"> </v>
      </c>
      <c r="IV172" s="57" t="str">
        <f t="shared" ref="IV172:LG172" si="920">IF(IV70="",IV173,$C172&amp;"("&amp;IV70&amp;"),"&amp;IV173)</f>
        <v xml:space="preserve"> </v>
      </c>
      <c r="IW172" s="47" t="str">
        <f t="shared" si="920"/>
        <v xml:space="preserve"> </v>
      </c>
      <c r="IX172" s="47" t="str">
        <f t="shared" si="920"/>
        <v xml:space="preserve"> </v>
      </c>
      <c r="IY172" s="47" t="str">
        <f t="shared" si="920"/>
        <v xml:space="preserve"> </v>
      </c>
      <c r="IZ172" s="47" t="str">
        <f t="shared" si="920"/>
        <v xml:space="preserve"> </v>
      </c>
      <c r="JA172" s="47" t="str">
        <f t="shared" si="920"/>
        <v xml:space="preserve"> </v>
      </c>
      <c r="JB172" s="47" t="str">
        <f t="shared" si="920"/>
        <v xml:space="preserve"> </v>
      </c>
      <c r="JC172" s="47" t="str">
        <f t="shared" si="920"/>
        <v xml:space="preserve"> </v>
      </c>
      <c r="JD172" s="47" t="str">
        <f t="shared" si="920"/>
        <v xml:space="preserve"> </v>
      </c>
      <c r="JE172" s="47" t="str">
        <f t="shared" si="920"/>
        <v xml:space="preserve"> </v>
      </c>
      <c r="JF172" s="47" t="str">
        <f t="shared" si="920"/>
        <v xml:space="preserve">web(1),infrastructrue(1),database(1),mobile apps(1),sensors(1),security(1),AI&amp; data analysis(1),mobile comm(1),VR&amp;AR(1),wood processing(1),metal processing(1),plastic processing(1),electronics(1),fabric(1),aesthetics(1),functions(1),safety(1),interaction(1), </v>
      </c>
      <c r="JG172" s="47" t="str">
        <f t="shared" si="920"/>
        <v xml:space="preserve">web(6.25),infrastructrue(6.25),database(6.25),mobile apps(6.25),sensors(6.25),security(6.25),AI&amp; data analysis(6.25),mobile comm(6.25),VR&amp;AR(6.25),wood processing(6.25),metal processing(6.25),plastic processing(6.25),electronics(6.25),fabric(6.25),aesthetics(6.25),functions(6.25),safety(6.25),interaction(6.25), </v>
      </c>
      <c r="JH172" s="47" t="str">
        <f t="shared" si="920"/>
        <v xml:space="preserve"> </v>
      </c>
      <c r="JI172" s="47" t="str">
        <f t="shared" si="920"/>
        <v xml:space="preserve"> </v>
      </c>
      <c r="JJ172" s="47" t="str">
        <f t="shared" si="920"/>
        <v xml:space="preserve"> </v>
      </c>
      <c r="JK172" s="47" t="str">
        <f t="shared" si="920"/>
        <v xml:space="preserve">negotiation(2),social project(1),social innovation(1),non-profit biz(1),biz project(1),biz enhancement(1),job creation(1),business(1),start-up(1),start-up with mvp(1),start-up with customers(1),for basic literacy(1),for the elites(1),for entrepreneurs(1), </v>
      </c>
      <c r="JL172" s="47" t="str">
        <f t="shared" si="920"/>
        <v xml:space="preserve"> </v>
      </c>
      <c r="JM172" s="47" t="str">
        <f t="shared" si="920"/>
        <v xml:space="preserve"> </v>
      </c>
      <c r="JN172" s="47" t="str">
        <f t="shared" si="920"/>
        <v xml:space="preserve"> </v>
      </c>
      <c r="JO172" s="47" t="str">
        <f t="shared" si="920"/>
        <v xml:space="preserve"> </v>
      </c>
      <c r="JP172" s="47" t="str">
        <f t="shared" si="920"/>
        <v xml:space="preserve"> </v>
      </c>
      <c r="JQ172" s="47" t="str">
        <f t="shared" si="920"/>
        <v xml:space="preserve">electronics(1),aesthetics(1),interaction(1),social project(1),social innovation(1),non-profit biz(1),biz project(1),biz enhancement(1),job creation(1),business(1),start-up(1),start-up with mvp(1),start-up with customers(1),for basic literacy(1),for the elites(1),for entrepreneurs(1), </v>
      </c>
      <c r="JR172" s="47" t="str">
        <f t="shared" si="920"/>
        <v xml:space="preserve"> </v>
      </c>
      <c r="JS172" s="47" t="str">
        <f t="shared" si="920"/>
        <v xml:space="preserve"> </v>
      </c>
      <c r="JT172" s="47" t="str">
        <f t="shared" si="920"/>
        <v xml:space="preserve"> </v>
      </c>
      <c r="JU172" s="47" t="str">
        <f t="shared" si="920"/>
        <v xml:space="preserve"> </v>
      </c>
      <c r="JV172" s="47" t="str">
        <f t="shared" si="920"/>
        <v xml:space="preserve"> </v>
      </c>
      <c r="JW172" s="47" t="str">
        <f t="shared" si="920"/>
        <v xml:space="preserve">negotiation(1),social project(2),social innovation(1),non-profit biz(1),biz project(2),biz enhancement(2),job creation(1),business(1),start-up(2),start-up with mvp(1),start-up with customers(1),for basic literacy(2),for the elites(1),for entrepreneurs(1), </v>
      </c>
      <c r="JX172" s="47" t="str">
        <f t="shared" si="920"/>
        <v xml:space="preserve"> </v>
      </c>
      <c r="JY172" s="47" t="str">
        <f t="shared" si="920"/>
        <v xml:space="preserve"> </v>
      </c>
      <c r="JZ172" s="47" t="str">
        <f t="shared" si="920"/>
        <v xml:space="preserve">social project(2), </v>
      </c>
      <c r="KA172" s="47" t="str">
        <f t="shared" si="920"/>
        <v xml:space="preserve"> </v>
      </c>
      <c r="KB172" s="47" t="str">
        <f t="shared" si="920"/>
        <v xml:space="preserve"> </v>
      </c>
      <c r="KC172" s="47" t="str">
        <f t="shared" si="920"/>
        <v xml:space="preserve">web(1),mobile apps(1),sensors(1),AI&amp; data analysis(1),electronics(1),aesthetics(1),social project(3),social innovation(1),non-profit biz(1),biz project(2),biz enhancement(2),job creation(1),business(1),start-up(2),start-up with mvp(1),start-up with customers(1),for basic literacy(2),for the elites(1),for entrepreneurs(1), </v>
      </c>
      <c r="KD172" s="47" t="str">
        <f t="shared" si="920"/>
        <v xml:space="preserve"> </v>
      </c>
      <c r="KE172" s="47" t="str">
        <f t="shared" si="920"/>
        <v xml:space="preserve"> </v>
      </c>
      <c r="KF172" s="47" t="str">
        <f t="shared" si="920"/>
        <v xml:space="preserve"> </v>
      </c>
      <c r="KG172" s="47" t="str">
        <f t="shared" si="920"/>
        <v xml:space="preserve"> </v>
      </c>
      <c r="KH172" s="47" t="str">
        <f t="shared" si="920"/>
        <v xml:space="preserve"> </v>
      </c>
      <c r="KI172" s="47" t="str">
        <f t="shared" si="920"/>
        <v xml:space="preserve"> </v>
      </c>
      <c r="KJ172" s="47" t="str">
        <f t="shared" si="920"/>
        <v xml:space="preserve"> </v>
      </c>
      <c r="KK172" s="47" t="str">
        <f t="shared" si="920"/>
        <v xml:space="preserve"> </v>
      </c>
      <c r="KL172" s="57" t="str">
        <f t="shared" si="920"/>
        <v xml:space="preserve"> </v>
      </c>
      <c r="KM172" s="47" t="str">
        <f t="shared" si="920"/>
        <v xml:space="preserve"> </v>
      </c>
      <c r="KN172" s="47" t="str">
        <f t="shared" si="920"/>
        <v xml:space="preserve"> </v>
      </c>
      <c r="KO172" s="47" t="str">
        <f t="shared" si="920"/>
        <v xml:space="preserve"> </v>
      </c>
      <c r="KP172" s="47" t="str">
        <f t="shared" si="920"/>
        <v xml:space="preserve"> </v>
      </c>
      <c r="KQ172" s="47" t="str">
        <f t="shared" si="920"/>
        <v xml:space="preserve"> </v>
      </c>
      <c r="KR172" s="57" t="str">
        <f t="shared" si="920"/>
        <v xml:space="preserve"> </v>
      </c>
      <c r="KS172" s="47" t="str">
        <f t="shared" si="920"/>
        <v xml:space="preserve"> </v>
      </c>
      <c r="KT172" s="47" t="str">
        <f t="shared" si="920"/>
        <v xml:space="preserve"> </v>
      </c>
      <c r="KU172" s="47" t="str">
        <f t="shared" si="920"/>
        <v xml:space="preserve"> </v>
      </c>
      <c r="KV172" s="47" t="str">
        <f t="shared" si="920"/>
        <v xml:space="preserve"> </v>
      </c>
      <c r="KW172" s="47" t="str">
        <f t="shared" si="920"/>
        <v xml:space="preserve"> </v>
      </c>
      <c r="KX172" s="57" t="str">
        <f t="shared" si="920"/>
        <v xml:space="preserve"> </v>
      </c>
      <c r="KY172" s="47" t="str">
        <f t="shared" si="920"/>
        <v xml:space="preserve"> </v>
      </c>
      <c r="KZ172" s="47" t="str">
        <f t="shared" si="920"/>
        <v xml:space="preserve"> </v>
      </c>
      <c r="LA172" s="47" t="str">
        <f t="shared" si="920"/>
        <v xml:space="preserve"> </v>
      </c>
      <c r="LB172" s="47" t="str">
        <f t="shared" si="920"/>
        <v xml:space="preserve"> </v>
      </c>
      <c r="LC172" s="47" t="str">
        <f t="shared" si="920"/>
        <v xml:space="preserve"> </v>
      </c>
      <c r="LD172" s="57" t="str">
        <f t="shared" si="920"/>
        <v xml:space="preserve"> </v>
      </c>
      <c r="LE172" s="47" t="str">
        <f t="shared" si="920"/>
        <v xml:space="preserve"> </v>
      </c>
      <c r="LF172" s="47" t="str">
        <f t="shared" si="920"/>
        <v xml:space="preserve"> </v>
      </c>
      <c r="LG172" s="47" t="str">
        <f t="shared" si="920"/>
        <v xml:space="preserve"> </v>
      </c>
      <c r="LH172" s="47" t="str">
        <f t="shared" ref="LH172:NM172" si="921">IF(LH70="",LH173,$C172&amp;"("&amp;LH70&amp;"),"&amp;LH173)</f>
        <v xml:space="preserve"> </v>
      </c>
      <c r="LI172" s="47" t="str">
        <f t="shared" si="921"/>
        <v xml:space="preserve"> </v>
      </c>
      <c r="LJ172" s="57" t="str">
        <f t="shared" si="921"/>
        <v xml:space="preserve"> </v>
      </c>
      <c r="LK172" s="47" t="str">
        <f t="shared" si="921"/>
        <v xml:space="preserve"> </v>
      </c>
      <c r="LL172" s="47" t="str">
        <f t="shared" si="921"/>
        <v xml:space="preserve"> </v>
      </c>
      <c r="LM172" s="47" t="str">
        <f t="shared" si="921"/>
        <v xml:space="preserve"> </v>
      </c>
      <c r="LN172" s="47" t="str">
        <f t="shared" si="921"/>
        <v xml:space="preserve"> </v>
      </c>
      <c r="LO172" s="47" t="str">
        <f t="shared" si="921"/>
        <v xml:space="preserve"> </v>
      </c>
      <c r="LP172" s="57" t="str">
        <f t="shared" si="921"/>
        <v xml:space="preserve"> </v>
      </c>
      <c r="LQ172" s="47" t="str">
        <f t="shared" si="921"/>
        <v xml:space="preserve"> </v>
      </c>
      <c r="LR172" s="47" t="str">
        <f t="shared" si="921"/>
        <v xml:space="preserve"> </v>
      </c>
      <c r="LS172" s="47" t="str">
        <f t="shared" si="921"/>
        <v xml:space="preserve"> </v>
      </c>
      <c r="LT172" s="47" t="str">
        <f t="shared" si="921"/>
        <v xml:space="preserve"> </v>
      </c>
      <c r="LU172" s="47" t="str">
        <f t="shared" si="921"/>
        <v xml:space="preserve"> </v>
      </c>
      <c r="LV172" s="57" t="str">
        <f t="shared" si="921"/>
        <v xml:space="preserve"> </v>
      </c>
      <c r="LW172" s="47" t="str">
        <f t="shared" si="921"/>
        <v xml:space="preserve"> </v>
      </c>
      <c r="LX172" s="47" t="str">
        <f t="shared" si="921"/>
        <v xml:space="preserve"> </v>
      </c>
      <c r="LY172" s="47" t="str">
        <f t="shared" si="921"/>
        <v xml:space="preserve"> </v>
      </c>
      <c r="LZ172" s="47" t="str">
        <f t="shared" si="921"/>
        <v xml:space="preserve"> </v>
      </c>
      <c r="MA172" s="47" t="str">
        <f t="shared" si="921"/>
        <v xml:space="preserve"> </v>
      </c>
      <c r="MB172" s="57" t="str">
        <f t="shared" si="921"/>
        <v xml:space="preserve"> </v>
      </c>
      <c r="MC172" s="47" t="str">
        <f t="shared" si="921"/>
        <v xml:space="preserve"> </v>
      </c>
      <c r="MD172" s="47" t="str">
        <f t="shared" si="921"/>
        <v xml:space="preserve"> </v>
      </c>
      <c r="ME172" s="47" t="str">
        <f t="shared" si="921"/>
        <v xml:space="preserve"> </v>
      </c>
      <c r="MF172" s="47" t="str">
        <f t="shared" si="921"/>
        <v xml:space="preserve"> </v>
      </c>
      <c r="MG172" s="47" t="str">
        <f t="shared" si="921"/>
        <v xml:space="preserve"> </v>
      </c>
      <c r="MH172" s="57" t="str">
        <f t="shared" si="921"/>
        <v xml:space="preserve"> </v>
      </c>
      <c r="MI172" s="47" t="str">
        <f t="shared" si="921"/>
        <v xml:space="preserve"> </v>
      </c>
      <c r="MJ172" s="47" t="str">
        <f t="shared" si="921"/>
        <v xml:space="preserve"> </v>
      </c>
      <c r="MK172" s="47" t="str">
        <f t="shared" si="921"/>
        <v xml:space="preserve"> </v>
      </c>
      <c r="ML172" s="47" t="str">
        <f t="shared" si="921"/>
        <v xml:space="preserve"> </v>
      </c>
      <c r="MM172" s="47" t="str">
        <f t="shared" si="921"/>
        <v xml:space="preserve"> </v>
      </c>
      <c r="MN172" s="57" t="str">
        <f t="shared" si="921"/>
        <v xml:space="preserve"> </v>
      </c>
      <c r="MO172" s="47" t="str">
        <f t="shared" si="921"/>
        <v xml:space="preserve"> </v>
      </c>
      <c r="MP172" s="47" t="str">
        <f t="shared" si="921"/>
        <v xml:space="preserve"> </v>
      </c>
      <c r="MQ172" s="47" t="str">
        <f t="shared" si="921"/>
        <v xml:space="preserve"> </v>
      </c>
      <c r="MR172" s="47" t="str">
        <f t="shared" si="921"/>
        <v xml:space="preserve"> </v>
      </c>
      <c r="MS172" s="47" t="str">
        <f t="shared" si="921"/>
        <v xml:space="preserve"> </v>
      </c>
      <c r="MT172" s="57" t="str">
        <f t="shared" si="921"/>
        <v xml:space="preserve"> </v>
      </c>
      <c r="MU172" s="47" t="str">
        <f t="shared" si="921"/>
        <v xml:space="preserve"> </v>
      </c>
      <c r="MV172" s="47" t="str">
        <f t="shared" si="921"/>
        <v xml:space="preserve"> </v>
      </c>
      <c r="MW172" s="47" t="str">
        <f t="shared" si="921"/>
        <v xml:space="preserve"> </v>
      </c>
      <c r="MX172" s="47" t="str">
        <f t="shared" si="921"/>
        <v xml:space="preserve"> </v>
      </c>
      <c r="MY172" s="47" t="str">
        <f t="shared" si="921"/>
        <v xml:space="preserve"> </v>
      </c>
      <c r="MZ172" s="57" t="str">
        <f t="shared" si="921"/>
        <v xml:space="preserve"> </v>
      </c>
      <c r="NA172" s="47" t="str">
        <f t="shared" si="921"/>
        <v xml:space="preserve"> </v>
      </c>
      <c r="NB172" s="47" t="str">
        <f t="shared" si="921"/>
        <v xml:space="preserve"> </v>
      </c>
      <c r="NC172" s="47" t="str">
        <f t="shared" si="921"/>
        <v xml:space="preserve"> </v>
      </c>
      <c r="ND172" s="47" t="str">
        <f t="shared" si="921"/>
        <v xml:space="preserve"> </v>
      </c>
      <c r="NE172" s="47" t="str">
        <f t="shared" si="921"/>
        <v xml:space="preserve"> </v>
      </c>
      <c r="NF172" s="57" t="str">
        <f t="shared" si="921"/>
        <v xml:space="preserve"> </v>
      </c>
      <c r="NG172" s="47" t="str">
        <f t="shared" si="921"/>
        <v xml:space="preserve"> </v>
      </c>
      <c r="NH172" s="47" t="str">
        <f t="shared" si="921"/>
        <v xml:space="preserve"> </v>
      </c>
      <c r="NI172" s="47" t="str">
        <f t="shared" si="921"/>
        <v xml:space="preserve"> </v>
      </c>
      <c r="NJ172" s="47" t="str">
        <f t="shared" si="921"/>
        <v xml:space="preserve"> </v>
      </c>
      <c r="NK172" s="47" t="str">
        <f t="shared" si="921"/>
        <v xml:space="preserve"> </v>
      </c>
      <c r="NL172" s="57" t="str">
        <f t="shared" si="921"/>
        <v xml:space="preserve"> </v>
      </c>
      <c r="NM172" s="47" t="str">
        <f t="shared" si="921"/>
        <v xml:space="preserve"> </v>
      </c>
    </row>
    <row r="173" spans="3:377" ht="15.75" customHeight="1">
      <c r="C173" s="7" t="str">
        <f t="shared" si="841"/>
        <v>web</v>
      </c>
      <c r="D173" s="21" t="str">
        <f t="shared" si="651"/>
        <v xml:space="preserve"> </v>
      </c>
      <c r="E173" s="21" t="str">
        <f t="shared" si="842"/>
        <v xml:space="preserve"> </v>
      </c>
      <c r="F173" s="21" t="str">
        <f t="shared" si="651"/>
        <v xml:space="preserve"> </v>
      </c>
      <c r="G173" s="21" t="str">
        <f t="shared" si="843"/>
        <v xml:space="preserve"> </v>
      </c>
      <c r="H173" s="21" t="str">
        <f t="shared" si="844"/>
        <v xml:space="preserve"> </v>
      </c>
      <c r="I173" s="21" t="str">
        <f t="shared" ref="I173" si="922">IF(I71="",I174,$C173&amp;"("&amp;I71&amp;"),"&amp;I174)</f>
        <v xml:space="preserve"> </v>
      </c>
      <c r="J173" s="21" t="str">
        <f t="shared" ref="J173" si="923">IF(J71="",J174,$C173&amp;" "&amp;J71&amp;CHAR(10)&amp;J174)</f>
        <v xml:space="preserve">interaction 1
 </v>
      </c>
      <c r="K173" s="21" t="str">
        <f t="shared" si="654"/>
        <v xml:space="preserve"> </v>
      </c>
      <c r="L173" s="21" t="str">
        <f t="shared" ref="L173" si="924">IF(L71="",L174,$C173&amp;" "&amp;L71&amp;CHAR(10)&amp;L174)</f>
        <v xml:space="preserve"> </v>
      </c>
      <c r="M173" s="21" t="str">
        <f t="shared" si="656"/>
        <v xml:space="preserve">social innovation(1), non-profit biz(1),  </v>
      </c>
      <c r="N173" s="21" t="str">
        <f t="shared" si="657"/>
        <v xml:space="preserve"> </v>
      </c>
      <c r="O173" s="21" t="str">
        <f t="shared" si="658"/>
        <v xml:space="preserve"> </v>
      </c>
      <c r="P173" s="21" t="str">
        <f t="shared" ref="P173" si="925">IF(P71="",P174,$C173&amp;" "&amp;P71&amp;CHAR(10)&amp;P174)</f>
        <v xml:space="preserve">biz project 1
 </v>
      </c>
      <c r="Q173" s="21" t="str">
        <f t="shared" si="660"/>
        <v xml:space="preserve"> </v>
      </c>
      <c r="R173" s="21" t="str">
        <f t="shared" ref="R173" si="926">IF(R71="",R174,$C173&amp;" "&amp;R71&amp;CHAR(10)&amp;R174)</f>
        <v xml:space="preserve"> </v>
      </c>
      <c r="S173" s="21" t="str">
        <f t="shared" si="662"/>
        <v xml:space="preserve">biz enhancement(1), business(1), start-up(1),  </v>
      </c>
      <c r="T173" s="21" t="str">
        <f t="shared" si="663"/>
        <v xml:space="preserve"> </v>
      </c>
      <c r="U173" s="21" t="str">
        <f t="shared" si="658"/>
        <v xml:space="preserve"> </v>
      </c>
      <c r="V173" s="21" t="str">
        <f t="shared" ref="V173" si="927">IF(V71="",V174,$C173&amp;" "&amp;V71&amp;CHAR(10)&amp;V174)</f>
        <v xml:space="preserve"> </v>
      </c>
      <c r="W173" s="21" t="str">
        <f t="shared" si="665"/>
        <v xml:space="preserve"> </v>
      </c>
      <c r="X173" s="21" t="str">
        <f t="shared" ref="X173" si="928">IF(X71="",X174,$C173&amp;" "&amp;X71&amp;CHAR(10)&amp;X174)</f>
        <v xml:space="preserve"> </v>
      </c>
      <c r="Y173" s="21" t="str">
        <f t="shared" si="667"/>
        <v xml:space="preserve">biz project(1), biz enhancement(1), job creation(1), business(1),  </v>
      </c>
      <c r="Z173" s="21" t="str">
        <f t="shared" si="668"/>
        <v xml:space="preserve"> </v>
      </c>
      <c r="AA173" s="21" t="str">
        <f t="shared" si="658"/>
        <v xml:space="preserve"> </v>
      </c>
      <c r="AB173" s="21" t="str">
        <f t="shared" ref="AB173" si="929">IF(AB71="",AB174,$C173&amp;" "&amp;AB71&amp;CHAR(10)&amp;AB174)</f>
        <v xml:space="preserve"> </v>
      </c>
      <c r="AC173" s="21" t="str">
        <f t="shared" si="670"/>
        <v xml:space="preserve"> </v>
      </c>
      <c r="AD173" s="21" t="str">
        <f t="shared" ref="AD173" si="930">IF(AD71="",AD174,$C173&amp;" "&amp;AD71&amp;CHAR(10)&amp;AD174)</f>
        <v xml:space="preserve"> </v>
      </c>
      <c r="AE173" s="21" t="str">
        <f t="shared" si="672"/>
        <v xml:space="preserve">social project(1), social innovation(1), non-profit biz(1),  </v>
      </c>
      <c r="AF173" s="21" t="str">
        <f t="shared" si="673"/>
        <v xml:space="preserve"> </v>
      </c>
      <c r="AG173" s="21" t="str">
        <f t="shared" si="658"/>
        <v xml:space="preserve"> </v>
      </c>
      <c r="AH173" s="21" t="str">
        <f t="shared" ref="AH173" si="931">IF(AH71="",AH174,$C173&amp;" "&amp;AH71&amp;CHAR(10)&amp;AH174)</f>
        <v xml:space="preserve"> </v>
      </c>
      <c r="AI173" s="21" t="str">
        <f t="shared" si="675"/>
        <v xml:space="preserve"> </v>
      </c>
      <c r="AJ173" s="21" t="str">
        <f t="shared" ref="AJ173" si="932">IF(AJ71="",AJ174,$C173&amp;" "&amp;AJ71&amp;CHAR(10)&amp;AJ174)</f>
        <v xml:space="preserve"> </v>
      </c>
      <c r="AK173" s="21" t="str">
        <f t="shared" si="677"/>
        <v xml:space="preserve">social project(1), social innovation(1), non-profit biz(1),  </v>
      </c>
      <c r="AL173" s="21" t="str">
        <f t="shared" si="678"/>
        <v xml:space="preserve"> </v>
      </c>
      <c r="AM173" s="21" t="str">
        <f t="shared" si="658"/>
        <v xml:space="preserve"> </v>
      </c>
      <c r="AN173" s="21" t="str">
        <f t="shared" ref="AN173" si="933">IF(AN71="",AN174,$C173&amp;" "&amp;AN71&amp;CHAR(10)&amp;AN174)</f>
        <v xml:space="preserve"> </v>
      </c>
      <c r="AO173" s="21" t="str">
        <f t="shared" si="680"/>
        <v xml:space="preserve"> </v>
      </c>
      <c r="AP173" s="21" t="str">
        <f t="shared" ref="AP173" si="934">IF(AP71="",AP174,$C173&amp;" "&amp;AP71&amp;CHAR(10)&amp;AP174)</f>
        <v xml:space="preserve"> </v>
      </c>
      <c r="AQ173" s="21" t="str">
        <f t="shared" si="682"/>
        <v xml:space="preserve">start-up(1), start-up with mvp(1), start-up with customers(1),  </v>
      </c>
      <c r="AR173" s="21" t="str">
        <f t="shared" si="683"/>
        <v xml:space="preserve"> </v>
      </c>
      <c r="AS173" s="21" t="str">
        <f t="shared" si="658"/>
        <v xml:space="preserve"> </v>
      </c>
      <c r="AT173" s="21" t="str">
        <f t="shared" ref="AT173" si="935">IF(AT71="",AT174,$C173&amp;" "&amp;AT71&amp;CHAR(10)&amp;AT174)</f>
        <v xml:space="preserve">social project 1
 </v>
      </c>
      <c r="AU173" s="21" t="str">
        <f t="shared" si="685"/>
        <v xml:space="preserve"> </v>
      </c>
      <c r="AV173" s="21" t="str">
        <f t="shared" ref="AV173" si="936">IF(AV71="",AV174,$C173&amp;" "&amp;AV71&amp;CHAR(10)&amp;AV174)</f>
        <v xml:space="preserve"> </v>
      </c>
      <c r="AW173" s="21" t="str">
        <f t="shared" si="687"/>
        <v xml:space="preserve"> </v>
      </c>
      <c r="AX173" s="21" t="str">
        <f t="shared" si="688"/>
        <v xml:space="preserve"> </v>
      </c>
      <c r="AY173" s="21" t="str">
        <f t="shared" si="658"/>
        <v xml:space="preserve"> </v>
      </c>
      <c r="AZ173" s="21" t="str">
        <f t="shared" ref="AZ173" si="937">IF(AZ71="",AZ174,$C173&amp;" "&amp;AZ71&amp;CHAR(10)&amp;AZ174)</f>
        <v xml:space="preserve"> </v>
      </c>
      <c r="BA173" s="21" t="str">
        <f t="shared" si="690"/>
        <v xml:space="preserve"> </v>
      </c>
      <c r="BB173" s="21" t="str">
        <f t="shared" ref="BB173" si="938">IF(BB71="",BB174,$C173&amp;" "&amp;BB71&amp;CHAR(10)&amp;BB174)</f>
        <v xml:space="preserve"> </v>
      </c>
      <c r="BC173" s="21" t="str">
        <f t="shared" si="692"/>
        <v xml:space="preserve"> </v>
      </c>
      <c r="BD173" s="21" t="str">
        <f t="shared" si="693"/>
        <v xml:space="preserve"> </v>
      </c>
      <c r="BE173" s="21" t="str">
        <f t="shared" si="658"/>
        <v xml:space="preserve"> </v>
      </c>
      <c r="BF173" s="21" t="str">
        <f t="shared" ref="BF173" si="939">IF(BF71="",BF174,$C173&amp;" "&amp;BF71&amp;CHAR(10)&amp;BF174)</f>
        <v xml:space="preserve">biz project 1
 </v>
      </c>
      <c r="BG173" s="21" t="str">
        <f t="shared" si="695"/>
        <v xml:space="preserve"> </v>
      </c>
      <c r="BH173" s="21" t="str">
        <f t="shared" ref="BH173" si="940">IF(BH71="",BH174,$C173&amp;" "&amp;BH71&amp;CHAR(10)&amp;BH174)</f>
        <v xml:space="preserve"> </v>
      </c>
      <c r="BI173" s="21" t="str">
        <f t="shared" si="697"/>
        <v xml:space="preserve"> </v>
      </c>
      <c r="BJ173" s="21" t="str">
        <f t="shared" si="698"/>
        <v xml:space="preserve"> </v>
      </c>
      <c r="BK173" s="21" t="str">
        <f t="shared" si="658"/>
        <v xml:space="preserve"> </v>
      </c>
      <c r="BL173" s="21" t="str">
        <f t="shared" ref="BL173" si="941">IF(BL71="",BL174,$C173&amp;" "&amp;BL71&amp;CHAR(10)&amp;BL174)</f>
        <v xml:space="preserve">biz enhancement 1
 </v>
      </c>
      <c r="BM173" s="21" t="str">
        <f t="shared" si="700"/>
        <v xml:space="preserve"> </v>
      </c>
      <c r="BN173" s="21" t="str">
        <f t="shared" ref="BN173" si="942">IF(BN71="",BN174,$C173&amp;" "&amp;BN71&amp;CHAR(10)&amp;BN174)</f>
        <v xml:space="preserve"> </v>
      </c>
      <c r="BO173" s="21" t="str">
        <f t="shared" si="702"/>
        <v xml:space="preserve"> </v>
      </c>
      <c r="BP173" s="21" t="str">
        <f t="shared" si="703"/>
        <v xml:space="preserve"> </v>
      </c>
      <c r="BQ173" s="21" t="str">
        <f t="shared" si="658"/>
        <v xml:space="preserve"> </v>
      </c>
      <c r="BR173" s="21" t="str">
        <f t="shared" ref="BR173" si="943">IF(BR71="",BR174,$C173&amp;" "&amp;BR71&amp;CHAR(10)&amp;BR174)</f>
        <v xml:space="preserve"> </v>
      </c>
      <c r="BS173" s="21" t="str">
        <f t="shared" si="705"/>
        <v xml:space="preserve"> </v>
      </c>
      <c r="BT173" s="21" t="str">
        <f t="shared" ref="BT173" si="944">IF(BT71="",BT174,$C173&amp;" "&amp;BT71&amp;CHAR(10)&amp;BT174)</f>
        <v xml:space="preserve"> </v>
      </c>
      <c r="BU173" s="21" t="str">
        <f t="shared" si="707"/>
        <v xml:space="preserve"> </v>
      </c>
      <c r="BV173" s="21" t="str">
        <f t="shared" si="708"/>
        <v xml:space="preserve"> </v>
      </c>
      <c r="BW173" s="21" t="str">
        <f t="shared" si="658"/>
        <v xml:space="preserve"> </v>
      </c>
      <c r="BX173" s="21" t="str">
        <f t="shared" ref="BX173" si="945">IF(BX71="",BX174,$C173&amp;" "&amp;BX71&amp;CHAR(10)&amp;BX174)</f>
        <v xml:space="preserve"> </v>
      </c>
      <c r="BY173" s="21" t="str">
        <f t="shared" si="710"/>
        <v xml:space="preserve"> </v>
      </c>
      <c r="BZ173" s="21" t="str">
        <f t="shared" ref="BZ173" si="946">IF(BZ71="",BZ174,$C173&amp;" "&amp;BZ71&amp;CHAR(10)&amp;BZ174)</f>
        <v xml:space="preserve"> </v>
      </c>
      <c r="CA173" s="21" t="str">
        <f t="shared" si="712"/>
        <v xml:space="preserve"> </v>
      </c>
      <c r="CB173" s="21" t="str">
        <f t="shared" si="713"/>
        <v xml:space="preserve"> </v>
      </c>
      <c r="CC173" s="21" t="str">
        <f t="shared" si="714"/>
        <v xml:space="preserve"> </v>
      </c>
      <c r="CD173" s="21" t="str">
        <f t="shared" ref="CD173" si="947">IF(CD71="",CD174,$C173&amp;" "&amp;CD71&amp;CHAR(10)&amp;CD174)</f>
        <v xml:space="preserve"> </v>
      </c>
      <c r="CE173" s="21" t="str">
        <f t="shared" si="716"/>
        <v xml:space="preserve"> </v>
      </c>
      <c r="CF173" s="21" t="str">
        <f t="shared" ref="CF173" si="948">IF(CF71="",CF174,$C173&amp;" "&amp;CF71&amp;CHAR(10)&amp;CF174)</f>
        <v xml:space="preserve"> </v>
      </c>
      <c r="CG173" s="21" t="str">
        <f t="shared" si="718"/>
        <v xml:space="preserve">social project(1), biz project(1), for basic literacy(1), for the elites(1), for entrepreneurs(1),  </v>
      </c>
      <c r="CH173" s="21" t="str">
        <f t="shared" si="719"/>
        <v xml:space="preserve"> </v>
      </c>
      <c r="CI173" s="21" t="str">
        <f t="shared" si="714"/>
        <v xml:space="preserve"> </v>
      </c>
      <c r="CJ173" s="21" t="str">
        <f t="shared" ref="CJ173" si="949">IF(CJ71="",CJ174,$C173&amp;" "&amp;CJ71&amp;CHAR(10)&amp;CJ174)</f>
        <v xml:space="preserve"> </v>
      </c>
      <c r="CK173" s="21" t="str">
        <f t="shared" si="721"/>
        <v xml:space="preserve"> </v>
      </c>
      <c r="CL173" s="21" t="str">
        <f t="shared" ref="CL173" si="950">IF(CL71="",CL174,$C173&amp;" "&amp;CL71&amp;CHAR(10)&amp;CL174)</f>
        <v xml:space="preserve"> </v>
      </c>
      <c r="CM173" s="21" t="str">
        <f t="shared" si="723"/>
        <v xml:space="preserve"> </v>
      </c>
      <c r="CN173" s="21" t="str">
        <f t="shared" si="724"/>
        <v xml:space="preserve"> </v>
      </c>
      <c r="CO173" s="21" t="str">
        <f t="shared" si="714"/>
        <v xml:space="preserve"> </v>
      </c>
      <c r="CP173" s="21" t="str">
        <f t="shared" ref="CP173" si="951">IF(CP71="",CP174,$C173&amp;" "&amp;CP71&amp;CHAR(10)&amp;CP174)</f>
        <v xml:space="preserve"> </v>
      </c>
      <c r="CQ173" s="21" t="str">
        <f t="shared" si="726"/>
        <v xml:space="preserve"> </v>
      </c>
      <c r="CR173" s="21" t="str">
        <f t="shared" ref="CR173" si="952">IF(CR71="",CR174,$C173&amp;" "&amp;CR71&amp;CHAR(10)&amp;CR174)</f>
        <v xml:space="preserve"> </v>
      </c>
      <c r="CS173" s="21" t="str">
        <f t="shared" si="728"/>
        <v xml:space="preserve">web(1), infrastructrue(1), database(1), mobile apps(1), sensors(1), security(1), AI&amp; data analysis(1), mobile comm(1), VR&amp;AR(1), wood processing(1), metal processing(1), plastic processing(1), electronics(1), fabric(1),  </v>
      </c>
      <c r="CT173" s="21" t="str">
        <f t="shared" si="729"/>
        <v xml:space="preserve"> </v>
      </c>
      <c r="CU173" s="21" t="str">
        <f t="shared" si="714"/>
        <v xml:space="preserve"> </v>
      </c>
      <c r="CV173" s="21" t="str">
        <f t="shared" ref="CV173" si="953">IF(CV71="",CV174,$C173&amp;" "&amp;CV71&amp;CHAR(10)&amp;CV174)</f>
        <v xml:space="preserve"> </v>
      </c>
      <c r="CW173" s="21" t="str">
        <f t="shared" si="731"/>
        <v xml:space="preserve"> </v>
      </c>
      <c r="CX173" s="21" t="str">
        <f t="shared" ref="CX173" si="954">IF(CX71="",CX174,$C173&amp;" "&amp;CX71&amp;CHAR(10)&amp;CX174)</f>
        <v xml:space="preserve"> </v>
      </c>
      <c r="CY173" s="21" t="str">
        <f t="shared" si="733"/>
        <v xml:space="preserve"> </v>
      </c>
      <c r="CZ173" s="21" t="str">
        <f t="shared" si="734"/>
        <v xml:space="preserve"> </v>
      </c>
      <c r="DA173" s="21" t="str">
        <f t="shared" si="714"/>
        <v xml:space="preserve"> </v>
      </c>
      <c r="DB173" s="21" t="str">
        <f t="shared" ref="DB173" si="955">IF(DB71="",DB174,$C173&amp;" "&amp;DB71&amp;CHAR(10)&amp;DB174)</f>
        <v xml:space="preserve"> </v>
      </c>
      <c r="DC173" s="21" t="str">
        <f t="shared" si="736"/>
        <v xml:space="preserve"> </v>
      </c>
      <c r="DD173" s="21" t="str">
        <f t="shared" ref="DD173" si="956">IF(DD71="",DD174,$C173&amp;" "&amp;DD71&amp;CHAR(10)&amp;DD174)</f>
        <v xml:space="preserve"> </v>
      </c>
      <c r="DE173" s="21" t="str">
        <f t="shared" si="738"/>
        <v xml:space="preserve">web(2), 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3" s="21" t="str">
        <f t="shared" si="739"/>
        <v xml:space="preserve"> </v>
      </c>
      <c r="DG173" s="21" t="str">
        <f t="shared" si="714"/>
        <v xml:space="preserve"> </v>
      </c>
      <c r="DH173" s="21" t="str">
        <f t="shared" ref="DH173" si="957">IF(DH71="",DH174,$C173&amp;" "&amp;DH71&amp;CHAR(10)&amp;DH174)</f>
        <v xml:space="preserve">social project 1
 </v>
      </c>
      <c r="DI173" s="21" t="str">
        <f t="shared" si="741"/>
        <v xml:space="preserve"> </v>
      </c>
      <c r="DJ173" s="21" t="str">
        <f t="shared" ref="DJ173" si="958">IF(DJ71="",DJ174,$C173&amp;" "&amp;DJ71&amp;CHAR(10)&amp;DJ174)</f>
        <v xml:space="preserve"> </v>
      </c>
      <c r="DK173" s="21" t="str">
        <f t="shared" si="743"/>
        <v xml:space="preserve">web(2), 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73" s="21" t="str">
        <f t="shared" si="744"/>
        <v xml:space="preserve"> </v>
      </c>
      <c r="DM173" s="21" t="str">
        <f t="shared" si="714"/>
        <v xml:space="preserve"> </v>
      </c>
      <c r="DN173" s="21" t="str">
        <f t="shared" ref="DN173" si="959">IF(DN71="",DN174,$C173&amp;" "&amp;DN71&amp;CHAR(10)&amp;DN174)</f>
        <v xml:space="preserve">biz project 1
 </v>
      </c>
      <c r="DO173" s="21" t="str">
        <f t="shared" si="746"/>
        <v xml:space="preserve"> </v>
      </c>
      <c r="DP173" s="21" t="str">
        <f t="shared" ref="DP173" si="960">IF(DP71="",DP174,$C173&amp;" "&amp;DP71&amp;CHAR(10)&amp;DP174)</f>
        <v xml:space="preserve"> </v>
      </c>
      <c r="DQ173" s="21" t="str">
        <f t="shared" si="748"/>
        <v xml:space="preserve">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3" s="21" t="str">
        <f t="shared" si="749"/>
        <v xml:space="preserve"> </v>
      </c>
      <c r="DS173" s="21" t="str">
        <f t="shared" si="714"/>
        <v xml:space="preserve"> </v>
      </c>
      <c r="DT173" s="21" t="str">
        <f t="shared" ref="DT173" si="961">IF(DT71="",DT174,$C173&amp;" "&amp;DT71&amp;CHAR(10)&amp;DT174)</f>
        <v xml:space="preserve"> </v>
      </c>
      <c r="DU173" s="21" t="str">
        <f t="shared" si="751"/>
        <v xml:space="preserve"> </v>
      </c>
      <c r="DV173" s="21" t="str">
        <f t="shared" ref="DV173" si="962">IF(DV71="",DV174,$C173&amp;" "&amp;DV71&amp;CHAR(10)&amp;DV174)</f>
        <v xml:space="preserve"> </v>
      </c>
      <c r="DW173" s="21" t="str">
        <f t="shared" si="753"/>
        <v xml:space="preserve">for basic literacy(1),  </v>
      </c>
      <c r="DX173" s="21" t="str">
        <f t="shared" si="754"/>
        <v xml:space="preserve">for basic literacy(1,6.25),  </v>
      </c>
      <c r="DY173" s="21" t="str">
        <f t="shared" si="714"/>
        <v xml:space="preserve">for basic literacy(6.25), </v>
      </c>
      <c r="DZ173" s="21" t="str">
        <f t="shared" ref="DZ173" si="963">IF(DZ71="",DZ174,$C173&amp;" "&amp;DZ71&amp;CHAR(10)&amp;DZ174)</f>
        <v xml:space="preserve"> </v>
      </c>
      <c r="EA173" s="21" t="str">
        <f t="shared" si="756"/>
        <v xml:space="preserve"> </v>
      </c>
      <c r="EB173" s="21" t="str">
        <f t="shared" ref="EB173" si="964">IF(EB71="",EB174,$C173&amp;" "&amp;EB71&amp;CHAR(10)&amp;EB174)</f>
        <v xml:space="preserve"> </v>
      </c>
      <c r="EC173" s="21" t="str">
        <f t="shared" si="758"/>
        <v xml:space="preserve">web(2), infrastructrue(2), database(2), mobile apps(2), sensors(2), security(2), AI&amp; data analysis(2), mobile comm(2), VR&amp;AR(2), wood processing(2), metal processing(2), plastic processing(2), electronics(2), fabric(2), for basic literacy(1),  </v>
      </c>
      <c r="ED173" s="21" t="str">
        <f t="shared" si="759"/>
        <v xml:space="preserve">for basic literacy(1,6.25),  </v>
      </c>
      <c r="EE173" s="21" t="str">
        <f t="shared" si="714"/>
        <v xml:space="preserve">for basic literacy(6.25), </v>
      </c>
      <c r="EF173" s="21" t="str">
        <f t="shared" ref="EF173" si="965">IF(EF71="",EF174,$C173&amp;" "&amp;EF71&amp;CHAR(10)&amp;EF174)</f>
        <v xml:space="preserve"> </v>
      </c>
      <c r="EG173" s="21" t="str">
        <f t="shared" si="761"/>
        <v xml:space="preserve">web(1,50), mobile apps(1,50), interaction(1,50),  </v>
      </c>
      <c r="EH173" s="21" t="str">
        <f t="shared" ref="EH173" si="966">IF(EH71="",EH174,$C173&amp;" "&amp;EH71&amp;CHAR(10)&amp;EH174)</f>
        <v xml:space="preserve">web 50
mobile apps 50
interaction 50
 </v>
      </c>
      <c r="EI173" s="21" t="str">
        <f t="shared" si="763"/>
        <v xml:space="preserve">infrastructrue(1), database(1), mobile comm(1), for entrepreneurs(1),  </v>
      </c>
      <c r="EJ173" s="21" t="str">
        <f t="shared" si="764"/>
        <v xml:space="preserve">infrastructrue(1,12.5), database(1,12.5), mobile comm(1,12.5), for entrepreneurs(1,6.25),  </v>
      </c>
      <c r="EK173" s="21" t="str">
        <f t="shared" si="714"/>
        <v xml:space="preserve">infrastructrue(12.5),database(12.5),mobile comm(12.5),for entrepreneurs(6.25), </v>
      </c>
      <c r="EL173" s="21" t="str">
        <f t="shared" ref="EL173" si="967">IF(EL71="",EL174,$C173&amp;" "&amp;EL71&amp;CHAR(10)&amp;EL174)</f>
        <v xml:space="preserve"> </v>
      </c>
      <c r="EM173" s="21" t="str">
        <f t="shared" si="766"/>
        <v xml:space="preserve">sensors(1,50),  </v>
      </c>
      <c r="EN173" s="21" t="str">
        <f t="shared" ref="EN173" si="968">IF(EN71="",EN174,$C173&amp;" "&amp;EN71&amp;CHAR(10)&amp;EN174)</f>
        <v xml:space="preserve">sensors 50
 </v>
      </c>
      <c r="EO173" s="21" t="str">
        <f t="shared" si="768"/>
        <v xml:space="preserve">infrastructrue(1), database(1), mobile comm(1), for entrepreneurs(1),  </v>
      </c>
      <c r="EP173" s="21" t="str">
        <f t="shared" si="769"/>
        <v xml:space="preserve">infrastructrue(1,12.5), database(1,12.5), mobile comm(1,12.5), electronics(1,6.25), for entrepreneurs(1,6.25),  </v>
      </c>
      <c r="EQ173" s="21" t="str">
        <f t="shared" si="770"/>
        <v xml:space="preserve">infrastructrue(12.5),database(12.5),mobile comm(12.5),electronics(6.25),for entrepreneurs(6.25), </v>
      </c>
      <c r="ER173" s="21" t="str">
        <f t="shared" ref="ER173" si="969">IF(ER71="",ER174,$C173&amp;" "&amp;ER71&amp;CHAR(10)&amp;ER174)</f>
        <v xml:space="preserve"> </v>
      </c>
      <c r="ES173" s="21" t="str">
        <f t="shared" si="772"/>
        <v xml:space="preserve">AI&amp; data analysis(1,50),  </v>
      </c>
      <c r="ET173" s="21" t="str">
        <f t="shared" ref="ET173" si="970">IF(ET71="",ET174,$C173&amp;" "&amp;ET71&amp;CHAR(10)&amp;ET174)</f>
        <v xml:space="preserve">AI&amp; data analysis 50
 </v>
      </c>
      <c r="EU173" s="21" t="str">
        <f t="shared" si="774"/>
        <v xml:space="preserve">database(1), sensors(1), mobile comm(1), for entrepreneurs(1),  </v>
      </c>
      <c r="EV173" s="21" t="str">
        <f t="shared" si="775"/>
        <v xml:space="preserve">database(1,12.5), sensors(1,12.5), mobile comm(1,12.5), for entrepreneurs(1,6.25),  </v>
      </c>
      <c r="EW173" s="21" t="str">
        <f t="shared" si="770"/>
        <v xml:space="preserve">database(12.5),sensors(12.5),mobile comm(12.5),for entrepreneurs(6.25), </v>
      </c>
      <c r="EX173" s="21" t="str">
        <f t="shared" ref="EX173" si="971">IF(EX71="",EX174,$C173&amp;" "&amp;EX71&amp;CHAR(10)&amp;EX174)</f>
        <v xml:space="preserve"> </v>
      </c>
      <c r="EY173" s="21" t="str">
        <f t="shared" si="777"/>
        <v xml:space="preserve">security(1,50), interaction(1,25),  </v>
      </c>
      <c r="EZ173" s="21" t="str">
        <f t="shared" ref="EZ173" si="972">IF(EZ71="",EZ174,$C173&amp;" "&amp;EZ71&amp;CHAR(10)&amp;EZ174)</f>
        <v xml:space="preserve">security 50
interaction 25
 </v>
      </c>
      <c r="FA173" s="21" t="str">
        <f t="shared" si="779"/>
        <v xml:space="preserve">for entrepreneurs(1),  </v>
      </c>
      <c r="FB173" s="21" t="str">
        <f t="shared" si="780"/>
        <v xml:space="preserve">database(1,12.5), mobile apps(1,12.5), security(1,12.5), mobile comm(1,12.5), for entrepreneurs(1,6.25),  </v>
      </c>
      <c r="FC173" s="21" t="str">
        <f t="shared" si="770"/>
        <v xml:space="preserve">database(12.5),mobile apps(12.5),security(12.5),mobile comm(12.5),for entrepreneurs(6.25), </v>
      </c>
      <c r="FD173" s="21" t="str">
        <f t="shared" ref="FD173" si="973">IF(FD71="",FD174,$C173&amp;" "&amp;FD71&amp;CHAR(10)&amp;FD174)</f>
        <v xml:space="preserve"> </v>
      </c>
      <c r="FE173" s="21" t="str">
        <f t="shared" si="782"/>
        <v xml:space="preserve">sensors(1,50), security(1,50),  </v>
      </c>
      <c r="FF173" s="21" t="str">
        <f t="shared" ref="FF173" si="974">IF(FF71="",FF174,$C173&amp;" "&amp;FF71&amp;CHAR(10)&amp;FF174)</f>
        <v xml:space="preserve">sensors 50
security 50
 </v>
      </c>
      <c r="FG173" s="21" t="str">
        <f t="shared" si="784"/>
        <v xml:space="preserve">for entrepreneurs(1),  </v>
      </c>
      <c r="FH173" s="21" t="str">
        <f t="shared" si="785"/>
        <v xml:space="preserve">database(1,6.25), mobile apps(1,6.25), AI&amp; data analysis(1,6.25), mobile comm(1,6.25), for entrepreneurs(1,6.25),  </v>
      </c>
      <c r="FI173" s="21" t="str">
        <f t="shared" si="770"/>
        <v xml:space="preserve">database(6.25),mobile apps(6.25),AI&amp; data analysis(6.25),mobile comm(6.25),for entrepreneurs(6.25), </v>
      </c>
      <c r="FJ173" s="21" t="str">
        <f t="shared" ref="FJ173" si="975">IF(FJ71="",FJ174,$C173&amp;" "&amp;FJ71&amp;CHAR(10)&amp;FJ174)</f>
        <v xml:space="preserve"> </v>
      </c>
      <c r="FK173" s="21" t="str">
        <f t="shared" si="787"/>
        <v xml:space="preserve">wood processing(1,25), metal processing(1,25), plastic processing(1,25), fabric(1,25), safety(1,25), interaction(1,25),  </v>
      </c>
      <c r="FL173" s="21" t="str">
        <f t="shared" ref="FL173" si="976">IF(FL71="",FL174,$C173&amp;" "&amp;FL71&amp;CHAR(10)&amp;FL174)</f>
        <v xml:space="preserve">wood processing 25
metal processing 25
plastic processing 25
fabric 25
safety 25
interaction 25
 </v>
      </c>
      <c r="FM173" s="21" t="str">
        <f t="shared" si="789"/>
        <v xml:space="preserve">for entrepreneurs(1),  </v>
      </c>
      <c r="FN173" s="21" t="str">
        <f t="shared" si="790"/>
        <v xml:space="preserve">for entrepreneurs(1,6.25),  </v>
      </c>
      <c r="FO173" s="21" t="str">
        <f t="shared" si="770"/>
        <v xml:space="preserve">for entrepreneurs(6.25), </v>
      </c>
      <c r="FP173" s="21" t="str">
        <f t="shared" ref="FP173" si="977">IF(FP71="",FP174,$C173&amp;" "&amp;FP71&amp;CHAR(10)&amp;FP174)</f>
        <v xml:space="preserve"> </v>
      </c>
      <c r="FQ173" s="21" t="str">
        <f t="shared" si="792"/>
        <v xml:space="preserve">web(1,25), mobile apps(1,50), functions(1,25), interaction(1,25),  </v>
      </c>
      <c r="FR173" s="21" t="str">
        <f t="shared" ref="FR173" si="978">IF(FR71="",FR174,$C173&amp;" "&amp;FR71&amp;CHAR(10)&amp;FR174)</f>
        <v xml:space="preserve">web 25
mobile apps 50
functions 25
interaction 25
 </v>
      </c>
      <c r="FS173" s="21" t="str">
        <f t="shared" si="794"/>
        <v xml:space="preserve">for entrepreneurs(1),  </v>
      </c>
      <c r="FT173" s="21" t="str">
        <f t="shared" si="795"/>
        <v xml:space="preserve">for entrepreneurs(1,6.25),  </v>
      </c>
      <c r="FU173" s="21" t="str">
        <f t="shared" si="770"/>
        <v xml:space="preserve">for entrepreneurs(6.25), </v>
      </c>
      <c r="FV173" s="21" t="str">
        <f t="shared" ref="FV173" si="979">IF(FV71="",FV174,$C173&amp;" "&amp;FV71&amp;CHAR(10)&amp;FV174)</f>
        <v xml:space="preserve"> </v>
      </c>
      <c r="FW173" s="21" t="str">
        <f t="shared" si="797"/>
        <v xml:space="preserve">mobile apps(1,50), sensors(1,50), wood processing(1,25), plastic processing(1,25), electronics(1,25), functions(1,25), interaction(1,25),  </v>
      </c>
      <c r="FX173" s="21" t="str">
        <f t="shared" ref="FX173" si="980">IF(FX71="",FX174,$C173&amp;" "&amp;FX71&amp;CHAR(10)&amp;FX174)</f>
        <v xml:space="preserve">mobile apps 50
sensors 50
wood processing 25
plastic processing 25
electronics 25
functions 25
interaction 25
 </v>
      </c>
      <c r="FY173" s="21" t="str">
        <f t="shared" si="799"/>
        <v xml:space="preserve">for entrepreneurs(1),  </v>
      </c>
      <c r="FZ173" s="21" t="str">
        <f t="shared" si="800"/>
        <v xml:space="preserve">web(1,6.25), database(1,6.25), AI&amp; data analysis(1,6.25), mobile comm(1,6.25), for entrepreneurs(1,6.25),  </v>
      </c>
      <c r="GA173" s="21" t="str">
        <f t="shared" si="770"/>
        <v xml:space="preserve">web(6.25),database(6.25),AI&amp; data analysis(6.25),mobile comm(6.25),for entrepreneurs(6.25), </v>
      </c>
      <c r="GB173" s="21" t="str">
        <f t="shared" ref="GB173" si="981">IF(GB71="",GB174,$C173&amp;" "&amp;GB71&amp;CHAR(10)&amp;GB174)</f>
        <v xml:space="preserve"> </v>
      </c>
      <c r="GC173" s="21" t="str">
        <f t="shared" si="802"/>
        <v xml:space="preserve">sensors(1,25), mobile comm(1,25), electronics(1,50), functions(1,25), safety(1,25),  </v>
      </c>
      <c r="GD173" s="21" t="str">
        <f t="shared" ref="GD173" si="982">IF(GD71="",GD174,$C173&amp;" "&amp;GD71&amp;CHAR(10)&amp;GD174)</f>
        <v xml:space="preserve">sensors 25
mobile comm 25
electronics 50
functions 25
safety 25
 </v>
      </c>
      <c r="GE173" s="21" t="str">
        <f t="shared" si="804"/>
        <v xml:space="preserve">for entrepreneurs(1),  </v>
      </c>
      <c r="GF173" s="21" t="str">
        <f t="shared" si="805"/>
        <v xml:space="preserve">database(1,6.25), mobile apps(1,6.25), AI&amp; data analysis(1,6.25), plastic processing(1,6.25), interaction(1,6.25), for entrepreneurs(1,6.25),  </v>
      </c>
      <c r="GG173" s="21" t="str">
        <f t="shared" si="770"/>
        <v xml:space="preserve">database(6.25),mobile apps(6.25),AI&amp; data analysis(6.25),plastic processing(6.25),interaction(6.25),for entrepreneurs(6.25), </v>
      </c>
      <c r="GH173" s="21" t="str">
        <f t="shared" ref="GH173" si="983">IF(GH71="",GH174,$C173&amp;" "&amp;GH71&amp;CHAR(10)&amp;GH174)</f>
        <v xml:space="preserve"> </v>
      </c>
      <c r="GI173" s="21" t="str">
        <f t="shared" si="807"/>
        <v xml:space="preserve">web(1,25), mobile apps(1,50), functions(1,25), interaction(1,25),  </v>
      </c>
      <c r="GJ173" s="21" t="str">
        <f t="shared" ref="GJ173" si="984">IF(GJ71="",GJ174,$C173&amp;" "&amp;GJ71&amp;CHAR(10)&amp;GJ174)</f>
        <v xml:space="preserve">web 25
mobile apps 50
functions 25
interaction 25
 </v>
      </c>
      <c r="GK173" s="21" t="str">
        <f t="shared" si="809"/>
        <v xml:space="preserve">for entrepreneurs(1),  </v>
      </c>
      <c r="GL173" s="21" t="str">
        <f t="shared" si="810"/>
        <v xml:space="preserve">for entrepreneurs(1,6.25),  </v>
      </c>
      <c r="GM173" s="21" t="str">
        <f t="shared" si="770"/>
        <v xml:space="preserve">for entrepreneurs(6.25), </v>
      </c>
      <c r="GN173" s="21" t="str">
        <f t="shared" ref="GN173" si="985">IF(GN71="",GN174,$C173&amp;" "&amp;GN71&amp;CHAR(10)&amp;GN174)</f>
        <v xml:space="preserve"> </v>
      </c>
      <c r="GO173" s="21" t="str">
        <f t="shared" si="812"/>
        <v xml:space="preserve">web(1,25), mobile apps(1,25), VR&amp;AR(1,25), aesthetics(1,25), functions(1,25), interaction(1,50),  </v>
      </c>
      <c r="GP173" s="21" t="str">
        <f t="shared" ref="GP173" si="986">IF(GP71="",GP174,$C173&amp;" "&amp;GP71&amp;CHAR(10)&amp;GP174)</f>
        <v xml:space="preserve">web 25
mobile apps 25
VR&amp;AR 25
aesthetics 25
functions 25
interaction 50
 </v>
      </c>
      <c r="GQ173" s="21" t="str">
        <f t="shared" si="814"/>
        <v xml:space="preserve">for entrepreneurs(1),  </v>
      </c>
      <c r="GR173" s="21" t="str">
        <f t="shared" si="815"/>
        <v xml:space="preserve">for entrepreneurs(1,6.25),  </v>
      </c>
      <c r="GS173" s="21" t="str">
        <f t="shared" si="770"/>
        <v xml:space="preserve">for entrepreneurs(6.25), </v>
      </c>
      <c r="GT173" s="21" t="str">
        <f t="shared" ref="GT173" si="987">IF(GT71="",GT174,$C173&amp;" "&amp;GT71&amp;CHAR(10)&amp;GT174)</f>
        <v xml:space="preserve">web 1
mobile apps 1
mobile comm 1
 </v>
      </c>
      <c r="GU173" s="21" t="str">
        <f t="shared" si="817"/>
        <v xml:space="preserve"> </v>
      </c>
      <c r="GV173" s="21" t="str">
        <f t="shared" ref="GV173" si="988">IF(GV71="",GV174,$C173&amp;" "&amp;GV71&amp;CHAR(10)&amp;GV174)</f>
        <v xml:space="preserve"> </v>
      </c>
      <c r="GW173" s="21" t="str">
        <f t="shared" si="819"/>
        <v xml:space="preserve">infrastructrue(1), database(1), sensors(1), security(1), AI&amp; data analysis(1), electronics(1),  </v>
      </c>
      <c r="GX173" s="21" t="str">
        <f t="shared" si="820"/>
        <v xml:space="preserve">web(1,6.25), mobile apps(1,6.25),  </v>
      </c>
      <c r="GY173" s="21" t="str">
        <f t="shared" si="770"/>
        <v xml:space="preserve">web(6.25),mobile apps(6.25), </v>
      </c>
      <c r="GZ173" s="21" t="str">
        <f t="shared" ref="GZ173" si="989">IF(GZ71="",GZ174,$C173&amp;" "&amp;GZ71&amp;CHAR(10)&amp;GZ174)</f>
        <v xml:space="preserve"> </v>
      </c>
      <c r="HA173" s="21" t="str">
        <f t="shared" si="822"/>
        <v xml:space="preserve"> </v>
      </c>
      <c r="HB173" s="21" t="str">
        <f t="shared" ref="HB173" si="990">IF(HB71="",HB174,$C173&amp;" "&amp;HB71&amp;CHAR(10)&amp;HB174)</f>
        <v xml:space="preserve"> </v>
      </c>
      <c r="HC173" s="21" t="str">
        <f t="shared" si="824"/>
        <v xml:space="preserve">web(2), mobile apps(2), sensors(2), AI&amp; data analysis(2), VR&amp;AR(2), plastic processing(2), electronics(2), aesthetics(2), interaction(2),  </v>
      </c>
      <c r="HD173" s="21" t="str">
        <f t="shared" si="825"/>
        <v xml:space="preserve">start-up with customers(1,6.25), for basic literacy(1,6.25),  </v>
      </c>
      <c r="HE173" s="21" t="str">
        <f t="shared" si="826"/>
        <v xml:space="preserve">start-up with customers(6.25),for basic literacy(6.25), </v>
      </c>
      <c r="HF173" s="21" t="str">
        <f t="shared" ref="HF173" si="991">IF(HF71="",HF174,$C173&amp;" "&amp;HF71&amp;CHAR(10)&amp;HF174)</f>
        <v xml:space="preserve"> </v>
      </c>
      <c r="HG173" s="21" t="str">
        <f t="shared" si="828"/>
        <v xml:space="preserve"> </v>
      </c>
      <c r="HH173" s="21" t="str">
        <f t="shared" ref="HH173" si="992">IF(HH71="",HH174,$C173&amp;" "&amp;HH71&amp;CHAR(10)&amp;HH174)</f>
        <v xml:space="preserve"> </v>
      </c>
      <c r="HI173" s="21" t="str">
        <f t="shared" si="830"/>
        <v xml:space="preserve">mobile apps(3), sensors(2), plastic processing(2), electronics(2), aesthetics(2), functions(2), interaction(2),  </v>
      </c>
      <c r="HJ173" s="21" t="str">
        <f t="shared" si="831"/>
        <v xml:space="preserve">start-up with customers(1,6.25),  </v>
      </c>
      <c r="HK173" s="21" t="str">
        <f t="shared" si="826"/>
        <v xml:space="preserve">start-up with customers(6.25), </v>
      </c>
      <c r="HL173" s="21" t="str">
        <f t="shared" ref="HL173" si="993">IF(HL71="",HL174,$C173&amp;" "&amp;HL71&amp;CHAR(10)&amp;HL174)</f>
        <v xml:space="preserve"> </v>
      </c>
      <c r="HM173" s="21" t="str">
        <f t="shared" si="833"/>
        <v xml:space="preserve"> </v>
      </c>
      <c r="HN173" s="21" t="str">
        <f t="shared" ref="HN173" si="994">IF(HN71="",HN174,$C173&amp;" "&amp;HN71&amp;CHAR(10)&amp;HN174)</f>
        <v xml:space="preserve"> </v>
      </c>
      <c r="HO173" s="21" t="str">
        <f t="shared" si="835"/>
        <v xml:space="preserve">web(3), mobile apps(2), wood processing(3), plastic processing(3), electronics(3), aesthetics(2), interaction(2),  </v>
      </c>
      <c r="HP173" s="21" t="str">
        <f t="shared" si="836"/>
        <v xml:space="preserve"> </v>
      </c>
      <c r="HQ173" s="47" t="str">
        <f t="shared" si="826"/>
        <v xml:space="preserve"> </v>
      </c>
      <c r="HR173" s="47" t="str">
        <f t="shared" ref="HR173:HW173" si="995">IF(HR71="",HR174,$C173&amp;"("&amp;HR71&amp;"),"&amp;HR174)</f>
        <v xml:space="preserve">mobile apps(1),sensors(1),wood processing(1),aesthetics(1), </v>
      </c>
      <c r="HS173" s="47" t="str">
        <f t="shared" si="995"/>
        <v xml:space="preserve"> </v>
      </c>
      <c r="HT173" s="47" t="str">
        <f t="shared" si="995"/>
        <v xml:space="preserve"> </v>
      </c>
      <c r="HU173" s="47" t="str">
        <f t="shared" si="995"/>
        <v xml:space="preserve">web(3),infrastructrue(3),database(3),mobile apps(3),sensors(3),AI&amp; data analysis(3),mobile comm(3),VR&amp;AR(3),wood processing(3),metal processing(2),plastic processing(2),electronics(2),fabric(2),aesthetics(2),interaction(2),start-up with mvp(1), </v>
      </c>
      <c r="HV173" s="47" t="str">
        <f t="shared" si="995"/>
        <v xml:space="preserve"> </v>
      </c>
      <c r="HW173" s="47" t="str">
        <f t="shared" si="995"/>
        <v xml:space="preserve"> </v>
      </c>
      <c r="HX173" s="47" t="str">
        <f t="shared" ref="HX173:IU173" si="996">IF(HX71="",HX174,$C173&amp;"("&amp;HX71&amp;"),"&amp;HX174)</f>
        <v xml:space="preserve">web(1),infrastructrue(1),database(2),mobile apps(1),sensors(1),AI&amp; data analysis(2),VR&amp;AR(1),wood processing(1),metal processing(1),plastic processing(1),electronics(1),aesthetics(1),functions(1),interaction(1), </v>
      </c>
      <c r="HY173" s="47" t="str">
        <f t="shared" si="996"/>
        <v xml:space="preserve">biz enhancement(1), </v>
      </c>
      <c r="HZ173" s="47" t="str">
        <f t="shared" si="996"/>
        <v xml:space="preserve">biz enhancement(100), </v>
      </c>
      <c r="IA173" s="47" t="str">
        <f t="shared" si="996"/>
        <v xml:space="preserve"> </v>
      </c>
      <c r="IB173" s="47" t="str">
        <f t="shared" si="996"/>
        <v xml:space="preserve">database(1),AI&amp; data analysis(1),electronics(1),functions(1), </v>
      </c>
      <c r="IC173" s="47" t="str">
        <f t="shared" si="996"/>
        <v xml:space="preserve">database(6.25),AI&amp; data analysis(6.25),electronics(6.25),functions(6.25), </v>
      </c>
      <c r="ID173" s="47" t="str">
        <f t="shared" si="996"/>
        <v xml:space="preserve"> </v>
      </c>
      <c r="IE173" s="47" t="str">
        <f t="shared" si="996"/>
        <v xml:space="preserve">web(1),mobile apps(1),security(1),AI&amp; data analysis(1), </v>
      </c>
      <c r="IF173" s="47" t="str">
        <f t="shared" si="996"/>
        <v xml:space="preserve">web(25),mobile apps(25),security(25),AI&amp; data analysis(25), </v>
      </c>
      <c r="IG173" s="47" t="str">
        <f t="shared" si="996"/>
        <v xml:space="preserve">web(2),database(2),mobile apps(2),security(2),AI&amp; data analysis(2), </v>
      </c>
      <c r="IH173" s="47" t="str">
        <f t="shared" si="996"/>
        <v xml:space="preserve">web(1),database(1),mobile apps(1),security(1),AI&amp; data analysis(1), </v>
      </c>
      <c r="II173" s="47" t="str">
        <f t="shared" si="996"/>
        <v xml:space="preserve">web(6.25),database(6.25),mobile apps(6.25),security(6.25),AI&amp; data analysis(6.25), </v>
      </c>
      <c r="IJ173" s="47" t="str">
        <f t="shared" si="996"/>
        <v xml:space="preserve"> </v>
      </c>
      <c r="IK173" s="47" t="str">
        <f t="shared" si="996"/>
        <v xml:space="preserve">wood processing(1),metal processing(1),functions(1),safety(1), </v>
      </c>
      <c r="IL173" s="47" t="str">
        <f t="shared" si="996"/>
        <v xml:space="preserve">wood processing(25),metal processing(25),functions(25),safety(25), </v>
      </c>
      <c r="IM173" s="47" t="str">
        <f t="shared" si="996"/>
        <v xml:space="preserve">wood processing(2),metal processing(2),functions(2),safety(2), </v>
      </c>
      <c r="IN173" s="47" t="str">
        <f t="shared" si="996"/>
        <v xml:space="preserve">wood processing(1),metal processing(1),functions(1),safety(1),interaction(1), </v>
      </c>
      <c r="IO173" s="47" t="str">
        <f t="shared" si="996"/>
        <v xml:space="preserve">wood processing(6.25),metal processing(6.25),functions(6.25),safety(6.25),interaction(6.25), </v>
      </c>
      <c r="IP173" s="57" t="str">
        <f t="shared" si="996"/>
        <v xml:space="preserve"> </v>
      </c>
      <c r="IQ173" s="47" t="str">
        <f t="shared" si="996"/>
        <v xml:space="preserve"> </v>
      </c>
      <c r="IR173" s="47" t="str">
        <f t="shared" si="996"/>
        <v xml:space="preserve"> </v>
      </c>
      <c r="IS173" s="47" t="str">
        <f t="shared" si="996"/>
        <v xml:space="preserve"> </v>
      </c>
      <c r="IT173" s="47" t="str">
        <f t="shared" si="996"/>
        <v xml:space="preserve"> </v>
      </c>
      <c r="IU173" s="47" t="str">
        <f t="shared" si="996"/>
        <v xml:space="preserve"> </v>
      </c>
      <c r="IV173" s="57" t="str">
        <f t="shared" ref="IV173:LG173" si="997">IF(IV71="",IV174,$C173&amp;"("&amp;IV71&amp;"),"&amp;IV174)</f>
        <v xml:space="preserve"> </v>
      </c>
      <c r="IW173" s="47" t="str">
        <f t="shared" si="997"/>
        <v xml:space="preserve"> </v>
      </c>
      <c r="IX173" s="47" t="str">
        <f t="shared" si="997"/>
        <v xml:space="preserve"> </v>
      </c>
      <c r="IY173" s="47" t="str">
        <f t="shared" si="997"/>
        <v xml:space="preserve"> </v>
      </c>
      <c r="IZ173" s="47" t="str">
        <f t="shared" si="997"/>
        <v xml:space="preserve"> </v>
      </c>
      <c r="JA173" s="47" t="str">
        <f t="shared" si="997"/>
        <v xml:space="preserve"> </v>
      </c>
      <c r="JB173" s="47" t="str">
        <f t="shared" si="997"/>
        <v xml:space="preserve"> </v>
      </c>
      <c r="JC173" s="47" t="str">
        <f t="shared" si="997"/>
        <v xml:space="preserve"> </v>
      </c>
      <c r="JD173" s="47" t="str">
        <f t="shared" si="997"/>
        <v xml:space="preserve"> </v>
      </c>
      <c r="JE173" s="47" t="str">
        <f t="shared" si="997"/>
        <v xml:space="preserve"> </v>
      </c>
      <c r="JF173" s="47" t="str">
        <f t="shared" si="997"/>
        <v xml:space="preserve">web(1),infrastructrue(1),database(1),mobile apps(1),sensors(1),security(1),AI&amp; data analysis(1),mobile comm(1),VR&amp;AR(1),wood processing(1),metal processing(1),plastic processing(1),electronics(1),fabric(1),aesthetics(1),functions(1),safety(1),interaction(1), </v>
      </c>
      <c r="JG173" s="47" t="str">
        <f t="shared" si="997"/>
        <v xml:space="preserve">web(6.25),infrastructrue(6.25),database(6.25),mobile apps(6.25),sensors(6.25),security(6.25),AI&amp; data analysis(6.25),mobile comm(6.25),VR&amp;AR(6.25),wood processing(6.25),metal processing(6.25),plastic processing(6.25),electronics(6.25),fabric(6.25),aesthetics(6.25),functions(6.25),safety(6.25),interaction(6.25), </v>
      </c>
      <c r="JH173" s="47" t="str">
        <f t="shared" si="997"/>
        <v xml:space="preserve"> </v>
      </c>
      <c r="JI173" s="47" t="str">
        <f t="shared" si="997"/>
        <v xml:space="preserve"> </v>
      </c>
      <c r="JJ173" s="47" t="str">
        <f t="shared" si="997"/>
        <v xml:space="preserve"> </v>
      </c>
      <c r="JK173" s="47" t="str">
        <f t="shared" si="997"/>
        <v xml:space="preserve">social project(1),social innovation(1),non-profit biz(1),biz project(1),biz enhancement(1),job creation(1),business(1),start-up(1),start-up with mvp(1),start-up with customers(1),for basic literacy(1),for the elites(1),for entrepreneurs(1), </v>
      </c>
      <c r="JL173" s="47" t="str">
        <f t="shared" si="997"/>
        <v xml:space="preserve"> </v>
      </c>
      <c r="JM173" s="47" t="str">
        <f t="shared" si="997"/>
        <v xml:space="preserve"> </v>
      </c>
      <c r="JN173" s="47" t="str">
        <f t="shared" si="997"/>
        <v xml:space="preserve"> </v>
      </c>
      <c r="JO173" s="47" t="str">
        <f t="shared" si="997"/>
        <v xml:space="preserve"> </v>
      </c>
      <c r="JP173" s="47" t="str">
        <f t="shared" si="997"/>
        <v xml:space="preserve"> </v>
      </c>
      <c r="JQ173" s="47" t="str">
        <f t="shared" si="997"/>
        <v xml:space="preserve">electronics(1),aesthetics(1),interaction(1),social project(1),social innovation(1),non-profit biz(1),biz project(1),biz enhancement(1),job creation(1),business(1),start-up(1),start-up with mvp(1),start-up with customers(1),for basic literacy(1),for the elites(1),for entrepreneurs(1), </v>
      </c>
      <c r="JR173" s="47" t="str">
        <f t="shared" si="997"/>
        <v xml:space="preserve"> </v>
      </c>
      <c r="JS173" s="47" t="str">
        <f t="shared" si="997"/>
        <v xml:space="preserve"> </v>
      </c>
      <c r="JT173" s="47" t="str">
        <f t="shared" si="997"/>
        <v xml:space="preserve"> </v>
      </c>
      <c r="JU173" s="47" t="str">
        <f t="shared" si="997"/>
        <v xml:space="preserve"> </v>
      </c>
      <c r="JV173" s="47" t="str">
        <f t="shared" si="997"/>
        <v xml:space="preserve"> </v>
      </c>
      <c r="JW173" s="47" t="str">
        <f t="shared" si="997"/>
        <v xml:space="preserve">social project(2),social innovation(1),non-profit biz(1),biz project(2),biz enhancement(2),job creation(1),business(1),start-up(2),start-up with mvp(1),start-up with customers(1),for basic literacy(2),for the elites(1),for entrepreneurs(1), </v>
      </c>
      <c r="JX173" s="47" t="str">
        <f t="shared" si="997"/>
        <v xml:space="preserve"> </v>
      </c>
      <c r="JY173" s="47" t="str">
        <f t="shared" si="997"/>
        <v xml:space="preserve"> </v>
      </c>
      <c r="JZ173" s="47" t="str">
        <f t="shared" si="997"/>
        <v xml:space="preserve">social project(2), </v>
      </c>
      <c r="KA173" s="47" t="str">
        <f t="shared" si="997"/>
        <v xml:space="preserve"> </v>
      </c>
      <c r="KB173" s="47" t="str">
        <f t="shared" si="997"/>
        <v xml:space="preserve"> </v>
      </c>
      <c r="KC173" s="47" t="str">
        <f t="shared" si="997"/>
        <v xml:space="preserve">web(1),mobile apps(1),sensors(1),AI&amp; data analysis(1),electronics(1),aesthetics(1),social project(3),social innovation(1),non-profit biz(1),biz project(2),biz enhancement(2),job creation(1),business(1),start-up(2),start-up with mvp(1),start-up with customers(1),for basic literacy(2),for the elites(1),for entrepreneurs(1), </v>
      </c>
      <c r="KD173" s="47" t="str">
        <f t="shared" si="997"/>
        <v xml:space="preserve"> </v>
      </c>
      <c r="KE173" s="47" t="str">
        <f t="shared" si="997"/>
        <v xml:space="preserve"> </v>
      </c>
      <c r="KF173" s="47" t="str">
        <f t="shared" si="997"/>
        <v xml:space="preserve"> </v>
      </c>
      <c r="KG173" s="47" t="str">
        <f t="shared" si="997"/>
        <v xml:space="preserve"> </v>
      </c>
      <c r="KH173" s="47" t="str">
        <f t="shared" si="997"/>
        <v xml:space="preserve"> </v>
      </c>
      <c r="KI173" s="47" t="str">
        <f t="shared" si="997"/>
        <v xml:space="preserve"> </v>
      </c>
      <c r="KJ173" s="47" t="str">
        <f t="shared" si="997"/>
        <v xml:space="preserve"> </v>
      </c>
      <c r="KK173" s="47" t="str">
        <f t="shared" si="997"/>
        <v xml:space="preserve"> </v>
      </c>
      <c r="KL173" s="57" t="str">
        <f t="shared" si="997"/>
        <v xml:space="preserve"> </v>
      </c>
      <c r="KM173" s="47" t="str">
        <f t="shared" si="997"/>
        <v xml:space="preserve"> </v>
      </c>
      <c r="KN173" s="47" t="str">
        <f t="shared" si="997"/>
        <v xml:space="preserve"> </v>
      </c>
      <c r="KO173" s="47" t="str">
        <f t="shared" si="997"/>
        <v xml:space="preserve"> </v>
      </c>
      <c r="KP173" s="47" t="str">
        <f t="shared" si="997"/>
        <v xml:space="preserve"> </v>
      </c>
      <c r="KQ173" s="47" t="str">
        <f t="shared" si="997"/>
        <v xml:space="preserve"> </v>
      </c>
      <c r="KR173" s="57" t="str">
        <f t="shared" si="997"/>
        <v xml:space="preserve"> </v>
      </c>
      <c r="KS173" s="47" t="str">
        <f t="shared" si="997"/>
        <v xml:space="preserve"> </v>
      </c>
      <c r="KT173" s="47" t="str">
        <f t="shared" si="997"/>
        <v xml:space="preserve"> </v>
      </c>
      <c r="KU173" s="47" t="str">
        <f t="shared" si="997"/>
        <v xml:space="preserve"> </v>
      </c>
      <c r="KV173" s="47" t="str">
        <f t="shared" si="997"/>
        <v xml:space="preserve"> </v>
      </c>
      <c r="KW173" s="47" t="str">
        <f t="shared" si="997"/>
        <v xml:space="preserve"> </v>
      </c>
      <c r="KX173" s="57" t="str">
        <f t="shared" si="997"/>
        <v xml:space="preserve"> </v>
      </c>
      <c r="KY173" s="47" t="str">
        <f t="shared" si="997"/>
        <v xml:space="preserve"> </v>
      </c>
      <c r="KZ173" s="47" t="str">
        <f t="shared" si="997"/>
        <v xml:space="preserve"> </v>
      </c>
      <c r="LA173" s="47" t="str">
        <f t="shared" si="997"/>
        <v xml:space="preserve"> </v>
      </c>
      <c r="LB173" s="47" t="str">
        <f t="shared" si="997"/>
        <v xml:space="preserve"> </v>
      </c>
      <c r="LC173" s="47" t="str">
        <f t="shared" si="997"/>
        <v xml:space="preserve"> </v>
      </c>
      <c r="LD173" s="57" t="str">
        <f t="shared" si="997"/>
        <v xml:space="preserve"> </v>
      </c>
      <c r="LE173" s="47" t="str">
        <f t="shared" si="997"/>
        <v xml:space="preserve"> </v>
      </c>
      <c r="LF173" s="47" t="str">
        <f t="shared" si="997"/>
        <v xml:space="preserve"> </v>
      </c>
      <c r="LG173" s="47" t="str">
        <f t="shared" si="997"/>
        <v xml:space="preserve"> </v>
      </c>
      <c r="LH173" s="47" t="str">
        <f t="shared" ref="LH173:NM173" si="998">IF(LH71="",LH174,$C173&amp;"("&amp;LH71&amp;"),"&amp;LH174)</f>
        <v xml:space="preserve"> </v>
      </c>
      <c r="LI173" s="47" t="str">
        <f t="shared" si="998"/>
        <v xml:space="preserve"> </v>
      </c>
      <c r="LJ173" s="57" t="str">
        <f t="shared" si="998"/>
        <v xml:space="preserve"> </v>
      </c>
      <c r="LK173" s="47" t="str">
        <f t="shared" si="998"/>
        <v xml:space="preserve"> </v>
      </c>
      <c r="LL173" s="47" t="str">
        <f t="shared" si="998"/>
        <v xml:space="preserve"> </v>
      </c>
      <c r="LM173" s="47" t="str">
        <f t="shared" si="998"/>
        <v xml:space="preserve"> </v>
      </c>
      <c r="LN173" s="47" t="str">
        <f t="shared" si="998"/>
        <v xml:space="preserve"> </v>
      </c>
      <c r="LO173" s="47" t="str">
        <f t="shared" si="998"/>
        <v xml:space="preserve"> </v>
      </c>
      <c r="LP173" s="57" t="str">
        <f t="shared" si="998"/>
        <v xml:space="preserve"> </v>
      </c>
      <c r="LQ173" s="47" t="str">
        <f t="shared" si="998"/>
        <v xml:space="preserve"> </v>
      </c>
      <c r="LR173" s="47" t="str">
        <f t="shared" si="998"/>
        <v xml:space="preserve"> </v>
      </c>
      <c r="LS173" s="47" t="str">
        <f t="shared" si="998"/>
        <v xml:space="preserve"> </v>
      </c>
      <c r="LT173" s="47" t="str">
        <f t="shared" si="998"/>
        <v xml:space="preserve"> </v>
      </c>
      <c r="LU173" s="47" t="str">
        <f t="shared" si="998"/>
        <v xml:space="preserve"> </v>
      </c>
      <c r="LV173" s="57" t="str">
        <f t="shared" si="998"/>
        <v xml:space="preserve"> </v>
      </c>
      <c r="LW173" s="47" t="str">
        <f t="shared" si="998"/>
        <v xml:space="preserve"> </v>
      </c>
      <c r="LX173" s="47" t="str">
        <f t="shared" si="998"/>
        <v xml:space="preserve"> </v>
      </c>
      <c r="LY173" s="47" t="str">
        <f t="shared" si="998"/>
        <v xml:space="preserve"> </v>
      </c>
      <c r="LZ173" s="47" t="str">
        <f t="shared" si="998"/>
        <v xml:space="preserve"> </v>
      </c>
      <c r="MA173" s="47" t="str">
        <f t="shared" si="998"/>
        <v xml:space="preserve"> </v>
      </c>
      <c r="MB173" s="57" t="str">
        <f t="shared" si="998"/>
        <v xml:space="preserve"> </v>
      </c>
      <c r="MC173" s="47" t="str">
        <f t="shared" si="998"/>
        <v xml:space="preserve"> </v>
      </c>
      <c r="MD173" s="47" t="str">
        <f t="shared" si="998"/>
        <v xml:space="preserve"> </v>
      </c>
      <c r="ME173" s="47" t="str">
        <f t="shared" si="998"/>
        <v xml:space="preserve"> </v>
      </c>
      <c r="MF173" s="47" t="str">
        <f t="shared" si="998"/>
        <v xml:space="preserve"> </v>
      </c>
      <c r="MG173" s="47" t="str">
        <f t="shared" si="998"/>
        <v xml:space="preserve"> </v>
      </c>
      <c r="MH173" s="57" t="str">
        <f t="shared" si="998"/>
        <v xml:space="preserve"> </v>
      </c>
      <c r="MI173" s="47" t="str">
        <f t="shared" si="998"/>
        <v xml:space="preserve"> </v>
      </c>
      <c r="MJ173" s="47" t="str">
        <f t="shared" si="998"/>
        <v xml:space="preserve"> </v>
      </c>
      <c r="MK173" s="47" t="str">
        <f t="shared" si="998"/>
        <v xml:space="preserve"> </v>
      </c>
      <c r="ML173" s="47" t="str">
        <f t="shared" si="998"/>
        <v xml:space="preserve"> </v>
      </c>
      <c r="MM173" s="47" t="str">
        <f t="shared" si="998"/>
        <v xml:space="preserve"> </v>
      </c>
      <c r="MN173" s="57" t="str">
        <f t="shared" si="998"/>
        <v xml:space="preserve"> </v>
      </c>
      <c r="MO173" s="47" t="str">
        <f t="shared" si="998"/>
        <v xml:space="preserve"> </v>
      </c>
      <c r="MP173" s="47" t="str">
        <f t="shared" si="998"/>
        <v xml:space="preserve"> </v>
      </c>
      <c r="MQ173" s="47" t="str">
        <f t="shared" si="998"/>
        <v xml:space="preserve"> </v>
      </c>
      <c r="MR173" s="47" t="str">
        <f t="shared" si="998"/>
        <v xml:space="preserve"> </v>
      </c>
      <c r="MS173" s="47" t="str">
        <f t="shared" si="998"/>
        <v xml:space="preserve"> </v>
      </c>
      <c r="MT173" s="57" t="str">
        <f t="shared" si="998"/>
        <v xml:space="preserve"> </v>
      </c>
      <c r="MU173" s="47" t="str">
        <f t="shared" si="998"/>
        <v xml:space="preserve"> </v>
      </c>
      <c r="MV173" s="47" t="str">
        <f t="shared" si="998"/>
        <v xml:space="preserve"> </v>
      </c>
      <c r="MW173" s="47" t="str">
        <f t="shared" si="998"/>
        <v xml:space="preserve"> </v>
      </c>
      <c r="MX173" s="47" t="str">
        <f t="shared" si="998"/>
        <v xml:space="preserve"> </v>
      </c>
      <c r="MY173" s="47" t="str">
        <f t="shared" si="998"/>
        <v xml:space="preserve"> </v>
      </c>
      <c r="MZ173" s="57" t="str">
        <f t="shared" si="998"/>
        <v xml:space="preserve"> </v>
      </c>
      <c r="NA173" s="47" t="str">
        <f t="shared" si="998"/>
        <v xml:space="preserve"> </v>
      </c>
      <c r="NB173" s="47" t="str">
        <f t="shared" si="998"/>
        <v xml:space="preserve"> </v>
      </c>
      <c r="NC173" s="47" t="str">
        <f t="shared" si="998"/>
        <v xml:space="preserve"> </v>
      </c>
      <c r="ND173" s="47" t="str">
        <f t="shared" si="998"/>
        <v xml:space="preserve"> </v>
      </c>
      <c r="NE173" s="47" t="str">
        <f t="shared" si="998"/>
        <v xml:space="preserve"> </v>
      </c>
      <c r="NF173" s="57" t="str">
        <f t="shared" si="998"/>
        <v xml:space="preserve"> </v>
      </c>
      <c r="NG173" s="47" t="str">
        <f t="shared" si="998"/>
        <v xml:space="preserve"> </v>
      </c>
      <c r="NH173" s="47" t="str">
        <f t="shared" si="998"/>
        <v xml:space="preserve"> </v>
      </c>
      <c r="NI173" s="47" t="str">
        <f t="shared" si="998"/>
        <v xml:space="preserve"> </v>
      </c>
      <c r="NJ173" s="47" t="str">
        <f t="shared" si="998"/>
        <v xml:space="preserve"> </v>
      </c>
      <c r="NK173" s="47" t="str">
        <f t="shared" si="998"/>
        <v xml:space="preserve"> </v>
      </c>
      <c r="NL173" s="57" t="str">
        <f t="shared" si="998"/>
        <v xml:space="preserve"> </v>
      </c>
      <c r="NM173" s="47" t="str">
        <f t="shared" si="998"/>
        <v xml:space="preserve"> </v>
      </c>
    </row>
    <row r="174" spans="3:377" ht="15.75" customHeight="1">
      <c r="C174" s="7" t="str">
        <f t="shared" si="841"/>
        <v>infrastructrue</v>
      </c>
      <c r="D174" s="21" t="str">
        <f t="shared" si="651"/>
        <v xml:space="preserve"> </v>
      </c>
      <c r="E174" s="21" t="str">
        <f t="shared" si="842"/>
        <v xml:space="preserve"> </v>
      </c>
      <c r="F174" s="21" t="str">
        <f t="shared" si="651"/>
        <v xml:space="preserve"> </v>
      </c>
      <c r="G174" s="21" t="str">
        <f t="shared" si="843"/>
        <v xml:space="preserve"> </v>
      </c>
      <c r="H174" s="21" t="str">
        <f t="shared" si="844"/>
        <v xml:space="preserve"> </v>
      </c>
      <c r="I174" s="21" t="str">
        <f t="shared" ref="I174" si="999">IF(I72="",I175,$C174&amp;"("&amp;I72&amp;"),"&amp;I175)</f>
        <v xml:space="preserve"> </v>
      </c>
      <c r="J174" s="21" t="str">
        <f t="shared" ref="J174" si="1000">IF(J72="",J175,$C174&amp;" "&amp;J72&amp;CHAR(10)&amp;J175)</f>
        <v xml:space="preserve">interaction 1
 </v>
      </c>
      <c r="K174" s="21" t="str">
        <f t="shared" si="654"/>
        <v xml:space="preserve"> </v>
      </c>
      <c r="L174" s="21" t="str">
        <f t="shared" ref="L174" si="1001">IF(L72="",L175,$C174&amp;" "&amp;L72&amp;CHAR(10)&amp;L175)</f>
        <v xml:space="preserve"> </v>
      </c>
      <c r="M174" s="21" t="str">
        <f t="shared" si="656"/>
        <v xml:space="preserve">social innovation(1), non-profit biz(1),  </v>
      </c>
      <c r="N174" s="21" t="str">
        <f t="shared" si="657"/>
        <v xml:space="preserve"> </v>
      </c>
      <c r="O174" s="21" t="str">
        <f t="shared" si="658"/>
        <v xml:space="preserve"> </v>
      </c>
      <c r="P174" s="21" t="str">
        <f t="shared" ref="P174" si="1002">IF(P72="",P175,$C174&amp;" "&amp;P72&amp;CHAR(10)&amp;P175)</f>
        <v xml:space="preserve">biz project 1
 </v>
      </c>
      <c r="Q174" s="21" t="str">
        <f t="shared" si="660"/>
        <v xml:space="preserve"> </v>
      </c>
      <c r="R174" s="21" t="str">
        <f t="shared" ref="R174" si="1003">IF(R72="",R175,$C174&amp;" "&amp;R72&amp;CHAR(10)&amp;R175)</f>
        <v xml:space="preserve"> </v>
      </c>
      <c r="S174" s="21" t="str">
        <f t="shared" si="662"/>
        <v xml:space="preserve">biz enhancement(1), business(1), start-up(1),  </v>
      </c>
      <c r="T174" s="21" t="str">
        <f t="shared" si="663"/>
        <v xml:space="preserve"> </v>
      </c>
      <c r="U174" s="21" t="str">
        <f t="shared" si="658"/>
        <v xml:space="preserve"> </v>
      </c>
      <c r="V174" s="21" t="str">
        <f t="shared" ref="V174" si="1004">IF(V72="",V175,$C174&amp;" "&amp;V72&amp;CHAR(10)&amp;V175)</f>
        <v xml:space="preserve"> </v>
      </c>
      <c r="W174" s="21" t="str">
        <f t="shared" si="665"/>
        <v xml:space="preserve"> </v>
      </c>
      <c r="X174" s="21" t="str">
        <f t="shared" ref="X174" si="1005">IF(X72="",X175,$C174&amp;" "&amp;X72&amp;CHAR(10)&amp;X175)</f>
        <v xml:space="preserve"> </v>
      </c>
      <c r="Y174" s="21" t="str">
        <f t="shared" si="667"/>
        <v xml:space="preserve">biz project(1), biz enhancement(1), job creation(1), business(1),  </v>
      </c>
      <c r="Z174" s="21" t="str">
        <f t="shared" si="668"/>
        <v xml:space="preserve"> </v>
      </c>
      <c r="AA174" s="21" t="str">
        <f t="shared" si="658"/>
        <v xml:space="preserve"> </v>
      </c>
      <c r="AB174" s="21" t="str">
        <f t="shared" ref="AB174" si="1006">IF(AB72="",AB175,$C174&amp;" "&amp;AB72&amp;CHAR(10)&amp;AB175)</f>
        <v xml:space="preserve"> </v>
      </c>
      <c r="AC174" s="21" t="str">
        <f t="shared" si="670"/>
        <v xml:space="preserve"> </v>
      </c>
      <c r="AD174" s="21" t="str">
        <f t="shared" ref="AD174" si="1007">IF(AD72="",AD175,$C174&amp;" "&amp;AD72&amp;CHAR(10)&amp;AD175)</f>
        <v xml:space="preserve"> </v>
      </c>
      <c r="AE174" s="21" t="str">
        <f t="shared" si="672"/>
        <v xml:space="preserve">social project(1), social innovation(1), non-profit biz(1),  </v>
      </c>
      <c r="AF174" s="21" t="str">
        <f t="shared" si="673"/>
        <v xml:space="preserve"> </v>
      </c>
      <c r="AG174" s="21" t="str">
        <f t="shared" si="658"/>
        <v xml:space="preserve"> </v>
      </c>
      <c r="AH174" s="21" t="str">
        <f t="shared" ref="AH174" si="1008">IF(AH72="",AH175,$C174&amp;" "&amp;AH72&amp;CHAR(10)&amp;AH175)</f>
        <v xml:space="preserve"> </v>
      </c>
      <c r="AI174" s="21" t="str">
        <f t="shared" si="675"/>
        <v xml:space="preserve"> </v>
      </c>
      <c r="AJ174" s="21" t="str">
        <f t="shared" ref="AJ174" si="1009">IF(AJ72="",AJ175,$C174&amp;" "&amp;AJ72&amp;CHAR(10)&amp;AJ175)</f>
        <v xml:space="preserve"> </v>
      </c>
      <c r="AK174" s="21" t="str">
        <f t="shared" si="677"/>
        <v xml:space="preserve">social project(1), social innovation(1), non-profit biz(1),  </v>
      </c>
      <c r="AL174" s="21" t="str">
        <f t="shared" si="678"/>
        <v xml:space="preserve"> </v>
      </c>
      <c r="AM174" s="21" t="str">
        <f t="shared" si="658"/>
        <v xml:space="preserve"> </v>
      </c>
      <c r="AN174" s="21" t="str">
        <f t="shared" ref="AN174" si="1010">IF(AN72="",AN175,$C174&amp;" "&amp;AN72&amp;CHAR(10)&amp;AN175)</f>
        <v xml:space="preserve"> </v>
      </c>
      <c r="AO174" s="21" t="str">
        <f t="shared" si="680"/>
        <v xml:space="preserve"> </v>
      </c>
      <c r="AP174" s="21" t="str">
        <f t="shared" ref="AP174" si="1011">IF(AP72="",AP175,$C174&amp;" "&amp;AP72&amp;CHAR(10)&amp;AP175)</f>
        <v xml:space="preserve"> </v>
      </c>
      <c r="AQ174" s="21" t="str">
        <f t="shared" si="682"/>
        <v xml:space="preserve">start-up(1), start-up with mvp(1), start-up with customers(1),  </v>
      </c>
      <c r="AR174" s="21" t="str">
        <f t="shared" si="683"/>
        <v xml:space="preserve"> </v>
      </c>
      <c r="AS174" s="21" t="str">
        <f t="shared" si="658"/>
        <v xml:space="preserve"> </v>
      </c>
      <c r="AT174" s="21" t="str">
        <f t="shared" ref="AT174" si="1012">IF(AT72="",AT175,$C174&amp;" "&amp;AT72&amp;CHAR(10)&amp;AT175)</f>
        <v xml:space="preserve">social project 1
 </v>
      </c>
      <c r="AU174" s="21" t="str">
        <f t="shared" si="685"/>
        <v xml:space="preserve"> </v>
      </c>
      <c r="AV174" s="21" t="str">
        <f t="shared" ref="AV174" si="1013">IF(AV72="",AV175,$C174&amp;" "&amp;AV72&amp;CHAR(10)&amp;AV175)</f>
        <v xml:space="preserve"> </v>
      </c>
      <c r="AW174" s="21" t="str">
        <f t="shared" si="687"/>
        <v xml:space="preserve"> </v>
      </c>
      <c r="AX174" s="21" t="str">
        <f t="shared" si="688"/>
        <v xml:space="preserve"> </v>
      </c>
      <c r="AY174" s="21" t="str">
        <f t="shared" si="658"/>
        <v xml:space="preserve"> </v>
      </c>
      <c r="AZ174" s="21" t="str">
        <f t="shared" ref="AZ174" si="1014">IF(AZ72="",AZ175,$C174&amp;" "&amp;AZ72&amp;CHAR(10)&amp;AZ175)</f>
        <v xml:space="preserve"> </v>
      </c>
      <c r="BA174" s="21" t="str">
        <f t="shared" si="690"/>
        <v xml:space="preserve"> </v>
      </c>
      <c r="BB174" s="21" t="str">
        <f t="shared" ref="BB174" si="1015">IF(BB72="",BB175,$C174&amp;" "&amp;BB72&amp;CHAR(10)&amp;BB175)</f>
        <v xml:space="preserve"> </v>
      </c>
      <c r="BC174" s="21" t="str">
        <f t="shared" si="692"/>
        <v xml:space="preserve"> </v>
      </c>
      <c r="BD174" s="21" t="str">
        <f t="shared" si="693"/>
        <v xml:space="preserve"> </v>
      </c>
      <c r="BE174" s="21" t="str">
        <f t="shared" si="658"/>
        <v xml:space="preserve"> </v>
      </c>
      <c r="BF174" s="21" t="str">
        <f t="shared" ref="BF174" si="1016">IF(BF72="",BF175,$C174&amp;" "&amp;BF72&amp;CHAR(10)&amp;BF175)</f>
        <v xml:space="preserve">biz project 1
 </v>
      </c>
      <c r="BG174" s="21" t="str">
        <f t="shared" si="695"/>
        <v xml:space="preserve"> </v>
      </c>
      <c r="BH174" s="21" t="str">
        <f t="shared" ref="BH174" si="1017">IF(BH72="",BH175,$C174&amp;" "&amp;BH72&amp;CHAR(10)&amp;BH175)</f>
        <v xml:space="preserve"> </v>
      </c>
      <c r="BI174" s="21" t="str">
        <f t="shared" si="697"/>
        <v xml:space="preserve"> </v>
      </c>
      <c r="BJ174" s="21" t="str">
        <f t="shared" si="698"/>
        <v xml:space="preserve"> </v>
      </c>
      <c r="BK174" s="21" t="str">
        <f t="shared" si="658"/>
        <v xml:space="preserve"> </v>
      </c>
      <c r="BL174" s="21" t="str">
        <f t="shared" ref="BL174" si="1018">IF(BL72="",BL175,$C174&amp;" "&amp;BL72&amp;CHAR(10)&amp;BL175)</f>
        <v xml:space="preserve">biz enhancement 1
 </v>
      </c>
      <c r="BM174" s="21" t="str">
        <f t="shared" si="700"/>
        <v xml:space="preserve"> </v>
      </c>
      <c r="BN174" s="21" t="str">
        <f t="shared" ref="BN174" si="1019">IF(BN72="",BN175,$C174&amp;" "&amp;BN72&amp;CHAR(10)&amp;BN175)</f>
        <v xml:space="preserve"> </v>
      </c>
      <c r="BO174" s="21" t="str">
        <f t="shared" si="702"/>
        <v xml:space="preserve"> </v>
      </c>
      <c r="BP174" s="21" t="str">
        <f t="shared" si="703"/>
        <v xml:space="preserve"> </v>
      </c>
      <c r="BQ174" s="21" t="str">
        <f t="shared" si="658"/>
        <v xml:space="preserve"> </v>
      </c>
      <c r="BR174" s="21" t="str">
        <f t="shared" ref="BR174" si="1020">IF(BR72="",BR175,$C174&amp;" "&amp;BR72&amp;CHAR(10)&amp;BR175)</f>
        <v xml:space="preserve"> </v>
      </c>
      <c r="BS174" s="21" t="str">
        <f t="shared" si="705"/>
        <v xml:space="preserve"> </v>
      </c>
      <c r="BT174" s="21" t="str">
        <f t="shared" ref="BT174" si="1021">IF(BT72="",BT175,$C174&amp;" "&amp;BT72&amp;CHAR(10)&amp;BT175)</f>
        <v xml:space="preserve"> </v>
      </c>
      <c r="BU174" s="21" t="str">
        <f t="shared" si="707"/>
        <v xml:space="preserve"> </v>
      </c>
      <c r="BV174" s="21" t="str">
        <f t="shared" si="708"/>
        <v xml:space="preserve"> </v>
      </c>
      <c r="BW174" s="21" t="str">
        <f t="shared" si="658"/>
        <v xml:space="preserve"> </v>
      </c>
      <c r="BX174" s="21" t="str">
        <f t="shared" ref="BX174" si="1022">IF(BX72="",BX175,$C174&amp;" "&amp;BX72&amp;CHAR(10)&amp;BX175)</f>
        <v xml:space="preserve"> </v>
      </c>
      <c r="BY174" s="21" t="str">
        <f t="shared" si="710"/>
        <v xml:space="preserve"> </v>
      </c>
      <c r="BZ174" s="21" t="str">
        <f t="shared" ref="BZ174" si="1023">IF(BZ72="",BZ175,$C174&amp;" "&amp;BZ72&amp;CHAR(10)&amp;BZ175)</f>
        <v xml:space="preserve"> </v>
      </c>
      <c r="CA174" s="21" t="str">
        <f t="shared" si="712"/>
        <v xml:space="preserve"> </v>
      </c>
      <c r="CB174" s="21" t="str">
        <f t="shared" si="713"/>
        <v xml:space="preserve"> </v>
      </c>
      <c r="CC174" s="21" t="str">
        <f t="shared" si="714"/>
        <v xml:space="preserve"> </v>
      </c>
      <c r="CD174" s="21" t="str">
        <f t="shared" ref="CD174" si="1024">IF(CD72="",CD175,$C174&amp;" "&amp;CD72&amp;CHAR(10)&amp;CD175)</f>
        <v xml:space="preserve"> </v>
      </c>
      <c r="CE174" s="21" t="str">
        <f t="shared" si="716"/>
        <v xml:space="preserve"> </v>
      </c>
      <c r="CF174" s="21" t="str">
        <f t="shared" ref="CF174" si="1025">IF(CF72="",CF175,$C174&amp;" "&amp;CF72&amp;CHAR(10)&amp;CF175)</f>
        <v xml:space="preserve"> </v>
      </c>
      <c r="CG174" s="21" t="str">
        <f t="shared" si="718"/>
        <v xml:space="preserve">social project(1), biz project(1), for basic literacy(1), for the elites(1), for entrepreneurs(1),  </v>
      </c>
      <c r="CH174" s="21" t="str">
        <f t="shared" si="719"/>
        <v xml:space="preserve"> </v>
      </c>
      <c r="CI174" s="21" t="str">
        <f t="shared" si="714"/>
        <v xml:space="preserve"> </v>
      </c>
      <c r="CJ174" s="21" t="str">
        <f t="shared" ref="CJ174" si="1026">IF(CJ72="",CJ175,$C174&amp;" "&amp;CJ72&amp;CHAR(10)&amp;CJ175)</f>
        <v xml:space="preserve"> </v>
      </c>
      <c r="CK174" s="21" t="str">
        <f t="shared" si="721"/>
        <v xml:space="preserve"> </v>
      </c>
      <c r="CL174" s="21" t="str">
        <f t="shared" ref="CL174" si="1027">IF(CL72="",CL175,$C174&amp;" "&amp;CL72&amp;CHAR(10)&amp;CL175)</f>
        <v xml:space="preserve"> </v>
      </c>
      <c r="CM174" s="21" t="str">
        <f t="shared" si="723"/>
        <v xml:space="preserve"> </v>
      </c>
      <c r="CN174" s="21" t="str">
        <f t="shared" si="724"/>
        <v xml:space="preserve"> </v>
      </c>
      <c r="CO174" s="21" t="str">
        <f t="shared" si="714"/>
        <v xml:space="preserve"> </v>
      </c>
      <c r="CP174" s="21" t="str">
        <f t="shared" ref="CP174" si="1028">IF(CP72="",CP175,$C174&amp;" "&amp;CP72&amp;CHAR(10)&amp;CP175)</f>
        <v xml:space="preserve"> </v>
      </c>
      <c r="CQ174" s="21" t="str">
        <f t="shared" si="726"/>
        <v xml:space="preserve"> </v>
      </c>
      <c r="CR174" s="21" t="str">
        <f t="shared" ref="CR174" si="1029">IF(CR72="",CR175,$C174&amp;" "&amp;CR72&amp;CHAR(10)&amp;CR175)</f>
        <v xml:space="preserve"> </v>
      </c>
      <c r="CS174" s="21" t="str">
        <f t="shared" si="728"/>
        <v xml:space="preserve">infrastructrue(1), database(1), mobile apps(1), sensors(1), security(1), AI&amp; data analysis(1), mobile comm(1), VR&amp;AR(1), wood processing(1), metal processing(1), plastic processing(1), electronics(1), fabric(1),  </v>
      </c>
      <c r="CT174" s="21" t="str">
        <f t="shared" si="729"/>
        <v xml:space="preserve"> </v>
      </c>
      <c r="CU174" s="21" t="str">
        <f t="shared" si="714"/>
        <v xml:space="preserve"> </v>
      </c>
      <c r="CV174" s="21" t="str">
        <f t="shared" ref="CV174" si="1030">IF(CV72="",CV175,$C174&amp;" "&amp;CV72&amp;CHAR(10)&amp;CV175)</f>
        <v xml:space="preserve"> </v>
      </c>
      <c r="CW174" s="21" t="str">
        <f t="shared" si="731"/>
        <v xml:space="preserve"> </v>
      </c>
      <c r="CX174" s="21" t="str">
        <f t="shared" ref="CX174" si="1031">IF(CX72="",CX175,$C174&amp;" "&amp;CX72&amp;CHAR(10)&amp;CX175)</f>
        <v xml:space="preserve"> </v>
      </c>
      <c r="CY174" s="21" t="str">
        <f t="shared" si="733"/>
        <v xml:space="preserve"> </v>
      </c>
      <c r="CZ174" s="21" t="str">
        <f t="shared" si="734"/>
        <v xml:space="preserve"> </v>
      </c>
      <c r="DA174" s="21" t="str">
        <f t="shared" si="714"/>
        <v xml:space="preserve"> </v>
      </c>
      <c r="DB174" s="21" t="str">
        <f t="shared" ref="DB174" si="1032">IF(DB72="",DB175,$C174&amp;" "&amp;DB72&amp;CHAR(10)&amp;DB175)</f>
        <v xml:space="preserve"> </v>
      </c>
      <c r="DC174" s="21" t="str">
        <f t="shared" si="736"/>
        <v xml:space="preserve"> </v>
      </c>
      <c r="DD174" s="21" t="str">
        <f t="shared" ref="DD174" si="1033">IF(DD72="",DD175,$C174&amp;" "&amp;DD72&amp;CHAR(10)&amp;DD175)</f>
        <v xml:space="preserve"> </v>
      </c>
      <c r="DE174" s="21" t="str">
        <f t="shared" si="738"/>
        <v xml:space="preserve">infrastructrue(2), 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4" s="21" t="str">
        <f t="shared" si="739"/>
        <v xml:space="preserve"> </v>
      </c>
      <c r="DG174" s="21" t="str">
        <f t="shared" si="714"/>
        <v xml:space="preserve"> </v>
      </c>
      <c r="DH174" s="21" t="str">
        <f t="shared" ref="DH174" si="1034">IF(DH72="",DH175,$C174&amp;" "&amp;DH72&amp;CHAR(10)&amp;DH175)</f>
        <v xml:space="preserve">social project 1
 </v>
      </c>
      <c r="DI174" s="21" t="str">
        <f t="shared" si="741"/>
        <v xml:space="preserve"> </v>
      </c>
      <c r="DJ174" s="21" t="str">
        <f t="shared" ref="DJ174" si="1035">IF(DJ72="",DJ175,$C174&amp;" "&amp;DJ72&amp;CHAR(10)&amp;DJ175)</f>
        <v xml:space="preserve"> </v>
      </c>
      <c r="DK174" s="21" t="str">
        <f t="shared" si="743"/>
        <v xml:space="preserve">infrastructrue(2), database(2), mobile apps(2), sensors(2), security(2), AI&amp; data analysis(2), mobile comm(2), VR&amp;AR(2), wood processing(2), metal processing(2), plastic processing(2), electronics(2), fabric(2), aesthetics(2), functions(2), safety(2), interaction(2), social project(2), social innovation(1), non-profit biz(1),  </v>
      </c>
      <c r="DL174" s="21" t="str">
        <f t="shared" si="744"/>
        <v xml:space="preserve"> </v>
      </c>
      <c r="DM174" s="21" t="str">
        <f t="shared" si="714"/>
        <v xml:space="preserve"> </v>
      </c>
      <c r="DN174" s="21" t="str">
        <f t="shared" ref="DN174" si="1036">IF(DN72="",DN175,$C174&amp;" "&amp;DN72&amp;CHAR(10)&amp;DN175)</f>
        <v xml:space="preserve">biz project 1
 </v>
      </c>
      <c r="DO174" s="21" t="str">
        <f t="shared" si="746"/>
        <v xml:space="preserve"> </v>
      </c>
      <c r="DP174" s="21" t="str">
        <f t="shared" ref="DP174" si="1037">IF(DP72="",DP175,$C174&amp;" "&amp;DP72&amp;CHAR(10)&amp;DP175)</f>
        <v xml:space="preserve"> </v>
      </c>
      <c r="DQ174" s="21" t="str">
        <f t="shared" si="748"/>
        <v xml:space="preserve">infrastructrue(2), 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4" s="21" t="str">
        <f t="shared" si="749"/>
        <v xml:space="preserve"> </v>
      </c>
      <c r="DS174" s="21" t="str">
        <f t="shared" si="714"/>
        <v xml:space="preserve"> </v>
      </c>
      <c r="DT174" s="21" t="str">
        <f t="shared" ref="DT174" si="1038">IF(DT72="",DT175,$C174&amp;" "&amp;DT72&amp;CHAR(10)&amp;DT175)</f>
        <v xml:space="preserve"> </v>
      </c>
      <c r="DU174" s="21" t="str">
        <f t="shared" si="751"/>
        <v xml:space="preserve"> </v>
      </c>
      <c r="DV174" s="21" t="str">
        <f t="shared" ref="DV174" si="1039">IF(DV72="",DV175,$C174&amp;" "&amp;DV72&amp;CHAR(10)&amp;DV175)</f>
        <v xml:space="preserve"> </v>
      </c>
      <c r="DW174" s="21" t="str">
        <f t="shared" si="753"/>
        <v xml:space="preserve">for basic literacy(1),  </v>
      </c>
      <c r="DX174" s="21" t="str">
        <f t="shared" si="754"/>
        <v xml:space="preserve">for basic literacy(1,6.25),  </v>
      </c>
      <c r="DY174" s="21" t="str">
        <f t="shared" si="714"/>
        <v xml:space="preserve">for basic literacy(6.25), </v>
      </c>
      <c r="DZ174" s="21" t="str">
        <f t="shared" ref="DZ174" si="1040">IF(DZ72="",DZ175,$C174&amp;" "&amp;DZ72&amp;CHAR(10)&amp;DZ175)</f>
        <v xml:space="preserve"> </v>
      </c>
      <c r="EA174" s="21" t="str">
        <f t="shared" si="756"/>
        <v xml:space="preserve"> </v>
      </c>
      <c r="EB174" s="21" t="str">
        <f t="shared" ref="EB174" si="1041">IF(EB72="",EB175,$C174&amp;" "&amp;EB72&amp;CHAR(10)&amp;EB175)</f>
        <v xml:space="preserve"> </v>
      </c>
      <c r="EC174" s="21" t="str">
        <f t="shared" si="758"/>
        <v xml:space="preserve">infrastructrue(2), database(2), mobile apps(2), sensors(2), security(2), AI&amp; data analysis(2), mobile comm(2), VR&amp;AR(2), wood processing(2), metal processing(2), plastic processing(2), electronics(2), fabric(2), for basic literacy(1),  </v>
      </c>
      <c r="ED174" s="21" t="str">
        <f t="shared" si="759"/>
        <v xml:space="preserve">for basic literacy(1,6.25),  </v>
      </c>
      <c r="EE174" s="21" t="str">
        <f t="shared" si="714"/>
        <v xml:space="preserve">for basic literacy(6.25), </v>
      </c>
      <c r="EF174" s="21" t="str">
        <f t="shared" ref="EF174" si="1042">IF(EF72="",EF175,$C174&amp;" "&amp;EF72&amp;CHAR(10)&amp;EF175)</f>
        <v xml:space="preserve"> </v>
      </c>
      <c r="EG174" s="21" t="str">
        <f t="shared" si="761"/>
        <v xml:space="preserve">mobile apps(1,50), interaction(1,50),  </v>
      </c>
      <c r="EH174" s="21" t="str">
        <f t="shared" ref="EH174" si="1043">IF(EH72="",EH175,$C174&amp;" "&amp;EH72&amp;CHAR(10)&amp;EH175)</f>
        <v xml:space="preserve">mobile apps 50
interaction 50
 </v>
      </c>
      <c r="EI174" s="21" t="str">
        <f t="shared" si="763"/>
        <v xml:space="preserve">infrastructrue(1), database(1), mobile comm(1), for entrepreneurs(1),  </v>
      </c>
      <c r="EJ174" s="21" t="str">
        <f t="shared" si="764"/>
        <v xml:space="preserve">infrastructrue(1,12.5), database(1,12.5), mobile comm(1,12.5), for entrepreneurs(1,6.25),  </v>
      </c>
      <c r="EK174" s="21" t="str">
        <f t="shared" si="714"/>
        <v xml:space="preserve">infrastructrue(12.5),database(12.5),mobile comm(12.5),for entrepreneurs(6.25), </v>
      </c>
      <c r="EL174" s="21" t="str">
        <f t="shared" ref="EL174" si="1044">IF(EL72="",EL175,$C174&amp;" "&amp;EL72&amp;CHAR(10)&amp;EL175)</f>
        <v xml:space="preserve"> </v>
      </c>
      <c r="EM174" s="21" t="str">
        <f t="shared" si="766"/>
        <v xml:space="preserve">sensors(1,50),  </v>
      </c>
      <c r="EN174" s="21" t="str">
        <f t="shared" ref="EN174" si="1045">IF(EN72="",EN175,$C174&amp;" "&amp;EN72&amp;CHAR(10)&amp;EN175)</f>
        <v xml:space="preserve">sensors 50
 </v>
      </c>
      <c r="EO174" s="21" t="str">
        <f t="shared" si="768"/>
        <v xml:space="preserve">infrastructrue(1), database(1), mobile comm(1), for entrepreneurs(1),  </v>
      </c>
      <c r="EP174" s="21" t="str">
        <f t="shared" si="769"/>
        <v xml:space="preserve">infrastructrue(1,12.5), database(1,12.5), mobile comm(1,12.5), electronics(1,6.25), for entrepreneurs(1,6.25),  </v>
      </c>
      <c r="EQ174" s="21" t="str">
        <f t="shared" si="770"/>
        <v xml:space="preserve">infrastructrue(12.5),database(12.5),mobile comm(12.5),electronics(6.25),for entrepreneurs(6.25), </v>
      </c>
      <c r="ER174" s="21" t="str">
        <f t="shared" ref="ER174" si="1046">IF(ER72="",ER175,$C174&amp;" "&amp;ER72&amp;CHAR(10)&amp;ER175)</f>
        <v xml:space="preserve"> </v>
      </c>
      <c r="ES174" s="21" t="str">
        <f t="shared" si="772"/>
        <v xml:space="preserve">AI&amp; data analysis(1,50),  </v>
      </c>
      <c r="ET174" s="21" t="str">
        <f t="shared" ref="ET174" si="1047">IF(ET72="",ET175,$C174&amp;" "&amp;ET72&amp;CHAR(10)&amp;ET175)</f>
        <v xml:space="preserve">AI&amp; data analysis 50
 </v>
      </c>
      <c r="EU174" s="21" t="str">
        <f t="shared" si="774"/>
        <v xml:space="preserve">database(1), sensors(1), mobile comm(1), for entrepreneurs(1),  </v>
      </c>
      <c r="EV174" s="21" t="str">
        <f t="shared" si="775"/>
        <v xml:space="preserve">database(1,12.5), sensors(1,12.5), mobile comm(1,12.5), for entrepreneurs(1,6.25),  </v>
      </c>
      <c r="EW174" s="21" t="str">
        <f t="shared" si="770"/>
        <v xml:space="preserve">database(12.5),sensors(12.5),mobile comm(12.5),for entrepreneurs(6.25), </v>
      </c>
      <c r="EX174" s="21" t="str">
        <f t="shared" ref="EX174" si="1048">IF(EX72="",EX175,$C174&amp;" "&amp;EX72&amp;CHAR(10)&amp;EX175)</f>
        <v xml:space="preserve"> </v>
      </c>
      <c r="EY174" s="21" t="str">
        <f t="shared" si="777"/>
        <v xml:space="preserve">security(1,50), interaction(1,25),  </v>
      </c>
      <c r="EZ174" s="21" t="str">
        <f t="shared" ref="EZ174" si="1049">IF(EZ72="",EZ175,$C174&amp;" "&amp;EZ72&amp;CHAR(10)&amp;EZ175)</f>
        <v xml:space="preserve">security 50
interaction 25
 </v>
      </c>
      <c r="FA174" s="21" t="str">
        <f t="shared" si="779"/>
        <v xml:space="preserve">for entrepreneurs(1),  </v>
      </c>
      <c r="FB174" s="21" t="str">
        <f t="shared" si="780"/>
        <v xml:space="preserve">database(1,12.5), mobile apps(1,12.5), security(1,12.5), mobile comm(1,12.5), for entrepreneurs(1,6.25),  </v>
      </c>
      <c r="FC174" s="21" t="str">
        <f t="shared" si="770"/>
        <v xml:space="preserve">database(12.5),mobile apps(12.5),security(12.5),mobile comm(12.5),for entrepreneurs(6.25), </v>
      </c>
      <c r="FD174" s="21" t="str">
        <f t="shared" ref="FD174" si="1050">IF(FD72="",FD175,$C174&amp;" "&amp;FD72&amp;CHAR(10)&amp;FD175)</f>
        <v xml:space="preserve"> </v>
      </c>
      <c r="FE174" s="21" t="str">
        <f t="shared" si="782"/>
        <v xml:space="preserve">sensors(1,50), security(1,50),  </v>
      </c>
      <c r="FF174" s="21" t="str">
        <f t="shared" ref="FF174" si="1051">IF(FF72="",FF175,$C174&amp;" "&amp;FF72&amp;CHAR(10)&amp;FF175)</f>
        <v xml:space="preserve">sensors 50
security 50
 </v>
      </c>
      <c r="FG174" s="21" t="str">
        <f t="shared" si="784"/>
        <v xml:space="preserve">for entrepreneurs(1),  </v>
      </c>
      <c r="FH174" s="21" t="str">
        <f t="shared" si="785"/>
        <v xml:space="preserve">database(1,6.25), mobile apps(1,6.25), AI&amp; data analysis(1,6.25), mobile comm(1,6.25), for entrepreneurs(1,6.25),  </v>
      </c>
      <c r="FI174" s="21" t="str">
        <f t="shared" si="770"/>
        <v xml:space="preserve">database(6.25),mobile apps(6.25),AI&amp; data analysis(6.25),mobile comm(6.25),for entrepreneurs(6.25), </v>
      </c>
      <c r="FJ174" s="21" t="str">
        <f t="shared" ref="FJ174" si="1052">IF(FJ72="",FJ175,$C174&amp;" "&amp;FJ72&amp;CHAR(10)&amp;FJ175)</f>
        <v xml:space="preserve"> </v>
      </c>
      <c r="FK174" s="21" t="str">
        <f t="shared" si="787"/>
        <v xml:space="preserve">wood processing(1,25), metal processing(1,25), plastic processing(1,25), fabric(1,25), safety(1,25), interaction(1,25),  </v>
      </c>
      <c r="FL174" s="21" t="str">
        <f t="shared" ref="FL174" si="1053">IF(FL72="",FL175,$C174&amp;" "&amp;FL72&amp;CHAR(10)&amp;FL175)</f>
        <v xml:space="preserve">wood processing 25
metal processing 25
plastic processing 25
fabric 25
safety 25
interaction 25
 </v>
      </c>
      <c r="FM174" s="21" t="str">
        <f t="shared" si="789"/>
        <v xml:space="preserve">for entrepreneurs(1),  </v>
      </c>
      <c r="FN174" s="21" t="str">
        <f t="shared" si="790"/>
        <v xml:space="preserve">for entrepreneurs(1,6.25),  </v>
      </c>
      <c r="FO174" s="21" t="str">
        <f t="shared" si="770"/>
        <v xml:space="preserve">for entrepreneurs(6.25), </v>
      </c>
      <c r="FP174" s="21" t="str">
        <f t="shared" ref="FP174" si="1054">IF(FP72="",FP175,$C174&amp;" "&amp;FP72&amp;CHAR(10)&amp;FP175)</f>
        <v xml:space="preserve"> </v>
      </c>
      <c r="FQ174" s="21" t="str">
        <f t="shared" si="792"/>
        <v xml:space="preserve">mobile apps(1,50), functions(1,25), interaction(1,25),  </v>
      </c>
      <c r="FR174" s="21" t="str">
        <f t="shared" ref="FR174" si="1055">IF(FR72="",FR175,$C174&amp;" "&amp;FR72&amp;CHAR(10)&amp;FR175)</f>
        <v xml:space="preserve">mobile apps 50
functions 25
interaction 25
 </v>
      </c>
      <c r="FS174" s="21" t="str">
        <f t="shared" si="794"/>
        <v xml:space="preserve">for entrepreneurs(1),  </v>
      </c>
      <c r="FT174" s="21" t="str">
        <f t="shared" si="795"/>
        <v xml:space="preserve">for entrepreneurs(1,6.25),  </v>
      </c>
      <c r="FU174" s="21" t="str">
        <f t="shared" si="770"/>
        <v xml:space="preserve">for entrepreneurs(6.25), </v>
      </c>
      <c r="FV174" s="21" t="str">
        <f t="shared" ref="FV174" si="1056">IF(FV72="",FV175,$C174&amp;" "&amp;FV72&amp;CHAR(10)&amp;FV175)</f>
        <v xml:space="preserve"> </v>
      </c>
      <c r="FW174" s="21" t="str">
        <f t="shared" si="797"/>
        <v xml:space="preserve">mobile apps(1,50), sensors(1,50), wood processing(1,25), plastic processing(1,25), electronics(1,25), functions(1,25), interaction(1,25),  </v>
      </c>
      <c r="FX174" s="21" t="str">
        <f t="shared" ref="FX174" si="1057">IF(FX72="",FX175,$C174&amp;" "&amp;FX72&amp;CHAR(10)&amp;FX175)</f>
        <v xml:space="preserve">mobile apps 50
sensors 50
wood processing 25
plastic processing 25
electronics 25
functions 25
interaction 25
 </v>
      </c>
      <c r="FY174" s="21" t="str">
        <f t="shared" si="799"/>
        <v xml:space="preserve">for entrepreneurs(1),  </v>
      </c>
      <c r="FZ174" s="21" t="str">
        <f t="shared" si="800"/>
        <v xml:space="preserve">database(1,6.25), AI&amp; data analysis(1,6.25), mobile comm(1,6.25), for entrepreneurs(1,6.25),  </v>
      </c>
      <c r="GA174" s="21" t="str">
        <f t="shared" si="770"/>
        <v xml:space="preserve">database(6.25),AI&amp; data analysis(6.25),mobile comm(6.25),for entrepreneurs(6.25), </v>
      </c>
      <c r="GB174" s="21" t="str">
        <f t="shared" ref="GB174" si="1058">IF(GB72="",GB175,$C174&amp;" "&amp;GB72&amp;CHAR(10)&amp;GB175)</f>
        <v xml:space="preserve"> </v>
      </c>
      <c r="GC174" s="21" t="str">
        <f t="shared" si="802"/>
        <v xml:space="preserve">sensors(1,25), mobile comm(1,25), electronics(1,50), functions(1,25), safety(1,25),  </v>
      </c>
      <c r="GD174" s="21" t="str">
        <f t="shared" ref="GD174" si="1059">IF(GD72="",GD175,$C174&amp;" "&amp;GD72&amp;CHAR(10)&amp;GD175)</f>
        <v xml:space="preserve">sensors 25
mobile comm 25
electronics 50
functions 25
safety 25
 </v>
      </c>
      <c r="GE174" s="21" t="str">
        <f t="shared" si="804"/>
        <v xml:space="preserve">for entrepreneurs(1),  </v>
      </c>
      <c r="GF174" s="21" t="str">
        <f t="shared" si="805"/>
        <v xml:space="preserve">database(1,6.25), mobile apps(1,6.25), AI&amp; data analysis(1,6.25), plastic processing(1,6.25), interaction(1,6.25), for entrepreneurs(1,6.25),  </v>
      </c>
      <c r="GG174" s="21" t="str">
        <f t="shared" si="770"/>
        <v xml:space="preserve">database(6.25),mobile apps(6.25),AI&amp; data analysis(6.25),plastic processing(6.25),interaction(6.25),for entrepreneurs(6.25), </v>
      </c>
      <c r="GH174" s="21" t="str">
        <f t="shared" ref="GH174" si="1060">IF(GH72="",GH175,$C174&amp;" "&amp;GH72&amp;CHAR(10)&amp;GH175)</f>
        <v xml:space="preserve"> </v>
      </c>
      <c r="GI174" s="21" t="str">
        <f t="shared" si="807"/>
        <v xml:space="preserve">mobile apps(1,50), functions(1,25), interaction(1,25),  </v>
      </c>
      <c r="GJ174" s="21" t="str">
        <f t="shared" ref="GJ174" si="1061">IF(GJ72="",GJ175,$C174&amp;" "&amp;GJ72&amp;CHAR(10)&amp;GJ175)</f>
        <v xml:space="preserve">mobile apps 50
functions 25
interaction 25
 </v>
      </c>
      <c r="GK174" s="21" t="str">
        <f t="shared" si="809"/>
        <v xml:space="preserve">for entrepreneurs(1),  </v>
      </c>
      <c r="GL174" s="21" t="str">
        <f t="shared" si="810"/>
        <v xml:space="preserve">for entrepreneurs(1,6.25),  </v>
      </c>
      <c r="GM174" s="21" t="str">
        <f t="shared" si="770"/>
        <v xml:space="preserve">for entrepreneurs(6.25), </v>
      </c>
      <c r="GN174" s="21" t="str">
        <f t="shared" ref="GN174" si="1062">IF(GN72="",GN175,$C174&amp;" "&amp;GN72&amp;CHAR(10)&amp;GN175)</f>
        <v xml:space="preserve"> </v>
      </c>
      <c r="GO174" s="21" t="str">
        <f t="shared" si="812"/>
        <v xml:space="preserve">mobile apps(1,25), VR&amp;AR(1,25), aesthetics(1,25), functions(1,25), interaction(1,50),  </v>
      </c>
      <c r="GP174" s="21" t="str">
        <f t="shared" ref="GP174" si="1063">IF(GP72="",GP175,$C174&amp;" "&amp;GP72&amp;CHAR(10)&amp;GP175)</f>
        <v xml:space="preserve">mobile apps 25
VR&amp;AR 25
aesthetics 25
functions 25
interaction 50
 </v>
      </c>
      <c r="GQ174" s="21" t="str">
        <f t="shared" si="814"/>
        <v xml:space="preserve">for entrepreneurs(1),  </v>
      </c>
      <c r="GR174" s="21" t="str">
        <f t="shared" si="815"/>
        <v xml:space="preserve">for entrepreneurs(1,6.25),  </v>
      </c>
      <c r="GS174" s="21" t="str">
        <f t="shared" si="770"/>
        <v xml:space="preserve">for entrepreneurs(6.25), </v>
      </c>
      <c r="GT174" s="21" t="str">
        <f t="shared" ref="GT174" si="1064">IF(GT72="",GT175,$C174&amp;" "&amp;GT72&amp;CHAR(10)&amp;GT175)</f>
        <v xml:space="preserve">mobile apps 1
mobile comm 1
 </v>
      </c>
      <c r="GU174" s="21" t="str">
        <f t="shared" si="817"/>
        <v xml:space="preserve"> </v>
      </c>
      <c r="GV174" s="21" t="str">
        <f t="shared" ref="GV174" si="1065">IF(GV72="",GV175,$C174&amp;" "&amp;GV72&amp;CHAR(10)&amp;GV175)</f>
        <v xml:space="preserve"> </v>
      </c>
      <c r="GW174" s="21" t="str">
        <f t="shared" si="819"/>
        <v xml:space="preserve">infrastructrue(1), database(1), sensors(1), security(1), AI&amp; data analysis(1), electronics(1),  </v>
      </c>
      <c r="GX174" s="21" t="str">
        <f t="shared" si="820"/>
        <v xml:space="preserve">mobile apps(1,6.25),  </v>
      </c>
      <c r="GY174" s="21" t="str">
        <f t="shared" si="770"/>
        <v xml:space="preserve">mobile apps(6.25), </v>
      </c>
      <c r="GZ174" s="21" t="str">
        <f t="shared" ref="GZ174" si="1066">IF(GZ72="",GZ175,$C174&amp;" "&amp;GZ72&amp;CHAR(10)&amp;GZ175)</f>
        <v xml:space="preserve"> </v>
      </c>
      <c r="HA174" s="21" t="str">
        <f t="shared" si="822"/>
        <v xml:space="preserve"> </v>
      </c>
      <c r="HB174" s="21" t="str">
        <f t="shared" ref="HB174" si="1067">IF(HB72="",HB175,$C174&amp;" "&amp;HB72&amp;CHAR(10)&amp;HB175)</f>
        <v xml:space="preserve"> </v>
      </c>
      <c r="HC174" s="21" t="str">
        <f t="shared" si="824"/>
        <v xml:space="preserve">mobile apps(2), sensors(2), AI&amp; data analysis(2), VR&amp;AR(2), plastic processing(2), electronics(2), aesthetics(2), interaction(2),  </v>
      </c>
      <c r="HD174" s="21" t="str">
        <f t="shared" si="825"/>
        <v xml:space="preserve">start-up with customers(1,6.25), for basic literacy(1,6.25),  </v>
      </c>
      <c r="HE174" s="21" t="str">
        <f t="shared" si="826"/>
        <v xml:space="preserve">start-up with customers(6.25),for basic literacy(6.25), </v>
      </c>
      <c r="HF174" s="21" t="str">
        <f t="shared" ref="HF174" si="1068">IF(HF72="",HF175,$C174&amp;" "&amp;HF72&amp;CHAR(10)&amp;HF175)</f>
        <v xml:space="preserve"> </v>
      </c>
      <c r="HG174" s="21" t="str">
        <f t="shared" si="828"/>
        <v xml:space="preserve"> </v>
      </c>
      <c r="HH174" s="21" t="str">
        <f t="shared" ref="HH174" si="1069">IF(HH72="",HH175,$C174&amp;" "&amp;HH72&amp;CHAR(10)&amp;HH175)</f>
        <v xml:space="preserve"> </v>
      </c>
      <c r="HI174" s="21" t="str">
        <f t="shared" si="830"/>
        <v xml:space="preserve">mobile apps(3), sensors(2), plastic processing(2), electronics(2), aesthetics(2), functions(2), interaction(2),  </v>
      </c>
      <c r="HJ174" s="21" t="str">
        <f t="shared" si="831"/>
        <v xml:space="preserve">start-up with customers(1,6.25),  </v>
      </c>
      <c r="HK174" s="21" t="str">
        <f t="shared" si="826"/>
        <v xml:space="preserve">start-up with customers(6.25), </v>
      </c>
      <c r="HL174" s="21" t="str">
        <f t="shared" ref="HL174" si="1070">IF(HL72="",HL175,$C174&amp;" "&amp;HL72&amp;CHAR(10)&amp;HL175)</f>
        <v xml:space="preserve"> </v>
      </c>
      <c r="HM174" s="21" t="str">
        <f t="shared" si="833"/>
        <v xml:space="preserve"> </v>
      </c>
      <c r="HN174" s="21" t="str">
        <f t="shared" ref="HN174" si="1071">IF(HN72="",HN175,$C174&amp;" "&amp;HN72&amp;CHAR(10)&amp;HN175)</f>
        <v xml:space="preserve"> </v>
      </c>
      <c r="HO174" s="21" t="str">
        <f t="shared" si="835"/>
        <v xml:space="preserve">mobile apps(2), wood processing(3), plastic processing(3), electronics(3), aesthetics(2), interaction(2),  </v>
      </c>
      <c r="HP174" s="21" t="str">
        <f t="shared" si="836"/>
        <v xml:space="preserve"> </v>
      </c>
      <c r="HQ174" s="47" t="str">
        <f t="shared" si="826"/>
        <v xml:space="preserve"> </v>
      </c>
      <c r="HR174" s="47" t="str">
        <f t="shared" ref="HR174:HW174" si="1072">IF(HR72="",HR175,$C174&amp;"("&amp;HR72&amp;"),"&amp;HR175)</f>
        <v xml:space="preserve">mobile apps(1),sensors(1),wood processing(1),aesthetics(1), </v>
      </c>
      <c r="HS174" s="47" t="str">
        <f t="shared" si="1072"/>
        <v xml:space="preserve"> </v>
      </c>
      <c r="HT174" s="47" t="str">
        <f t="shared" si="1072"/>
        <v xml:space="preserve"> </v>
      </c>
      <c r="HU174" s="47" t="str">
        <f t="shared" si="1072"/>
        <v xml:space="preserve">infrastructrue(3),database(3),mobile apps(3),sensors(3),AI&amp; data analysis(3),mobile comm(3),VR&amp;AR(3),wood processing(3),metal processing(2),plastic processing(2),electronics(2),fabric(2),aesthetics(2),interaction(2),start-up with mvp(1), </v>
      </c>
      <c r="HV174" s="47" t="str">
        <f t="shared" si="1072"/>
        <v xml:space="preserve"> </v>
      </c>
      <c r="HW174" s="47" t="str">
        <f t="shared" si="1072"/>
        <v xml:space="preserve"> </v>
      </c>
      <c r="HX174" s="47" t="str">
        <f t="shared" ref="HX174:IU174" si="1073">IF(HX72="",HX175,$C174&amp;"("&amp;HX72&amp;"),"&amp;HX175)</f>
        <v xml:space="preserve">infrastructrue(1),database(2),mobile apps(1),sensors(1),AI&amp; data analysis(2),VR&amp;AR(1),wood processing(1),metal processing(1),plastic processing(1),electronics(1),aesthetics(1),functions(1),interaction(1), </v>
      </c>
      <c r="HY174" s="47" t="str">
        <f t="shared" si="1073"/>
        <v xml:space="preserve">biz enhancement(1), </v>
      </c>
      <c r="HZ174" s="47" t="str">
        <f t="shared" si="1073"/>
        <v xml:space="preserve">biz enhancement(100), </v>
      </c>
      <c r="IA174" s="47" t="str">
        <f t="shared" si="1073"/>
        <v xml:space="preserve"> </v>
      </c>
      <c r="IB174" s="47" t="str">
        <f t="shared" si="1073"/>
        <v xml:space="preserve">database(1),AI&amp; data analysis(1),electronics(1),functions(1), </v>
      </c>
      <c r="IC174" s="47" t="str">
        <f t="shared" si="1073"/>
        <v xml:space="preserve">database(6.25),AI&amp; data analysis(6.25),electronics(6.25),functions(6.25), </v>
      </c>
      <c r="ID174" s="47" t="str">
        <f t="shared" si="1073"/>
        <v xml:space="preserve"> </v>
      </c>
      <c r="IE174" s="47" t="str">
        <f t="shared" si="1073"/>
        <v xml:space="preserve">mobile apps(1),security(1),AI&amp; data analysis(1), </v>
      </c>
      <c r="IF174" s="47" t="str">
        <f t="shared" si="1073"/>
        <v xml:space="preserve">mobile apps(25),security(25),AI&amp; data analysis(25), </v>
      </c>
      <c r="IG174" s="47" t="str">
        <f t="shared" si="1073"/>
        <v xml:space="preserve">database(2),mobile apps(2),security(2),AI&amp; data analysis(2), </v>
      </c>
      <c r="IH174" s="47" t="str">
        <f t="shared" si="1073"/>
        <v xml:space="preserve">database(1),mobile apps(1),security(1),AI&amp; data analysis(1), </v>
      </c>
      <c r="II174" s="47" t="str">
        <f t="shared" si="1073"/>
        <v xml:space="preserve">database(6.25),mobile apps(6.25),security(6.25),AI&amp; data analysis(6.25), </v>
      </c>
      <c r="IJ174" s="47" t="str">
        <f t="shared" si="1073"/>
        <v xml:space="preserve"> </v>
      </c>
      <c r="IK174" s="47" t="str">
        <f t="shared" si="1073"/>
        <v xml:space="preserve">wood processing(1),metal processing(1),functions(1),safety(1), </v>
      </c>
      <c r="IL174" s="47" t="str">
        <f t="shared" si="1073"/>
        <v xml:space="preserve">wood processing(25),metal processing(25),functions(25),safety(25), </v>
      </c>
      <c r="IM174" s="47" t="str">
        <f t="shared" si="1073"/>
        <v xml:space="preserve">wood processing(2),metal processing(2),functions(2),safety(2), </v>
      </c>
      <c r="IN174" s="47" t="str">
        <f t="shared" si="1073"/>
        <v xml:space="preserve">wood processing(1),metal processing(1),functions(1),safety(1),interaction(1), </v>
      </c>
      <c r="IO174" s="47" t="str">
        <f t="shared" si="1073"/>
        <v xml:space="preserve">wood processing(6.25),metal processing(6.25),functions(6.25),safety(6.25),interaction(6.25), </v>
      </c>
      <c r="IP174" s="57" t="str">
        <f t="shared" si="1073"/>
        <v xml:space="preserve"> </v>
      </c>
      <c r="IQ174" s="47" t="str">
        <f t="shared" si="1073"/>
        <v xml:space="preserve"> </v>
      </c>
      <c r="IR174" s="47" t="str">
        <f t="shared" si="1073"/>
        <v xml:space="preserve"> </v>
      </c>
      <c r="IS174" s="47" t="str">
        <f t="shared" si="1073"/>
        <v xml:space="preserve"> </v>
      </c>
      <c r="IT174" s="47" t="str">
        <f t="shared" si="1073"/>
        <v xml:space="preserve"> </v>
      </c>
      <c r="IU174" s="47" t="str">
        <f t="shared" si="1073"/>
        <v xml:space="preserve"> </v>
      </c>
      <c r="IV174" s="57" t="str">
        <f t="shared" ref="IV174:LG174" si="1074">IF(IV72="",IV175,$C174&amp;"("&amp;IV72&amp;"),"&amp;IV175)</f>
        <v xml:space="preserve"> </v>
      </c>
      <c r="IW174" s="47" t="str">
        <f t="shared" si="1074"/>
        <v xml:space="preserve"> </v>
      </c>
      <c r="IX174" s="47" t="str">
        <f t="shared" si="1074"/>
        <v xml:space="preserve"> </v>
      </c>
      <c r="IY174" s="47" t="str">
        <f t="shared" si="1074"/>
        <v xml:space="preserve"> </v>
      </c>
      <c r="IZ174" s="47" t="str">
        <f t="shared" si="1074"/>
        <v xml:space="preserve"> </v>
      </c>
      <c r="JA174" s="47" t="str">
        <f t="shared" si="1074"/>
        <v xml:space="preserve"> </v>
      </c>
      <c r="JB174" s="47" t="str">
        <f t="shared" si="1074"/>
        <v xml:space="preserve"> </v>
      </c>
      <c r="JC174" s="47" t="str">
        <f t="shared" si="1074"/>
        <v xml:space="preserve"> </v>
      </c>
      <c r="JD174" s="47" t="str">
        <f t="shared" si="1074"/>
        <v xml:space="preserve"> </v>
      </c>
      <c r="JE174" s="47" t="str">
        <f t="shared" si="1074"/>
        <v xml:space="preserve"> </v>
      </c>
      <c r="JF174" s="47" t="str">
        <f t="shared" si="1074"/>
        <v xml:space="preserve">infrastructrue(1),database(1),mobile apps(1),sensors(1),security(1),AI&amp; data analysis(1),mobile comm(1),VR&amp;AR(1),wood processing(1),metal processing(1),plastic processing(1),electronics(1),fabric(1),aesthetics(1),functions(1),safety(1),interaction(1), </v>
      </c>
      <c r="JG174" s="47" t="str">
        <f t="shared" si="1074"/>
        <v xml:space="preserve">infrastructrue(6.25),database(6.25),mobile apps(6.25),sensors(6.25),security(6.25),AI&amp; data analysis(6.25),mobile comm(6.25),VR&amp;AR(6.25),wood processing(6.25),metal processing(6.25),plastic processing(6.25),electronics(6.25),fabric(6.25),aesthetics(6.25),functions(6.25),safety(6.25),interaction(6.25), </v>
      </c>
      <c r="JH174" s="47" t="str">
        <f t="shared" si="1074"/>
        <v xml:space="preserve"> </v>
      </c>
      <c r="JI174" s="47" t="str">
        <f t="shared" si="1074"/>
        <v xml:space="preserve"> </v>
      </c>
      <c r="JJ174" s="47" t="str">
        <f t="shared" si="1074"/>
        <v xml:space="preserve"> </v>
      </c>
      <c r="JK174" s="47" t="str">
        <f t="shared" si="1074"/>
        <v xml:space="preserve">social project(1),social innovation(1),non-profit biz(1),biz project(1),biz enhancement(1),job creation(1),business(1),start-up(1),start-up with mvp(1),start-up with customers(1),for basic literacy(1),for the elites(1),for entrepreneurs(1), </v>
      </c>
      <c r="JL174" s="47" t="str">
        <f t="shared" si="1074"/>
        <v xml:space="preserve"> </v>
      </c>
      <c r="JM174" s="47" t="str">
        <f t="shared" si="1074"/>
        <v xml:space="preserve"> </v>
      </c>
      <c r="JN174" s="47" t="str">
        <f t="shared" si="1074"/>
        <v xml:space="preserve"> </v>
      </c>
      <c r="JO174" s="47" t="str">
        <f t="shared" si="1074"/>
        <v xml:space="preserve"> </v>
      </c>
      <c r="JP174" s="47" t="str">
        <f t="shared" si="1074"/>
        <v xml:space="preserve"> </v>
      </c>
      <c r="JQ174" s="47" t="str">
        <f t="shared" si="1074"/>
        <v xml:space="preserve">electronics(1),aesthetics(1),interaction(1),social project(1),social innovation(1),non-profit biz(1),biz project(1),biz enhancement(1),job creation(1),business(1),start-up(1),start-up with mvp(1),start-up with customers(1),for basic literacy(1),for the elites(1),for entrepreneurs(1), </v>
      </c>
      <c r="JR174" s="47" t="str">
        <f t="shared" si="1074"/>
        <v xml:space="preserve"> </v>
      </c>
      <c r="JS174" s="47" t="str">
        <f t="shared" si="1074"/>
        <v xml:space="preserve"> </v>
      </c>
      <c r="JT174" s="47" t="str">
        <f t="shared" si="1074"/>
        <v xml:space="preserve"> </v>
      </c>
      <c r="JU174" s="47" t="str">
        <f t="shared" si="1074"/>
        <v xml:space="preserve"> </v>
      </c>
      <c r="JV174" s="47" t="str">
        <f t="shared" si="1074"/>
        <v xml:space="preserve"> </v>
      </c>
      <c r="JW174" s="47" t="str">
        <f t="shared" si="1074"/>
        <v xml:space="preserve">social project(2),social innovation(1),non-profit biz(1),biz project(2),biz enhancement(2),job creation(1),business(1),start-up(2),start-up with mvp(1),start-up with customers(1),for basic literacy(2),for the elites(1),for entrepreneurs(1), </v>
      </c>
      <c r="JX174" s="47" t="str">
        <f t="shared" si="1074"/>
        <v xml:space="preserve"> </v>
      </c>
      <c r="JY174" s="47" t="str">
        <f t="shared" si="1074"/>
        <v xml:space="preserve"> </v>
      </c>
      <c r="JZ174" s="47" t="str">
        <f t="shared" si="1074"/>
        <v xml:space="preserve">social project(2), </v>
      </c>
      <c r="KA174" s="47" t="str">
        <f t="shared" si="1074"/>
        <v xml:space="preserve"> </v>
      </c>
      <c r="KB174" s="47" t="str">
        <f t="shared" si="1074"/>
        <v xml:space="preserve"> </v>
      </c>
      <c r="KC174" s="47" t="str">
        <f t="shared" si="1074"/>
        <v xml:space="preserve">mobile apps(1),sensors(1),AI&amp; data analysis(1),electronics(1),aesthetics(1),social project(3),social innovation(1),non-profit biz(1),biz project(2),biz enhancement(2),job creation(1),business(1),start-up(2),start-up with mvp(1),start-up with customers(1),for basic literacy(2),for the elites(1),for entrepreneurs(1), </v>
      </c>
      <c r="KD174" s="47" t="str">
        <f t="shared" si="1074"/>
        <v xml:space="preserve"> </v>
      </c>
      <c r="KE174" s="47" t="str">
        <f t="shared" si="1074"/>
        <v xml:space="preserve"> </v>
      </c>
      <c r="KF174" s="47" t="str">
        <f t="shared" si="1074"/>
        <v xml:space="preserve"> </v>
      </c>
      <c r="KG174" s="47" t="str">
        <f t="shared" si="1074"/>
        <v xml:space="preserve"> </v>
      </c>
      <c r="KH174" s="47" t="str">
        <f t="shared" si="1074"/>
        <v xml:space="preserve"> </v>
      </c>
      <c r="KI174" s="47" t="str">
        <f t="shared" si="1074"/>
        <v xml:space="preserve"> </v>
      </c>
      <c r="KJ174" s="47" t="str">
        <f t="shared" si="1074"/>
        <v xml:space="preserve"> </v>
      </c>
      <c r="KK174" s="47" t="str">
        <f t="shared" si="1074"/>
        <v xml:space="preserve"> </v>
      </c>
      <c r="KL174" s="57" t="str">
        <f t="shared" si="1074"/>
        <v xml:space="preserve"> </v>
      </c>
      <c r="KM174" s="47" t="str">
        <f t="shared" si="1074"/>
        <v xml:space="preserve"> </v>
      </c>
      <c r="KN174" s="47" t="str">
        <f t="shared" si="1074"/>
        <v xml:space="preserve"> </v>
      </c>
      <c r="KO174" s="47" t="str">
        <f t="shared" si="1074"/>
        <v xml:space="preserve"> </v>
      </c>
      <c r="KP174" s="47" t="str">
        <f t="shared" si="1074"/>
        <v xml:space="preserve"> </v>
      </c>
      <c r="KQ174" s="47" t="str">
        <f t="shared" si="1074"/>
        <v xml:space="preserve"> </v>
      </c>
      <c r="KR174" s="57" t="str">
        <f t="shared" si="1074"/>
        <v xml:space="preserve"> </v>
      </c>
      <c r="KS174" s="47" t="str">
        <f t="shared" si="1074"/>
        <v xml:space="preserve"> </v>
      </c>
      <c r="KT174" s="47" t="str">
        <f t="shared" si="1074"/>
        <v xml:space="preserve"> </v>
      </c>
      <c r="KU174" s="47" t="str">
        <f t="shared" si="1074"/>
        <v xml:space="preserve"> </v>
      </c>
      <c r="KV174" s="47" t="str">
        <f t="shared" si="1074"/>
        <v xml:space="preserve"> </v>
      </c>
      <c r="KW174" s="47" t="str">
        <f t="shared" si="1074"/>
        <v xml:space="preserve"> </v>
      </c>
      <c r="KX174" s="57" t="str">
        <f t="shared" si="1074"/>
        <v xml:space="preserve"> </v>
      </c>
      <c r="KY174" s="47" t="str">
        <f t="shared" si="1074"/>
        <v xml:space="preserve"> </v>
      </c>
      <c r="KZ174" s="47" t="str">
        <f t="shared" si="1074"/>
        <v xml:space="preserve"> </v>
      </c>
      <c r="LA174" s="47" t="str">
        <f t="shared" si="1074"/>
        <v xml:space="preserve"> </v>
      </c>
      <c r="LB174" s="47" t="str">
        <f t="shared" si="1074"/>
        <v xml:space="preserve"> </v>
      </c>
      <c r="LC174" s="47" t="str">
        <f t="shared" si="1074"/>
        <v xml:space="preserve"> </v>
      </c>
      <c r="LD174" s="57" t="str">
        <f t="shared" si="1074"/>
        <v xml:space="preserve"> </v>
      </c>
      <c r="LE174" s="47" t="str">
        <f t="shared" si="1074"/>
        <v xml:space="preserve"> </v>
      </c>
      <c r="LF174" s="47" t="str">
        <f t="shared" si="1074"/>
        <v xml:space="preserve"> </v>
      </c>
      <c r="LG174" s="47" t="str">
        <f t="shared" si="1074"/>
        <v xml:space="preserve"> </v>
      </c>
      <c r="LH174" s="47" t="str">
        <f t="shared" ref="LH174:NM174" si="1075">IF(LH72="",LH175,$C174&amp;"("&amp;LH72&amp;"),"&amp;LH175)</f>
        <v xml:space="preserve"> </v>
      </c>
      <c r="LI174" s="47" t="str">
        <f t="shared" si="1075"/>
        <v xml:space="preserve"> </v>
      </c>
      <c r="LJ174" s="57" t="str">
        <f t="shared" si="1075"/>
        <v xml:space="preserve"> </v>
      </c>
      <c r="LK174" s="47" t="str">
        <f t="shared" si="1075"/>
        <v xml:space="preserve"> </v>
      </c>
      <c r="LL174" s="47" t="str">
        <f t="shared" si="1075"/>
        <v xml:space="preserve"> </v>
      </c>
      <c r="LM174" s="47" t="str">
        <f t="shared" si="1075"/>
        <v xml:space="preserve"> </v>
      </c>
      <c r="LN174" s="47" t="str">
        <f t="shared" si="1075"/>
        <v xml:space="preserve"> </v>
      </c>
      <c r="LO174" s="47" t="str">
        <f t="shared" si="1075"/>
        <v xml:space="preserve"> </v>
      </c>
      <c r="LP174" s="57" t="str">
        <f t="shared" si="1075"/>
        <v xml:space="preserve"> </v>
      </c>
      <c r="LQ174" s="47" t="str">
        <f t="shared" si="1075"/>
        <v xml:space="preserve"> </v>
      </c>
      <c r="LR174" s="47" t="str">
        <f t="shared" si="1075"/>
        <v xml:space="preserve"> </v>
      </c>
      <c r="LS174" s="47" t="str">
        <f t="shared" si="1075"/>
        <v xml:space="preserve"> </v>
      </c>
      <c r="LT174" s="47" t="str">
        <f t="shared" si="1075"/>
        <v xml:space="preserve"> </v>
      </c>
      <c r="LU174" s="47" t="str">
        <f t="shared" si="1075"/>
        <v xml:space="preserve"> </v>
      </c>
      <c r="LV174" s="57" t="str">
        <f t="shared" si="1075"/>
        <v xml:space="preserve"> </v>
      </c>
      <c r="LW174" s="47" t="str">
        <f t="shared" si="1075"/>
        <v xml:space="preserve"> </v>
      </c>
      <c r="LX174" s="47" t="str">
        <f t="shared" si="1075"/>
        <v xml:space="preserve"> </v>
      </c>
      <c r="LY174" s="47" t="str">
        <f t="shared" si="1075"/>
        <v xml:space="preserve"> </v>
      </c>
      <c r="LZ174" s="47" t="str">
        <f t="shared" si="1075"/>
        <v xml:space="preserve"> </v>
      </c>
      <c r="MA174" s="47" t="str">
        <f t="shared" si="1075"/>
        <v xml:space="preserve"> </v>
      </c>
      <c r="MB174" s="57" t="str">
        <f t="shared" si="1075"/>
        <v xml:space="preserve"> </v>
      </c>
      <c r="MC174" s="47" t="str">
        <f t="shared" si="1075"/>
        <v xml:space="preserve"> </v>
      </c>
      <c r="MD174" s="47" t="str">
        <f t="shared" si="1075"/>
        <v xml:space="preserve"> </v>
      </c>
      <c r="ME174" s="47" t="str">
        <f t="shared" si="1075"/>
        <v xml:space="preserve"> </v>
      </c>
      <c r="MF174" s="47" t="str">
        <f t="shared" si="1075"/>
        <v xml:space="preserve"> </v>
      </c>
      <c r="MG174" s="47" t="str">
        <f t="shared" si="1075"/>
        <v xml:space="preserve"> </v>
      </c>
      <c r="MH174" s="57" t="str">
        <f t="shared" si="1075"/>
        <v xml:space="preserve"> </v>
      </c>
      <c r="MI174" s="47" t="str">
        <f t="shared" si="1075"/>
        <v xml:space="preserve"> </v>
      </c>
      <c r="MJ174" s="47" t="str">
        <f t="shared" si="1075"/>
        <v xml:space="preserve"> </v>
      </c>
      <c r="MK174" s="47" t="str">
        <f t="shared" si="1075"/>
        <v xml:space="preserve"> </v>
      </c>
      <c r="ML174" s="47" t="str">
        <f t="shared" si="1075"/>
        <v xml:space="preserve"> </v>
      </c>
      <c r="MM174" s="47" t="str">
        <f t="shared" si="1075"/>
        <v xml:space="preserve"> </v>
      </c>
      <c r="MN174" s="57" t="str">
        <f t="shared" si="1075"/>
        <v xml:space="preserve"> </v>
      </c>
      <c r="MO174" s="47" t="str">
        <f t="shared" si="1075"/>
        <v xml:space="preserve"> </v>
      </c>
      <c r="MP174" s="47" t="str">
        <f t="shared" si="1075"/>
        <v xml:space="preserve"> </v>
      </c>
      <c r="MQ174" s="47" t="str">
        <f t="shared" si="1075"/>
        <v xml:space="preserve"> </v>
      </c>
      <c r="MR174" s="47" t="str">
        <f t="shared" si="1075"/>
        <v xml:space="preserve"> </v>
      </c>
      <c r="MS174" s="47" t="str">
        <f t="shared" si="1075"/>
        <v xml:space="preserve"> </v>
      </c>
      <c r="MT174" s="57" t="str">
        <f t="shared" si="1075"/>
        <v xml:space="preserve"> </v>
      </c>
      <c r="MU174" s="47" t="str">
        <f t="shared" si="1075"/>
        <v xml:space="preserve"> </v>
      </c>
      <c r="MV174" s="47" t="str">
        <f t="shared" si="1075"/>
        <v xml:space="preserve"> </v>
      </c>
      <c r="MW174" s="47" t="str">
        <f t="shared" si="1075"/>
        <v xml:space="preserve"> </v>
      </c>
      <c r="MX174" s="47" t="str">
        <f t="shared" si="1075"/>
        <v xml:space="preserve"> </v>
      </c>
      <c r="MY174" s="47" t="str">
        <f t="shared" si="1075"/>
        <v xml:space="preserve"> </v>
      </c>
      <c r="MZ174" s="57" t="str">
        <f t="shared" si="1075"/>
        <v xml:space="preserve"> </v>
      </c>
      <c r="NA174" s="47" t="str">
        <f t="shared" si="1075"/>
        <v xml:space="preserve"> </v>
      </c>
      <c r="NB174" s="47" t="str">
        <f t="shared" si="1075"/>
        <v xml:space="preserve"> </v>
      </c>
      <c r="NC174" s="47" t="str">
        <f t="shared" si="1075"/>
        <v xml:space="preserve"> </v>
      </c>
      <c r="ND174" s="47" t="str">
        <f t="shared" si="1075"/>
        <v xml:space="preserve"> </v>
      </c>
      <c r="NE174" s="47" t="str">
        <f t="shared" si="1075"/>
        <v xml:space="preserve"> </v>
      </c>
      <c r="NF174" s="57" t="str">
        <f t="shared" si="1075"/>
        <v xml:space="preserve"> </v>
      </c>
      <c r="NG174" s="47" t="str">
        <f t="shared" si="1075"/>
        <v xml:space="preserve"> </v>
      </c>
      <c r="NH174" s="47" t="str">
        <f t="shared" si="1075"/>
        <v xml:space="preserve"> </v>
      </c>
      <c r="NI174" s="47" t="str">
        <f t="shared" si="1075"/>
        <v xml:space="preserve"> </v>
      </c>
      <c r="NJ174" s="47" t="str">
        <f t="shared" si="1075"/>
        <v xml:space="preserve"> </v>
      </c>
      <c r="NK174" s="47" t="str">
        <f t="shared" si="1075"/>
        <v xml:space="preserve"> </v>
      </c>
      <c r="NL174" s="57" t="str">
        <f t="shared" si="1075"/>
        <v xml:space="preserve"> </v>
      </c>
      <c r="NM174" s="47" t="str">
        <f t="shared" si="1075"/>
        <v xml:space="preserve"> </v>
      </c>
    </row>
    <row r="175" spans="3:377" ht="15.75" customHeight="1">
      <c r="C175" s="7" t="str">
        <f t="shared" si="841"/>
        <v>database</v>
      </c>
      <c r="D175" s="21" t="str">
        <f t="shared" si="651"/>
        <v xml:space="preserve"> </v>
      </c>
      <c r="E175" s="21" t="str">
        <f t="shared" si="842"/>
        <v xml:space="preserve"> </v>
      </c>
      <c r="F175" s="21" t="str">
        <f t="shared" si="651"/>
        <v xml:space="preserve"> </v>
      </c>
      <c r="G175" s="21" t="str">
        <f t="shared" si="843"/>
        <v xml:space="preserve"> </v>
      </c>
      <c r="H175" s="21" t="str">
        <f t="shared" si="844"/>
        <v xml:space="preserve"> </v>
      </c>
      <c r="I175" s="21" t="str">
        <f t="shared" ref="I175" si="1076">IF(I73="",I176,$C175&amp;"("&amp;I73&amp;"),"&amp;I176)</f>
        <v xml:space="preserve"> </v>
      </c>
      <c r="J175" s="21" t="str">
        <f t="shared" ref="J175" si="1077">IF(J73="",J176,$C175&amp;" "&amp;J73&amp;CHAR(10)&amp;J176)</f>
        <v xml:space="preserve">interaction 1
 </v>
      </c>
      <c r="K175" s="21" t="str">
        <f t="shared" si="654"/>
        <v xml:space="preserve"> </v>
      </c>
      <c r="L175" s="21" t="str">
        <f t="shared" ref="L175" si="1078">IF(L73="",L176,$C175&amp;" "&amp;L73&amp;CHAR(10)&amp;L176)</f>
        <v xml:space="preserve"> </v>
      </c>
      <c r="M175" s="21" t="str">
        <f t="shared" si="656"/>
        <v xml:space="preserve">social innovation(1), non-profit biz(1),  </v>
      </c>
      <c r="N175" s="21" t="str">
        <f t="shared" si="657"/>
        <v xml:space="preserve"> </v>
      </c>
      <c r="O175" s="21" t="str">
        <f t="shared" si="658"/>
        <v xml:space="preserve"> </v>
      </c>
      <c r="P175" s="21" t="str">
        <f t="shared" ref="P175" si="1079">IF(P73="",P176,$C175&amp;" "&amp;P73&amp;CHAR(10)&amp;P176)</f>
        <v xml:space="preserve">biz project 1
 </v>
      </c>
      <c r="Q175" s="21" t="str">
        <f t="shared" si="660"/>
        <v xml:space="preserve"> </v>
      </c>
      <c r="R175" s="21" t="str">
        <f t="shared" ref="R175" si="1080">IF(R73="",R176,$C175&amp;" "&amp;R73&amp;CHAR(10)&amp;R176)</f>
        <v xml:space="preserve"> </v>
      </c>
      <c r="S175" s="21" t="str">
        <f t="shared" si="662"/>
        <v xml:space="preserve">biz enhancement(1), business(1), start-up(1),  </v>
      </c>
      <c r="T175" s="21" t="str">
        <f t="shared" si="663"/>
        <v xml:space="preserve"> </v>
      </c>
      <c r="U175" s="21" t="str">
        <f t="shared" si="658"/>
        <v xml:space="preserve"> </v>
      </c>
      <c r="V175" s="21" t="str">
        <f t="shared" ref="V175" si="1081">IF(V73="",V176,$C175&amp;" "&amp;V73&amp;CHAR(10)&amp;V176)</f>
        <v xml:space="preserve"> </v>
      </c>
      <c r="W175" s="21" t="str">
        <f t="shared" si="665"/>
        <v xml:space="preserve"> </v>
      </c>
      <c r="X175" s="21" t="str">
        <f t="shared" ref="X175" si="1082">IF(X73="",X176,$C175&amp;" "&amp;X73&amp;CHAR(10)&amp;X176)</f>
        <v xml:space="preserve"> </v>
      </c>
      <c r="Y175" s="21" t="str">
        <f t="shared" si="667"/>
        <v xml:space="preserve">biz project(1), biz enhancement(1), job creation(1), business(1),  </v>
      </c>
      <c r="Z175" s="21" t="str">
        <f t="shared" si="668"/>
        <v xml:space="preserve"> </v>
      </c>
      <c r="AA175" s="21" t="str">
        <f t="shared" si="658"/>
        <v xml:space="preserve"> </v>
      </c>
      <c r="AB175" s="21" t="str">
        <f t="shared" ref="AB175" si="1083">IF(AB73="",AB176,$C175&amp;" "&amp;AB73&amp;CHAR(10)&amp;AB176)</f>
        <v xml:space="preserve"> </v>
      </c>
      <c r="AC175" s="21" t="str">
        <f t="shared" si="670"/>
        <v xml:space="preserve"> </v>
      </c>
      <c r="AD175" s="21" t="str">
        <f t="shared" ref="AD175" si="1084">IF(AD73="",AD176,$C175&amp;" "&amp;AD73&amp;CHAR(10)&amp;AD176)</f>
        <v xml:space="preserve"> </v>
      </c>
      <c r="AE175" s="21" t="str">
        <f t="shared" si="672"/>
        <v xml:space="preserve">social project(1), social innovation(1), non-profit biz(1),  </v>
      </c>
      <c r="AF175" s="21" t="str">
        <f t="shared" si="673"/>
        <v xml:space="preserve"> </v>
      </c>
      <c r="AG175" s="21" t="str">
        <f t="shared" si="658"/>
        <v xml:space="preserve"> </v>
      </c>
      <c r="AH175" s="21" t="str">
        <f t="shared" ref="AH175" si="1085">IF(AH73="",AH176,$C175&amp;" "&amp;AH73&amp;CHAR(10)&amp;AH176)</f>
        <v xml:space="preserve"> </v>
      </c>
      <c r="AI175" s="21" t="str">
        <f t="shared" si="675"/>
        <v xml:space="preserve"> </v>
      </c>
      <c r="AJ175" s="21" t="str">
        <f t="shared" ref="AJ175" si="1086">IF(AJ73="",AJ176,$C175&amp;" "&amp;AJ73&amp;CHAR(10)&amp;AJ176)</f>
        <v xml:space="preserve"> </v>
      </c>
      <c r="AK175" s="21" t="str">
        <f t="shared" si="677"/>
        <v xml:space="preserve">social project(1), social innovation(1), non-profit biz(1),  </v>
      </c>
      <c r="AL175" s="21" t="str">
        <f t="shared" si="678"/>
        <v xml:space="preserve"> </v>
      </c>
      <c r="AM175" s="21" t="str">
        <f t="shared" si="658"/>
        <v xml:space="preserve"> </v>
      </c>
      <c r="AN175" s="21" t="str">
        <f t="shared" ref="AN175" si="1087">IF(AN73="",AN176,$C175&amp;" "&amp;AN73&amp;CHAR(10)&amp;AN176)</f>
        <v xml:space="preserve"> </v>
      </c>
      <c r="AO175" s="21" t="str">
        <f t="shared" si="680"/>
        <v xml:space="preserve"> </v>
      </c>
      <c r="AP175" s="21" t="str">
        <f t="shared" ref="AP175" si="1088">IF(AP73="",AP176,$C175&amp;" "&amp;AP73&amp;CHAR(10)&amp;AP176)</f>
        <v xml:space="preserve"> </v>
      </c>
      <c r="AQ175" s="21" t="str">
        <f t="shared" si="682"/>
        <v xml:space="preserve">start-up(1), start-up with mvp(1), start-up with customers(1),  </v>
      </c>
      <c r="AR175" s="21" t="str">
        <f t="shared" si="683"/>
        <v xml:space="preserve"> </v>
      </c>
      <c r="AS175" s="21" t="str">
        <f t="shared" si="658"/>
        <v xml:space="preserve"> </v>
      </c>
      <c r="AT175" s="21" t="str">
        <f t="shared" ref="AT175" si="1089">IF(AT73="",AT176,$C175&amp;" "&amp;AT73&amp;CHAR(10)&amp;AT176)</f>
        <v xml:space="preserve">social project 1
 </v>
      </c>
      <c r="AU175" s="21" t="str">
        <f t="shared" si="685"/>
        <v xml:space="preserve"> </v>
      </c>
      <c r="AV175" s="21" t="str">
        <f t="shared" ref="AV175" si="1090">IF(AV73="",AV176,$C175&amp;" "&amp;AV73&amp;CHAR(10)&amp;AV176)</f>
        <v xml:space="preserve"> </v>
      </c>
      <c r="AW175" s="21" t="str">
        <f t="shared" si="687"/>
        <v xml:space="preserve"> </v>
      </c>
      <c r="AX175" s="21" t="str">
        <f t="shared" si="688"/>
        <v xml:space="preserve"> </v>
      </c>
      <c r="AY175" s="21" t="str">
        <f t="shared" si="658"/>
        <v xml:space="preserve"> </v>
      </c>
      <c r="AZ175" s="21" t="str">
        <f t="shared" ref="AZ175" si="1091">IF(AZ73="",AZ176,$C175&amp;" "&amp;AZ73&amp;CHAR(10)&amp;AZ176)</f>
        <v xml:space="preserve"> </v>
      </c>
      <c r="BA175" s="21" t="str">
        <f t="shared" si="690"/>
        <v xml:space="preserve"> </v>
      </c>
      <c r="BB175" s="21" t="str">
        <f t="shared" ref="BB175" si="1092">IF(BB73="",BB176,$C175&amp;" "&amp;BB73&amp;CHAR(10)&amp;BB176)</f>
        <v xml:space="preserve"> </v>
      </c>
      <c r="BC175" s="21" t="str">
        <f t="shared" si="692"/>
        <v xml:space="preserve"> </v>
      </c>
      <c r="BD175" s="21" t="str">
        <f t="shared" si="693"/>
        <v xml:space="preserve"> </v>
      </c>
      <c r="BE175" s="21" t="str">
        <f t="shared" si="658"/>
        <v xml:space="preserve"> </v>
      </c>
      <c r="BF175" s="21" t="str">
        <f t="shared" ref="BF175" si="1093">IF(BF73="",BF176,$C175&amp;" "&amp;BF73&amp;CHAR(10)&amp;BF176)</f>
        <v xml:space="preserve">biz project 1
 </v>
      </c>
      <c r="BG175" s="21" t="str">
        <f t="shared" si="695"/>
        <v xml:space="preserve"> </v>
      </c>
      <c r="BH175" s="21" t="str">
        <f t="shared" ref="BH175" si="1094">IF(BH73="",BH176,$C175&amp;" "&amp;BH73&amp;CHAR(10)&amp;BH176)</f>
        <v xml:space="preserve"> </v>
      </c>
      <c r="BI175" s="21" t="str">
        <f t="shared" si="697"/>
        <v xml:space="preserve"> </v>
      </c>
      <c r="BJ175" s="21" t="str">
        <f t="shared" si="698"/>
        <v xml:space="preserve"> </v>
      </c>
      <c r="BK175" s="21" t="str">
        <f t="shared" si="658"/>
        <v xml:space="preserve"> </v>
      </c>
      <c r="BL175" s="21" t="str">
        <f t="shared" ref="BL175" si="1095">IF(BL73="",BL176,$C175&amp;" "&amp;BL73&amp;CHAR(10)&amp;BL176)</f>
        <v xml:space="preserve">biz enhancement 1
 </v>
      </c>
      <c r="BM175" s="21" t="str">
        <f t="shared" si="700"/>
        <v xml:space="preserve"> </v>
      </c>
      <c r="BN175" s="21" t="str">
        <f t="shared" ref="BN175" si="1096">IF(BN73="",BN176,$C175&amp;" "&amp;BN73&amp;CHAR(10)&amp;BN176)</f>
        <v xml:space="preserve"> </v>
      </c>
      <c r="BO175" s="21" t="str">
        <f t="shared" si="702"/>
        <v xml:space="preserve"> </v>
      </c>
      <c r="BP175" s="21" t="str">
        <f t="shared" si="703"/>
        <v xml:space="preserve"> </v>
      </c>
      <c r="BQ175" s="21" t="str">
        <f t="shared" si="658"/>
        <v xml:space="preserve"> </v>
      </c>
      <c r="BR175" s="21" t="str">
        <f t="shared" ref="BR175" si="1097">IF(BR73="",BR176,$C175&amp;" "&amp;BR73&amp;CHAR(10)&amp;BR176)</f>
        <v xml:space="preserve"> </v>
      </c>
      <c r="BS175" s="21" t="str">
        <f t="shared" si="705"/>
        <v xml:space="preserve"> </v>
      </c>
      <c r="BT175" s="21" t="str">
        <f t="shared" ref="BT175" si="1098">IF(BT73="",BT176,$C175&amp;" "&amp;BT73&amp;CHAR(10)&amp;BT176)</f>
        <v xml:space="preserve"> </v>
      </c>
      <c r="BU175" s="21" t="str">
        <f t="shared" si="707"/>
        <v xml:space="preserve"> </v>
      </c>
      <c r="BV175" s="21" t="str">
        <f t="shared" si="708"/>
        <v xml:space="preserve"> </v>
      </c>
      <c r="BW175" s="21" t="str">
        <f t="shared" si="658"/>
        <v xml:space="preserve"> </v>
      </c>
      <c r="BX175" s="21" t="str">
        <f t="shared" ref="BX175" si="1099">IF(BX73="",BX176,$C175&amp;" "&amp;BX73&amp;CHAR(10)&amp;BX176)</f>
        <v xml:space="preserve"> </v>
      </c>
      <c r="BY175" s="21" t="str">
        <f t="shared" si="710"/>
        <v xml:space="preserve"> </v>
      </c>
      <c r="BZ175" s="21" t="str">
        <f t="shared" ref="BZ175" si="1100">IF(BZ73="",BZ176,$C175&amp;" "&amp;BZ73&amp;CHAR(10)&amp;BZ176)</f>
        <v xml:space="preserve"> </v>
      </c>
      <c r="CA175" s="21" t="str">
        <f t="shared" si="712"/>
        <v xml:space="preserve"> </v>
      </c>
      <c r="CB175" s="21" t="str">
        <f t="shared" si="713"/>
        <v xml:space="preserve"> </v>
      </c>
      <c r="CC175" s="21" t="str">
        <f t="shared" si="714"/>
        <v xml:space="preserve"> </v>
      </c>
      <c r="CD175" s="21" t="str">
        <f t="shared" ref="CD175" si="1101">IF(CD73="",CD176,$C175&amp;" "&amp;CD73&amp;CHAR(10)&amp;CD176)</f>
        <v xml:space="preserve"> </v>
      </c>
      <c r="CE175" s="21" t="str">
        <f t="shared" si="716"/>
        <v xml:space="preserve"> </v>
      </c>
      <c r="CF175" s="21" t="str">
        <f t="shared" ref="CF175" si="1102">IF(CF73="",CF176,$C175&amp;" "&amp;CF73&amp;CHAR(10)&amp;CF176)</f>
        <v xml:space="preserve"> </v>
      </c>
      <c r="CG175" s="21" t="str">
        <f t="shared" si="718"/>
        <v xml:space="preserve">social project(1), biz project(1), for basic literacy(1), for the elites(1), for entrepreneurs(1),  </v>
      </c>
      <c r="CH175" s="21" t="str">
        <f t="shared" si="719"/>
        <v xml:space="preserve"> </v>
      </c>
      <c r="CI175" s="21" t="str">
        <f t="shared" si="714"/>
        <v xml:space="preserve"> </v>
      </c>
      <c r="CJ175" s="21" t="str">
        <f t="shared" ref="CJ175" si="1103">IF(CJ73="",CJ176,$C175&amp;" "&amp;CJ73&amp;CHAR(10)&amp;CJ176)</f>
        <v xml:space="preserve"> </v>
      </c>
      <c r="CK175" s="21" t="str">
        <f t="shared" si="721"/>
        <v xml:space="preserve"> </v>
      </c>
      <c r="CL175" s="21" t="str">
        <f t="shared" ref="CL175" si="1104">IF(CL73="",CL176,$C175&amp;" "&amp;CL73&amp;CHAR(10)&amp;CL176)</f>
        <v xml:space="preserve"> </v>
      </c>
      <c r="CM175" s="21" t="str">
        <f t="shared" si="723"/>
        <v xml:space="preserve"> </v>
      </c>
      <c r="CN175" s="21" t="str">
        <f t="shared" si="724"/>
        <v xml:space="preserve"> </v>
      </c>
      <c r="CO175" s="21" t="str">
        <f t="shared" si="714"/>
        <v xml:space="preserve"> </v>
      </c>
      <c r="CP175" s="21" t="str">
        <f t="shared" ref="CP175" si="1105">IF(CP73="",CP176,$C175&amp;" "&amp;CP73&amp;CHAR(10)&amp;CP176)</f>
        <v xml:space="preserve"> </v>
      </c>
      <c r="CQ175" s="21" t="str">
        <f t="shared" si="726"/>
        <v xml:space="preserve"> </v>
      </c>
      <c r="CR175" s="21" t="str">
        <f t="shared" ref="CR175" si="1106">IF(CR73="",CR176,$C175&amp;" "&amp;CR73&amp;CHAR(10)&amp;CR176)</f>
        <v xml:space="preserve"> </v>
      </c>
      <c r="CS175" s="21" t="str">
        <f t="shared" si="728"/>
        <v xml:space="preserve">database(1), mobile apps(1), sensors(1), security(1), AI&amp; data analysis(1), mobile comm(1), VR&amp;AR(1), wood processing(1), metal processing(1), plastic processing(1), electronics(1), fabric(1),  </v>
      </c>
      <c r="CT175" s="21" t="str">
        <f t="shared" si="729"/>
        <v xml:space="preserve"> </v>
      </c>
      <c r="CU175" s="21" t="str">
        <f t="shared" si="714"/>
        <v xml:space="preserve"> </v>
      </c>
      <c r="CV175" s="21" t="str">
        <f t="shared" ref="CV175" si="1107">IF(CV73="",CV176,$C175&amp;" "&amp;CV73&amp;CHAR(10)&amp;CV176)</f>
        <v xml:space="preserve"> </v>
      </c>
      <c r="CW175" s="21" t="str">
        <f t="shared" si="731"/>
        <v xml:space="preserve"> </v>
      </c>
      <c r="CX175" s="21" t="str">
        <f t="shared" ref="CX175" si="1108">IF(CX73="",CX176,$C175&amp;" "&amp;CX73&amp;CHAR(10)&amp;CX176)</f>
        <v xml:space="preserve"> </v>
      </c>
      <c r="CY175" s="21" t="str">
        <f t="shared" si="733"/>
        <v xml:space="preserve"> </v>
      </c>
      <c r="CZ175" s="21" t="str">
        <f t="shared" si="734"/>
        <v xml:space="preserve"> </v>
      </c>
      <c r="DA175" s="21" t="str">
        <f t="shared" si="714"/>
        <v xml:space="preserve"> </v>
      </c>
      <c r="DB175" s="21" t="str">
        <f t="shared" ref="DB175" si="1109">IF(DB73="",DB176,$C175&amp;" "&amp;DB73&amp;CHAR(10)&amp;DB176)</f>
        <v xml:space="preserve"> </v>
      </c>
      <c r="DC175" s="21" t="str">
        <f t="shared" si="736"/>
        <v xml:space="preserve"> </v>
      </c>
      <c r="DD175" s="21" t="str">
        <f t="shared" ref="DD175" si="1110">IF(DD73="",DD176,$C175&amp;" "&amp;DD73&amp;CHAR(10)&amp;DD176)</f>
        <v xml:space="preserve"> </v>
      </c>
      <c r="DE175" s="21" t="str">
        <f t="shared" si="738"/>
        <v xml:space="preserve">database(2), 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5" s="21" t="str">
        <f t="shared" si="739"/>
        <v xml:space="preserve"> </v>
      </c>
      <c r="DG175" s="21" t="str">
        <f t="shared" si="714"/>
        <v xml:space="preserve"> </v>
      </c>
      <c r="DH175" s="21" t="str">
        <f t="shared" ref="DH175" si="1111">IF(DH73="",DH176,$C175&amp;" "&amp;DH73&amp;CHAR(10)&amp;DH176)</f>
        <v xml:space="preserve">social project 1
 </v>
      </c>
      <c r="DI175" s="21" t="str">
        <f t="shared" si="741"/>
        <v xml:space="preserve"> </v>
      </c>
      <c r="DJ175" s="21" t="str">
        <f t="shared" ref="DJ175" si="1112">IF(DJ73="",DJ176,$C175&amp;" "&amp;DJ73&amp;CHAR(10)&amp;DJ176)</f>
        <v xml:space="preserve"> </v>
      </c>
      <c r="DK175" s="21" t="str">
        <f t="shared" si="743"/>
        <v xml:space="preserve">database(2), mobile apps(2), sensors(2), security(2), AI&amp; data analysis(2), mobile comm(2), VR&amp;AR(2), wood processing(2), metal processing(2), plastic processing(2), electronics(2), fabric(2), aesthetics(2), functions(2), safety(2), interaction(2), social project(2), social innovation(1), non-profit biz(1),  </v>
      </c>
      <c r="DL175" s="21" t="str">
        <f t="shared" si="744"/>
        <v xml:space="preserve"> </v>
      </c>
      <c r="DM175" s="21" t="str">
        <f t="shared" si="714"/>
        <v xml:space="preserve"> </v>
      </c>
      <c r="DN175" s="21" t="str">
        <f t="shared" ref="DN175" si="1113">IF(DN73="",DN176,$C175&amp;" "&amp;DN73&amp;CHAR(10)&amp;DN176)</f>
        <v xml:space="preserve">biz project 1
 </v>
      </c>
      <c r="DO175" s="21" t="str">
        <f t="shared" si="746"/>
        <v xml:space="preserve"> </v>
      </c>
      <c r="DP175" s="21" t="str">
        <f t="shared" ref="DP175" si="1114">IF(DP73="",DP176,$C175&amp;" "&amp;DP73&amp;CHAR(10)&amp;DP176)</f>
        <v xml:space="preserve"> </v>
      </c>
      <c r="DQ175" s="21" t="str">
        <f t="shared" si="748"/>
        <v xml:space="preserve">database(2), 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5" s="21" t="str">
        <f t="shared" si="749"/>
        <v xml:space="preserve"> </v>
      </c>
      <c r="DS175" s="21" t="str">
        <f t="shared" si="714"/>
        <v xml:space="preserve"> </v>
      </c>
      <c r="DT175" s="21" t="str">
        <f t="shared" ref="DT175" si="1115">IF(DT73="",DT176,$C175&amp;" "&amp;DT73&amp;CHAR(10)&amp;DT176)</f>
        <v xml:space="preserve"> </v>
      </c>
      <c r="DU175" s="21" t="str">
        <f t="shared" si="751"/>
        <v xml:space="preserve"> </v>
      </c>
      <c r="DV175" s="21" t="str">
        <f t="shared" ref="DV175" si="1116">IF(DV73="",DV176,$C175&amp;" "&amp;DV73&amp;CHAR(10)&amp;DV176)</f>
        <v xml:space="preserve"> </v>
      </c>
      <c r="DW175" s="21" t="str">
        <f t="shared" si="753"/>
        <v xml:space="preserve">for basic literacy(1),  </v>
      </c>
      <c r="DX175" s="21" t="str">
        <f t="shared" si="754"/>
        <v xml:space="preserve">for basic literacy(1,6.25),  </v>
      </c>
      <c r="DY175" s="21" t="str">
        <f t="shared" si="714"/>
        <v xml:space="preserve">for basic literacy(6.25), </v>
      </c>
      <c r="DZ175" s="21" t="str">
        <f t="shared" ref="DZ175" si="1117">IF(DZ73="",DZ176,$C175&amp;" "&amp;DZ73&amp;CHAR(10)&amp;DZ176)</f>
        <v xml:space="preserve"> </v>
      </c>
      <c r="EA175" s="21" t="str">
        <f t="shared" si="756"/>
        <v xml:space="preserve"> </v>
      </c>
      <c r="EB175" s="21" t="str">
        <f t="shared" ref="EB175" si="1118">IF(EB73="",EB176,$C175&amp;" "&amp;EB73&amp;CHAR(10)&amp;EB176)</f>
        <v xml:space="preserve"> </v>
      </c>
      <c r="EC175" s="21" t="str">
        <f t="shared" si="758"/>
        <v xml:space="preserve">database(2), mobile apps(2), sensors(2), security(2), AI&amp; data analysis(2), mobile comm(2), VR&amp;AR(2), wood processing(2), metal processing(2), plastic processing(2), electronics(2), fabric(2), for basic literacy(1),  </v>
      </c>
      <c r="ED175" s="21" t="str">
        <f t="shared" si="759"/>
        <v xml:space="preserve">for basic literacy(1,6.25),  </v>
      </c>
      <c r="EE175" s="21" t="str">
        <f t="shared" si="714"/>
        <v xml:space="preserve">for basic literacy(6.25), </v>
      </c>
      <c r="EF175" s="21" t="str">
        <f t="shared" ref="EF175" si="1119">IF(EF73="",EF176,$C175&amp;" "&amp;EF73&amp;CHAR(10)&amp;EF176)</f>
        <v xml:space="preserve"> </v>
      </c>
      <c r="EG175" s="21" t="str">
        <f t="shared" si="761"/>
        <v xml:space="preserve">mobile apps(1,50), interaction(1,50),  </v>
      </c>
      <c r="EH175" s="21" t="str">
        <f t="shared" ref="EH175" si="1120">IF(EH73="",EH176,$C175&amp;" "&amp;EH73&amp;CHAR(10)&amp;EH176)</f>
        <v xml:space="preserve">mobile apps 50
interaction 50
 </v>
      </c>
      <c r="EI175" s="21" t="str">
        <f t="shared" si="763"/>
        <v xml:space="preserve">database(1), mobile comm(1), for entrepreneurs(1),  </v>
      </c>
      <c r="EJ175" s="21" t="str">
        <f t="shared" si="764"/>
        <v xml:space="preserve">database(1,12.5), mobile comm(1,12.5), for entrepreneurs(1,6.25),  </v>
      </c>
      <c r="EK175" s="21" t="str">
        <f t="shared" si="714"/>
        <v xml:space="preserve">database(12.5),mobile comm(12.5),for entrepreneurs(6.25), </v>
      </c>
      <c r="EL175" s="21" t="str">
        <f t="shared" ref="EL175" si="1121">IF(EL73="",EL176,$C175&amp;" "&amp;EL73&amp;CHAR(10)&amp;EL176)</f>
        <v xml:space="preserve"> </v>
      </c>
      <c r="EM175" s="21" t="str">
        <f t="shared" si="766"/>
        <v xml:space="preserve">sensors(1,50),  </v>
      </c>
      <c r="EN175" s="21" t="str">
        <f t="shared" ref="EN175" si="1122">IF(EN73="",EN176,$C175&amp;" "&amp;EN73&amp;CHAR(10)&amp;EN176)</f>
        <v xml:space="preserve">sensors 50
 </v>
      </c>
      <c r="EO175" s="21" t="str">
        <f t="shared" si="768"/>
        <v xml:space="preserve">database(1), mobile comm(1), for entrepreneurs(1),  </v>
      </c>
      <c r="EP175" s="21" t="str">
        <f t="shared" si="769"/>
        <v xml:space="preserve">database(1,12.5), mobile comm(1,12.5), electronics(1,6.25), for entrepreneurs(1,6.25),  </v>
      </c>
      <c r="EQ175" s="21" t="str">
        <f t="shared" si="770"/>
        <v xml:space="preserve">database(12.5),mobile comm(12.5),electronics(6.25),for entrepreneurs(6.25), </v>
      </c>
      <c r="ER175" s="21" t="str">
        <f t="shared" ref="ER175" si="1123">IF(ER73="",ER176,$C175&amp;" "&amp;ER73&amp;CHAR(10)&amp;ER176)</f>
        <v xml:space="preserve"> </v>
      </c>
      <c r="ES175" s="21" t="str">
        <f t="shared" si="772"/>
        <v xml:space="preserve">AI&amp; data analysis(1,50),  </v>
      </c>
      <c r="ET175" s="21" t="str">
        <f t="shared" ref="ET175" si="1124">IF(ET73="",ET176,$C175&amp;" "&amp;ET73&amp;CHAR(10)&amp;ET176)</f>
        <v xml:space="preserve">AI&amp; data analysis 50
 </v>
      </c>
      <c r="EU175" s="21" t="str">
        <f t="shared" si="774"/>
        <v xml:space="preserve">database(1), sensors(1), mobile comm(1), for entrepreneurs(1),  </v>
      </c>
      <c r="EV175" s="21" t="str">
        <f t="shared" si="775"/>
        <v xml:space="preserve">database(1,12.5), sensors(1,12.5), mobile comm(1,12.5), for entrepreneurs(1,6.25),  </v>
      </c>
      <c r="EW175" s="21" t="str">
        <f t="shared" si="770"/>
        <v xml:space="preserve">database(12.5),sensors(12.5),mobile comm(12.5),for entrepreneurs(6.25), </v>
      </c>
      <c r="EX175" s="21" t="str">
        <f t="shared" ref="EX175" si="1125">IF(EX73="",EX176,$C175&amp;" "&amp;EX73&amp;CHAR(10)&amp;EX176)</f>
        <v xml:space="preserve"> </v>
      </c>
      <c r="EY175" s="21" t="str">
        <f t="shared" si="777"/>
        <v xml:space="preserve">security(1,50), interaction(1,25),  </v>
      </c>
      <c r="EZ175" s="21" t="str">
        <f t="shared" ref="EZ175" si="1126">IF(EZ73="",EZ176,$C175&amp;" "&amp;EZ73&amp;CHAR(10)&amp;EZ176)</f>
        <v xml:space="preserve">security 50
interaction 25
 </v>
      </c>
      <c r="FA175" s="21" t="str">
        <f t="shared" si="779"/>
        <v xml:space="preserve">for entrepreneurs(1),  </v>
      </c>
      <c r="FB175" s="21" t="str">
        <f t="shared" si="780"/>
        <v xml:space="preserve">database(1,12.5), mobile apps(1,12.5), security(1,12.5), mobile comm(1,12.5), for entrepreneurs(1,6.25),  </v>
      </c>
      <c r="FC175" s="21" t="str">
        <f t="shared" si="770"/>
        <v xml:space="preserve">database(12.5),mobile apps(12.5),security(12.5),mobile comm(12.5),for entrepreneurs(6.25), </v>
      </c>
      <c r="FD175" s="21" t="str">
        <f t="shared" ref="FD175" si="1127">IF(FD73="",FD176,$C175&amp;" "&amp;FD73&amp;CHAR(10)&amp;FD176)</f>
        <v xml:space="preserve"> </v>
      </c>
      <c r="FE175" s="21" t="str">
        <f t="shared" si="782"/>
        <v xml:space="preserve">sensors(1,50), security(1,50),  </v>
      </c>
      <c r="FF175" s="21" t="str">
        <f t="shared" ref="FF175" si="1128">IF(FF73="",FF176,$C175&amp;" "&amp;FF73&amp;CHAR(10)&amp;FF176)</f>
        <v xml:space="preserve">sensors 50
security 50
 </v>
      </c>
      <c r="FG175" s="21" t="str">
        <f t="shared" si="784"/>
        <v xml:space="preserve">for entrepreneurs(1),  </v>
      </c>
      <c r="FH175" s="21" t="str">
        <f t="shared" si="785"/>
        <v xml:space="preserve">database(1,6.25), mobile apps(1,6.25), AI&amp; data analysis(1,6.25), mobile comm(1,6.25), for entrepreneurs(1,6.25),  </v>
      </c>
      <c r="FI175" s="21" t="str">
        <f t="shared" si="770"/>
        <v xml:space="preserve">database(6.25),mobile apps(6.25),AI&amp; data analysis(6.25),mobile comm(6.25),for entrepreneurs(6.25), </v>
      </c>
      <c r="FJ175" s="21" t="str">
        <f t="shared" ref="FJ175" si="1129">IF(FJ73="",FJ176,$C175&amp;" "&amp;FJ73&amp;CHAR(10)&amp;FJ176)</f>
        <v xml:space="preserve"> </v>
      </c>
      <c r="FK175" s="21" t="str">
        <f t="shared" si="787"/>
        <v xml:space="preserve">wood processing(1,25), metal processing(1,25), plastic processing(1,25), fabric(1,25), safety(1,25), interaction(1,25),  </v>
      </c>
      <c r="FL175" s="21" t="str">
        <f t="shared" ref="FL175" si="1130">IF(FL73="",FL176,$C175&amp;" "&amp;FL73&amp;CHAR(10)&amp;FL176)</f>
        <v xml:space="preserve">wood processing 25
metal processing 25
plastic processing 25
fabric 25
safety 25
interaction 25
 </v>
      </c>
      <c r="FM175" s="21" t="str">
        <f t="shared" si="789"/>
        <v xml:space="preserve">for entrepreneurs(1),  </v>
      </c>
      <c r="FN175" s="21" t="str">
        <f t="shared" si="790"/>
        <v xml:space="preserve">for entrepreneurs(1,6.25),  </v>
      </c>
      <c r="FO175" s="21" t="str">
        <f t="shared" si="770"/>
        <v xml:space="preserve">for entrepreneurs(6.25), </v>
      </c>
      <c r="FP175" s="21" t="str">
        <f t="shared" ref="FP175" si="1131">IF(FP73="",FP176,$C175&amp;" "&amp;FP73&amp;CHAR(10)&amp;FP176)</f>
        <v xml:space="preserve"> </v>
      </c>
      <c r="FQ175" s="21" t="str">
        <f t="shared" si="792"/>
        <v xml:space="preserve">mobile apps(1,50), functions(1,25), interaction(1,25),  </v>
      </c>
      <c r="FR175" s="21" t="str">
        <f t="shared" ref="FR175" si="1132">IF(FR73="",FR176,$C175&amp;" "&amp;FR73&amp;CHAR(10)&amp;FR176)</f>
        <v xml:space="preserve">mobile apps 50
functions 25
interaction 25
 </v>
      </c>
      <c r="FS175" s="21" t="str">
        <f t="shared" si="794"/>
        <v xml:space="preserve">for entrepreneurs(1),  </v>
      </c>
      <c r="FT175" s="21" t="str">
        <f t="shared" si="795"/>
        <v xml:space="preserve">for entrepreneurs(1,6.25),  </v>
      </c>
      <c r="FU175" s="21" t="str">
        <f t="shared" si="770"/>
        <v xml:space="preserve">for entrepreneurs(6.25), </v>
      </c>
      <c r="FV175" s="21" t="str">
        <f t="shared" ref="FV175" si="1133">IF(FV73="",FV176,$C175&amp;" "&amp;FV73&amp;CHAR(10)&amp;FV176)</f>
        <v xml:space="preserve"> </v>
      </c>
      <c r="FW175" s="21" t="str">
        <f t="shared" si="797"/>
        <v xml:space="preserve">mobile apps(1,50), sensors(1,50), wood processing(1,25), plastic processing(1,25), electronics(1,25), functions(1,25), interaction(1,25),  </v>
      </c>
      <c r="FX175" s="21" t="str">
        <f t="shared" ref="FX175" si="1134">IF(FX73="",FX176,$C175&amp;" "&amp;FX73&amp;CHAR(10)&amp;FX176)</f>
        <v xml:space="preserve">mobile apps 50
sensors 50
wood processing 25
plastic processing 25
electronics 25
functions 25
interaction 25
 </v>
      </c>
      <c r="FY175" s="21" t="str">
        <f t="shared" si="799"/>
        <v xml:space="preserve">for entrepreneurs(1),  </v>
      </c>
      <c r="FZ175" s="21" t="str">
        <f t="shared" si="800"/>
        <v xml:space="preserve">database(1,6.25), AI&amp; data analysis(1,6.25), mobile comm(1,6.25), for entrepreneurs(1,6.25),  </v>
      </c>
      <c r="GA175" s="21" t="str">
        <f t="shared" si="770"/>
        <v xml:space="preserve">database(6.25),AI&amp; data analysis(6.25),mobile comm(6.25),for entrepreneurs(6.25), </v>
      </c>
      <c r="GB175" s="21" t="str">
        <f t="shared" ref="GB175" si="1135">IF(GB73="",GB176,$C175&amp;" "&amp;GB73&amp;CHAR(10)&amp;GB176)</f>
        <v xml:space="preserve"> </v>
      </c>
      <c r="GC175" s="21" t="str">
        <f t="shared" si="802"/>
        <v xml:space="preserve">sensors(1,25), mobile comm(1,25), electronics(1,50), functions(1,25), safety(1,25),  </v>
      </c>
      <c r="GD175" s="21" t="str">
        <f t="shared" ref="GD175" si="1136">IF(GD73="",GD176,$C175&amp;" "&amp;GD73&amp;CHAR(10)&amp;GD176)</f>
        <v xml:space="preserve">sensors 25
mobile comm 25
electronics 50
functions 25
safety 25
 </v>
      </c>
      <c r="GE175" s="21" t="str">
        <f t="shared" si="804"/>
        <v xml:space="preserve">for entrepreneurs(1),  </v>
      </c>
      <c r="GF175" s="21" t="str">
        <f t="shared" si="805"/>
        <v xml:space="preserve">database(1,6.25), mobile apps(1,6.25), AI&amp; data analysis(1,6.25), plastic processing(1,6.25), interaction(1,6.25), for entrepreneurs(1,6.25),  </v>
      </c>
      <c r="GG175" s="21" t="str">
        <f t="shared" si="770"/>
        <v xml:space="preserve">database(6.25),mobile apps(6.25),AI&amp; data analysis(6.25),plastic processing(6.25),interaction(6.25),for entrepreneurs(6.25), </v>
      </c>
      <c r="GH175" s="21" t="str">
        <f t="shared" ref="GH175" si="1137">IF(GH73="",GH176,$C175&amp;" "&amp;GH73&amp;CHAR(10)&amp;GH176)</f>
        <v xml:space="preserve"> </v>
      </c>
      <c r="GI175" s="21" t="str">
        <f t="shared" si="807"/>
        <v xml:space="preserve">mobile apps(1,50), functions(1,25), interaction(1,25),  </v>
      </c>
      <c r="GJ175" s="21" t="str">
        <f t="shared" ref="GJ175" si="1138">IF(GJ73="",GJ176,$C175&amp;" "&amp;GJ73&amp;CHAR(10)&amp;GJ176)</f>
        <v xml:space="preserve">mobile apps 50
functions 25
interaction 25
 </v>
      </c>
      <c r="GK175" s="21" t="str">
        <f t="shared" si="809"/>
        <v xml:space="preserve">for entrepreneurs(1),  </v>
      </c>
      <c r="GL175" s="21" t="str">
        <f t="shared" si="810"/>
        <v xml:space="preserve">for entrepreneurs(1,6.25),  </v>
      </c>
      <c r="GM175" s="21" t="str">
        <f t="shared" si="770"/>
        <v xml:space="preserve">for entrepreneurs(6.25), </v>
      </c>
      <c r="GN175" s="21" t="str">
        <f t="shared" ref="GN175" si="1139">IF(GN73="",GN176,$C175&amp;" "&amp;GN73&amp;CHAR(10)&amp;GN176)</f>
        <v xml:space="preserve"> </v>
      </c>
      <c r="GO175" s="21" t="str">
        <f t="shared" si="812"/>
        <v xml:space="preserve">mobile apps(1,25), VR&amp;AR(1,25), aesthetics(1,25), functions(1,25), interaction(1,50),  </v>
      </c>
      <c r="GP175" s="21" t="str">
        <f t="shared" ref="GP175" si="1140">IF(GP73="",GP176,$C175&amp;" "&amp;GP73&amp;CHAR(10)&amp;GP176)</f>
        <v xml:space="preserve">mobile apps 25
VR&amp;AR 25
aesthetics 25
functions 25
interaction 50
 </v>
      </c>
      <c r="GQ175" s="21" t="str">
        <f t="shared" si="814"/>
        <v xml:space="preserve">for entrepreneurs(1),  </v>
      </c>
      <c r="GR175" s="21" t="str">
        <f t="shared" si="815"/>
        <v xml:space="preserve">for entrepreneurs(1,6.25),  </v>
      </c>
      <c r="GS175" s="21" t="str">
        <f t="shared" si="770"/>
        <v xml:space="preserve">for entrepreneurs(6.25), </v>
      </c>
      <c r="GT175" s="21" t="str">
        <f t="shared" ref="GT175" si="1141">IF(GT73="",GT176,$C175&amp;" "&amp;GT73&amp;CHAR(10)&amp;GT176)</f>
        <v xml:space="preserve">mobile apps 1
mobile comm 1
 </v>
      </c>
      <c r="GU175" s="21" t="str">
        <f t="shared" si="817"/>
        <v xml:space="preserve"> </v>
      </c>
      <c r="GV175" s="21" t="str">
        <f t="shared" ref="GV175" si="1142">IF(GV73="",GV176,$C175&amp;" "&amp;GV73&amp;CHAR(10)&amp;GV176)</f>
        <v xml:space="preserve"> </v>
      </c>
      <c r="GW175" s="21" t="str">
        <f t="shared" si="819"/>
        <v xml:space="preserve">database(1), sensors(1), security(1), AI&amp; data analysis(1), electronics(1),  </v>
      </c>
      <c r="GX175" s="21" t="str">
        <f t="shared" si="820"/>
        <v xml:space="preserve">mobile apps(1,6.25),  </v>
      </c>
      <c r="GY175" s="21" t="str">
        <f t="shared" si="770"/>
        <v xml:space="preserve">mobile apps(6.25), </v>
      </c>
      <c r="GZ175" s="21" t="str">
        <f t="shared" ref="GZ175" si="1143">IF(GZ73="",GZ176,$C175&amp;" "&amp;GZ73&amp;CHAR(10)&amp;GZ176)</f>
        <v xml:space="preserve"> </v>
      </c>
      <c r="HA175" s="21" t="str">
        <f t="shared" si="822"/>
        <v xml:space="preserve"> </v>
      </c>
      <c r="HB175" s="21" t="str">
        <f t="shared" ref="HB175" si="1144">IF(HB73="",HB176,$C175&amp;" "&amp;HB73&amp;CHAR(10)&amp;HB176)</f>
        <v xml:space="preserve"> </v>
      </c>
      <c r="HC175" s="21" t="str">
        <f t="shared" si="824"/>
        <v xml:space="preserve">mobile apps(2), sensors(2), AI&amp; data analysis(2), VR&amp;AR(2), plastic processing(2), electronics(2), aesthetics(2), interaction(2),  </v>
      </c>
      <c r="HD175" s="21" t="str">
        <f t="shared" si="825"/>
        <v xml:space="preserve">start-up with customers(1,6.25), for basic literacy(1,6.25),  </v>
      </c>
      <c r="HE175" s="21" t="str">
        <f t="shared" si="826"/>
        <v xml:space="preserve">start-up with customers(6.25),for basic literacy(6.25), </v>
      </c>
      <c r="HF175" s="21" t="str">
        <f t="shared" ref="HF175" si="1145">IF(HF73="",HF176,$C175&amp;" "&amp;HF73&amp;CHAR(10)&amp;HF176)</f>
        <v xml:space="preserve"> </v>
      </c>
      <c r="HG175" s="21" t="str">
        <f t="shared" si="828"/>
        <v xml:space="preserve"> </v>
      </c>
      <c r="HH175" s="21" t="str">
        <f t="shared" ref="HH175" si="1146">IF(HH73="",HH176,$C175&amp;" "&amp;HH73&amp;CHAR(10)&amp;HH176)</f>
        <v xml:space="preserve"> </v>
      </c>
      <c r="HI175" s="21" t="str">
        <f t="shared" si="830"/>
        <v xml:space="preserve">mobile apps(3), sensors(2), plastic processing(2), electronics(2), aesthetics(2), functions(2), interaction(2),  </v>
      </c>
      <c r="HJ175" s="21" t="str">
        <f t="shared" si="831"/>
        <v xml:space="preserve">start-up with customers(1,6.25),  </v>
      </c>
      <c r="HK175" s="21" t="str">
        <f t="shared" si="826"/>
        <v xml:space="preserve">start-up with customers(6.25), </v>
      </c>
      <c r="HL175" s="21" t="str">
        <f t="shared" ref="HL175" si="1147">IF(HL73="",HL176,$C175&amp;" "&amp;HL73&amp;CHAR(10)&amp;HL176)</f>
        <v xml:space="preserve"> </v>
      </c>
      <c r="HM175" s="21" t="str">
        <f t="shared" si="833"/>
        <v xml:space="preserve"> </v>
      </c>
      <c r="HN175" s="21" t="str">
        <f t="shared" ref="HN175" si="1148">IF(HN73="",HN176,$C175&amp;" "&amp;HN73&amp;CHAR(10)&amp;HN176)</f>
        <v xml:space="preserve"> </v>
      </c>
      <c r="HO175" s="21" t="str">
        <f t="shared" si="835"/>
        <v xml:space="preserve">mobile apps(2), wood processing(3), plastic processing(3), electronics(3), aesthetics(2), interaction(2),  </v>
      </c>
      <c r="HP175" s="21" t="str">
        <f t="shared" si="836"/>
        <v xml:space="preserve"> </v>
      </c>
      <c r="HQ175" s="47" t="str">
        <f t="shared" si="826"/>
        <v xml:space="preserve"> </v>
      </c>
      <c r="HR175" s="47" t="str">
        <f t="shared" ref="HR175:HW175" si="1149">IF(HR73="",HR176,$C175&amp;"("&amp;HR73&amp;"),"&amp;HR176)</f>
        <v xml:space="preserve">mobile apps(1),sensors(1),wood processing(1),aesthetics(1), </v>
      </c>
      <c r="HS175" s="47" t="str">
        <f t="shared" si="1149"/>
        <v xml:space="preserve"> </v>
      </c>
      <c r="HT175" s="47" t="str">
        <f t="shared" si="1149"/>
        <v xml:space="preserve"> </v>
      </c>
      <c r="HU175" s="47" t="str">
        <f t="shared" si="1149"/>
        <v xml:space="preserve">database(3),mobile apps(3),sensors(3),AI&amp; data analysis(3),mobile comm(3),VR&amp;AR(3),wood processing(3),metal processing(2),plastic processing(2),electronics(2),fabric(2),aesthetics(2),interaction(2),start-up with mvp(1), </v>
      </c>
      <c r="HV175" s="47" t="str">
        <f t="shared" si="1149"/>
        <v xml:space="preserve"> </v>
      </c>
      <c r="HW175" s="47" t="str">
        <f t="shared" si="1149"/>
        <v xml:space="preserve"> </v>
      </c>
      <c r="HX175" s="47" t="str">
        <f t="shared" ref="HX175:IU175" si="1150">IF(HX73="",HX176,$C175&amp;"("&amp;HX73&amp;"),"&amp;HX176)</f>
        <v xml:space="preserve">database(2),mobile apps(1),sensors(1),AI&amp; data analysis(2),VR&amp;AR(1),wood processing(1),metal processing(1),plastic processing(1),electronics(1),aesthetics(1),functions(1),interaction(1), </v>
      </c>
      <c r="HY175" s="47" t="str">
        <f t="shared" si="1150"/>
        <v xml:space="preserve">biz enhancement(1), </v>
      </c>
      <c r="HZ175" s="47" t="str">
        <f t="shared" si="1150"/>
        <v xml:space="preserve">biz enhancement(100), </v>
      </c>
      <c r="IA175" s="47" t="str">
        <f t="shared" si="1150"/>
        <v xml:space="preserve"> </v>
      </c>
      <c r="IB175" s="47" t="str">
        <f t="shared" si="1150"/>
        <v xml:space="preserve">database(1),AI&amp; data analysis(1),electronics(1),functions(1), </v>
      </c>
      <c r="IC175" s="47" t="str">
        <f t="shared" si="1150"/>
        <v xml:space="preserve">database(6.25),AI&amp; data analysis(6.25),electronics(6.25),functions(6.25), </v>
      </c>
      <c r="ID175" s="47" t="str">
        <f t="shared" si="1150"/>
        <v xml:space="preserve"> </v>
      </c>
      <c r="IE175" s="47" t="str">
        <f t="shared" si="1150"/>
        <v xml:space="preserve">mobile apps(1),security(1),AI&amp; data analysis(1), </v>
      </c>
      <c r="IF175" s="47" t="str">
        <f t="shared" si="1150"/>
        <v xml:space="preserve">mobile apps(25),security(25),AI&amp; data analysis(25), </v>
      </c>
      <c r="IG175" s="47" t="str">
        <f t="shared" si="1150"/>
        <v xml:space="preserve">database(2),mobile apps(2),security(2),AI&amp; data analysis(2), </v>
      </c>
      <c r="IH175" s="47" t="str">
        <f t="shared" si="1150"/>
        <v xml:space="preserve">database(1),mobile apps(1),security(1),AI&amp; data analysis(1), </v>
      </c>
      <c r="II175" s="47" t="str">
        <f t="shared" si="1150"/>
        <v xml:space="preserve">database(6.25),mobile apps(6.25),security(6.25),AI&amp; data analysis(6.25), </v>
      </c>
      <c r="IJ175" s="47" t="str">
        <f t="shared" si="1150"/>
        <v xml:space="preserve"> </v>
      </c>
      <c r="IK175" s="47" t="str">
        <f t="shared" si="1150"/>
        <v xml:space="preserve">wood processing(1),metal processing(1),functions(1),safety(1), </v>
      </c>
      <c r="IL175" s="47" t="str">
        <f t="shared" si="1150"/>
        <v xml:space="preserve">wood processing(25),metal processing(25),functions(25),safety(25), </v>
      </c>
      <c r="IM175" s="47" t="str">
        <f t="shared" si="1150"/>
        <v xml:space="preserve">wood processing(2),metal processing(2),functions(2),safety(2), </v>
      </c>
      <c r="IN175" s="47" t="str">
        <f t="shared" si="1150"/>
        <v xml:space="preserve">wood processing(1),metal processing(1),functions(1),safety(1),interaction(1), </v>
      </c>
      <c r="IO175" s="47" t="str">
        <f t="shared" si="1150"/>
        <v xml:space="preserve">wood processing(6.25),metal processing(6.25),functions(6.25),safety(6.25),interaction(6.25), </v>
      </c>
      <c r="IP175" s="57" t="str">
        <f t="shared" si="1150"/>
        <v xml:space="preserve"> </v>
      </c>
      <c r="IQ175" s="47" t="str">
        <f t="shared" si="1150"/>
        <v xml:space="preserve"> </v>
      </c>
      <c r="IR175" s="47" t="str">
        <f t="shared" si="1150"/>
        <v xml:space="preserve"> </v>
      </c>
      <c r="IS175" s="47" t="str">
        <f t="shared" si="1150"/>
        <v xml:space="preserve"> </v>
      </c>
      <c r="IT175" s="47" t="str">
        <f t="shared" si="1150"/>
        <v xml:space="preserve"> </v>
      </c>
      <c r="IU175" s="47" t="str">
        <f t="shared" si="1150"/>
        <v xml:space="preserve"> </v>
      </c>
      <c r="IV175" s="57" t="str">
        <f t="shared" ref="IV175:LG175" si="1151">IF(IV73="",IV176,$C175&amp;"("&amp;IV73&amp;"),"&amp;IV176)</f>
        <v xml:space="preserve"> </v>
      </c>
      <c r="IW175" s="47" t="str">
        <f t="shared" si="1151"/>
        <v xml:space="preserve"> </v>
      </c>
      <c r="IX175" s="47" t="str">
        <f t="shared" si="1151"/>
        <v xml:space="preserve"> </v>
      </c>
      <c r="IY175" s="47" t="str">
        <f t="shared" si="1151"/>
        <v xml:space="preserve"> </v>
      </c>
      <c r="IZ175" s="47" t="str">
        <f t="shared" si="1151"/>
        <v xml:space="preserve"> </v>
      </c>
      <c r="JA175" s="47" t="str">
        <f t="shared" si="1151"/>
        <v xml:space="preserve"> </v>
      </c>
      <c r="JB175" s="47" t="str">
        <f t="shared" si="1151"/>
        <v xml:space="preserve"> </v>
      </c>
      <c r="JC175" s="47" t="str">
        <f t="shared" si="1151"/>
        <v xml:space="preserve"> </v>
      </c>
      <c r="JD175" s="47" t="str">
        <f t="shared" si="1151"/>
        <v xml:space="preserve"> </v>
      </c>
      <c r="JE175" s="47" t="str">
        <f t="shared" si="1151"/>
        <v xml:space="preserve"> </v>
      </c>
      <c r="JF175" s="47" t="str">
        <f t="shared" si="1151"/>
        <v xml:space="preserve">database(1),mobile apps(1),sensors(1),security(1),AI&amp; data analysis(1),mobile comm(1),VR&amp;AR(1),wood processing(1),metal processing(1),plastic processing(1),electronics(1),fabric(1),aesthetics(1),functions(1),safety(1),interaction(1), </v>
      </c>
      <c r="JG175" s="47" t="str">
        <f t="shared" si="1151"/>
        <v xml:space="preserve">database(6.25),mobile apps(6.25),sensors(6.25),security(6.25),AI&amp; data analysis(6.25),mobile comm(6.25),VR&amp;AR(6.25),wood processing(6.25),metal processing(6.25),plastic processing(6.25),electronics(6.25),fabric(6.25),aesthetics(6.25),functions(6.25),safety(6.25),interaction(6.25), </v>
      </c>
      <c r="JH175" s="47" t="str">
        <f t="shared" si="1151"/>
        <v xml:space="preserve"> </v>
      </c>
      <c r="JI175" s="47" t="str">
        <f t="shared" si="1151"/>
        <v xml:space="preserve"> </v>
      </c>
      <c r="JJ175" s="47" t="str">
        <f t="shared" si="1151"/>
        <v xml:space="preserve"> </v>
      </c>
      <c r="JK175" s="47" t="str">
        <f t="shared" si="1151"/>
        <v xml:space="preserve">social project(1),social innovation(1),non-profit biz(1),biz project(1),biz enhancement(1),job creation(1),business(1),start-up(1),start-up with mvp(1),start-up with customers(1),for basic literacy(1),for the elites(1),for entrepreneurs(1), </v>
      </c>
      <c r="JL175" s="47" t="str">
        <f t="shared" si="1151"/>
        <v xml:space="preserve"> </v>
      </c>
      <c r="JM175" s="47" t="str">
        <f t="shared" si="1151"/>
        <v xml:space="preserve"> </v>
      </c>
      <c r="JN175" s="47" t="str">
        <f t="shared" si="1151"/>
        <v xml:space="preserve"> </v>
      </c>
      <c r="JO175" s="47" t="str">
        <f t="shared" si="1151"/>
        <v xml:space="preserve"> </v>
      </c>
      <c r="JP175" s="47" t="str">
        <f t="shared" si="1151"/>
        <v xml:space="preserve"> </v>
      </c>
      <c r="JQ175" s="47" t="str">
        <f t="shared" si="1151"/>
        <v xml:space="preserve">electronics(1),aesthetics(1),interaction(1),social project(1),social innovation(1),non-profit biz(1),biz project(1),biz enhancement(1),job creation(1),business(1),start-up(1),start-up with mvp(1),start-up with customers(1),for basic literacy(1),for the elites(1),for entrepreneurs(1), </v>
      </c>
      <c r="JR175" s="47" t="str">
        <f t="shared" si="1151"/>
        <v xml:space="preserve"> </v>
      </c>
      <c r="JS175" s="47" t="str">
        <f t="shared" si="1151"/>
        <v xml:space="preserve"> </v>
      </c>
      <c r="JT175" s="47" t="str">
        <f t="shared" si="1151"/>
        <v xml:space="preserve"> </v>
      </c>
      <c r="JU175" s="47" t="str">
        <f t="shared" si="1151"/>
        <v xml:space="preserve"> </v>
      </c>
      <c r="JV175" s="47" t="str">
        <f t="shared" si="1151"/>
        <v xml:space="preserve"> </v>
      </c>
      <c r="JW175" s="47" t="str">
        <f t="shared" si="1151"/>
        <v xml:space="preserve">social project(2),social innovation(1),non-profit biz(1),biz project(2),biz enhancement(2),job creation(1),business(1),start-up(2),start-up with mvp(1),start-up with customers(1),for basic literacy(2),for the elites(1),for entrepreneurs(1), </v>
      </c>
      <c r="JX175" s="47" t="str">
        <f t="shared" si="1151"/>
        <v xml:space="preserve"> </v>
      </c>
      <c r="JY175" s="47" t="str">
        <f t="shared" si="1151"/>
        <v xml:space="preserve"> </v>
      </c>
      <c r="JZ175" s="47" t="str">
        <f t="shared" si="1151"/>
        <v xml:space="preserve">social project(2), </v>
      </c>
      <c r="KA175" s="47" t="str">
        <f t="shared" si="1151"/>
        <v xml:space="preserve"> </v>
      </c>
      <c r="KB175" s="47" t="str">
        <f t="shared" si="1151"/>
        <v xml:space="preserve"> </v>
      </c>
      <c r="KC175" s="47" t="str">
        <f t="shared" si="1151"/>
        <v xml:space="preserve">mobile apps(1),sensors(1),AI&amp; data analysis(1),electronics(1),aesthetics(1),social project(3),social innovation(1),non-profit biz(1),biz project(2),biz enhancement(2),job creation(1),business(1),start-up(2),start-up with mvp(1),start-up with customers(1),for basic literacy(2),for the elites(1),for entrepreneurs(1), </v>
      </c>
      <c r="KD175" s="47" t="str">
        <f t="shared" si="1151"/>
        <v xml:space="preserve"> </v>
      </c>
      <c r="KE175" s="47" t="str">
        <f t="shared" si="1151"/>
        <v xml:space="preserve"> </v>
      </c>
      <c r="KF175" s="47" t="str">
        <f t="shared" si="1151"/>
        <v xml:space="preserve"> </v>
      </c>
      <c r="KG175" s="47" t="str">
        <f t="shared" si="1151"/>
        <v xml:space="preserve"> </v>
      </c>
      <c r="KH175" s="47" t="str">
        <f t="shared" si="1151"/>
        <v xml:space="preserve"> </v>
      </c>
      <c r="KI175" s="47" t="str">
        <f t="shared" si="1151"/>
        <v xml:space="preserve"> </v>
      </c>
      <c r="KJ175" s="47" t="str">
        <f t="shared" si="1151"/>
        <v xml:space="preserve"> </v>
      </c>
      <c r="KK175" s="47" t="str">
        <f t="shared" si="1151"/>
        <v xml:space="preserve"> </v>
      </c>
      <c r="KL175" s="57" t="str">
        <f t="shared" si="1151"/>
        <v xml:space="preserve"> </v>
      </c>
      <c r="KM175" s="47" t="str">
        <f t="shared" si="1151"/>
        <v xml:space="preserve"> </v>
      </c>
      <c r="KN175" s="47" t="str">
        <f t="shared" si="1151"/>
        <v xml:space="preserve"> </v>
      </c>
      <c r="KO175" s="47" t="str">
        <f t="shared" si="1151"/>
        <v xml:space="preserve"> </v>
      </c>
      <c r="KP175" s="47" t="str">
        <f t="shared" si="1151"/>
        <v xml:space="preserve"> </v>
      </c>
      <c r="KQ175" s="47" t="str">
        <f t="shared" si="1151"/>
        <v xml:space="preserve"> </v>
      </c>
      <c r="KR175" s="57" t="str">
        <f t="shared" si="1151"/>
        <v xml:space="preserve"> </v>
      </c>
      <c r="KS175" s="47" t="str">
        <f t="shared" si="1151"/>
        <v xml:space="preserve"> </v>
      </c>
      <c r="KT175" s="47" t="str">
        <f t="shared" si="1151"/>
        <v xml:space="preserve"> </v>
      </c>
      <c r="KU175" s="47" t="str">
        <f t="shared" si="1151"/>
        <v xml:space="preserve"> </v>
      </c>
      <c r="KV175" s="47" t="str">
        <f t="shared" si="1151"/>
        <v xml:space="preserve"> </v>
      </c>
      <c r="KW175" s="47" t="str">
        <f t="shared" si="1151"/>
        <v xml:space="preserve"> </v>
      </c>
      <c r="KX175" s="57" t="str">
        <f t="shared" si="1151"/>
        <v xml:space="preserve"> </v>
      </c>
      <c r="KY175" s="47" t="str">
        <f t="shared" si="1151"/>
        <v xml:space="preserve"> </v>
      </c>
      <c r="KZ175" s="47" t="str">
        <f t="shared" si="1151"/>
        <v xml:space="preserve"> </v>
      </c>
      <c r="LA175" s="47" t="str">
        <f t="shared" si="1151"/>
        <v xml:space="preserve"> </v>
      </c>
      <c r="LB175" s="47" t="str">
        <f t="shared" si="1151"/>
        <v xml:space="preserve"> </v>
      </c>
      <c r="LC175" s="47" t="str">
        <f t="shared" si="1151"/>
        <v xml:space="preserve"> </v>
      </c>
      <c r="LD175" s="57" t="str">
        <f t="shared" si="1151"/>
        <v xml:space="preserve"> </v>
      </c>
      <c r="LE175" s="47" t="str">
        <f t="shared" si="1151"/>
        <v xml:space="preserve"> </v>
      </c>
      <c r="LF175" s="47" t="str">
        <f t="shared" si="1151"/>
        <v xml:space="preserve"> </v>
      </c>
      <c r="LG175" s="47" t="str">
        <f t="shared" si="1151"/>
        <v xml:space="preserve"> </v>
      </c>
      <c r="LH175" s="47" t="str">
        <f t="shared" ref="LH175:NM175" si="1152">IF(LH73="",LH176,$C175&amp;"("&amp;LH73&amp;"),"&amp;LH176)</f>
        <v xml:space="preserve"> </v>
      </c>
      <c r="LI175" s="47" t="str">
        <f t="shared" si="1152"/>
        <v xml:space="preserve"> </v>
      </c>
      <c r="LJ175" s="57" t="str">
        <f t="shared" si="1152"/>
        <v xml:space="preserve"> </v>
      </c>
      <c r="LK175" s="47" t="str">
        <f t="shared" si="1152"/>
        <v xml:space="preserve"> </v>
      </c>
      <c r="LL175" s="47" t="str">
        <f t="shared" si="1152"/>
        <v xml:space="preserve"> </v>
      </c>
      <c r="LM175" s="47" t="str">
        <f t="shared" si="1152"/>
        <v xml:space="preserve"> </v>
      </c>
      <c r="LN175" s="47" t="str">
        <f t="shared" si="1152"/>
        <v xml:space="preserve"> </v>
      </c>
      <c r="LO175" s="47" t="str">
        <f t="shared" si="1152"/>
        <v xml:space="preserve"> </v>
      </c>
      <c r="LP175" s="57" t="str">
        <f t="shared" si="1152"/>
        <v xml:space="preserve"> </v>
      </c>
      <c r="LQ175" s="47" t="str">
        <f t="shared" si="1152"/>
        <v xml:space="preserve"> </v>
      </c>
      <c r="LR175" s="47" t="str">
        <f t="shared" si="1152"/>
        <v xml:space="preserve"> </v>
      </c>
      <c r="LS175" s="47" t="str">
        <f t="shared" si="1152"/>
        <v xml:space="preserve"> </v>
      </c>
      <c r="LT175" s="47" t="str">
        <f t="shared" si="1152"/>
        <v xml:space="preserve"> </v>
      </c>
      <c r="LU175" s="47" t="str">
        <f t="shared" si="1152"/>
        <v xml:space="preserve"> </v>
      </c>
      <c r="LV175" s="57" t="str">
        <f t="shared" si="1152"/>
        <v xml:space="preserve"> </v>
      </c>
      <c r="LW175" s="47" t="str">
        <f t="shared" si="1152"/>
        <v xml:space="preserve"> </v>
      </c>
      <c r="LX175" s="47" t="str">
        <f t="shared" si="1152"/>
        <v xml:space="preserve"> </v>
      </c>
      <c r="LY175" s="47" t="str">
        <f t="shared" si="1152"/>
        <v xml:space="preserve"> </v>
      </c>
      <c r="LZ175" s="47" t="str">
        <f t="shared" si="1152"/>
        <v xml:space="preserve"> </v>
      </c>
      <c r="MA175" s="47" t="str">
        <f t="shared" si="1152"/>
        <v xml:space="preserve"> </v>
      </c>
      <c r="MB175" s="57" t="str">
        <f t="shared" si="1152"/>
        <v xml:space="preserve"> </v>
      </c>
      <c r="MC175" s="47" t="str">
        <f t="shared" si="1152"/>
        <v xml:space="preserve"> </v>
      </c>
      <c r="MD175" s="47" t="str">
        <f t="shared" si="1152"/>
        <v xml:space="preserve"> </v>
      </c>
      <c r="ME175" s="47" t="str">
        <f t="shared" si="1152"/>
        <v xml:space="preserve"> </v>
      </c>
      <c r="MF175" s="47" t="str">
        <f t="shared" si="1152"/>
        <v xml:space="preserve"> </v>
      </c>
      <c r="MG175" s="47" t="str">
        <f t="shared" si="1152"/>
        <v xml:space="preserve"> </v>
      </c>
      <c r="MH175" s="57" t="str">
        <f t="shared" si="1152"/>
        <v xml:space="preserve"> </v>
      </c>
      <c r="MI175" s="47" t="str">
        <f t="shared" si="1152"/>
        <v xml:space="preserve"> </v>
      </c>
      <c r="MJ175" s="47" t="str">
        <f t="shared" si="1152"/>
        <v xml:space="preserve"> </v>
      </c>
      <c r="MK175" s="47" t="str">
        <f t="shared" si="1152"/>
        <v xml:space="preserve"> </v>
      </c>
      <c r="ML175" s="47" t="str">
        <f t="shared" si="1152"/>
        <v xml:space="preserve"> </v>
      </c>
      <c r="MM175" s="47" t="str">
        <f t="shared" si="1152"/>
        <v xml:space="preserve"> </v>
      </c>
      <c r="MN175" s="57" t="str">
        <f t="shared" si="1152"/>
        <v xml:space="preserve"> </v>
      </c>
      <c r="MO175" s="47" t="str">
        <f t="shared" si="1152"/>
        <v xml:space="preserve"> </v>
      </c>
      <c r="MP175" s="47" t="str">
        <f t="shared" si="1152"/>
        <v xml:space="preserve"> </v>
      </c>
      <c r="MQ175" s="47" t="str">
        <f t="shared" si="1152"/>
        <v xml:space="preserve"> </v>
      </c>
      <c r="MR175" s="47" t="str">
        <f t="shared" si="1152"/>
        <v xml:space="preserve"> </v>
      </c>
      <c r="MS175" s="47" t="str">
        <f t="shared" si="1152"/>
        <v xml:space="preserve"> </v>
      </c>
      <c r="MT175" s="57" t="str">
        <f t="shared" si="1152"/>
        <v xml:space="preserve"> </v>
      </c>
      <c r="MU175" s="47" t="str">
        <f t="shared" si="1152"/>
        <v xml:space="preserve"> </v>
      </c>
      <c r="MV175" s="47" t="str">
        <f t="shared" si="1152"/>
        <v xml:space="preserve"> </v>
      </c>
      <c r="MW175" s="47" t="str">
        <f t="shared" si="1152"/>
        <v xml:space="preserve"> </v>
      </c>
      <c r="MX175" s="47" t="str">
        <f t="shared" si="1152"/>
        <v xml:space="preserve"> </v>
      </c>
      <c r="MY175" s="47" t="str">
        <f t="shared" si="1152"/>
        <v xml:space="preserve"> </v>
      </c>
      <c r="MZ175" s="57" t="str">
        <f t="shared" si="1152"/>
        <v xml:space="preserve"> </v>
      </c>
      <c r="NA175" s="47" t="str">
        <f t="shared" si="1152"/>
        <v xml:space="preserve"> </v>
      </c>
      <c r="NB175" s="47" t="str">
        <f t="shared" si="1152"/>
        <v xml:space="preserve"> </v>
      </c>
      <c r="NC175" s="47" t="str">
        <f t="shared" si="1152"/>
        <v xml:space="preserve"> </v>
      </c>
      <c r="ND175" s="47" t="str">
        <f t="shared" si="1152"/>
        <v xml:space="preserve"> </v>
      </c>
      <c r="NE175" s="47" t="str">
        <f t="shared" si="1152"/>
        <v xml:space="preserve"> </v>
      </c>
      <c r="NF175" s="57" t="str">
        <f t="shared" si="1152"/>
        <v xml:space="preserve"> </v>
      </c>
      <c r="NG175" s="47" t="str">
        <f t="shared" si="1152"/>
        <v xml:space="preserve"> </v>
      </c>
      <c r="NH175" s="47" t="str">
        <f t="shared" si="1152"/>
        <v xml:space="preserve"> </v>
      </c>
      <c r="NI175" s="47" t="str">
        <f t="shared" si="1152"/>
        <v xml:space="preserve"> </v>
      </c>
      <c r="NJ175" s="47" t="str">
        <f t="shared" si="1152"/>
        <v xml:space="preserve"> </v>
      </c>
      <c r="NK175" s="47" t="str">
        <f t="shared" si="1152"/>
        <v xml:space="preserve"> </v>
      </c>
      <c r="NL175" s="57" t="str">
        <f t="shared" si="1152"/>
        <v xml:space="preserve"> </v>
      </c>
      <c r="NM175" s="47" t="str">
        <f t="shared" si="1152"/>
        <v xml:space="preserve"> </v>
      </c>
    </row>
    <row r="176" spans="3:377" ht="15.75" customHeight="1">
      <c r="C176" s="7" t="str">
        <f t="shared" si="841"/>
        <v>mobile apps</v>
      </c>
      <c r="D176" s="21" t="str">
        <f t="shared" si="651"/>
        <v xml:space="preserve"> </v>
      </c>
      <c r="E176" s="21" t="str">
        <f t="shared" si="842"/>
        <v xml:space="preserve"> </v>
      </c>
      <c r="F176" s="21" t="str">
        <f t="shared" si="651"/>
        <v xml:space="preserve"> </v>
      </c>
      <c r="G176" s="21" t="str">
        <f t="shared" si="843"/>
        <v xml:space="preserve"> </v>
      </c>
      <c r="H176" s="21" t="str">
        <f t="shared" si="844"/>
        <v xml:space="preserve"> </v>
      </c>
      <c r="I176" s="21" t="str">
        <f t="shared" ref="I176" si="1153">IF(I74="",I177,$C176&amp;"("&amp;I74&amp;"),"&amp;I177)</f>
        <v xml:space="preserve"> </v>
      </c>
      <c r="J176" s="21" t="str">
        <f t="shared" ref="J176" si="1154">IF(J74="",J177,$C176&amp;" "&amp;J74&amp;CHAR(10)&amp;J177)</f>
        <v xml:space="preserve">interaction 1
 </v>
      </c>
      <c r="K176" s="21" t="str">
        <f t="shared" si="654"/>
        <v xml:space="preserve"> </v>
      </c>
      <c r="L176" s="21" t="str">
        <f t="shared" ref="L176" si="1155">IF(L74="",L177,$C176&amp;" "&amp;L74&amp;CHAR(10)&amp;L177)</f>
        <v xml:space="preserve"> </v>
      </c>
      <c r="M176" s="21" t="str">
        <f t="shared" si="656"/>
        <v xml:space="preserve">social innovation(1), non-profit biz(1),  </v>
      </c>
      <c r="N176" s="21" t="str">
        <f t="shared" si="657"/>
        <v xml:space="preserve"> </v>
      </c>
      <c r="O176" s="21" t="str">
        <f t="shared" si="658"/>
        <v xml:space="preserve"> </v>
      </c>
      <c r="P176" s="21" t="str">
        <f t="shared" ref="P176" si="1156">IF(P74="",P177,$C176&amp;" "&amp;P74&amp;CHAR(10)&amp;P177)</f>
        <v xml:space="preserve">biz project 1
 </v>
      </c>
      <c r="Q176" s="21" t="str">
        <f t="shared" si="660"/>
        <v xml:space="preserve"> </v>
      </c>
      <c r="R176" s="21" t="str">
        <f t="shared" ref="R176" si="1157">IF(R74="",R177,$C176&amp;" "&amp;R74&amp;CHAR(10)&amp;R177)</f>
        <v xml:space="preserve"> </v>
      </c>
      <c r="S176" s="21" t="str">
        <f t="shared" si="662"/>
        <v xml:space="preserve">biz enhancement(1), business(1), start-up(1),  </v>
      </c>
      <c r="T176" s="21" t="str">
        <f t="shared" si="663"/>
        <v xml:space="preserve"> </v>
      </c>
      <c r="U176" s="21" t="str">
        <f t="shared" si="658"/>
        <v xml:space="preserve"> </v>
      </c>
      <c r="V176" s="21" t="str">
        <f t="shared" ref="V176" si="1158">IF(V74="",V177,$C176&amp;" "&amp;V74&amp;CHAR(10)&amp;V177)</f>
        <v xml:space="preserve"> </v>
      </c>
      <c r="W176" s="21" t="str">
        <f t="shared" si="665"/>
        <v xml:space="preserve"> </v>
      </c>
      <c r="X176" s="21" t="str">
        <f t="shared" ref="X176" si="1159">IF(X74="",X177,$C176&amp;" "&amp;X74&amp;CHAR(10)&amp;X177)</f>
        <v xml:space="preserve"> </v>
      </c>
      <c r="Y176" s="21" t="str">
        <f t="shared" si="667"/>
        <v xml:space="preserve">biz project(1), biz enhancement(1), job creation(1), business(1),  </v>
      </c>
      <c r="Z176" s="21" t="str">
        <f t="shared" si="668"/>
        <v xml:space="preserve"> </v>
      </c>
      <c r="AA176" s="21" t="str">
        <f t="shared" si="658"/>
        <v xml:space="preserve"> </v>
      </c>
      <c r="AB176" s="21" t="str">
        <f t="shared" ref="AB176" si="1160">IF(AB74="",AB177,$C176&amp;" "&amp;AB74&amp;CHAR(10)&amp;AB177)</f>
        <v xml:space="preserve"> </v>
      </c>
      <c r="AC176" s="21" t="str">
        <f t="shared" si="670"/>
        <v xml:space="preserve"> </v>
      </c>
      <c r="AD176" s="21" t="str">
        <f t="shared" ref="AD176" si="1161">IF(AD74="",AD177,$C176&amp;" "&amp;AD74&amp;CHAR(10)&amp;AD177)</f>
        <v xml:space="preserve"> </v>
      </c>
      <c r="AE176" s="21" t="str">
        <f t="shared" si="672"/>
        <v xml:space="preserve">social project(1), social innovation(1), non-profit biz(1),  </v>
      </c>
      <c r="AF176" s="21" t="str">
        <f t="shared" si="673"/>
        <v xml:space="preserve"> </v>
      </c>
      <c r="AG176" s="21" t="str">
        <f t="shared" si="658"/>
        <v xml:space="preserve"> </v>
      </c>
      <c r="AH176" s="21" t="str">
        <f t="shared" ref="AH176" si="1162">IF(AH74="",AH177,$C176&amp;" "&amp;AH74&amp;CHAR(10)&amp;AH177)</f>
        <v xml:space="preserve"> </v>
      </c>
      <c r="AI176" s="21" t="str">
        <f t="shared" si="675"/>
        <v xml:space="preserve"> </v>
      </c>
      <c r="AJ176" s="21" t="str">
        <f t="shared" ref="AJ176" si="1163">IF(AJ74="",AJ177,$C176&amp;" "&amp;AJ74&amp;CHAR(10)&amp;AJ177)</f>
        <v xml:space="preserve"> </v>
      </c>
      <c r="AK176" s="21" t="str">
        <f t="shared" si="677"/>
        <v xml:space="preserve">social project(1), social innovation(1), non-profit biz(1),  </v>
      </c>
      <c r="AL176" s="21" t="str">
        <f t="shared" si="678"/>
        <v xml:space="preserve"> </v>
      </c>
      <c r="AM176" s="21" t="str">
        <f t="shared" si="658"/>
        <v xml:space="preserve"> </v>
      </c>
      <c r="AN176" s="21" t="str">
        <f t="shared" ref="AN176" si="1164">IF(AN74="",AN177,$C176&amp;" "&amp;AN74&amp;CHAR(10)&amp;AN177)</f>
        <v xml:space="preserve"> </v>
      </c>
      <c r="AO176" s="21" t="str">
        <f t="shared" si="680"/>
        <v xml:space="preserve"> </v>
      </c>
      <c r="AP176" s="21" t="str">
        <f t="shared" ref="AP176" si="1165">IF(AP74="",AP177,$C176&amp;" "&amp;AP74&amp;CHAR(10)&amp;AP177)</f>
        <v xml:space="preserve"> </v>
      </c>
      <c r="AQ176" s="21" t="str">
        <f t="shared" si="682"/>
        <v xml:space="preserve">start-up(1), start-up with mvp(1), start-up with customers(1),  </v>
      </c>
      <c r="AR176" s="21" t="str">
        <f t="shared" si="683"/>
        <v xml:space="preserve"> </v>
      </c>
      <c r="AS176" s="21" t="str">
        <f t="shared" si="658"/>
        <v xml:space="preserve"> </v>
      </c>
      <c r="AT176" s="21" t="str">
        <f t="shared" ref="AT176" si="1166">IF(AT74="",AT177,$C176&amp;" "&amp;AT74&amp;CHAR(10)&amp;AT177)</f>
        <v xml:space="preserve">social project 1
 </v>
      </c>
      <c r="AU176" s="21" t="str">
        <f t="shared" si="685"/>
        <v xml:space="preserve"> </v>
      </c>
      <c r="AV176" s="21" t="str">
        <f t="shared" ref="AV176" si="1167">IF(AV74="",AV177,$C176&amp;" "&amp;AV74&amp;CHAR(10)&amp;AV177)</f>
        <v xml:space="preserve"> </v>
      </c>
      <c r="AW176" s="21" t="str">
        <f t="shared" si="687"/>
        <v xml:space="preserve"> </v>
      </c>
      <c r="AX176" s="21" t="str">
        <f t="shared" si="688"/>
        <v xml:space="preserve"> </v>
      </c>
      <c r="AY176" s="21" t="str">
        <f t="shared" si="658"/>
        <v xml:space="preserve"> </v>
      </c>
      <c r="AZ176" s="21" t="str">
        <f t="shared" ref="AZ176" si="1168">IF(AZ74="",AZ177,$C176&amp;" "&amp;AZ74&amp;CHAR(10)&amp;AZ177)</f>
        <v xml:space="preserve"> </v>
      </c>
      <c r="BA176" s="21" t="str">
        <f t="shared" si="690"/>
        <v xml:space="preserve"> </v>
      </c>
      <c r="BB176" s="21" t="str">
        <f t="shared" ref="BB176" si="1169">IF(BB74="",BB177,$C176&amp;" "&amp;BB74&amp;CHAR(10)&amp;BB177)</f>
        <v xml:space="preserve"> </v>
      </c>
      <c r="BC176" s="21" t="str">
        <f t="shared" si="692"/>
        <v xml:space="preserve"> </v>
      </c>
      <c r="BD176" s="21" t="str">
        <f t="shared" si="693"/>
        <v xml:space="preserve"> </v>
      </c>
      <c r="BE176" s="21" t="str">
        <f t="shared" si="658"/>
        <v xml:space="preserve"> </v>
      </c>
      <c r="BF176" s="21" t="str">
        <f t="shared" ref="BF176" si="1170">IF(BF74="",BF177,$C176&amp;" "&amp;BF74&amp;CHAR(10)&amp;BF177)</f>
        <v xml:space="preserve">biz project 1
 </v>
      </c>
      <c r="BG176" s="21" t="str">
        <f t="shared" si="695"/>
        <v xml:space="preserve"> </v>
      </c>
      <c r="BH176" s="21" t="str">
        <f t="shared" ref="BH176" si="1171">IF(BH74="",BH177,$C176&amp;" "&amp;BH74&amp;CHAR(10)&amp;BH177)</f>
        <v xml:space="preserve"> </v>
      </c>
      <c r="BI176" s="21" t="str">
        <f t="shared" si="697"/>
        <v xml:space="preserve"> </v>
      </c>
      <c r="BJ176" s="21" t="str">
        <f t="shared" si="698"/>
        <v xml:space="preserve"> </v>
      </c>
      <c r="BK176" s="21" t="str">
        <f t="shared" si="658"/>
        <v xml:space="preserve"> </v>
      </c>
      <c r="BL176" s="21" t="str">
        <f t="shared" ref="BL176" si="1172">IF(BL74="",BL177,$C176&amp;" "&amp;BL74&amp;CHAR(10)&amp;BL177)</f>
        <v xml:space="preserve">biz enhancement 1
 </v>
      </c>
      <c r="BM176" s="21" t="str">
        <f t="shared" si="700"/>
        <v xml:space="preserve"> </v>
      </c>
      <c r="BN176" s="21" t="str">
        <f t="shared" ref="BN176" si="1173">IF(BN74="",BN177,$C176&amp;" "&amp;BN74&amp;CHAR(10)&amp;BN177)</f>
        <v xml:space="preserve"> </v>
      </c>
      <c r="BO176" s="21" t="str">
        <f t="shared" si="702"/>
        <v xml:space="preserve"> </v>
      </c>
      <c r="BP176" s="21" t="str">
        <f t="shared" si="703"/>
        <v xml:space="preserve"> </v>
      </c>
      <c r="BQ176" s="21" t="str">
        <f t="shared" si="658"/>
        <v xml:space="preserve"> </v>
      </c>
      <c r="BR176" s="21" t="str">
        <f t="shared" ref="BR176" si="1174">IF(BR74="",BR177,$C176&amp;" "&amp;BR74&amp;CHAR(10)&amp;BR177)</f>
        <v xml:space="preserve"> </v>
      </c>
      <c r="BS176" s="21" t="str">
        <f t="shared" si="705"/>
        <v xml:space="preserve"> </v>
      </c>
      <c r="BT176" s="21" t="str">
        <f t="shared" ref="BT176" si="1175">IF(BT74="",BT177,$C176&amp;" "&amp;BT74&amp;CHAR(10)&amp;BT177)</f>
        <v xml:space="preserve"> </v>
      </c>
      <c r="BU176" s="21" t="str">
        <f t="shared" si="707"/>
        <v xml:space="preserve"> </v>
      </c>
      <c r="BV176" s="21" t="str">
        <f t="shared" si="708"/>
        <v xml:space="preserve"> </v>
      </c>
      <c r="BW176" s="21" t="str">
        <f t="shared" si="658"/>
        <v xml:space="preserve"> </v>
      </c>
      <c r="BX176" s="21" t="str">
        <f t="shared" ref="BX176" si="1176">IF(BX74="",BX177,$C176&amp;" "&amp;BX74&amp;CHAR(10)&amp;BX177)</f>
        <v xml:space="preserve"> </v>
      </c>
      <c r="BY176" s="21" t="str">
        <f t="shared" si="710"/>
        <v xml:space="preserve"> </v>
      </c>
      <c r="BZ176" s="21" t="str">
        <f t="shared" ref="BZ176" si="1177">IF(BZ74="",BZ177,$C176&amp;" "&amp;BZ74&amp;CHAR(10)&amp;BZ177)</f>
        <v xml:space="preserve"> </v>
      </c>
      <c r="CA176" s="21" t="str">
        <f t="shared" si="712"/>
        <v xml:space="preserve"> </v>
      </c>
      <c r="CB176" s="21" t="str">
        <f t="shared" si="713"/>
        <v xml:space="preserve"> </v>
      </c>
      <c r="CC176" s="21" t="str">
        <f t="shared" si="714"/>
        <v xml:space="preserve"> </v>
      </c>
      <c r="CD176" s="21" t="str">
        <f t="shared" ref="CD176" si="1178">IF(CD74="",CD177,$C176&amp;" "&amp;CD74&amp;CHAR(10)&amp;CD177)</f>
        <v xml:space="preserve"> </v>
      </c>
      <c r="CE176" s="21" t="str">
        <f t="shared" si="716"/>
        <v xml:space="preserve"> </v>
      </c>
      <c r="CF176" s="21" t="str">
        <f t="shared" ref="CF176" si="1179">IF(CF74="",CF177,$C176&amp;" "&amp;CF74&amp;CHAR(10)&amp;CF177)</f>
        <v xml:space="preserve"> </v>
      </c>
      <c r="CG176" s="21" t="str">
        <f t="shared" si="718"/>
        <v xml:space="preserve">social project(1), biz project(1), for basic literacy(1), for the elites(1), for entrepreneurs(1),  </v>
      </c>
      <c r="CH176" s="21" t="str">
        <f t="shared" si="719"/>
        <v xml:space="preserve"> </v>
      </c>
      <c r="CI176" s="21" t="str">
        <f t="shared" si="714"/>
        <v xml:space="preserve"> </v>
      </c>
      <c r="CJ176" s="21" t="str">
        <f t="shared" ref="CJ176" si="1180">IF(CJ74="",CJ177,$C176&amp;" "&amp;CJ74&amp;CHAR(10)&amp;CJ177)</f>
        <v xml:space="preserve"> </v>
      </c>
      <c r="CK176" s="21" t="str">
        <f t="shared" si="721"/>
        <v xml:space="preserve"> </v>
      </c>
      <c r="CL176" s="21" t="str">
        <f t="shared" ref="CL176" si="1181">IF(CL74="",CL177,$C176&amp;" "&amp;CL74&amp;CHAR(10)&amp;CL177)</f>
        <v xml:space="preserve"> </v>
      </c>
      <c r="CM176" s="21" t="str">
        <f t="shared" si="723"/>
        <v xml:space="preserve"> </v>
      </c>
      <c r="CN176" s="21" t="str">
        <f t="shared" si="724"/>
        <v xml:space="preserve"> </v>
      </c>
      <c r="CO176" s="21" t="str">
        <f t="shared" si="714"/>
        <v xml:space="preserve"> </v>
      </c>
      <c r="CP176" s="21" t="str">
        <f t="shared" ref="CP176" si="1182">IF(CP74="",CP177,$C176&amp;" "&amp;CP74&amp;CHAR(10)&amp;CP177)</f>
        <v xml:space="preserve"> </v>
      </c>
      <c r="CQ176" s="21" t="str">
        <f t="shared" si="726"/>
        <v xml:space="preserve"> </v>
      </c>
      <c r="CR176" s="21" t="str">
        <f t="shared" ref="CR176" si="1183">IF(CR74="",CR177,$C176&amp;" "&amp;CR74&amp;CHAR(10)&amp;CR177)</f>
        <v xml:space="preserve"> </v>
      </c>
      <c r="CS176" s="21" t="str">
        <f t="shared" si="728"/>
        <v xml:space="preserve">mobile apps(1), sensors(1), security(1), AI&amp; data analysis(1), mobile comm(1), VR&amp;AR(1), wood processing(1), metal processing(1), plastic processing(1), electronics(1), fabric(1),  </v>
      </c>
      <c r="CT176" s="21" t="str">
        <f t="shared" si="729"/>
        <v xml:space="preserve"> </v>
      </c>
      <c r="CU176" s="21" t="str">
        <f t="shared" si="714"/>
        <v xml:space="preserve"> </v>
      </c>
      <c r="CV176" s="21" t="str">
        <f t="shared" ref="CV176" si="1184">IF(CV74="",CV177,$C176&amp;" "&amp;CV74&amp;CHAR(10)&amp;CV177)</f>
        <v xml:space="preserve"> </v>
      </c>
      <c r="CW176" s="21" t="str">
        <f t="shared" si="731"/>
        <v xml:space="preserve"> </v>
      </c>
      <c r="CX176" s="21" t="str">
        <f t="shared" ref="CX176" si="1185">IF(CX74="",CX177,$C176&amp;" "&amp;CX74&amp;CHAR(10)&amp;CX177)</f>
        <v xml:space="preserve"> </v>
      </c>
      <c r="CY176" s="21" t="str">
        <f t="shared" si="733"/>
        <v xml:space="preserve"> </v>
      </c>
      <c r="CZ176" s="21" t="str">
        <f t="shared" si="734"/>
        <v xml:space="preserve"> </v>
      </c>
      <c r="DA176" s="21" t="str">
        <f t="shared" si="714"/>
        <v xml:space="preserve"> </v>
      </c>
      <c r="DB176" s="21" t="str">
        <f t="shared" ref="DB176" si="1186">IF(DB74="",DB177,$C176&amp;" "&amp;DB74&amp;CHAR(10)&amp;DB177)</f>
        <v xml:space="preserve"> </v>
      </c>
      <c r="DC176" s="21" t="str">
        <f t="shared" si="736"/>
        <v xml:space="preserve"> </v>
      </c>
      <c r="DD176" s="21" t="str">
        <f t="shared" ref="DD176" si="1187">IF(DD74="",DD177,$C176&amp;" "&amp;DD74&amp;CHAR(10)&amp;DD177)</f>
        <v xml:space="preserve"> </v>
      </c>
      <c r="DE176" s="21" t="str">
        <f t="shared" si="738"/>
        <v xml:space="preserve">mobile apps(2), 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6" s="21" t="str">
        <f t="shared" si="739"/>
        <v xml:space="preserve"> </v>
      </c>
      <c r="DG176" s="21" t="str">
        <f t="shared" si="714"/>
        <v xml:space="preserve"> </v>
      </c>
      <c r="DH176" s="21" t="str">
        <f t="shared" ref="DH176" si="1188">IF(DH74="",DH177,$C176&amp;" "&amp;DH74&amp;CHAR(10)&amp;DH177)</f>
        <v xml:space="preserve">social project 1
 </v>
      </c>
      <c r="DI176" s="21" t="str">
        <f t="shared" si="741"/>
        <v xml:space="preserve"> </v>
      </c>
      <c r="DJ176" s="21" t="str">
        <f t="shared" ref="DJ176" si="1189">IF(DJ74="",DJ177,$C176&amp;" "&amp;DJ74&amp;CHAR(10)&amp;DJ177)</f>
        <v xml:space="preserve"> </v>
      </c>
      <c r="DK176" s="21" t="str">
        <f t="shared" si="743"/>
        <v xml:space="preserve">mobile apps(2), sensors(2), security(2), AI&amp; data analysis(2), mobile comm(2), VR&amp;AR(2), wood processing(2), metal processing(2), plastic processing(2), electronics(2), fabric(2), aesthetics(2), functions(2), safety(2), interaction(2), social project(2), social innovation(1), non-profit biz(1),  </v>
      </c>
      <c r="DL176" s="21" t="str">
        <f t="shared" si="744"/>
        <v xml:space="preserve"> </v>
      </c>
      <c r="DM176" s="21" t="str">
        <f t="shared" si="714"/>
        <v xml:space="preserve"> </v>
      </c>
      <c r="DN176" s="21" t="str">
        <f t="shared" ref="DN176" si="1190">IF(DN74="",DN177,$C176&amp;" "&amp;DN74&amp;CHAR(10)&amp;DN177)</f>
        <v xml:space="preserve">biz project 1
 </v>
      </c>
      <c r="DO176" s="21" t="str">
        <f t="shared" si="746"/>
        <v xml:space="preserve"> </v>
      </c>
      <c r="DP176" s="21" t="str">
        <f t="shared" ref="DP176" si="1191">IF(DP74="",DP177,$C176&amp;" "&amp;DP74&amp;CHAR(10)&amp;DP177)</f>
        <v xml:space="preserve"> </v>
      </c>
      <c r="DQ176" s="21" t="str">
        <f t="shared" si="748"/>
        <v xml:space="preserve">mobile apps(2), 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6" s="21" t="str">
        <f t="shared" si="749"/>
        <v xml:space="preserve"> </v>
      </c>
      <c r="DS176" s="21" t="str">
        <f t="shared" si="714"/>
        <v xml:space="preserve"> </v>
      </c>
      <c r="DT176" s="21" t="str">
        <f t="shared" ref="DT176" si="1192">IF(DT74="",DT177,$C176&amp;" "&amp;DT74&amp;CHAR(10)&amp;DT177)</f>
        <v xml:space="preserve"> </v>
      </c>
      <c r="DU176" s="21" t="str">
        <f t="shared" si="751"/>
        <v xml:space="preserve"> </v>
      </c>
      <c r="DV176" s="21" t="str">
        <f t="shared" ref="DV176" si="1193">IF(DV74="",DV177,$C176&amp;" "&amp;DV74&amp;CHAR(10)&amp;DV177)</f>
        <v xml:space="preserve"> </v>
      </c>
      <c r="DW176" s="21" t="str">
        <f t="shared" si="753"/>
        <v xml:space="preserve">for basic literacy(1),  </v>
      </c>
      <c r="DX176" s="21" t="str">
        <f t="shared" si="754"/>
        <v xml:space="preserve">for basic literacy(1,6.25),  </v>
      </c>
      <c r="DY176" s="21" t="str">
        <f t="shared" si="714"/>
        <v xml:space="preserve">for basic literacy(6.25), </v>
      </c>
      <c r="DZ176" s="21" t="str">
        <f t="shared" ref="DZ176" si="1194">IF(DZ74="",DZ177,$C176&amp;" "&amp;DZ74&amp;CHAR(10)&amp;DZ177)</f>
        <v xml:space="preserve"> </v>
      </c>
      <c r="EA176" s="21" t="str">
        <f t="shared" si="756"/>
        <v xml:space="preserve"> </v>
      </c>
      <c r="EB176" s="21" t="str">
        <f t="shared" ref="EB176" si="1195">IF(EB74="",EB177,$C176&amp;" "&amp;EB74&amp;CHAR(10)&amp;EB177)</f>
        <v xml:space="preserve"> </v>
      </c>
      <c r="EC176" s="21" t="str">
        <f t="shared" si="758"/>
        <v xml:space="preserve">mobile apps(2), sensors(2), security(2), AI&amp; data analysis(2), mobile comm(2), VR&amp;AR(2), wood processing(2), metal processing(2), plastic processing(2), electronics(2), fabric(2), for basic literacy(1),  </v>
      </c>
      <c r="ED176" s="21" t="str">
        <f t="shared" si="759"/>
        <v xml:space="preserve">for basic literacy(1,6.25),  </v>
      </c>
      <c r="EE176" s="21" t="str">
        <f t="shared" si="714"/>
        <v xml:space="preserve">for basic literacy(6.25), </v>
      </c>
      <c r="EF176" s="21" t="str">
        <f t="shared" ref="EF176" si="1196">IF(EF74="",EF177,$C176&amp;" "&amp;EF74&amp;CHAR(10)&amp;EF177)</f>
        <v xml:space="preserve"> </v>
      </c>
      <c r="EG176" s="21" t="str">
        <f t="shared" si="761"/>
        <v xml:space="preserve">mobile apps(1,50), interaction(1,50),  </v>
      </c>
      <c r="EH176" s="21" t="str">
        <f t="shared" ref="EH176" si="1197">IF(EH74="",EH177,$C176&amp;" "&amp;EH74&amp;CHAR(10)&amp;EH177)</f>
        <v xml:space="preserve">mobile apps 50
interaction 50
 </v>
      </c>
      <c r="EI176" s="21" t="str">
        <f t="shared" si="763"/>
        <v xml:space="preserve">mobile comm(1), for entrepreneurs(1),  </v>
      </c>
      <c r="EJ176" s="21" t="str">
        <f t="shared" si="764"/>
        <v xml:space="preserve">mobile comm(1,12.5), for entrepreneurs(1,6.25),  </v>
      </c>
      <c r="EK176" s="21" t="str">
        <f t="shared" si="714"/>
        <v xml:space="preserve">mobile comm(12.5),for entrepreneurs(6.25), </v>
      </c>
      <c r="EL176" s="21" t="str">
        <f t="shared" ref="EL176" si="1198">IF(EL74="",EL177,$C176&amp;" "&amp;EL74&amp;CHAR(10)&amp;EL177)</f>
        <v xml:space="preserve"> </v>
      </c>
      <c r="EM176" s="21" t="str">
        <f t="shared" si="766"/>
        <v xml:space="preserve">sensors(1,50),  </v>
      </c>
      <c r="EN176" s="21" t="str">
        <f t="shared" ref="EN176" si="1199">IF(EN74="",EN177,$C176&amp;" "&amp;EN74&amp;CHAR(10)&amp;EN177)</f>
        <v xml:space="preserve">sensors 50
 </v>
      </c>
      <c r="EO176" s="21" t="str">
        <f t="shared" si="768"/>
        <v xml:space="preserve">mobile comm(1), for entrepreneurs(1),  </v>
      </c>
      <c r="EP176" s="21" t="str">
        <f t="shared" si="769"/>
        <v xml:space="preserve">mobile comm(1,12.5), electronics(1,6.25), for entrepreneurs(1,6.25),  </v>
      </c>
      <c r="EQ176" s="21" t="str">
        <f t="shared" si="770"/>
        <v xml:space="preserve">mobile comm(12.5),electronics(6.25),for entrepreneurs(6.25), </v>
      </c>
      <c r="ER176" s="21" t="str">
        <f t="shared" ref="ER176" si="1200">IF(ER74="",ER177,$C176&amp;" "&amp;ER74&amp;CHAR(10)&amp;ER177)</f>
        <v xml:space="preserve"> </v>
      </c>
      <c r="ES176" s="21" t="str">
        <f t="shared" si="772"/>
        <v xml:space="preserve">AI&amp; data analysis(1,50),  </v>
      </c>
      <c r="ET176" s="21" t="str">
        <f t="shared" ref="ET176" si="1201">IF(ET74="",ET177,$C176&amp;" "&amp;ET74&amp;CHAR(10)&amp;ET177)</f>
        <v xml:space="preserve">AI&amp; data analysis 50
 </v>
      </c>
      <c r="EU176" s="21" t="str">
        <f t="shared" si="774"/>
        <v xml:space="preserve">sensors(1), mobile comm(1), for entrepreneurs(1),  </v>
      </c>
      <c r="EV176" s="21" t="str">
        <f t="shared" si="775"/>
        <v xml:space="preserve">sensors(1,12.5), mobile comm(1,12.5), for entrepreneurs(1,6.25),  </v>
      </c>
      <c r="EW176" s="21" t="str">
        <f t="shared" si="770"/>
        <v xml:space="preserve">sensors(12.5),mobile comm(12.5),for entrepreneurs(6.25), </v>
      </c>
      <c r="EX176" s="21" t="str">
        <f t="shared" ref="EX176" si="1202">IF(EX74="",EX177,$C176&amp;" "&amp;EX74&amp;CHAR(10)&amp;EX177)</f>
        <v xml:space="preserve"> </v>
      </c>
      <c r="EY176" s="21" t="str">
        <f t="shared" si="777"/>
        <v xml:space="preserve">security(1,50), interaction(1,25),  </v>
      </c>
      <c r="EZ176" s="21" t="str">
        <f t="shared" ref="EZ176" si="1203">IF(EZ74="",EZ177,$C176&amp;" "&amp;EZ74&amp;CHAR(10)&amp;EZ177)</f>
        <v xml:space="preserve">security 50
interaction 25
 </v>
      </c>
      <c r="FA176" s="21" t="str">
        <f t="shared" si="779"/>
        <v xml:space="preserve">for entrepreneurs(1),  </v>
      </c>
      <c r="FB176" s="21" t="str">
        <f t="shared" si="780"/>
        <v xml:space="preserve">mobile apps(1,12.5), security(1,12.5), mobile comm(1,12.5), for entrepreneurs(1,6.25),  </v>
      </c>
      <c r="FC176" s="21" t="str">
        <f t="shared" si="770"/>
        <v xml:space="preserve">mobile apps(12.5),security(12.5),mobile comm(12.5),for entrepreneurs(6.25), </v>
      </c>
      <c r="FD176" s="21" t="str">
        <f t="shared" ref="FD176" si="1204">IF(FD74="",FD177,$C176&amp;" "&amp;FD74&amp;CHAR(10)&amp;FD177)</f>
        <v xml:space="preserve"> </v>
      </c>
      <c r="FE176" s="21" t="str">
        <f t="shared" si="782"/>
        <v xml:space="preserve">sensors(1,50), security(1,50),  </v>
      </c>
      <c r="FF176" s="21" t="str">
        <f t="shared" ref="FF176" si="1205">IF(FF74="",FF177,$C176&amp;" "&amp;FF74&amp;CHAR(10)&amp;FF177)</f>
        <v xml:space="preserve">sensors 50
security 50
 </v>
      </c>
      <c r="FG176" s="21" t="str">
        <f t="shared" si="784"/>
        <v xml:space="preserve">for entrepreneurs(1),  </v>
      </c>
      <c r="FH176" s="21" t="str">
        <f t="shared" si="785"/>
        <v xml:space="preserve">mobile apps(1,6.25), AI&amp; data analysis(1,6.25), mobile comm(1,6.25), for entrepreneurs(1,6.25),  </v>
      </c>
      <c r="FI176" s="21" t="str">
        <f t="shared" si="770"/>
        <v xml:space="preserve">mobile apps(6.25),AI&amp; data analysis(6.25),mobile comm(6.25),for entrepreneurs(6.25), </v>
      </c>
      <c r="FJ176" s="21" t="str">
        <f t="shared" ref="FJ176" si="1206">IF(FJ74="",FJ177,$C176&amp;" "&amp;FJ74&amp;CHAR(10)&amp;FJ177)</f>
        <v xml:space="preserve"> </v>
      </c>
      <c r="FK176" s="21" t="str">
        <f t="shared" si="787"/>
        <v xml:space="preserve">wood processing(1,25), metal processing(1,25), plastic processing(1,25), fabric(1,25), safety(1,25), interaction(1,25),  </v>
      </c>
      <c r="FL176" s="21" t="str">
        <f t="shared" ref="FL176" si="1207">IF(FL74="",FL177,$C176&amp;" "&amp;FL74&amp;CHAR(10)&amp;FL177)</f>
        <v xml:space="preserve">wood processing 25
metal processing 25
plastic processing 25
fabric 25
safety 25
interaction 25
 </v>
      </c>
      <c r="FM176" s="21" t="str">
        <f t="shared" si="789"/>
        <v xml:space="preserve">for entrepreneurs(1),  </v>
      </c>
      <c r="FN176" s="21" t="str">
        <f t="shared" si="790"/>
        <v xml:space="preserve">for entrepreneurs(1,6.25),  </v>
      </c>
      <c r="FO176" s="21" t="str">
        <f t="shared" si="770"/>
        <v xml:space="preserve">for entrepreneurs(6.25), </v>
      </c>
      <c r="FP176" s="21" t="str">
        <f t="shared" ref="FP176" si="1208">IF(FP74="",FP177,$C176&amp;" "&amp;FP74&amp;CHAR(10)&amp;FP177)</f>
        <v xml:space="preserve"> </v>
      </c>
      <c r="FQ176" s="21" t="str">
        <f t="shared" si="792"/>
        <v xml:space="preserve">mobile apps(1,50), functions(1,25), interaction(1,25),  </v>
      </c>
      <c r="FR176" s="21" t="str">
        <f t="shared" ref="FR176" si="1209">IF(FR74="",FR177,$C176&amp;" "&amp;FR74&amp;CHAR(10)&amp;FR177)</f>
        <v xml:space="preserve">mobile apps 50
functions 25
interaction 25
 </v>
      </c>
      <c r="FS176" s="21" t="str">
        <f t="shared" si="794"/>
        <v xml:space="preserve">for entrepreneurs(1),  </v>
      </c>
      <c r="FT176" s="21" t="str">
        <f t="shared" si="795"/>
        <v xml:space="preserve">for entrepreneurs(1,6.25),  </v>
      </c>
      <c r="FU176" s="21" t="str">
        <f t="shared" si="770"/>
        <v xml:space="preserve">for entrepreneurs(6.25), </v>
      </c>
      <c r="FV176" s="21" t="str">
        <f t="shared" ref="FV176" si="1210">IF(FV74="",FV177,$C176&amp;" "&amp;FV74&amp;CHAR(10)&amp;FV177)</f>
        <v xml:space="preserve"> </v>
      </c>
      <c r="FW176" s="21" t="str">
        <f t="shared" si="797"/>
        <v xml:space="preserve">mobile apps(1,50), sensors(1,50), wood processing(1,25), plastic processing(1,25), electronics(1,25), functions(1,25), interaction(1,25),  </v>
      </c>
      <c r="FX176" s="21" t="str">
        <f t="shared" ref="FX176" si="1211">IF(FX74="",FX177,$C176&amp;" "&amp;FX74&amp;CHAR(10)&amp;FX177)</f>
        <v xml:space="preserve">mobile apps 50
sensors 50
wood processing 25
plastic processing 25
electronics 25
functions 25
interaction 25
 </v>
      </c>
      <c r="FY176" s="21" t="str">
        <f t="shared" si="799"/>
        <v xml:space="preserve">for entrepreneurs(1),  </v>
      </c>
      <c r="FZ176" s="21" t="str">
        <f t="shared" si="800"/>
        <v xml:space="preserve">AI&amp; data analysis(1,6.25), mobile comm(1,6.25), for entrepreneurs(1,6.25),  </v>
      </c>
      <c r="GA176" s="21" t="str">
        <f t="shared" si="770"/>
        <v xml:space="preserve">AI&amp; data analysis(6.25),mobile comm(6.25),for entrepreneurs(6.25), </v>
      </c>
      <c r="GB176" s="21" t="str">
        <f t="shared" ref="GB176" si="1212">IF(GB74="",GB177,$C176&amp;" "&amp;GB74&amp;CHAR(10)&amp;GB177)</f>
        <v xml:space="preserve"> </v>
      </c>
      <c r="GC176" s="21" t="str">
        <f t="shared" si="802"/>
        <v xml:space="preserve">sensors(1,25), mobile comm(1,25), electronics(1,50), functions(1,25), safety(1,25),  </v>
      </c>
      <c r="GD176" s="21" t="str">
        <f t="shared" ref="GD176" si="1213">IF(GD74="",GD177,$C176&amp;" "&amp;GD74&amp;CHAR(10)&amp;GD177)</f>
        <v xml:space="preserve">sensors 25
mobile comm 25
electronics 50
functions 25
safety 25
 </v>
      </c>
      <c r="GE176" s="21" t="str">
        <f t="shared" si="804"/>
        <v xml:space="preserve">for entrepreneurs(1),  </v>
      </c>
      <c r="GF176" s="21" t="str">
        <f t="shared" si="805"/>
        <v xml:space="preserve">mobile apps(1,6.25), AI&amp; data analysis(1,6.25), plastic processing(1,6.25), interaction(1,6.25), for entrepreneurs(1,6.25),  </v>
      </c>
      <c r="GG176" s="21" t="str">
        <f t="shared" si="770"/>
        <v xml:space="preserve">mobile apps(6.25),AI&amp; data analysis(6.25),plastic processing(6.25),interaction(6.25),for entrepreneurs(6.25), </v>
      </c>
      <c r="GH176" s="21" t="str">
        <f t="shared" ref="GH176" si="1214">IF(GH74="",GH177,$C176&amp;" "&amp;GH74&amp;CHAR(10)&amp;GH177)</f>
        <v xml:space="preserve"> </v>
      </c>
      <c r="GI176" s="21" t="str">
        <f t="shared" si="807"/>
        <v xml:space="preserve">mobile apps(1,50), functions(1,25), interaction(1,25),  </v>
      </c>
      <c r="GJ176" s="21" t="str">
        <f t="shared" ref="GJ176" si="1215">IF(GJ74="",GJ177,$C176&amp;" "&amp;GJ74&amp;CHAR(10)&amp;GJ177)</f>
        <v xml:space="preserve">mobile apps 50
functions 25
interaction 25
 </v>
      </c>
      <c r="GK176" s="21" t="str">
        <f t="shared" si="809"/>
        <v xml:space="preserve">for entrepreneurs(1),  </v>
      </c>
      <c r="GL176" s="21" t="str">
        <f t="shared" si="810"/>
        <v xml:space="preserve">for entrepreneurs(1,6.25),  </v>
      </c>
      <c r="GM176" s="21" t="str">
        <f t="shared" si="770"/>
        <v xml:space="preserve">for entrepreneurs(6.25), </v>
      </c>
      <c r="GN176" s="21" t="str">
        <f t="shared" ref="GN176" si="1216">IF(GN74="",GN177,$C176&amp;" "&amp;GN74&amp;CHAR(10)&amp;GN177)</f>
        <v xml:space="preserve"> </v>
      </c>
      <c r="GO176" s="21" t="str">
        <f t="shared" si="812"/>
        <v xml:space="preserve">mobile apps(1,25), VR&amp;AR(1,25), aesthetics(1,25), functions(1,25), interaction(1,50),  </v>
      </c>
      <c r="GP176" s="21" t="str">
        <f t="shared" ref="GP176" si="1217">IF(GP74="",GP177,$C176&amp;" "&amp;GP74&amp;CHAR(10)&amp;GP177)</f>
        <v xml:space="preserve">mobile apps 25
VR&amp;AR 25
aesthetics 25
functions 25
interaction 50
 </v>
      </c>
      <c r="GQ176" s="21" t="str">
        <f t="shared" si="814"/>
        <v xml:space="preserve">for entrepreneurs(1),  </v>
      </c>
      <c r="GR176" s="21" t="str">
        <f t="shared" si="815"/>
        <v xml:space="preserve">for entrepreneurs(1,6.25),  </v>
      </c>
      <c r="GS176" s="21" t="str">
        <f t="shared" si="770"/>
        <v xml:space="preserve">for entrepreneurs(6.25), </v>
      </c>
      <c r="GT176" s="21" t="str">
        <f t="shared" ref="GT176" si="1218">IF(GT74="",GT177,$C176&amp;" "&amp;GT74&amp;CHAR(10)&amp;GT177)</f>
        <v xml:space="preserve">mobile apps 1
mobile comm 1
 </v>
      </c>
      <c r="GU176" s="21" t="str">
        <f t="shared" si="817"/>
        <v xml:space="preserve"> </v>
      </c>
      <c r="GV176" s="21" t="str">
        <f t="shared" ref="GV176" si="1219">IF(GV74="",GV177,$C176&amp;" "&amp;GV74&amp;CHAR(10)&amp;GV177)</f>
        <v xml:space="preserve"> </v>
      </c>
      <c r="GW176" s="21" t="str">
        <f t="shared" si="819"/>
        <v xml:space="preserve">sensors(1), security(1), AI&amp; data analysis(1), electronics(1),  </v>
      </c>
      <c r="GX176" s="21" t="str">
        <f t="shared" si="820"/>
        <v xml:space="preserve">mobile apps(1,6.25),  </v>
      </c>
      <c r="GY176" s="21" t="str">
        <f t="shared" si="770"/>
        <v xml:space="preserve">mobile apps(6.25), </v>
      </c>
      <c r="GZ176" s="21" t="str">
        <f t="shared" ref="GZ176" si="1220">IF(GZ74="",GZ177,$C176&amp;" "&amp;GZ74&amp;CHAR(10)&amp;GZ177)</f>
        <v xml:space="preserve"> </v>
      </c>
      <c r="HA176" s="21" t="str">
        <f t="shared" si="822"/>
        <v xml:space="preserve"> </v>
      </c>
      <c r="HB176" s="21" t="str">
        <f t="shared" ref="HB176" si="1221">IF(HB74="",HB177,$C176&amp;" "&amp;HB74&amp;CHAR(10)&amp;HB177)</f>
        <v xml:space="preserve"> </v>
      </c>
      <c r="HC176" s="21" t="str">
        <f t="shared" si="824"/>
        <v xml:space="preserve">mobile apps(2), sensors(2), AI&amp; data analysis(2), VR&amp;AR(2), plastic processing(2), electronics(2), aesthetics(2), interaction(2),  </v>
      </c>
      <c r="HD176" s="21" t="str">
        <f t="shared" si="825"/>
        <v xml:space="preserve">start-up with customers(1,6.25), for basic literacy(1,6.25),  </v>
      </c>
      <c r="HE176" s="21" t="str">
        <f t="shared" si="826"/>
        <v xml:space="preserve">start-up with customers(6.25),for basic literacy(6.25), </v>
      </c>
      <c r="HF176" s="21" t="str">
        <f t="shared" ref="HF176" si="1222">IF(HF74="",HF177,$C176&amp;" "&amp;HF74&amp;CHAR(10)&amp;HF177)</f>
        <v xml:space="preserve"> </v>
      </c>
      <c r="HG176" s="21" t="str">
        <f t="shared" si="828"/>
        <v xml:space="preserve"> </v>
      </c>
      <c r="HH176" s="21" t="str">
        <f t="shared" ref="HH176" si="1223">IF(HH74="",HH177,$C176&amp;" "&amp;HH74&amp;CHAR(10)&amp;HH177)</f>
        <v xml:space="preserve"> </v>
      </c>
      <c r="HI176" s="21" t="str">
        <f t="shared" si="830"/>
        <v xml:space="preserve">mobile apps(3), sensors(2), plastic processing(2), electronics(2), aesthetics(2), functions(2), interaction(2),  </v>
      </c>
      <c r="HJ176" s="21" t="str">
        <f t="shared" si="831"/>
        <v xml:space="preserve">start-up with customers(1,6.25),  </v>
      </c>
      <c r="HK176" s="21" t="str">
        <f t="shared" si="826"/>
        <v xml:space="preserve">start-up with customers(6.25), </v>
      </c>
      <c r="HL176" s="21" t="str">
        <f t="shared" ref="HL176" si="1224">IF(HL74="",HL177,$C176&amp;" "&amp;HL74&amp;CHAR(10)&amp;HL177)</f>
        <v xml:space="preserve"> </v>
      </c>
      <c r="HM176" s="21" t="str">
        <f t="shared" si="833"/>
        <v xml:space="preserve"> </v>
      </c>
      <c r="HN176" s="21" t="str">
        <f t="shared" ref="HN176" si="1225">IF(HN74="",HN177,$C176&amp;" "&amp;HN74&amp;CHAR(10)&amp;HN177)</f>
        <v xml:space="preserve"> </v>
      </c>
      <c r="HO176" s="21" t="str">
        <f t="shared" si="835"/>
        <v xml:space="preserve">mobile apps(2), wood processing(3), plastic processing(3), electronics(3), aesthetics(2), interaction(2),  </v>
      </c>
      <c r="HP176" s="21" t="str">
        <f t="shared" si="836"/>
        <v xml:space="preserve"> </v>
      </c>
      <c r="HQ176" s="47" t="str">
        <f t="shared" si="826"/>
        <v xml:space="preserve"> </v>
      </c>
      <c r="HR176" s="47" t="str">
        <f t="shared" ref="HR176:HW176" si="1226">IF(HR74="",HR177,$C176&amp;"("&amp;HR74&amp;"),"&amp;HR177)</f>
        <v xml:space="preserve">mobile apps(1),sensors(1),wood processing(1),aesthetics(1), </v>
      </c>
      <c r="HS176" s="47" t="str">
        <f t="shared" si="1226"/>
        <v xml:space="preserve"> </v>
      </c>
      <c r="HT176" s="47" t="str">
        <f t="shared" si="1226"/>
        <v xml:space="preserve"> </v>
      </c>
      <c r="HU176" s="47" t="str">
        <f t="shared" si="1226"/>
        <v xml:space="preserve">mobile apps(3),sensors(3),AI&amp; data analysis(3),mobile comm(3),VR&amp;AR(3),wood processing(3),metal processing(2),plastic processing(2),electronics(2),fabric(2),aesthetics(2),interaction(2),start-up with mvp(1), </v>
      </c>
      <c r="HV176" s="47" t="str">
        <f t="shared" si="1226"/>
        <v xml:space="preserve"> </v>
      </c>
      <c r="HW176" s="47" t="str">
        <f t="shared" si="1226"/>
        <v xml:space="preserve"> </v>
      </c>
      <c r="HX176" s="47" t="str">
        <f t="shared" ref="HX176:IU176" si="1227">IF(HX74="",HX177,$C176&amp;"("&amp;HX74&amp;"),"&amp;HX177)</f>
        <v xml:space="preserve">mobile apps(1),sensors(1),AI&amp; data analysis(2),VR&amp;AR(1),wood processing(1),metal processing(1),plastic processing(1),electronics(1),aesthetics(1),functions(1),interaction(1), </v>
      </c>
      <c r="HY176" s="47" t="str">
        <f t="shared" si="1227"/>
        <v xml:space="preserve">biz enhancement(1), </v>
      </c>
      <c r="HZ176" s="47" t="str">
        <f t="shared" si="1227"/>
        <v xml:space="preserve">biz enhancement(100), </v>
      </c>
      <c r="IA176" s="47" t="str">
        <f t="shared" si="1227"/>
        <v xml:space="preserve"> </v>
      </c>
      <c r="IB176" s="47" t="str">
        <f t="shared" si="1227"/>
        <v xml:space="preserve">AI&amp; data analysis(1),electronics(1),functions(1), </v>
      </c>
      <c r="IC176" s="47" t="str">
        <f t="shared" si="1227"/>
        <v xml:space="preserve">AI&amp; data analysis(6.25),electronics(6.25),functions(6.25), </v>
      </c>
      <c r="ID176" s="47" t="str">
        <f t="shared" si="1227"/>
        <v xml:space="preserve"> </v>
      </c>
      <c r="IE176" s="47" t="str">
        <f t="shared" si="1227"/>
        <v xml:space="preserve">mobile apps(1),security(1),AI&amp; data analysis(1), </v>
      </c>
      <c r="IF176" s="47" t="str">
        <f t="shared" si="1227"/>
        <v xml:space="preserve">mobile apps(25),security(25),AI&amp; data analysis(25), </v>
      </c>
      <c r="IG176" s="47" t="str">
        <f t="shared" si="1227"/>
        <v xml:space="preserve">mobile apps(2),security(2),AI&amp; data analysis(2), </v>
      </c>
      <c r="IH176" s="47" t="str">
        <f t="shared" si="1227"/>
        <v xml:space="preserve">mobile apps(1),security(1),AI&amp; data analysis(1), </v>
      </c>
      <c r="II176" s="47" t="str">
        <f t="shared" si="1227"/>
        <v xml:space="preserve">mobile apps(6.25),security(6.25),AI&amp; data analysis(6.25), </v>
      </c>
      <c r="IJ176" s="47" t="str">
        <f t="shared" si="1227"/>
        <v xml:space="preserve"> </v>
      </c>
      <c r="IK176" s="47" t="str">
        <f t="shared" si="1227"/>
        <v xml:space="preserve">wood processing(1),metal processing(1),functions(1),safety(1), </v>
      </c>
      <c r="IL176" s="47" t="str">
        <f t="shared" si="1227"/>
        <v xml:space="preserve">wood processing(25),metal processing(25),functions(25),safety(25), </v>
      </c>
      <c r="IM176" s="47" t="str">
        <f t="shared" si="1227"/>
        <v xml:space="preserve">wood processing(2),metal processing(2),functions(2),safety(2), </v>
      </c>
      <c r="IN176" s="47" t="str">
        <f t="shared" si="1227"/>
        <v xml:space="preserve">wood processing(1),metal processing(1),functions(1),safety(1),interaction(1), </v>
      </c>
      <c r="IO176" s="47" t="str">
        <f t="shared" si="1227"/>
        <v xml:space="preserve">wood processing(6.25),metal processing(6.25),functions(6.25),safety(6.25),interaction(6.25), </v>
      </c>
      <c r="IP176" s="57" t="str">
        <f t="shared" si="1227"/>
        <v xml:space="preserve"> </v>
      </c>
      <c r="IQ176" s="47" t="str">
        <f t="shared" si="1227"/>
        <v xml:space="preserve"> </v>
      </c>
      <c r="IR176" s="47" t="str">
        <f t="shared" si="1227"/>
        <v xml:space="preserve"> </v>
      </c>
      <c r="IS176" s="47" t="str">
        <f t="shared" si="1227"/>
        <v xml:space="preserve"> </v>
      </c>
      <c r="IT176" s="47" t="str">
        <f t="shared" si="1227"/>
        <v xml:space="preserve"> </v>
      </c>
      <c r="IU176" s="47" t="str">
        <f t="shared" si="1227"/>
        <v xml:space="preserve"> </v>
      </c>
      <c r="IV176" s="57" t="str">
        <f t="shared" ref="IV176:LG176" si="1228">IF(IV74="",IV177,$C176&amp;"("&amp;IV74&amp;"),"&amp;IV177)</f>
        <v xml:space="preserve"> </v>
      </c>
      <c r="IW176" s="47" t="str">
        <f t="shared" si="1228"/>
        <v xml:space="preserve"> </v>
      </c>
      <c r="IX176" s="47" t="str">
        <f t="shared" si="1228"/>
        <v xml:space="preserve"> </v>
      </c>
      <c r="IY176" s="47" t="str">
        <f t="shared" si="1228"/>
        <v xml:space="preserve"> </v>
      </c>
      <c r="IZ176" s="47" t="str">
        <f t="shared" si="1228"/>
        <v xml:space="preserve"> </v>
      </c>
      <c r="JA176" s="47" t="str">
        <f t="shared" si="1228"/>
        <v xml:space="preserve"> </v>
      </c>
      <c r="JB176" s="47" t="str">
        <f t="shared" si="1228"/>
        <v xml:space="preserve"> </v>
      </c>
      <c r="JC176" s="47" t="str">
        <f t="shared" si="1228"/>
        <v xml:space="preserve"> </v>
      </c>
      <c r="JD176" s="47" t="str">
        <f t="shared" si="1228"/>
        <v xml:space="preserve"> </v>
      </c>
      <c r="JE176" s="47" t="str">
        <f t="shared" si="1228"/>
        <v xml:space="preserve"> </v>
      </c>
      <c r="JF176" s="47" t="str">
        <f t="shared" si="1228"/>
        <v xml:space="preserve">mobile apps(1),sensors(1),security(1),AI&amp; data analysis(1),mobile comm(1),VR&amp;AR(1),wood processing(1),metal processing(1),plastic processing(1),electronics(1),fabric(1),aesthetics(1),functions(1),safety(1),interaction(1), </v>
      </c>
      <c r="JG176" s="47" t="str">
        <f t="shared" si="1228"/>
        <v xml:space="preserve">mobile apps(6.25),sensors(6.25),security(6.25),AI&amp; data analysis(6.25),mobile comm(6.25),VR&amp;AR(6.25),wood processing(6.25),metal processing(6.25),plastic processing(6.25),electronics(6.25),fabric(6.25),aesthetics(6.25),functions(6.25),safety(6.25),interaction(6.25), </v>
      </c>
      <c r="JH176" s="47" t="str">
        <f t="shared" si="1228"/>
        <v xml:space="preserve"> </v>
      </c>
      <c r="JI176" s="47" t="str">
        <f t="shared" si="1228"/>
        <v xml:space="preserve"> </v>
      </c>
      <c r="JJ176" s="47" t="str">
        <f t="shared" si="1228"/>
        <v xml:space="preserve"> </v>
      </c>
      <c r="JK176" s="47" t="str">
        <f t="shared" si="1228"/>
        <v xml:space="preserve">social project(1),social innovation(1),non-profit biz(1),biz project(1),biz enhancement(1),job creation(1),business(1),start-up(1),start-up with mvp(1),start-up with customers(1),for basic literacy(1),for the elites(1),for entrepreneurs(1), </v>
      </c>
      <c r="JL176" s="47" t="str">
        <f t="shared" si="1228"/>
        <v xml:space="preserve"> </v>
      </c>
      <c r="JM176" s="47" t="str">
        <f t="shared" si="1228"/>
        <v xml:space="preserve"> </v>
      </c>
      <c r="JN176" s="47" t="str">
        <f t="shared" si="1228"/>
        <v xml:space="preserve"> </v>
      </c>
      <c r="JO176" s="47" t="str">
        <f t="shared" si="1228"/>
        <v xml:space="preserve"> </v>
      </c>
      <c r="JP176" s="47" t="str">
        <f t="shared" si="1228"/>
        <v xml:space="preserve"> </v>
      </c>
      <c r="JQ176" s="47" t="str">
        <f t="shared" si="1228"/>
        <v xml:space="preserve">electronics(1),aesthetics(1),interaction(1),social project(1),social innovation(1),non-profit biz(1),biz project(1),biz enhancement(1),job creation(1),business(1),start-up(1),start-up with mvp(1),start-up with customers(1),for basic literacy(1),for the elites(1),for entrepreneurs(1), </v>
      </c>
      <c r="JR176" s="47" t="str">
        <f t="shared" si="1228"/>
        <v xml:space="preserve"> </v>
      </c>
      <c r="JS176" s="47" t="str">
        <f t="shared" si="1228"/>
        <v xml:space="preserve"> </v>
      </c>
      <c r="JT176" s="47" t="str">
        <f t="shared" si="1228"/>
        <v xml:space="preserve"> </v>
      </c>
      <c r="JU176" s="47" t="str">
        <f t="shared" si="1228"/>
        <v xml:space="preserve"> </v>
      </c>
      <c r="JV176" s="47" t="str">
        <f t="shared" si="1228"/>
        <v xml:space="preserve"> </v>
      </c>
      <c r="JW176" s="47" t="str">
        <f t="shared" si="1228"/>
        <v xml:space="preserve">social project(2),social innovation(1),non-profit biz(1),biz project(2),biz enhancement(2),job creation(1),business(1),start-up(2),start-up with mvp(1),start-up with customers(1),for basic literacy(2),for the elites(1),for entrepreneurs(1), </v>
      </c>
      <c r="JX176" s="47" t="str">
        <f t="shared" si="1228"/>
        <v xml:space="preserve"> </v>
      </c>
      <c r="JY176" s="47" t="str">
        <f t="shared" si="1228"/>
        <v xml:space="preserve"> </v>
      </c>
      <c r="JZ176" s="47" t="str">
        <f t="shared" si="1228"/>
        <v xml:space="preserve">social project(2), </v>
      </c>
      <c r="KA176" s="47" t="str">
        <f t="shared" si="1228"/>
        <v xml:space="preserve"> </v>
      </c>
      <c r="KB176" s="47" t="str">
        <f t="shared" si="1228"/>
        <v xml:space="preserve"> </v>
      </c>
      <c r="KC176" s="47" t="str">
        <f t="shared" si="1228"/>
        <v xml:space="preserve">mobile apps(1),sensors(1),AI&amp; data analysis(1),electronics(1),aesthetics(1),social project(3),social innovation(1),non-profit biz(1),biz project(2),biz enhancement(2),job creation(1),business(1),start-up(2),start-up with mvp(1),start-up with customers(1),for basic literacy(2),for the elites(1),for entrepreneurs(1), </v>
      </c>
      <c r="KD176" s="47" t="str">
        <f t="shared" si="1228"/>
        <v xml:space="preserve"> </v>
      </c>
      <c r="KE176" s="47" t="str">
        <f t="shared" si="1228"/>
        <v xml:space="preserve"> </v>
      </c>
      <c r="KF176" s="47" t="str">
        <f t="shared" si="1228"/>
        <v xml:space="preserve"> </v>
      </c>
      <c r="KG176" s="47" t="str">
        <f t="shared" si="1228"/>
        <v xml:space="preserve"> </v>
      </c>
      <c r="KH176" s="47" t="str">
        <f t="shared" si="1228"/>
        <v xml:space="preserve"> </v>
      </c>
      <c r="KI176" s="47" t="str">
        <f t="shared" si="1228"/>
        <v xml:space="preserve"> </v>
      </c>
      <c r="KJ176" s="47" t="str">
        <f t="shared" si="1228"/>
        <v xml:space="preserve"> </v>
      </c>
      <c r="KK176" s="47" t="str">
        <f t="shared" si="1228"/>
        <v xml:space="preserve"> </v>
      </c>
      <c r="KL176" s="57" t="str">
        <f t="shared" si="1228"/>
        <v xml:space="preserve"> </v>
      </c>
      <c r="KM176" s="47" t="str">
        <f t="shared" si="1228"/>
        <v xml:space="preserve"> </v>
      </c>
      <c r="KN176" s="47" t="str">
        <f t="shared" si="1228"/>
        <v xml:space="preserve"> </v>
      </c>
      <c r="KO176" s="47" t="str">
        <f t="shared" si="1228"/>
        <v xml:space="preserve"> </v>
      </c>
      <c r="KP176" s="47" t="str">
        <f t="shared" si="1228"/>
        <v xml:space="preserve"> </v>
      </c>
      <c r="KQ176" s="47" t="str">
        <f t="shared" si="1228"/>
        <v xml:space="preserve"> </v>
      </c>
      <c r="KR176" s="57" t="str">
        <f t="shared" si="1228"/>
        <v xml:space="preserve"> </v>
      </c>
      <c r="KS176" s="47" t="str">
        <f t="shared" si="1228"/>
        <v xml:space="preserve"> </v>
      </c>
      <c r="KT176" s="47" t="str">
        <f t="shared" si="1228"/>
        <v xml:space="preserve"> </v>
      </c>
      <c r="KU176" s="47" t="str">
        <f t="shared" si="1228"/>
        <v xml:space="preserve"> </v>
      </c>
      <c r="KV176" s="47" t="str">
        <f t="shared" si="1228"/>
        <v xml:space="preserve"> </v>
      </c>
      <c r="KW176" s="47" t="str">
        <f t="shared" si="1228"/>
        <v xml:space="preserve"> </v>
      </c>
      <c r="KX176" s="57" t="str">
        <f t="shared" si="1228"/>
        <v xml:space="preserve"> </v>
      </c>
      <c r="KY176" s="47" t="str">
        <f t="shared" si="1228"/>
        <v xml:space="preserve"> </v>
      </c>
      <c r="KZ176" s="47" t="str">
        <f t="shared" si="1228"/>
        <v xml:space="preserve"> </v>
      </c>
      <c r="LA176" s="47" t="str">
        <f t="shared" si="1228"/>
        <v xml:space="preserve"> </v>
      </c>
      <c r="LB176" s="47" t="str">
        <f t="shared" si="1228"/>
        <v xml:space="preserve"> </v>
      </c>
      <c r="LC176" s="47" t="str">
        <f t="shared" si="1228"/>
        <v xml:space="preserve"> </v>
      </c>
      <c r="LD176" s="57" t="str">
        <f t="shared" si="1228"/>
        <v xml:space="preserve"> </v>
      </c>
      <c r="LE176" s="47" t="str">
        <f t="shared" si="1228"/>
        <v xml:space="preserve"> </v>
      </c>
      <c r="LF176" s="47" t="str">
        <f t="shared" si="1228"/>
        <v xml:space="preserve"> </v>
      </c>
      <c r="LG176" s="47" t="str">
        <f t="shared" si="1228"/>
        <v xml:space="preserve"> </v>
      </c>
      <c r="LH176" s="47" t="str">
        <f t="shared" ref="LH176:NM176" si="1229">IF(LH74="",LH177,$C176&amp;"("&amp;LH74&amp;"),"&amp;LH177)</f>
        <v xml:space="preserve"> </v>
      </c>
      <c r="LI176" s="47" t="str">
        <f t="shared" si="1229"/>
        <v xml:space="preserve"> </v>
      </c>
      <c r="LJ176" s="57" t="str">
        <f t="shared" si="1229"/>
        <v xml:space="preserve"> </v>
      </c>
      <c r="LK176" s="47" t="str">
        <f t="shared" si="1229"/>
        <v xml:space="preserve"> </v>
      </c>
      <c r="LL176" s="47" t="str">
        <f t="shared" si="1229"/>
        <v xml:space="preserve"> </v>
      </c>
      <c r="LM176" s="47" t="str">
        <f t="shared" si="1229"/>
        <v xml:space="preserve"> </v>
      </c>
      <c r="LN176" s="47" t="str">
        <f t="shared" si="1229"/>
        <v xml:space="preserve"> </v>
      </c>
      <c r="LO176" s="47" t="str">
        <f t="shared" si="1229"/>
        <v xml:space="preserve"> </v>
      </c>
      <c r="LP176" s="57" t="str">
        <f t="shared" si="1229"/>
        <v xml:space="preserve"> </v>
      </c>
      <c r="LQ176" s="47" t="str">
        <f t="shared" si="1229"/>
        <v xml:space="preserve"> </v>
      </c>
      <c r="LR176" s="47" t="str">
        <f t="shared" si="1229"/>
        <v xml:space="preserve"> </v>
      </c>
      <c r="LS176" s="47" t="str">
        <f t="shared" si="1229"/>
        <v xml:space="preserve"> </v>
      </c>
      <c r="LT176" s="47" t="str">
        <f t="shared" si="1229"/>
        <v xml:space="preserve"> </v>
      </c>
      <c r="LU176" s="47" t="str">
        <f t="shared" si="1229"/>
        <v xml:space="preserve"> </v>
      </c>
      <c r="LV176" s="57" t="str">
        <f t="shared" si="1229"/>
        <v xml:space="preserve"> </v>
      </c>
      <c r="LW176" s="47" t="str">
        <f t="shared" si="1229"/>
        <v xml:space="preserve"> </v>
      </c>
      <c r="LX176" s="47" t="str">
        <f t="shared" si="1229"/>
        <v xml:space="preserve"> </v>
      </c>
      <c r="LY176" s="47" t="str">
        <f t="shared" si="1229"/>
        <v xml:space="preserve"> </v>
      </c>
      <c r="LZ176" s="47" t="str">
        <f t="shared" si="1229"/>
        <v xml:space="preserve"> </v>
      </c>
      <c r="MA176" s="47" t="str">
        <f t="shared" si="1229"/>
        <v xml:space="preserve"> </v>
      </c>
      <c r="MB176" s="57" t="str">
        <f t="shared" si="1229"/>
        <v xml:space="preserve"> </v>
      </c>
      <c r="MC176" s="47" t="str">
        <f t="shared" si="1229"/>
        <v xml:space="preserve"> </v>
      </c>
      <c r="MD176" s="47" t="str">
        <f t="shared" si="1229"/>
        <v xml:space="preserve"> </v>
      </c>
      <c r="ME176" s="47" t="str">
        <f t="shared" si="1229"/>
        <v xml:space="preserve"> </v>
      </c>
      <c r="MF176" s="47" t="str">
        <f t="shared" si="1229"/>
        <v xml:space="preserve"> </v>
      </c>
      <c r="MG176" s="47" t="str">
        <f t="shared" si="1229"/>
        <v xml:space="preserve"> </v>
      </c>
      <c r="MH176" s="57" t="str">
        <f t="shared" si="1229"/>
        <v xml:space="preserve"> </v>
      </c>
      <c r="MI176" s="47" t="str">
        <f t="shared" si="1229"/>
        <v xml:space="preserve"> </v>
      </c>
      <c r="MJ176" s="47" t="str">
        <f t="shared" si="1229"/>
        <v xml:space="preserve"> </v>
      </c>
      <c r="MK176" s="47" t="str">
        <f t="shared" si="1229"/>
        <v xml:space="preserve"> </v>
      </c>
      <c r="ML176" s="47" t="str">
        <f t="shared" si="1229"/>
        <v xml:space="preserve"> </v>
      </c>
      <c r="MM176" s="47" t="str">
        <f t="shared" si="1229"/>
        <v xml:space="preserve"> </v>
      </c>
      <c r="MN176" s="57" t="str">
        <f t="shared" si="1229"/>
        <v xml:space="preserve"> </v>
      </c>
      <c r="MO176" s="47" t="str">
        <f t="shared" si="1229"/>
        <v xml:space="preserve"> </v>
      </c>
      <c r="MP176" s="47" t="str">
        <f t="shared" si="1229"/>
        <v xml:space="preserve"> </v>
      </c>
      <c r="MQ176" s="47" t="str">
        <f t="shared" si="1229"/>
        <v xml:space="preserve"> </v>
      </c>
      <c r="MR176" s="47" t="str">
        <f t="shared" si="1229"/>
        <v xml:space="preserve"> </v>
      </c>
      <c r="MS176" s="47" t="str">
        <f t="shared" si="1229"/>
        <v xml:space="preserve"> </v>
      </c>
      <c r="MT176" s="57" t="str">
        <f t="shared" si="1229"/>
        <v xml:space="preserve"> </v>
      </c>
      <c r="MU176" s="47" t="str">
        <f t="shared" si="1229"/>
        <v xml:space="preserve"> </v>
      </c>
      <c r="MV176" s="47" t="str">
        <f t="shared" si="1229"/>
        <v xml:space="preserve"> </v>
      </c>
      <c r="MW176" s="47" t="str">
        <f t="shared" si="1229"/>
        <v xml:space="preserve"> </v>
      </c>
      <c r="MX176" s="47" t="str">
        <f t="shared" si="1229"/>
        <v xml:space="preserve"> </v>
      </c>
      <c r="MY176" s="47" t="str">
        <f t="shared" si="1229"/>
        <v xml:space="preserve"> </v>
      </c>
      <c r="MZ176" s="57" t="str">
        <f t="shared" si="1229"/>
        <v xml:space="preserve"> </v>
      </c>
      <c r="NA176" s="47" t="str">
        <f t="shared" si="1229"/>
        <v xml:space="preserve"> </v>
      </c>
      <c r="NB176" s="47" t="str">
        <f t="shared" si="1229"/>
        <v xml:space="preserve"> </v>
      </c>
      <c r="NC176" s="47" t="str">
        <f t="shared" si="1229"/>
        <v xml:space="preserve"> </v>
      </c>
      <c r="ND176" s="47" t="str">
        <f t="shared" si="1229"/>
        <v xml:space="preserve"> </v>
      </c>
      <c r="NE176" s="47" t="str">
        <f t="shared" si="1229"/>
        <v xml:space="preserve"> </v>
      </c>
      <c r="NF176" s="57" t="str">
        <f t="shared" si="1229"/>
        <v xml:space="preserve"> </v>
      </c>
      <c r="NG176" s="47" t="str">
        <f t="shared" si="1229"/>
        <v xml:space="preserve"> </v>
      </c>
      <c r="NH176" s="47" t="str">
        <f t="shared" si="1229"/>
        <v xml:space="preserve"> </v>
      </c>
      <c r="NI176" s="47" t="str">
        <f t="shared" si="1229"/>
        <v xml:space="preserve"> </v>
      </c>
      <c r="NJ176" s="47" t="str">
        <f t="shared" si="1229"/>
        <v xml:space="preserve"> </v>
      </c>
      <c r="NK176" s="47" t="str">
        <f t="shared" si="1229"/>
        <v xml:space="preserve"> </v>
      </c>
      <c r="NL176" s="57" t="str">
        <f t="shared" si="1229"/>
        <v xml:space="preserve"> </v>
      </c>
      <c r="NM176" s="47" t="str">
        <f t="shared" si="1229"/>
        <v xml:space="preserve"> </v>
      </c>
    </row>
    <row r="177" spans="3:377" ht="15.75" customHeight="1">
      <c r="C177" s="7" t="str">
        <f t="shared" si="841"/>
        <v>sensors</v>
      </c>
      <c r="D177" s="21" t="str">
        <f t="shared" si="651"/>
        <v xml:space="preserve"> </v>
      </c>
      <c r="E177" s="21" t="str">
        <f t="shared" si="842"/>
        <v xml:space="preserve"> </v>
      </c>
      <c r="F177" s="21" t="str">
        <f t="shared" si="651"/>
        <v xml:space="preserve"> </v>
      </c>
      <c r="G177" s="21" t="str">
        <f t="shared" si="843"/>
        <v xml:space="preserve"> </v>
      </c>
      <c r="H177" s="21" t="str">
        <f t="shared" si="844"/>
        <v xml:space="preserve"> </v>
      </c>
      <c r="I177" s="21" t="str">
        <f t="shared" ref="I177" si="1230">IF(I75="",I178,$C177&amp;"("&amp;I75&amp;"),"&amp;I178)</f>
        <v xml:space="preserve"> </v>
      </c>
      <c r="J177" s="21" t="str">
        <f t="shared" ref="J177" si="1231">IF(J75="",J178,$C177&amp;" "&amp;J75&amp;CHAR(10)&amp;J178)</f>
        <v xml:space="preserve">interaction 1
 </v>
      </c>
      <c r="K177" s="21" t="str">
        <f t="shared" si="654"/>
        <v xml:space="preserve"> </v>
      </c>
      <c r="L177" s="21" t="str">
        <f t="shared" ref="L177" si="1232">IF(L75="",L178,$C177&amp;" "&amp;L75&amp;CHAR(10)&amp;L178)</f>
        <v xml:space="preserve"> </v>
      </c>
      <c r="M177" s="21" t="str">
        <f t="shared" si="656"/>
        <v xml:space="preserve">social innovation(1), non-profit biz(1),  </v>
      </c>
      <c r="N177" s="21" t="str">
        <f t="shared" si="657"/>
        <v xml:space="preserve"> </v>
      </c>
      <c r="O177" s="21" t="str">
        <f t="shared" si="658"/>
        <v xml:space="preserve"> </v>
      </c>
      <c r="P177" s="21" t="str">
        <f t="shared" ref="P177" si="1233">IF(P75="",P178,$C177&amp;" "&amp;P75&amp;CHAR(10)&amp;P178)</f>
        <v xml:space="preserve">biz project 1
 </v>
      </c>
      <c r="Q177" s="21" t="str">
        <f t="shared" si="660"/>
        <v xml:space="preserve"> </v>
      </c>
      <c r="R177" s="21" t="str">
        <f t="shared" ref="R177" si="1234">IF(R75="",R178,$C177&amp;" "&amp;R75&amp;CHAR(10)&amp;R178)</f>
        <v xml:space="preserve"> </v>
      </c>
      <c r="S177" s="21" t="str">
        <f t="shared" si="662"/>
        <v xml:space="preserve">biz enhancement(1), business(1), start-up(1),  </v>
      </c>
      <c r="T177" s="21" t="str">
        <f t="shared" si="663"/>
        <v xml:space="preserve"> </v>
      </c>
      <c r="U177" s="21" t="str">
        <f t="shared" si="658"/>
        <v xml:space="preserve"> </v>
      </c>
      <c r="V177" s="21" t="str">
        <f t="shared" ref="V177" si="1235">IF(V75="",V178,$C177&amp;" "&amp;V75&amp;CHAR(10)&amp;V178)</f>
        <v xml:space="preserve"> </v>
      </c>
      <c r="W177" s="21" t="str">
        <f t="shared" si="665"/>
        <v xml:space="preserve"> </v>
      </c>
      <c r="X177" s="21" t="str">
        <f t="shared" ref="X177" si="1236">IF(X75="",X178,$C177&amp;" "&amp;X75&amp;CHAR(10)&amp;X178)</f>
        <v xml:space="preserve"> </v>
      </c>
      <c r="Y177" s="21" t="str">
        <f t="shared" si="667"/>
        <v xml:space="preserve">biz project(1), biz enhancement(1), job creation(1), business(1),  </v>
      </c>
      <c r="Z177" s="21" t="str">
        <f t="shared" si="668"/>
        <v xml:space="preserve"> </v>
      </c>
      <c r="AA177" s="21" t="str">
        <f t="shared" si="658"/>
        <v xml:space="preserve"> </v>
      </c>
      <c r="AB177" s="21" t="str">
        <f t="shared" ref="AB177" si="1237">IF(AB75="",AB178,$C177&amp;" "&amp;AB75&amp;CHAR(10)&amp;AB178)</f>
        <v xml:space="preserve"> </v>
      </c>
      <c r="AC177" s="21" t="str">
        <f t="shared" si="670"/>
        <v xml:space="preserve"> </v>
      </c>
      <c r="AD177" s="21" t="str">
        <f t="shared" ref="AD177" si="1238">IF(AD75="",AD178,$C177&amp;" "&amp;AD75&amp;CHAR(10)&amp;AD178)</f>
        <v xml:space="preserve"> </v>
      </c>
      <c r="AE177" s="21" t="str">
        <f t="shared" si="672"/>
        <v xml:space="preserve">social project(1), social innovation(1), non-profit biz(1),  </v>
      </c>
      <c r="AF177" s="21" t="str">
        <f t="shared" si="673"/>
        <v xml:space="preserve"> </v>
      </c>
      <c r="AG177" s="21" t="str">
        <f t="shared" si="658"/>
        <v xml:space="preserve"> </v>
      </c>
      <c r="AH177" s="21" t="str">
        <f t="shared" ref="AH177" si="1239">IF(AH75="",AH178,$C177&amp;" "&amp;AH75&amp;CHAR(10)&amp;AH178)</f>
        <v xml:space="preserve"> </v>
      </c>
      <c r="AI177" s="21" t="str">
        <f t="shared" si="675"/>
        <v xml:space="preserve"> </v>
      </c>
      <c r="AJ177" s="21" t="str">
        <f t="shared" ref="AJ177" si="1240">IF(AJ75="",AJ178,$C177&amp;" "&amp;AJ75&amp;CHAR(10)&amp;AJ178)</f>
        <v xml:space="preserve"> </v>
      </c>
      <c r="AK177" s="21" t="str">
        <f t="shared" si="677"/>
        <v xml:space="preserve">social project(1), social innovation(1), non-profit biz(1),  </v>
      </c>
      <c r="AL177" s="21" t="str">
        <f t="shared" si="678"/>
        <v xml:space="preserve"> </v>
      </c>
      <c r="AM177" s="21" t="str">
        <f t="shared" si="658"/>
        <v xml:space="preserve"> </v>
      </c>
      <c r="AN177" s="21" t="str">
        <f t="shared" ref="AN177" si="1241">IF(AN75="",AN178,$C177&amp;" "&amp;AN75&amp;CHAR(10)&amp;AN178)</f>
        <v xml:space="preserve"> </v>
      </c>
      <c r="AO177" s="21" t="str">
        <f t="shared" si="680"/>
        <v xml:space="preserve"> </v>
      </c>
      <c r="AP177" s="21" t="str">
        <f t="shared" ref="AP177" si="1242">IF(AP75="",AP178,$C177&amp;" "&amp;AP75&amp;CHAR(10)&amp;AP178)</f>
        <v xml:space="preserve"> </v>
      </c>
      <c r="AQ177" s="21" t="str">
        <f t="shared" si="682"/>
        <v xml:space="preserve">start-up(1), start-up with mvp(1), start-up with customers(1),  </v>
      </c>
      <c r="AR177" s="21" t="str">
        <f t="shared" si="683"/>
        <v xml:space="preserve"> </v>
      </c>
      <c r="AS177" s="21" t="str">
        <f t="shared" si="658"/>
        <v xml:space="preserve"> </v>
      </c>
      <c r="AT177" s="21" t="str">
        <f t="shared" ref="AT177" si="1243">IF(AT75="",AT178,$C177&amp;" "&amp;AT75&amp;CHAR(10)&amp;AT178)</f>
        <v xml:space="preserve">social project 1
 </v>
      </c>
      <c r="AU177" s="21" t="str">
        <f t="shared" si="685"/>
        <v xml:space="preserve"> </v>
      </c>
      <c r="AV177" s="21" t="str">
        <f t="shared" ref="AV177" si="1244">IF(AV75="",AV178,$C177&amp;" "&amp;AV75&amp;CHAR(10)&amp;AV178)</f>
        <v xml:space="preserve"> </v>
      </c>
      <c r="AW177" s="21" t="str">
        <f t="shared" si="687"/>
        <v xml:space="preserve"> </v>
      </c>
      <c r="AX177" s="21" t="str">
        <f t="shared" si="688"/>
        <v xml:space="preserve"> </v>
      </c>
      <c r="AY177" s="21" t="str">
        <f t="shared" si="658"/>
        <v xml:space="preserve"> </v>
      </c>
      <c r="AZ177" s="21" t="str">
        <f t="shared" ref="AZ177" si="1245">IF(AZ75="",AZ178,$C177&amp;" "&amp;AZ75&amp;CHAR(10)&amp;AZ178)</f>
        <v xml:space="preserve"> </v>
      </c>
      <c r="BA177" s="21" t="str">
        <f t="shared" si="690"/>
        <v xml:space="preserve"> </v>
      </c>
      <c r="BB177" s="21" t="str">
        <f t="shared" ref="BB177" si="1246">IF(BB75="",BB178,$C177&amp;" "&amp;BB75&amp;CHAR(10)&amp;BB178)</f>
        <v xml:space="preserve"> </v>
      </c>
      <c r="BC177" s="21" t="str">
        <f t="shared" si="692"/>
        <v xml:space="preserve"> </v>
      </c>
      <c r="BD177" s="21" t="str">
        <f t="shared" si="693"/>
        <v xml:space="preserve"> </v>
      </c>
      <c r="BE177" s="21" t="str">
        <f t="shared" si="658"/>
        <v xml:space="preserve"> </v>
      </c>
      <c r="BF177" s="21" t="str">
        <f t="shared" ref="BF177" si="1247">IF(BF75="",BF178,$C177&amp;" "&amp;BF75&amp;CHAR(10)&amp;BF178)</f>
        <v xml:space="preserve">biz project 1
 </v>
      </c>
      <c r="BG177" s="21" t="str">
        <f t="shared" si="695"/>
        <v xml:space="preserve"> </v>
      </c>
      <c r="BH177" s="21" t="str">
        <f t="shared" ref="BH177" si="1248">IF(BH75="",BH178,$C177&amp;" "&amp;BH75&amp;CHAR(10)&amp;BH178)</f>
        <v xml:space="preserve"> </v>
      </c>
      <c r="BI177" s="21" t="str">
        <f t="shared" si="697"/>
        <v xml:space="preserve"> </v>
      </c>
      <c r="BJ177" s="21" t="str">
        <f t="shared" si="698"/>
        <v xml:space="preserve"> </v>
      </c>
      <c r="BK177" s="21" t="str">
        <f t="shared" si="658"/>
        <v xml:space="preserve"> </v>
      </c>
      <c r="BL177" s="21" t="str">
        <f t="shared" ref="BL177" si="1249">IF(BL75="",BL178,$C177&amp;" "&amp;BL75&amp;CHAR(10)&amp;BL178)</f>
        <v xml:space="preserve">biz enhancement 1
 </v>
      </c>
      <c r="BM177" s="21" t="str">
        <f t="shared" si="700"/>
        <v xml:space="preserve"> </v>
      </c>
      <c r="BN177" s="21" t="str">
        <f t="shared" ref="BN177" si="1250">IF(BN75="",BN178,$C177&amp;" "&amp;BN75&amp;CHAR(10)&amp;BN178)</f>
        <v xml:space="preserve"> </v>
      </c>
      <c r="BO177" s="21" t="str">
        <f t="shared" si="702"/>
        <v xml:space="preserve"> </v>
      </c>
      <c r="BP177" s="21" t="str">
        <f t="shared" si="703"/>
        <v xml:space="preserve"> </v>
      </c>
      <c r="BQ177" s="21" t="str">
        <f t="shared" si="658"/>
        <v xml:space="preserve"> </v>
      </c>
      <c r="BR177" s="21" t="str">
        <f t="shared" ref="BR177" si="1251">IF(BR75="",BR178,$C177&amp;" "&amp;BR75&amp;CHAR(10)&amp;BR178)</f>
        <v xml:space="preserve"> </v>
      </c>
      <c r="BS177" s="21" t="str">
        <f t="shared" si="705"/>
        <v xml:space="preserve"> </v>
      </c>
      <c r="BT177" s="21" t="str">
        <f t="shared" ref="BT177" si="1252">IF(BT75="",BT178,$C177&amp;" "&amp;BT75&amp;CHAR(10)&amp;BT178)</f>
        <v xml:space="preserve"> </v>
      </c>
      <c r="BU177" s="21" t="str">
        <f t="shared" si="707"/>
        <v xml:space="preserve"> </v>
      </c>
      <c r="BV177" s="21" t="str">
        <f t="shared" si="708"/>
        <v xml:space="preserve"> </v>
      </c>
      <c r="BW177" s="21" t="str">
        <f t="shared" si="658"/>
        <v xml:space="preserve"> </v>
      </c>
      <c r="BX177" s="21" t="str">
        <f t="shared" ref="BX177" si="1253">IF(BX75="",BX178,$C177&amp;" "&amp;BX75&amp;CHAR(10)&amp;BX178)</f>
        <v xml:space="preserve"> </v>
      </c>
      <c r="BY177" s="21" t="str">
        <f t="shared" si="710"/>
        <v xml:space="preserve"> </v>
      </c>
      <c r="BZ177" s="21" t="str">
        <f t="shared" ref="BZ177" si="1254">IF(BZ75="",BZ178,$C177&amp;" "&amp;BZ75&amp;CHAR(10)&amp;BZ178)</f>
        <v xml:space="preserve"> </v>
      </c>
      <c r="CA177" s="21" t="str">
        <f t="shared" si="712"/>
        <v xml:space="preserve"> </v>
      </c>
      <c r="CB177" s="21" t="str">
        <f t="shared" si="713"/>
        <v xml:space="preserve"> </v>
      </c>
      <c r="CC177" s="21" t="str">
        <f t="shared" si="714"/>
        <v xml:space="preserve"> </v>
      </c>
      <c r="CD177" s="21" t="str">
        <f t="shared" ref="CD177" si="1255">IF(CD75="",CD178,$C177&amp;" "&amp;CD75&amp;CHAR(10)&amp;CD178)</f>
        <v xml:space="preserve"> </v>
      </c>
      <c r="CE177" s="21" t="str">
        <f t="shared" si="716"/>
        <v xml:space="preserve"> </v>
      </c>
      <c r="CF177" s="21" t="str">
        <f t="shared" ref="CF177" si="1256">IF(CF75="",CF178,$C177&amp;" "&amp;CF75&amp;CHAR(10)&amp;CF178)</f>
        <v xml:space="preserve"> </v>
      </c>
      <c r="CG177" s="21" t="str">
        <f t="shared" si="718"/>
        <v xml:space="preserve">social project(1), biz project(1), for basic literacy(1), for the elites(1), for entrepreneurs(1),  </v>
      </c>
      <c r="CH177" s="21" t="str">
        <f t="shared" si="719"/>
        <v xml:space="preserve"> </v>
      </c>
      <c r="CI177" s="21" t="str">
        <f t="shared" si="714"/>
        <v xml:space="preserve"> </v>
      </c>
      <c r="CJ177" s="21" t="str">
        <f t="shared" ref="CJ177" si="1257">IF(CJ75="",CJ178,$C177&amp;" "&amp;CJ75&amp;CHAR(10)&amp;CJ178)</f>
        <v xml:space="preserve"> </v>
      </c>
      <c r="CK177" s="21" t="str">
        <f t="shared" si="721"/>
        <v xml:space="preserve"> </v>
      </c>
      <c r="CL177" s="21" t="str">
        <f t="shared" ref="CL177" si="1258">IF(CL75="",CL178,$C177&amp;" "&amp;CL75&amp;CHAR(10)&amp;CL178)</f>
        <v xml:space="preserve"> </v>
      </c>
      <c r="CM177" s="21" t="str">
        <f t="shared" si="723"/>
        <v xml:space="preserve"> </v>
      </c>
      <c r="CN177" s="21" t="str">
        <f t="shared" si="724"/>
        <v xml:space="preserve"> </v>
      </c>
      <c r="CO177" s="21" t="str">
        <f t="shared" si="714"/>
        <v xml:space="preserve"> </v>
      </c>
      <c r="CP177" s="21" t="str">
        <f t="shared" ref="CP177" si="1259">IF(CP75="",CP178,$C177&amp;" "&amp;CP75&amp;CHAR(10)&amp;CP178)</f>
        <v xml:space="preserve"> </v>
      </c>
      <c r="CQ177" s="21" t="str">
        <f t="shared" si="726"/>
        <v xml:space="preserve"> </v>
      </c>
      <c r="CR177" s="21" t="str">
        <f t="shared" ref="CR177" si="1260">IF(CR75="",CR178,$C177&amp;" "&amp;CR75&amp;CHAR(10)&amp;CR178)</f>
        <v xml:space="preserve"> </v>
      </c>
      <c r="CS177" s="21" t="str">
        <f t="shared" si="728"/>
        <v xml:space="preserve">sensors(1), security(1), AI&amp; data analysis(1), mobile comm(1), VR&amp;AR(1), wood processing(1), metal processing(1), plastic processing(1), electronics(1), fabric(1),  </v>
      </c>
      <c r="CT177" s="21" t="str">
        <f t="shared" si="729"/>
        <v xml:space="preserve"> </v>
      </c>
      <c r="CU177" s="21" t="str">
        <f t="shared" si="714"/>
        <v xml:space="preserve"> </v>
      </c>
      <c r="CV177" s="21" t="str">
        <f t="shared" ref="CV177" si="1261">IF(CV75="",CV178,$C177&amp;" "&amp;CV75&amp;CHAR(10)&amp;CV178)</f>
        <v xml:space="preserve"> </v>
      </c>
      <c r="CW177" s="21" t="str">
        <f t="shared" si="731"/>
        <v xml:space="preserve"> </v>
      </c>
      <c r="CX177" s="21" t="str">
        <f t="shared" ref="CX177" si="1262">IF(CX75="",CX178,$C177&amp;" "&amp;CX75&amp;CHAR(10)&amp;CX178)</f>
        <v xml:space="preserve"> </v>
      </c>
      <c r="CY177" s="21" t="str">
        <f t="shared" si="733"/>
        <v xml:space="preserve"> </v>
      </c>
      <c r="CZ177" s="21" t="str">
        <f t="shared" si="734"/>
        <v xml:space="preserve"> </v>
      </c>
      <c r="DA177" s="21" t="str">
        <f t="shared" si="714"/>
        <v xml:space="preserve"> </v>
      </c>
      <c r="DB177" s="21" t="str">
        <f t="shared" ref="DB177" si="1263">IF(DB75="",DB178,$C177&amp;" "&amp;DB75&amp;CHAR(10)&amp;DB178)</f>
        <v xml:space="preserve"> </v>
      </c>
      <c r="DC177" s="21" t="str">
        <f t="shared" si="736"/>
        <v xml:space="preserve"> </v>
      </c>
      <c r="DD177" s="21" t="str">
        <f t="shared" ref="DD177" si="1264">IF(DD75="",DD178,$C177&amp;" "&amp;DD75&amp;CHAR(10)&amp;DD178)</f>
        <v xml:space="preserve"> </v>
      </c>
      <c r="DE177" s="21" t="str">
        <f t="shared" si="738"/>
        <v xml:space="preserve">sensors(2), 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7" s="21" t="str">
        <f t="shared" si="739"/>
        <v xml:space="preserve"> </v>
      </c>
      <c r="DG177" s="21" t="str">
        <f t="shared" si="714"/>
        <v xml:space="preserve"> </v>
      </c>
      <c r="DH177" s="21" t="str">
        <f t="shared" ref="DH177" si="1265">IF(DH75="",DH178,$C177&amp;" "&amp;DH75&amp;CHAR(10)&amp;DH178)</f>
        <v xml:space="preserve">social project 1
 </v>
      </c>
      <c r="DI177" s="21" t="str">
        <f t="shared" si="741"/>
        <v xml:space="preserve"> </v>
      </c>
      <c r="DJ177" s="21" t="str">
        <f t="shared" ref="DJ177" si="1266">IF(DJ75="",DJ178,$C177&amp;" "&amp;DJ75&amp;CHAR(10)&amp;DJ178)</f>
        <v xml:space="preserve"> </v>
      </c>
      <c r="DK177" s="21" t="str">
        <f t="shared" si="743"/>
        <v xml:space="preserve">sensors(2), security(2), AI&amp; data analysis(2), mobile comm(2), VR&amp;AR(2), wood processing(2), metal processing(2), plastic processing(2), electronics(2), fabric(2), aesthetics(2), functions(2), safety(2), interaction(2), social project(2), social innovation(1), non-profit biz(1),  </v>
      </c>
      <c r="DL177" s="21" t="str">
        <f t="shared" si="744"/>
        <v xml:space="preserve"> </v>
      </c>
      <c r="DM177" s="21" t="str">
        <f t="shared" si="714"/>
        <v xml:space="preserve"> </v>
      </c>
      <c r="DN177" s="21" t="str">
        <f t="shared" ref="DN177" si="1267">IF(DN75="",DN178,$C177&amp;" "&amp;DN75&amp;CHAR(10)&amp;DN178)</f>
        <v xml:space="preserve">biz project 1
 </v>
      </c>
      <c r="DO177" s="21" t="str">
        <f t="shared" si="746"/>
        <v xml:space="preserve"> </v>
      </c>
      <c r="DP177" s="21" t="str">
        <f t="shared" ref="DP177" si="1268">IF(DP75="",DP178,$C177&amp;" "&amp;DP75&amp;CHAR(10)&amp;DP178)</f>
        <v xml:space="preserve"> </v>
      </c>
      <c r="DQ177" s="21" t="str">
        <f t="shared" si="748"/>
        <v xml:space="preserve">sensors(2), 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7" s="21" t="str">
        <f t="shared" si="749"/>
        <v xml:space="preserve"> </v>
      </c>
      <c r="DS177" s="21" t="str">
        <f t="shared" si="714"/>
        <v xml:space="preserve"> </v>
      </c>
      <c r="DT177" s="21" t="str">
        <f t="shared" ref="DT177" si="1269">IF(DT75="",DT178,$C177&amp;" "&amp;DT75&amp;CHAR(10)&amp;DT178)</f>
        <v xml:space="preserve"> </v>
      </c>
      <c r="DU177" s="21" t="str">
        <f t="shared" si="751"/>
        <v xml:space="preserve"> </v>
      </c>
      <c r="DV177" s="21" t="str">
        <f t="shared" ref="DV177" si="1270">IF(DV75="",DV178,$C177&amp;" "&amp;DV75&amp;CHAR(10)&amp;DV178)</f>
        <v xml:space="preserve"> </v>
      </c>
      <c r="DW177" s="21" t="str">
        <f t="shared" si="753"/>
        <v xml:space="preserve">for basic literacy(1),  </v>
      </c>
      <c r="DX177" s="21" t="str">
        <f t="shared" si="754"/>
        <v xml:space="preserve">for basic literacy(1,6.25),  </v>
      </c>
      <c r="DY177" s="21" t="str">
        <f t="shared" si="714"/>
        <v xml:space="preserve">for basic literacy(6.25), </v>
      </c>
      <c r="DZ177" s="21" t="str">
        <f t="shared" ref="DZ177" si="1271">IF(DZ75="",DZ178,$C177&amp;" "&amp;DZ75&amp;CHAR(10)&amp;DZ178)</f>
        <v xml:space="preserve"> </v>
      </c>
      <c r="EA177" s="21" t="str">
        <f t="shared" si="756"/>
        <v xml:space="preserve"> </v>
      </c>
      <c r="EB177" s="21" t="str">
        <f t="shared" ref="EB177" si="1272">IF(EB75="",EB178,$C177&amp;" "&amp;EB75&amp;CHAR(10)&amp;EB178)</f>
        <v xml:space="preserve"> </v>
      </c>
      <c r="EC177" s="21" t="str">
        <f t="shared" si="758"/>
        <v xml:space="preserve">sensors(2), security(2), AI&amp; data analysis(2), mobile comm(2), VR&amp;AR(2), wood processing(2), metal processing(2), plastic processing(2), electronics(2), fabric(2), for basic literacy(1),  </v>
      </c>
      <c r="ED177" s="21" t="str">
        <f t="shared" si="759"/>
        <v xml:space="preserve">for basic literacy(1,6.25),  </v>
      </c>
      <c r="EE177" s="21" t="str">
        <f t="shared" si="714"/>
        <v xml:space="preserve">for basic literacy(6.25), </v>
      </c>
      <c r="EF177" s="21" t="str">
        <f t="shared" ref="EF177" si="1273">IF(EF75="",EF178,$C177&amp;" "&amp;EF75&amp;CHAR(10)&amp;EF178)</f>
        <v xml:space="preserve"> </v>
      </c>
      <c r="EG177" s="21" t="str">
        <f t="shared" si="761"/>
        <v xml:space="preserve">interaction(1,50),  </v>
      </c>
      <c r="EH177" s="21" t="str">
        <f t="shared" ref="EH177" si="1274">IF(EH75="",EH178,$C177&amp;" "&amp;EH75&amp;CHAR(10)&amp;EH178)</f>
        <v xml:space="preserve">interaction 50
 </v>
      </c>
      <c r="EI177" s="21" t="str">
        <f t="shared" si="763"/>
        <v xml:space="preserve">mobile comm(1), for entrepreneurs(1),  </v>
      </c>
      <c r="EJ177" s="21" t="str">
        <f t="shared" si="764"/>
        <v xml:space="preserve">mobile comm(1,12.5), for entrepreneurs(1,6.25),  </v>
      </c>
      <c r="EK177" s="21" t="str">
        <f t="shared" si="714"/>
        <v xml:space="preserve">mobile comm(12.5),for entrepreneurs(6.25), </v>
      </c>
      <c r="EL177" s="21" t="str">
        <f t="shared" ref="EL177" si="1275">IF(EL75="",EL178,$C177&amp;" "&amp;EL75&amp;CHAR(10)&amp;EL178)</f>
        <v xml:space="preserve"> </v>
      </c>
      <c r="EM177" s="21" t="str">
        <f t="shared" si="766"/>
        <v xml:space="preserve">sensors(1,50),  </v>
      </c>
      <c r="EN177" s="21" t="str">
        <f t="shared" ref="EN177" si="1276">IF(EN75="",EN178,$C177&amp;" "&amp;EN75&amp;CHAR(10)&amp;EN178)</f>
        <v xml:space="preserve">sensors 50
 </v>
      </c>
      <c r="EO177" s="21" t="str">
        <f t="shared" si="768"/>
        <v xml:space="preserve">mobile comm(1), for entrepreneurs(1),  </v>
      </c>
      <c r="EP177" s="21" t="str">
        <f t="shared" si="769"/>
        <v xml:space="preserve">mobile comm(1,12.5), electronics(1,6.25), for entrepreneurs(1,6.25),  </v>
      </c>
      <c r="EQ177" s="21" t="str">
        <f t="shared" si="770"/>
        <v xml:space="preserve">mobile comm(12.5),electronics(6.25),for entrepreneurs(6.25), </v>
      </c>
      <c r="ER177" s="21" t="str">
        <f t="shared" ref="ER177" si="1277">IF(ER75="",ER178,$C177&amp;" "&amp;ER75&amp;CHAR(10)&amp;ER178)</f>
        <v xml:space="preserve"> </v>
      </c>
      <c r="ES177" s="21" t="str">
        <f t="shared" si="772"/>
        <v xml:space="preserve">AI&amp; data analysis(1,50),  </v>
      </c>
      <c r="ET177" s="21" t="str">
        <f t="shared" ref="ET177" si="1278">IF(ET75="",ET178,$C177&amp;" "&amp;ET75&amp;CHAR(10)&amp;ET178)</f>
        <v xml:space="preserve">AI&amp; data analysis 50
 </v>
      </c>
      <c r="EU177" s="21" t="str">
        <f t="shared" si="774"/>
        <v xml:space="preserve">sensors(1), mobile comm(1), for entrepreneurs(1),  </v>
      </c>
      <c r="EV177" s="21" t="str">
        <f t="shared" si="775"/>
        <v xml:space="preserve">sensors(1,12.5), mobile comm(1,12.5), for entrepreneurs(1,6.25),  </v>
      </c>
      <c r="EW177" s="21" t="str">
        <f t="shared" si="770"/>
        <v xml:space="preserve">sensors(12.5),mobile comm(12.5),for entrepreneurs(6.25), </v>
      </c>
      <c r="EX177" s="21" t="str">
        <f t="shared" ref="EX177" si="1279">IF(EX75="",EX178,$C177&amp;" "&amp;EX75&amp;CHAR(10)&amp;EX178)</f>
        <v xml:space="preserve"> </v>
      </c>
      <c r="EY177" s="21" t="str">
        <f t="shared" si="777"/>
        <v xml:space="preserve">security(1,50), interaction(1,25),  </v>
      </c>
      <c r="EZ177" s="21" t="str">
        <f t="shared" ref="EZ177" si="1280">IF(EZ75="",EZ178,$C177&amp;" "&amp;EZ75&amp;CHAR(10)&amp;EZ178)</f>
        <v xml:space="preserve">security 50
interaction 25
 </v>
      </c>
      <c r="FA177" s="21" t="str">
        <f t="shared" si="779"/>
        <v xml:space="preserve">for entrepreneurs(1),  </v>
      </c>
      <c r="FB177" s="21" t="str">
        <f t="shared" si="780"/>
        <v xml:space="preserve">security(1,12.5), mobile comm(1,12.5), for entrepreneurs(1,6.25),  </v>
      </c>
      <c r="FC177" s="21" t="str">
        <f t="shared" si="770"/>
        <v xml:space="preserve">security(12.5),mobile comm(12.5),for entrepreneurs(6.25), </v>
      </c>
      <c r="FD177" s="21" t="str">
        <f t="shared" ref="FD177" si="1281">IF(FD75="",FD178,$C177&amp;" "&amp;FD75&amp;CHAR(10)&amp;FD178)</f>
        <v xml:space="preserve"> </v>
      </c>
      <c r="FE177" s="21" t="str">
        <f t="shared" si="782"/>
        <v xml:space="preserve">sensors(1,50), security(1,50),  </v>
      </c>
      <c r="FF177" s="21" t="str">
        <f t="shared" ref="FF177" si="1282">IF(FF75="",FF178,$C177&amp;" "&amp;FF75&amp;CHAR(10)&amp;FF178)</f>
        <v xml:space="preserve">sensors 50
security 50
 </v>
      </c>
      <c r="FG177" s="21" t="str">
        <f t="shared" si="784"/>
        <v xml:space="preserve">for entrepreneurs(1),  </v>
      </c>
      <c r="FH177" s="21" t="str">
        <f t="shared" si="785"/>
        <v xml:space="preserve">AI&amp; data analysis(1,6.25), mobile comm(1,6.25), for entrepreneurs(1,6.25),  </v>
      </c>
      <c r="FI177" s="21" t="str">
        <f t="shared" si="770"/>
        <v xml:space="preserve">AI&amp; data analysis(6.25),mobile comm(6.25),for entrepreneurs(6.25), </v>
      </c>
      <c r="FJ177" s="21" t="str">
        <f t="shared" ref="FJ177" si="1283">IF(FJ75="",FJ178,$C177&amp;" "&amp;FJ75&amp;CHAR(10)&amp;FJ178)</f>
        <v xml:space="preserve"> </v>
      </c>
      <c r="FK177" s="21" t="str">
        <f t="shared" si="787"/>
        <v xml:space="preserve">wood processing(1,25), metal processing(1,25), plastic processing(1,25), fabric(1,25), safety(1,25), interaction(1,25),  </v>
      </c>
      <c r="FL177" s="21" t="str">
        <f t="shared" ref="FL177" si="1284">IF(FL75="",FL178,$C177&amp;" "&amp;FL75&amp;CHAR(10)&amp;FL178)</f>
        <v xml:space="preserve">wood processing 25
metal processing 25
plastic processing 25
fabric 25
safety 25
interaction 25
 </v>
      </c>
      <c r="FM177" s="21" t="str">
        <f t="shared" si="789"/>
        <v xml:space="preserve">for entrepreneurs(1),  </v>
      </c>
      <c r="FN177" s="21" t="str">
        <f t="shared" si="790"/>
        <v xml:space="preserve">for entrepreneurs(1,6.25),  </v>
      </c>
      <c r="FO177" s="21" t="str">
        <f t="shared" si="770"/>
        <v xml:space="preserve">for entrepreneurs(6.25), </v>
      </c>
      <c r="FP177" s="21" t="str">
        <f t="shared" ref="FP177" si="1285">IF(FP75="",FP178,$C177&amp;" "&amp;FP75&amp;CHAR(10)&amp;FP178)</f>
        <v xml:space="preserve"> </v>
      </c>
      <c r="FQ177" s="21" t="str">
        <f t="shared" si="792"/>
        <v xml:space="preserve">functions(1,25), interaction(1,25),  </v>
      </c>
      <c r="FR177" s="21" t="str">
        <f t="shared" ref="FR177" si="1286">IF(FR75="",FR178,$C177&amp;" "&amp;FR75&amp;CHAR(10)&amp;FR178)</f>
        <v xml:space="preserve">functions 25
interaction 25
 </v>
      </c>
      <c r="FS177" s="21" t="str">
        <f t="shared" si="794"/>
        <v xml:space="preserve">for entrepreneurs(1),  </v>
      </c>
      <c r="FT177" s="21" t="str">
        <f t="shared" si="795"/>
        <v xml:space="preserve">for entrepreneurs(1,6.25),  </v>
      </c>
      <c r="FU177" s="21" t="str">
        <f t="shared" si="770"/>
        <v xml:space="preserve">for entrepreneurs(6.25), </v>
      </c>
      <c r="FV177" s="21" t="str">
        <f t="shared" ref="FV177" si="1287">IF(FV75="",FV178,$C177&amp;" "&amp;FV75&amp;CHAR(10)&amp;FV178)</f>
        <v xml:space="preserve"> </v>
      </c>
      <c r="FW177" s="21" t="str">
        <f t="shared" si="797"/>
        <v xml:space="preserve">sensors(1,50), wood processing(1,25), plastic processing(1,25), electronics(1,25), functions(1,25), interaction(1,25),  </v>
      </c>
      <c r="FX177" s="21" t="str">
        <f t="shared" ref="FX177" si="1288">IF(FX75="",FX178,$C177&amp;" "&amp;FX75&amp;CHAR(10)&amp;FX178)</f>
        <v xml:space="preserve">sensors 50
wood processing 25
plastic processing 25
electronics 25
functions 25
interaction 25
 </v>
      </c>
      <c r="FY177" s="21" t="str">
        <f t="shared" si="799"/>
        <v xml:space="preserve">for entrepreneurs(1),  </v>
      </c>
      <c r="FZ177" s="21" t="str">
        <f t="shared" si="800"/>
        <v xml:space="preserve">AI&amp; data analysis(1,6.25), mobile comm(1,6.25), for entrepreneurs(1,6.25),  </v>
      </c>
      <c r="GA177" s="21" t="str">
        <f t="shared" si="770"/>
        <v xml:space="preserve">AI&amp; data analysis(6.25),mobile comm(6.25),for entrepreneurs(6.25), </v>
      </c>
      <c r="GB177" s="21" t="str">
        <f t="shared" ref="GB177" si="1289">IF(GB75="",GB178,$C177&amp;" "&amp;GB75&amp;CHAR(10)&amp;GB178)</f>
        <v xml:space="preserve"> </v>
      </c>
      <c r="GC177" s="21" t="str">
        <f t="shared" si="802"/>
        <v xml:space="preserve">sensors(1,25), mobile comm(1,25), electronics(1,50), functions(1,25), safety(1,25),  </v>
      </c>
      <c r="GD177" s="21" t="str">
        <f t="shared" ref="GD177" si="1290">IF(GD75="",GD178,$C177&amp;" "&amp;GD75&amp;CHAR(10)&amp;GD178)</f>
        <v xml:space="preserve">sensors 25
mobile comm 25
electronics 50
functions 25
safety 25
 </v>
      </c>
      <c r="GE177" s="21" t="str">
        <f t="shared" si="804"/>
        <v xml:space="preserve">for entrepreneurs(1),  </v>
      </c>
      <c r="GF177" s="21" t="str">
        <f t="shared" si="805"/>
        <v xml:space="preserve">AI&amp; data analysis(1,6.25), plastic processing(1,6.25), interaction(1,6.25), for entrepreneurs(1,6.25),  </v>
      </c>
      <c r="GG177" s="21" t="str">
        <f t="shared" si="770"/>
        <v xml:space="preserve">AI&amp; data analysis(6.25),plastic processing(6.25),interaction(6.25),for entrepreneurs(6.25), </v>
      </c>
      <c r="GH177" s="21" t="str">
        <f t="shared" ref="GH177" si="1291">IF(GH75="",GH178,$C177&amp;" "&amp;GH75&amp;CHAR(10)&amp;GH178)</f>
        <v xml:space="preserve"> </v>
      </c>
      <c r="GI177" s="21" t="str">
        <f t="shared" si="807"/>
        <v xml:space="preserve">functions(1,25), interaction(1,25),  </v>
      </c>
      <c r="GJ177" s="21" t="str">
        <f t="shared" ref="GJ177" si="1292">IF(GJ75="",GJ178,$C177&amp;" "&amp;GJ75&amp;CHAR(10)&amp;GJ178)</f>
        <v xml:space="preserve">functions 25
interaction 25
 </v>
      </c>
      <c r="GK177" s="21" t="str">
        <f t="shared" si="809"/>
        <v xml:space="preserve">for entrepreneurs(1),  </v>
      </c>
      <c r="GL177" s="21" t="str">
        <f t="shared" si="810"/>
        <v xml:space="preserve">for entrepreneurs(1,6.25),  </v>
      </c>
      <c r="GM177" s="21" t="str">
        <f t="shared" si="770"/>
        <v xml:space="preserve">for entrepreneurs(6.25), </v>
      </c>
      <c r="GN177" s="21" t="str">
        <f t="shared" ref="GN177" si="1293">IF(GN75="",GN178,$C177&amp;" "&amp;GN75&amp;CHAR(10)&amp;GN178)</f>
        <v xml:space="preserve"> </v>
      </c>
      <c r="GO177" s="21" t="str">
        <f t="shared" si="812"/>
        <v xml:space="preserve">VR&amp;AR(1,25), aesthetics(1,25), functions(1,25), interaction(1,50),  </v>
      </c>
      <c r="GP177" s="21" t="str">
        <f t="shared" ref="GP177" si="1294">IF(GP75="",GP178,$C177&amp;" "&amp;GP75&amp;CHAR(10)&amp;GP178)</f>
        <v xml:space="preserve">VR&amp;AR 25
aesthetics 25
functions 25
interaction 50
 </v>
      </c>
      <c r="GQ177" s="21" t="str">
        <f t="shared" si="814"/>
        <v xml:space="preserve">for entrepreneurs(1),  </v>
      </c>
      <c r="GR177" s="21" t="str">
        <f t="shared" si="815"/>
        <v xml:space="preserve">for entrepreneurs(1,6.25),  </v>
      </c>
      <c r="GS177" s="21" t="str">
        <f t="shared" si="770"/>
        <v xml:space="preserve">for entrepreneurs(6.25), </v>
      </c>
      <c r="GT177" s="21" t="str">
        <f t="shared" ref="GT177" si="1295">IF(GT75="",GT178,$C177&amp;" "&amp;GT75&amp;CHAR(10)&amp;GT178)</f>
        <v xml:space="preserve">mobile comm 1
 </v>
      </c>
      <c r="GU177" s="21" t="str">
        <f t="shared" si="817"/>
        <v xml:space="preserve"> </v>
      </c>
      <c r="GV177" s="21" t="str">
        <f t="shared" ref="GV177" si="1296">IF(GV75="",GV178,$C177&amp;" "&amp;GV75&amp;CHAR(10)&amp;GV178)</f>
        <v xml:space="preserve"> </v>
      </c>
      <c r="GW177" s="21" t="str">
        <f t="shared" si="819"/>
        <v xml:space="preserve">sensors(1), security(1), AI&amp; data analysis(1), electronics(1),  </v>
      </c>
      <c r="GX177" s="21" t="str">
        <f t="shared" si="820"/>
        <v xml:space="preserve"> </v>
      </c>
      <c r="GY177" s="21" t="str">
        <f t="shared" si="770"/>
        <v xml:space="preserve"> </v>
      </c>
      <c r="GZ177" s="21" t="str">
        <f t="shared" ref="GZ177" si="1297">IF(GZ75="",GZ178,$C177&amp;" "&amp;GZ75&amp;CHAR(10)&amp;GZ178)</f>
        <v xml:space="preserve"> </v>
      </c>
      <c r="HA177" s="21" t="str">
        <f t="shared" si="822"/>
        <v xml:space="preserve"> </v>
      </c>
      <c r="HB177" s="21" t="str">
        <f t="shared" ref="HB177" si="1298">IF(HB75="",HB178,$C177&amp;" "&amp;HB75&amp;CHAR(10)&amp;HB178)</f>
        <v xml:space="preserve"> </v>
      </c>
      <c r="HC177" s="21" t="str">
        <f t="shared" si="824"/>
        <v xml:space="preserve">sensors(2), AI&amp; data analysis(2), VR&amp;AR(2), plastic processing(2), electronics(2), aesthetics(2), interaction(2),  </v>
      </c>
      <c r="HD177" s="21" t="str">
        <f t="shared" si="825"/>
        <v xml:space="preserve">start-up with customers(1,6.25), for basic literacy(1,6.25),  </v>
      </c>
      <c r="HE177" s="21" t="str">
        <f t="shared" si="826"/>
        <v xml:space="preserve">start-up with customers(6.25),for basic literacy(6.25), </v>
      </c>
      <c r="HF177" s="21" t="str">
        <f t="shared" ref="HF177" si="1299">IF(HF75="",HF178,$C177&amp;" "&amp;HF75&amp;CHAR(10)&amp;HF178)</f>
        <v xml:space="preserve"> </v>
      </c>
      <c r="HG177" s="21" t="str">
        <f t="shared" si="828"/>
        <v xml:space="preserve"> </v>
      </c>
      <c r="HH177" s="21" t="str">
        <f t="shared" ref="HH177" si="1300">IF(HH75="",HH178,$C177&amp;" "&amp;HH75&amp;CHAR(10)&amp;HH178)</f>
        <v xml:space="preserve"> </v>
      </c>
      <c r="HI177" s="21" t="str">
        <f t="shared" si="830"/>
        <v xml:space="preserve">sensors(2), plastic processing(2), electronics(2), aesthetics(2), functions(2), interaction(2),  </v>
      </c>
      <c r="HJ177" s="21" t="str">
        <f t="shared" si="831"/>
        <v xml:space="preserve">start-up with customers(1,6.25),  </v>
      </c>
      <c r="HK177" s="21" t="str">
        <f t="shared" si="826"/>
        <v xml:space="preserve">start-up with customers(6.25), </v>
      </c>
      <c r="HL177" s="21" t="str">
        <f t="shared" ref="HL177" si="1301">IF(HL75="",HL178,$C177&amp;" "&amp;HL75&amp;CHAR(10)&amp;HL178)</f>
        <v xml:space="preserve"> </v>
      </c>
      <c r="HM177" s="21" t="str">
        <f t="shared" si="833"/>
        <v xml:space="preserve"> </v>
      </c>
      <c r="HN177" s="21" t="str">
        <f t="shared" ref="HN177" si="1302">IF(HN75="",HN178,$C177&amp;" "&amp;HN75&amp;CHAR(10)&amp;HN178)</f>
        <v xml:space="preserve"> </v>
      </c>
      <c r="HO177" s="21" t="str">
        <f t="shared" si="835"/>
        <v xml:space="preserve">wood processing(3), plastic processing(3), electronics(3), aesthetics(2), interaction(2),  </v>
      </c>
      <c r="HP177" s="21" t="str">
        <f t="shared" si="836"/>
        <v xml:space="preserve"> </v>
      </c>
      <c r="HQ177" s="47" t="str">
        <f t="shared" si="826"/>
        <v xml:space="preserve"> </v>
      </c>
      <c r="HR177" s="47" t="str">
        <f t="shared" ref="HR177:HW177" si="1303">IF(HR75="",HR178,$C177&amp;"("&amp;HR75&amp;"),"&amp;HR178)</f>
        <v xml:space="preserve">sensors(1),wood processing(1),aesthetics(1), </v>
      </c>
      <c r="HS177" s="47" t="str">
        <f t="shared" si="1303"/>
        <v xml:space="preserve"> </v>
      </c>
      <c r="HT177" s="47" t="str">
        <f t="shared" si="1303"/>
        <v xml:space="preserve"> </v>
      </c>
      <c r="HU177" s="47" t="str">
        <f t="shared" si="1303"/>
        <v xml:space="preserve">sensors(3),AI&amp; data analysis(3),mobile comm(3),VR&amp;AR(3),wood processing(3),metal processing(2),plastic processing(2),electronics(2),fabric(2),aesthetics(2),interaction(2),start-up with mvp(1), </v>
      </c>
      <c r="HV177" s="47" t="str">
        <f t="shared" si="1303"/>
        <v xml:space="preserve"> </v>
      </c>
      <c r="HW177" s="47" t="str">
        <f t="shared" si="1303"/>
        <v xml:space="preserve"> </v>
      </c>
      <c r="HX177" s="47" t="str">
        <f t="shared" ref="HX177:IU177" si="1304">IF(HX75="",HX178,$C177&amp;"("&amp;HX75&amp;"),"&amp;HX178)</f>
        <v xml:space="preserve">sensors(1),AI&amp; data analysis(2),VR&amp;AR(1),wood processing(1),metal processing(1),plastic processing(1),electronics(1),aesthetics(1),functions(1),interaction(1), </v>
      </c>
      <c r="HY177" s="47" t="str">
        <f t="shared" si="1304"/>
        <v xml:space="preserve">biz enhancement(1), </v>
      </c>
      <c r="HZ177" s="47" t="str">
        <f t="shared" si="1304"/>
        <v xml:space="preserve">biz enhancement(100), </v>
      </c>
      <c r="IA177" s="47" t="str">
        <f t="shared" si="1304"/>
        <v xml:space="preserve"> </v>
      </c>
      <c r="IB177" s="47" t="str">
        <f t="shared" si="1304"/>
        <v xml:space="preserve">AI&amp; data analysis(1),electronics(1),functions(1), </v>
      </c>
      <c r="IC177" s="47" t="str">
        <f t="shared" si="1304"/>
        <v xml:space="preserve">AI&amp; data analysis(6.25),electronics(6.25),functions(6.25), </v>
      </c>
      <c r="ID177" s="47" t="str">
        <f t="shared" si="1304"/>
        <v xml:space="preserve"> </v>
      </c>
      <c r="IE177" s="47" t="str">
        <f t="shared" si="1304"/>
        <v xml:space="preserve">security(1),AI&amp; data analysis(1), </v>
      </c>
      <c r="IF177" s="47" t="str">
        <f t="shared" si="1304"/>
        <v xml:space="preserve">security(25),AI&amp; data analysis(25), </v>
      </c>
      <c r="IG177" s="47" t="str">
        <f t="shared" si="1304"/>
        <v xml:space="preserve">security(2),AI&amp; data analysis(2), </v>
      </c>
      <c r="IH177" s="47" t="str">
        <f t="shared" si="1304"/>
        <v xml:space="preserve">security(1),AI&amp; data analysis(1), </v>
      </c>
      <c r="II177" s="47" t="str">
        <f t="shared" si="1304"/>
        <v xml:space="preserve">security(6.25),AI&amp; data analysis(6.25), </v>
      </c>
      <c r="IJ177" s="47" t="str">
        <f t="shared" si="1304"/>
        <v xml:space="preserve"> </v>
      </c>
      <c r="IK177" s="47" t="str">
        <f t="shared" si="1304"/>
        <v xml:space="preserve">wood processing(1),metal processing(1),functions(1),safety(1), </v>
      </c>
      <c r="IL177" s="47" t="str">
        <f t="shared" si="1304"/>
        <v xml:space="preserve">wood processing(25),metal processing(25),functions(25),safety(25), </v>
      </c>
      <c r="IM177" s="47" t="str">
        <f t="shared" si="1304"/>
        <v xml:space="preserve">wood processing(2),metal processing(2),functions(2),safety(2), </v>
      </c>
      <c r="IN177" s="47" t="str">
        <f t="shared" si="1304"/>
        <v xml:space="preserve">wood processing(1),metal processing(1),functions(1),safety(1),interaction(1), </v>
      </c>
      <c r="IO177" s="47" t="str">
        <f t="shared" si="1304"/>
        <v xml:space="preserve">wood processing(6.25),metal processing(6.25),functions(6.25),safety(6.25),interaction(6.25), </v>
      </c>
      <c r="IP177" s="57" t="str">
        <f t="shared" si="1304"/>
        <v xml:space="preserve"> </v>
      </c>
      <c r="IQ177" s="47" t="str">
        <f t="shared" si="1304"/>
        <v xml:space="preserve"> </v>
      </c>
      <c r="IR177" s="47" t="str">
        <f t="shared" si="1304"/>
        <v xml:space="preserve"> </v>
      </c>
      <c r="IS177" s="47" t="str">
        <f t="shared" si="1304"/>
        <v xml:space="preserve"> </v>
      </c>
      <c r="IT177" s="47" t="str">
        <f t="shared" si="1304"/>
        <v xml:space="preserve"> </v>
      </c>
      <c r="IU177" s="47" t="str">
        <f t="shared" si="1304"/>
        <v xml:space="preserve"> </v>
      </c>
      <c r="IV177" s="57" t="str">
        <f t="shared" ref="IV177:LG177" si="1305">IF(IV75="",IV178,$C177&amp;"("&amp;IV75&amp;"),"&amp;IV178)</f>
        <v xml:space="preserve"> </v>
      </c>
      <c r="IW177" s="47" t="str">
        <f t="shared" si="1305"/>
        <v xml:space="preserve"> </v>
      </c>
      <c r="IX177" s="47" t="str">
        <f t="shared" si="1305"/>
        <v xml:space="preserve"> </v>
      </c>
      <c r="IY177" s="47" t="str">
        <f t="shared" si="1305"/>
        <v xml:space="preserve"> </v>
      </c>
      <c r="IZ177" s="47" t="str">
        <f t="shared" si="1305"/>
        <v xml:space="preserve"> </v>
      </c>
      <c r="JA177" s="47" t="str">
        <f t="shared" si="1305"/>
        <v xml:space="preserve"> </v>
      </c>
      <c r="JB177" s="47" t="str">
        <f t="shared" si="1305"/>
        <v xml:space="preserve"> </v>
      </c>
      <c r="JC177" s="47" t="str">
        <f t="shared" si="1305"/>
        <v xml:space="preserve"> </v>
      </c>
      <c r="JD177" s="47" t="str">
        <f t="shared" si="1305"/>
        <v xml:space="preserve"> </v>
      </c>
      <c r="JE177" s="47" t="str">
        <f t="shared" si="1305"/>
        <v xml:space="preserve"> </v>
      </c>
      <c r="JF177" s="47" t="str">
        <f t="shared" si="1305"/>
        <v xml:space="preserve">sensors(1),security(1),AI&amp; data analysis(1),mobile comm(1),VR&amp;AR(1),wood processing(1),metal processing(1),plastic processing(1),electronics(1),fabric(1),aesthetics(1),functions(1),safety(1),interaction(1), </v>
      </c>
      <c r="JG177" s="47" t="str">
        <f t="shared" si="1305"/>
        <v xml:space="preserve">sensors(6.25),security(6.25),AI&amp; data analysis(6.25),mobile comm(6.25),VR&amp;AR(6.25),wood processing(6.25),metal processing(6.25),plastic processing(6.25),electronics(6.25),fabric(6.25),aesthetics(6.25),functions(6.25),safety(6.25),interaction(6.25), </v>
      </c>
      <c r="JH177" s="47" t="str">
        <f t="shared" si="1305"/>
        <v xml:space="preserve"> </v>
      </c>
      <c r="JI177" s="47" t="str">
        <f t="shared" si="1305"/>
        <v xml:space="preserve"> </v>
      </c>
      <c r="JJ177" s="47" t="str">
        <f t="shared" si="1305"/>
        <v xml:space="preserve"> </v>
      </c>
      <c r="JK177" s="47" t="str">
        <f t="shared" si="1305"/>
        <v xml:space="preserve">social project(1),social innovation(1),non-profit biz(1),biz project(1),biz enhancement(1),job creation(1),business(1),start-up(1),start-up with mvp(1),start-up with customers(1),for basic literacy(1),for the elites(1),for entrepreneurs(1), </v>
      </c>
      <c r="JL177" s="47" t="str">
        <f t="shared" si="1305"/>
        <v xml:space="preserve"> </v>
      </c>
      <c r="JM177" s="47" t="str">
        <f t="shared" si="1305"/>
        <v xml:space="preserve"> </v>
      </c>
      <c r="JN177" s="47" t="str">
        <f t="shared" si="1305"/>
        <v xml:space="preserve"> </v>
      </c>
      <c r="JO177" s="47" t="str">
        <f t="shared" si="1305"/>
        <v xml:space="preserve"> </v>
      </c>
      <c r="JP177" s="47" t="str">
        <f t="shared" si="1305"/>
        <v xml:space="preserve"> </v>
      </c>
      <c r="JQ177" s="47" t="str">
        <f t="shared" si="1305"/>
        <v xml:space="preserve">electronics(1),aesthetics(1),interaction(1),social project(1),social innovation(1),non-profit biz(1),biz project(1),biz enhancement(1),job creation(1),business(1),start-up(1),start-up with mvp(1),start-up with customers(1),for basic literacy(1),for the elites(1),for entrepreneurs(1), </v>
      </c>
      <c r="JR177" s="47" t="str">
        <f t="shared" si="1305"/>
        <v xml:space="preserve"> </v>
      </c>
      <c r="JS177" s="47" t="str">
        <f t="shared" si="1305"/>
        <v xml:space="preserve"> </v>
      </c>
      <c r="JT177" s="47" t="str">
        <f t="shared" si="1305"/>
        <v xml:space="preserve"> </v>
      </c>
      <c r="JU177" s="47" t="str">
        <f t="shared" si="1305"/>
        <v xml:space="preserve"> </v>
      </c>
      <c r="JV177" s="47" t="str">
        <f t="shared" si="1305"/>
        <v xml:space="preserve"> </v>
      </c>
      <c r="JW177" s="47" t="str">
        <f t="shared" si="1305"/>
        <v xml:space="preserve">social project(2),social innovation(1),non-profit biz(1),biz project(2),biz enhancement(2),job creation(1),business(1),start-up(2),start-up with mvp(1),start-up with customers(1),for basic literacy(2),for the elites(1),for entrepreneurs(1), </v>
      </c>
      <c r="JX177" s="47" t="str">
        <f t="shared" si="1305"/>
        <v xml:space="preserve"> </v>
      </c>
      <c r="JY177" s="47" t="str">
        <f t="shared" si="1305"/>
        <v xml:space="preserve"> </v>
      </c>
      <c r="JZ177" s="47" t="str">
        <f t="shared" si="1305"/>
        <v xml:space="preserve">social project(2), </v>
      </c>
      <c r="KA177" s="47" t="str">
        <f t="shared" si="1305"/>
        <v xml:space="preserve"> </v>
      </c>
      <c r="KB177" s="47" t="str">
        <f t="shared" si="1305"/>
        <v xml:space="preserve"> </v>
      </c>
      <c r="KC177" s="47" t="str">
        <f t="shared" si="1305"/>
        <v xml:space="preserve">sensors(1),AI&amp; data analysis(1),electronics(1),aesthetics(1),social project(3),social innovation(1),non-profit biz(1),biz project(2),biz enhancement(2),job creation(1),business(1),start-up(2),start-up with mvp(1),start-up with customers(1),for basic literacy(2),for the elites(1),for entrepreneurs(1), </v>
      </c>
      <c r="KD177" s="47" t="str">
        <f t="shared" si="1305"/>
        <v xml:space="preserve"> </v>
      </c>
      <c r="KE177" s="47" t="str">
        <f t="shared" si="1305"/>
        <v xml:space="preserve"> </v>
      </c>
      <c r="KF177" s="47" t="str">
        <f t="shared" si="1305"/>
        <v xml:space="preserve"> </v>
      </c>
      <c r="KG177" s="47" t="str">
        <f t="shared" si="1305"/>
        <v xml:space="preserve"> </v>
      </c>
      <c r="KH177" s="47" t="str">
        <f t="shared" si="1305"/>
        <v xml:space="preserve"> </v>
      </c>
      <c r="KI177" s="47" t="str">
        <f t="shared" si="1305"/>
        <v xml:space="preserve"> </v>
      </c>
      <c r="KJ177" s="47" t="str">
        <f t="shared" si="1305"/>
        <v xml:space="preserve"> </v>
      </c>
      <c r="KK177" s="47" t="str">
        <f t="shared" si="1305"/>
        <v xml:space="preserve"> </v>
      </c>
      <c r="KL177" s="57" t="str">
        <f t="shared" si="1305"/>
        <v xml:space="preserve"> </v>
      </c>
      <c r="KM177" s="47" t="str">
        <f t="shared" si="1305"/>
        <v xml:space="preserve"> </v>
      </c>
      <c r="KN177" s="47" t="str">
        <f t="shared" si="1305"/>
        <v xml:space="preserve"> </v>
      </c>
      <c r="KO177" s="47" t="str">
        <f t="shared" si="1305"/>
        <v xml:space="preserve"> </v>
      </c>
      <c r="KP177" s="47" t="str">
        <f t="shared" si="1305"/>
        <v xml:space="preserve"> </v>
      </c>
      <c r="KQ177" s="47" t="str">
        <f t="shared" si="1305"/>
        <v xml:space="preserve"> </v>
      </c>
      <c r="KR177" s="57" t="str">
        <f t="shared" si="1305"/>
        <v xml:space="preserve"> </v>
      </c>
      <c r="KS177" s="47" t="str">
        <f t="shared" si="1305"/>
        <v xml:space="preserve"> </v>
      </c>
      <c r="KT177" s="47" t="str">
        <f t="shared" si="1305"/>
        <v xml:space="preserve"> </v>
      </c>
      <c r="KU177" s="47" t="str">
        <f t="shared" si="1305"/>
        <v xml:space="preserve"> </v>
      </c>
      <c r="KV177" s="47" t="str">
        <f t="shared" si="1305"/>
        <v xml:space="preserve"> </v>
      </c>
      <c r="KW177" s="47" t="str">
        <f t="shared" si="1305"/>
        <v xml:space="preserve"> </v>
      </c>
      <c r="KX177" s="57" t="str">
        <f t="shared" si="1305"/>
        <v xml:space="preserve"> </v>
      </c>
      <c r="KY177" s="47" t="str">
        <f t="shared" si="1305"/>
        <v xml:space="preserve"> </v>
      </c>
      <c r="KZ177" s="47" t="str">
        <f t="shared" si="1305"/>
        <v xml:space="preserve"> </v>
      </c>
      <c r="LA177" s="47" t="str">
        <f t="shared" si="1305"/>
        <v xml:space="preserve"> </v>
      </c>
      <c r="LB177" s="47" t="str">
        <f t="shared" si="1305"/>
        <v xml:space="preserve"> </v>
      </c>
      <c r="LC177" s="47" t="str">
        <f t="shared" si="1305"/>
        <v xml:space="preserve"> </v>
      </c>
      <c r="LD177" s="57" t="str">
        <f t="shared" si="1305"/>
        <v xml:space="preserve"> </v>
      </c>
      <c r="LE177" s="47" t="str">
        <f t="shared" si="1305"/>
        <v xml:space="preserve"> </v>
      </c>
      <c r="LF177" s="47" t="str">
        <f t="shared" si="1305"/>
        <v xml:space="preserve"> </v>
      </c>
      <c r="LG177" s="47" t="str">
        <f t="shared" si="1305"/>
        <v xml:space="preserve"> </v>
      </c>
      <c r="LH177" s="47" t="str">
        <f t="shared" ref="LH177:NM177" si="1306">IF(LH75="",LH178,$C177&amp;"("&amp;LH75&amp;"),"&amp;LH178)</f>
        <v xml:space="preserve"> </v>
      </c>
      <c r="LI177" s="47" t="str">
        <f t="shared" si="1306"/>
        <v xml:space="preserve"> </v>
      </c>
      <c r="LJ177" s="57" t="str">
        <f t="shared" si="1306"/>
        <v xml:space="preserve"> </v>
      </c>
      <c r="LK177" s="47" t="str">
        <f t="shared" si="1306"/>
        <v xml:space="preserve"> </v>
      </c>
      <c r="LL177" s="47" t="str">
        <f t="shared" si="1306"/>
        <v xml:space="preserve"> </v>
      </c>
      <c r="LM177" s="47" t="str">
        <f t="shared" si="1306"/>
        <v xml:space="preserve"> </v>
      </c>
      <c r="LN177" s="47" t="str">
        <f t="shared" si="1306"/>
        <v xml:space="preserve"> </v>
      </c>
      <c r="LO177" s="47" t="str">
        <f t="shared" si="1306"/>
        <v xml:space="preserve"> </v>
      </c>
      <c r="LP177" s="57" t="str">
        <f t="shared" si="1306"/>
        <v xml:space="preserve"> </v>
      </c>
      <c r="LQ177" s="47" t="str">
        <f t="shared" si="1306"/>
        <v xml:space="preserve"> </v>
      </c>
      <c r="LR177" s="47" t="str">
        <f t="shared" si="1306"/>
        <v xml:space="preserve"> </v>
      </c>
      <c r="LS177" s="47" t="str">
        <f t="shared" si="1306"/>
        <v xml:space="preserve"> </v>
      </c>
      <c r="LT177" s="47" t="str">
        <f t="shared" si="1306"/>
        <v xml:space="preserve"> </v>
      </c>
      <c r="LU177" s="47" t="str">
        <f t="shared" si="1306"/>
        <v xml:space="preserve"> </v>
      </c>
      <c r="LV177" s="57" t="str">
        <f t="shared" si="1306"/>
        <v xml:space="preserve"> </v>
      </c>
      <c r="LW177" s="47" t="str">
        <f t="shared" si="1306"/>
        <v xml:space="preserve"> </v>
      </c>
      <c r="LX177" s="47" t="str">
        <f t="shared" si="1306"/>
        <v xml:space="preserve"> </v>
      </c>
      <c r="LY177" s="47" t="str">
        <f t="shared" si="1306"/>
        <v xml:space="preserve"> </v>
      </c>
      <c r="LZ177" s="47" t="str">
        <f t="shared" si="1306"/>
        <v xml:space="preserve"> </v>
      </c>
      <c r="MA177" s="47" t="str">
        <f t="shared" si="1306"/>
        <v xml:space="preserve"> </v>
      </c>
      <c r="MB177" s="57" t="str">
        <f t="shared" si="1306"/>
        <v xml:space="preserve"> </v>
      </c>
      <c r="MC177" s="47" t="str">
        <f t="shared" si="1306"/>
        <v xml:space="preserve"> </v>
      </c>
      <c r="MD177" s="47" t="str">
        <f t="shared" si="1306"/>
        <v xml:space="preserve"> </v>
      </c>
      <c r="ME177" s="47" t="str">
        <f t="shared" si="1306"/>
        <v xml:space="preserve"> </v>
      </c>
      <c r="MF177" s="47" t="str">
        <f t="shared" si="1306"/>
        <v xml:space="preserve"> </v>
      </c>
      <c r="MG177" s="47" t="str">
        <f t="shared" si="1306"/>
        <v xml:space="preserve"> </v>
      </c>
      <c r="MH177" s="57" t="str">
        <f t="shared" si="1306"/>
        <v xml:space="preserve"> </v>
      </c>
      <c r="MI177" s="47" t="str">
        <f t="shared" si="1306"/>
        <v xml:space="preserve"> </v>
      </c>
      <c r="MJ177" s="47" t="str">
        <f t="shared" si="1306"/>
        <v xml:space="preserve"> </v>
      </c>
      <c r="MK177" s="47" t="str">
        <f t="shared" si="1306"/>
        <v xml:space="preserve"> </v>
      </c>
      <c r="ML177" s="47" t="str">
        <f t="shared" si="1306"/>
        <v xml:space="preserve"> </v>
      </c>
      <c r="MM177" s="47" t="str">
        <f t="shared" si="1306"/>
        <v xml:space="preserve"> </v>
      </c>
      <c r="MN177" s="57" t="str">
        <f t="shared" si="1306"/>
        <v xml:space="preserve"> </v>
      </c>
      <c r="MO177" s="47" t="str">
        <f t="shared" si="1306"/>
        <v xml:space="preserve"> </v>
      </c>
      <c r="MP177" s="47" t="str">
        <f t="shared" si="1306"/>
        <v xml:space="preserve"> </v>
      </c>
      <c r="MQ177" s="47" t="str">
        <f t="shared" si="1306"/>
        <v xml:space="preserve"> </v>
      </c>
      <c r="MR177" s="47" t="str">
        <f t="shared" si="1306"/>
        <v xml:space="preserve"> </v>
      </c>
      <c r="MS177" s="47" t="str">
        <f t="shared" si="1306"/>
        <v xml:space="preserve"> </v>
      </c>
      <c r="MT177" s="57" t="str">
        <f t="shared" si="1306"/>
        <v xml:space="preserve"> </v>
      </c>
      <c r="MU177" s="47" t="str">
        <f t="shared" si="1306"/>
        <v xml:space="preserve"> </v>
      </c>
      <c r="MV177" s="47" t="str">
        <f t="shared" si="1306"/>
        <v xml:space="preserve"> </v>
      </c>
      <c r="MW177" s="47" t="str">
        <f t="shared" si="1306"/>
        <v xml:space="preserve"> </v>
      </c>
      <c r="MX177" s="47" t="str">
        <f t="shared" si="1306"/>
        <v xml:space="preserve"> </v>
      </c>
      <c r="MY177" s="47" t="str">
        <f t="shared" si="1306"/>
        <v xml:space="preserve"> </v>
      </c>
      <c r="MZ177" s="57" t="str">
        <f t="shared" si="1306"/>
        <v xml:space="preserve"> </v>
      </c>
      <c r="NA177" s="47" t="str">
        <f t="shared" si="1306"/>
        <v xml:space="preserve"> </v>
      </c>
      <c r="NB177" s="47" t="str">
        <f t="shared" si="1306"/>
        <v xml:space="preserve"> </v>
      </c>
      <c r="NC177" s="47" t="str">
        <f t="shared" si="1306"/>
        <v xml:space="preserve"> </v>
      </c>
      <c r="ND177" s="47" t="str">
        <f t="shared" si="1306"/>
        <v xml:space="preserve"> </v>
      </c>
      <c r="NE177" s="47" t="str">
        <f t="shared" si="1306"/>
        <v xml:space="preserve"> </v>
      </c>
      <c r="NF177" s="57" t="str">
        <f t="shared" si="1306"/>
        <v xml:space="preserve"> </v>
      </c>
      <c r="NG177" s="47" t="str">
        <f t="shared" si="1306"/>
        <v xml:space="preserve"> </v>
      </c>
      <c r="NH177" s="47" t="str">
        <f t="shared" si="1306"/>
        <v xml:space="preserve"> </v>
      </c>
      <c r="NI177" s="47" t="str">
        <f t="shared" si="1306"/>
        <v xml:space="preserve"> </v>
      </c>
      <c r="NJ177" s="47" t="str">
        <f t="shared" si="1306"/>
        <v xml:space="preserve"> </v>
      </c>
      <c r="NK177" s="47" t="str">
        <f t="shared" si="1306"/>
        <v xml:space="preserve"> </v>
      </c>
      <c r="NL177" s="57" t="str">
        <f t="shared" si="1306"/>
        <v xml:space="preserve"> </v>
      </c>
      <c r="NM177" s="47" t="str">
        <f t="shared" si="1306"/>
        <v xml:space="preserve"> </v>
      </c>
    </row>
    <row r="178" spans="3:377" ht="15.75" customHeight="1">
      <c r="C178" s="7" t="str">
        <f t="shared" si="841"/>
        <v>security</v>
      </c>
      <c r="D178" s="21" t="str">
        <f t="shared" si="651"/>
        <v xml:space="preserve"> </v>
      </c>
      <c r="E178" s="21" t="str">
        <f t="shared" si="842"/>
        <v xml:space="preserve"> </v>
      </c>
      <c r="F178" s="21" t="str">
        <f t="shared" si="651"/>
        <v xml:space="preserve"> </v>
      </c>
      <c r="G178" s="21" t="str">
        <f t="shared" si="843"/>
        <v xml:space="preserve"> </v>
      </c>
      <c r="H178" s="21" t="str">
        <f t="shared" si="844"/>
        <v xml:space="preserve"> </v>
      </c>
      <c r="I178" s="21" t="str">
        <f t="shared" ref="I178" si="1307">IF(I76="",I179,$C178&amp;"("&amp;I76&amp;"),"&amp;I179)</f>
        <v xml:space="preserve"> </v>
      </c>
      <c r="J178" s="21" t="str">
        <f t="shared" ref="J178" si="1308">IF(J76="",J179,$C178&amp;" "&amp;J76&amp;CHAR(10)&amp;J179)</f>
        <v xml:space="preserve">interaction 1
 </v>
      </c>
      <c r="K178" s="21" t="str">
        <f t="shared" si="654"/>
        <v xml:space="preserve"> </v>
      </c>
      <c r="L178" s="21" t="str">
        <f t="shared" ref="L178" si="1309">IF(L76="",L179,$C178&amp;" "&amp;L76&amp;CHAR(10)&amp;L179)</f>
        <v xml:space="preserve"> </v>
      </c>
      <c r="M178" s="21" t="str">
        <f t="shared" si="656"/>
        <v xml:space="preserve">social innovation(1), non-profit biz(1),  </v>
      </c>
      <c r="N178" s="21" t="str">
        <f t="shared" si="657"/>
        <v xml:space="preserve"> </v>
      </c>
      <c r="O178" s="21" t="str">
        <f t="shared" si="658"/>
        <v xml:space="preserve"> </v>
      </c>
      <c r="P178" s="21" t="str">
        <f t="shared" ref="P178" si="1310">IF(P76="",P179,$C178&amp;" "&amp;P76&amp;CHAR(10)&amp;P179)</f>
        <v xml:space="preserve">biz project 1
 </v>
      </c>
      <c r="Q178" s="21" t="str">
        <f t="shared" si="660"/>
        <v xml:space="preserve"> </v>
      </c>
      <c r="R178" s="21" t="str">
        <f t="shared" ref="R178" si="1311">IF(R76="",R179,$C178&amp;" "&amp;R76&amp;CHAR(10)&amp;R179)</f>
        <v xml:space="preserve"> </v>
      </c>
      <c r="S178" s="21" t="str">
        <f t="shared" si="662"/>
        <v xml:space="preserve">biz enhancement(1), business(1), start-up(1),  </v>
      </c>
      <c r="T178" s="21" t="str">
        <f t="shared" si="663"/>
        <v xml:space="preserve"> </v>
      </c>
      <c r="U178" s="21" t="str">
        <f t="shared" si="658"/>
        <v xml:space="preserve"> </v>
      </c>
      <c r="V178" s="21" t="str">
        <f t="shared" ref="V178" si="1312">IF(V76="",V179,$C178&amp;" "&amp;V76&amp;CHAR(10)&amp;V179)</f>
        <v xml:space="preserve"> </v>
      </c>
      <c r="W178" s="21" t="str">
        <f t="shared" si="665"/>
        <v xml:space="preserve"> </v>
      </c>
      <c r="X178" s="21" t="str">
        <f t="shared" ref="X178" si="1313">IF(X76="",X179,$C178&amp;" "&amp;X76&amp;CHAR(10)&amp;X179)</f>
        <v xml:space="preserve"> </v>
      </c>
      <c r="Y178" s="21" t="str">
        <f t="shared" si="667"/>
        <v xml:space="preserve">biz project(1), biz enhancement(1), job creation(1), business(1),  </v>
      </c>
      <c r="Z178" s="21" t="str">
        <f t="shared" si="668"/>
        <v xml:space="preserve"> </v>
      </c>
      <c r="AA178" s="21" t="str">
        <f t="shared" si="658"/>
        <v xml:space="preserve"> </v>
      </c>
      <c r="AB178" s="21" t="str">
        <f t="shared" ref="AB178" si="1314">IF(AB76="",AB179,$C178&amp;" "&amp;AB76&amp;CHAR(10)&amp;AB179)</f>
        <v xml:space="preserve"> </v>
      </c>
      <c r="AC178" s="21" t="str">
        <f t="shared" si="670"/>
        <v xml:space="preserve"> </v>
      </c>
      <c r="AD178" s="21" t="str">
        <f t="shared" ref="AD178" si="1315">IF(AD76="",AD179,$C178&amp;" "&amp;AD76&amp;CHAR(10)&amp;AD179)</f>
        <v xml:space="preserve"> </v>
      </c>
      <c r="AE178" s="21" t="str">
        <f t="shared" si="672"/>
        <v xml:space="preserve">social project(1), social innovation(1), non-profit biz(1),  </v>
      </c>
      <c r="AF178" s="21" t="str">
        <f t="shared" si="673"/>
        <v xml:space="preserve"> </v>
      </c>
      <c r="AG178" s="21" t="str">
        <f t="shared" si="658"/>
        <v xml:space="preserve"> </v>
      </c>
      <c r="AH178" s="21" t="str">
        <f t="shared" ref="AH178" si="1316">IF(AH76="",AH179,$C178&amp;" "&amp;AH76&amp;CHAR(10)&amp;AH179)</f>
        <v xml:space="preserve"> </v>
      </c>
      <c r="AI178" s="21" t="str">
        <f t="shared" si="675"/>
        <v xml:space="preserve"> </v>
      </c>
      <c r="AJ178" s="21" t="str">
        <f t="shared" ref="AJ178" si="1317">IF(AJ76="",AJ179,$C178&amp;" "&amp;AJ76&amp;CHAR(10)&amp;AJ179)</f>
        <v xml:space="preserve"> </v>
      </c>
      <c r="AK178" s="21" t="str">
        <f t="shared" si="677"/>
        <v xml:space="preserve">social project(1), social innovation(1), non-profit biz(1),  </v>
      </c>
      <c r="AL178" s="21" t="str">
        <f t="shared" si="678"/>
        <v xml:space="preserve"> </v>
      </c>
      <c r="AM178" s="21" t="str">
        <f t="shared" si="658"/>
        <v xml:space="preserve"> </v>
      </c>
      <c r="AN178" s="21" t="str">
        <f t="shared" ref="AN178" si="1318">IF(AN76="",AN179,$C178&amp;" "&amp;AN76&amp;CHAR(10)&amp;AN179)</f>
        <v xml:space="preserve"> </v>
      </c>
      <c r="AO178" s="21" t="str">
        <f t="shared" si="680"/>
        <v xml:space="preserve"> </v>
      </c>
      <c r="AP178" s="21" t="str">
        <f t="shared" ref="AP178" si="1319">IF(AP76="",AP179,$C178&amp;" "&amp;AP76&amp;CHAR(10)&amp;AP179)</f>
        <v xml:space="preserve"> </v>
      </c>
      <c r="AQ178" s="21" t="str">
        <f t="shared" si="682"/>
        <v xml:space="preserve">start-up(1), start-up with mvp(1), start-up with customers(1),  </v>
      </c>
      <c r="AR178" s="21" t="str">
        <f t="shared" si="683"/>
        <v xml:space="preserve"> </v>
      </c>
      <c r="AS178" s="21" t="str">
        <f t="shared" si="658"/>
        <v xml:space="preserve"> </v>
      </c>
      <c r="AT178" s="21" t="str">
        <f t="shared" ref="AT178" si="1320">IF(AT76="",AT179,$C178&amp;" "&amp;AT76&amp;CHAR(10)&amp;AT179)</f>
        <v xml:space="preserve">social project 1
 </v>
      </c>
      <c r="AU178" s="21" t="str">
        <f t="shared" si="685"/>
        <v xml:space="preserve"> </v>
      </c>
      <c r="AV178" s="21" t="str">
        <f t="shared" ref="AV178" si="1321">IF(AV76="",AV179,$C178&amp;" "&amp;AV76&amp;CHAR(10)&amp;AV179)</f>
        <v xml:space="preserve"> </v>
      </c>
      <c r="AW178" s="21" t="str">
        <f t="shared" si="687"/>
        <v xml:space="preserve"> </v>
      </c>
      <c r="AX178" s="21" t="str">
        <f t="shared" si="688"/>
        <v xml:space="preserve"> </v>
      </c>
      <c r="AY178" s="21" t="str">
        <f t="shared" si="658"/>
        <v xml:space="preserve"> </v>
      </c>
      <c r="AZ178" s="21" t="str">
        <f t="shared" ref="AZ178" si="1322">IF(AZ76="",AZ179,$C178&amp;" "&amp;AZ76&amp;CHAR(10)&amp;AZ179)</f>
        <v xml:space="preserve"> </v>
      </c>
      <c r="BA178" s="21" t="str">
        <f t="shared" si="690"/>
        <v xml:space="preserve"> </v>
      </c>
      <c r="BB178" s="21" t="str">
        <f t="shared" ref="BB178" si="1323">IF(BB76="",BB179,$C178&amp;" "&amp;BB76&amp;CHAR(10)&amp;BB179)</f>
        <v xml:space="preserve"> </v>
      </c>
      <c r="BC178" s="21" t="str">
        <f t="shared" si="692"/>
        <v xml:space="preserve"> </v>
      </c>
      <c r="BD178" s="21" t="str">
        <f t="shared" si="693"/>
        <v xml:space="preserve"> </v>
      </c>
      <c r="BE178" s="21" t="str">
        <f t="shared" si="658"/>
        <v xml:space="preserve"> </v>
      </c>
      <c r="BF178" s="21" t="str">
        <f t="shared" ref="BF178" si="1324">IF(BF76="",BF179,$C178&amp;" "&amp;BF76&amp;CHAR(10)&amp;BF179)</f>
        <v xml:space="preserve">biz project 1
 </v>
      </c>
      <c r="BG178" s="21" t="str">
        <f t="shared" si="695"/>
        <v xml:space="preserve"> </v>
      </c>
      <c r="BH178" s="21" t="str">
        <f t="shared" ref="BH178" si="1325">IF(BH76="",BH179,$C178&amp;" "&amp;BH76&amp;CHAR(10)&amp;BH179)</f>
        <v xml:space="preserve"> </v>
      </c>
      <c r="BI178" s="21" t="str">
        <f t="shared" si="697"/>
        <v xml:space="preserve"> </v>
      </c>
      <c r="BJ178" s="21" t="str">
        <f t="shared" si="698"/>
        <v xml:space="preserve"> </v>
      </c>
      <c r="BK178" s="21" t="str">
        <f t="shared" si="658"/>
        <v xml:space="preserve"> </v>
      </c>
      <c r="BL178" s="21" t="str">
        <f t="shared" ref="BL178" si="1326">IF(BL76="",BL179,$C178&amp;" "&amp;BL76&amp;CHAR(10)&amp;BL179)</f>
        <v xml:space="preserve">biz enhancement 1
 </v>
      </c>
      <c r="BM178" s="21" t="str">
        <f t="shared" si="700"/>
        <v xml:space="preserve"> </v>
      </c>
      <c r="BN178" s="21" t="str">
        <f t="shared" ref="BN178" si="1327">IF(BN76="",BN179,$C178&amp;" "&amp;BN76&amp;CHAR(10)&amp;BN179)</f>
        <v xml:space="preserve"> </v>
      </c>
      <c r="BO178" s="21" t="str">
        <f t="shared" si="702"/>
        <v xml:space="preserve"> </v>
      </c>
      <c r="BP178" s="21" t="str">
        <f t="shared" si="703"/>
        <v xml:space="preserve"> </v>
      </c>
      <c r="BQ178" s="21" t="str">
        <f t="shared" si="658"/>
        <v xml:space="preserve"> </v>
      </c>
      <c r="BR178" s="21" t="str">
        <f t="shared" ref="BR178" si="1328">IF(BR76="",BR179,$C178&amp;" "&amp;BR76&amp;CHAR(10)&amp;BR179)</f>
        <v xml:space="preserve"> </v>
      </c>
      <c r="BS178" s="21" t="str">
        <f t="shared" si="705"/>
        <v xml:space="preserve"> </v>
      </c>
      <c r="BT178" s="21" t="str">
        <f t="shared" ref="BT178" si="1329">IF(BT76="",BT179,$C178&amp;" "&amp;BT76&amp;CHAR(10)&amp;BT179)</f>
        <v xml:space="preserve"> </v>
      </c>
      <c r="BU178" s="21" t="str">
        <f t="shared" si="707"/>
        <v xml:space="preserve"> </v>
      </c>
      <c r="BV178" s="21" t="str">
        <f t="shared" si="708"/>
        <v xml:space="preserve"> </v>
      </c>
      <c r="BW178" s="21" t="str">
        <f t="shared" si="658"/>
        <v xml:space="preserve"> </v>
      </c>
      <c r="BX178" s="21" t="str">
        <f t="shared" ref="BX178" si="1330">IF(BX76="",BX179,$C178&amp;" "&amp;BX76&amp;CHAR(10)&amp;BX179)</f>
        <v xml:space="preserve"> </v>
      </c>
      <c r="BY178" s="21" t="str">
        <f t="shared" si="710"/>
        <v xml:space="preserve"> </v>
      </c>
      <c r="BZ178" s="21" t="str">
        <f t="shared" ref="BZ178" si="1331">IF(BZ76="",BZ179,$C178&amp;" "&amp;BZ76&amp;CHAR(10)&amp;BZ179)</f>
        <v xml:space="preserve"> </v>
      </c>
      <c r="CA178" s="21" t="str">
        <f t="shared" si="712"/>
        <v xml:space="preserve"> </v>
      </c>
      <c r="CB178" s="21" t="str">
        <f t="shared" si="713"/>
        <v xml:space="preserve"> </v>
      </c>
      <c r="CC178" s="21" t="str">
        <f t="shared" si="714"/>
        <v xml:space="preserve"> </v>
      </c>
      <c r="CD178" s="21" t="str">
        <f t="shared" ref="CD178" si="1332">IF(CD76="",CD179,$C178&amp;" "&amp;CD76&amp;CHAR(10)&amp;CD179)</f>
        <v xml:space="preserve"> </v>
      </c>
      <c r="CE178" s="21" t="str">
        <f t="shared" si="716"/>
        <v xml:space="preserve"> </v>
      </c>
      <c r="CF178" s="21" t="str">
        <f t="shared" ref="CF178" si="1333">IF(CF76="",CF179,$C178&amp;" "&amp;CF76&amp;CHAR(10)&amp;CF179)</f>
        <v xml:space="preserve"> </v>
      </c>
      <c r="CG178" s="21" t="str">
        <f t="shared" si="718"/>
        <v xml:space="preserve">social project(1), biz project(1), for basic literacy(1), for the elites(1), for entrepreneurs(1),  </v>
      </c>
      <c r="CH178" s="21" t="str">
        <f t="shared" si="719"/>
        <v xml:space="preserve"> </v>
      </c>
      <c r="CI178" s="21" t="str">
        <f t="shared" si="714"/>
        <v xml:space="preserve"> </v>
      </c>
      <c r="CJ178" s="21" t="str">
        <f t="shared" ref="CJ178" si="1334">IF(CJ76="",CJ179,$C178&amp;" "&amp;CJ76&amp;CHAR(10)&amp;CJ179)</f>
        <v xml:space="preserve"> </v>
      </c>
      <c r="CK178" s="21" t="str">
        <f t="shared" si="721"/>
        <v xml:space="preserve"> </v>
      </c>
      <c r="CL178" s="21" t="str">
        <f t="shared" ref="CL178" si="1335">IF(CL76="",CL179,$C178&amp;" "&amp;CL76&amp;CHAR(10)&amp;CL179)</f>
        <v xml:space="preserve"> </v>
      </c>
      <c r="CM178" s="21" t="str">
        <f t="shared" si="723"/>
        <v xml:space="preserve"> </v>
      </c>
      <c r="CN178" s="21" t="str">
        <f t="shared" si="724"/>
        <v xml:space="preserve"> </v>
      </c>
      <c r="CO178" s="21" t="str">
        <f t="shared" si="714"/>
        <v xml:space="preserve"> </v>
      </c>
      <c r="CP178" s="21" t="str">
        <f t="shared" ref="CP178" si="1336">IF(CP76="",CP179,$C178&amp;" "&amp;CP76&amp;CHAR(10)&amp;CP179)</f>
        <v xml:space="preserve"> </v>
      </c>
      <c r="CQ178" s="21" t="str">
        <f t="shared" si="726"/>
        <v xml:space="preserve"> </v>
      </c>
      <c r="CR178" s="21" t="str">
        <f t="shared" ref="CR178" si="1337">IF(CR76="",CR179,$C178&amp;" "&amp;CR76&amp;CHAR(10)&amp;CR179)</f>
        <v xml:space="preserve"> </v>
      </c>
      <c r="CS178" s="21" t="str">
        <f t="shared" si="728"/>
        <v xml:space="preserve">security(1), AI&amp; data analysis(1), mobile comm(1), VR&amp;AR(1), wood processing(1), metal processing(1), plastic processing(1), electronics(1), fabric(1),  </v>
      </c>
      <c r="CT178" s="21" t="str">
        <f t="shared" si="729"/>
        <v xml:space="preserve"> </v>
      </c>
      <c r="CU178" s="21" t="str">
        <f t="shared" si="714"/>
        <v xml:space="preserve"> </v>
      </c>
      <c r="CV178" s="21" t="str">
        <f t="shared" ref="CV178" si="1338">IF(CV76="",CV179,$C178&amp;" "&amp;CV76&amp;CHAR(10)&amp;CV179)</f>
        <v xml:space="preserve"> </v>
      </c>
      <c r="CW178" s="21" t="str">
        <f t="shared" si="731"/>
        <v xml:space="preserve"> </v>
      </c>
      <c r="CX178" s="21" t="str">
        <f t="shared" ref="CX178" si="1339">IF(CX76="",CX179,$C178&amp;" "&amp;CX76&amp;CHAR(10)&amp;CX179)</f>
        <v xml:space="preserve"> </v>
      </c>
      <c r="CY178" s="21" t="str">
        <f t="shared" si="733"/>
        <v xml:space="preserve"> </v>
      </c>
      <c r="CZ178" s="21" t="str">
        <f t="shared" si="734"/>
        <v xml:space="preserve"> </v>
      </c>
      <c r="DA178" s="21" t="str">
        <f t="shared" si="714"/>
        <v xml:space="preserve"> </v>
      </c>
      <c r="DB178" s="21" t="str">
        <f t="shared" ref="DB178" si="1340">IF(DB76="",DB179,$C178&amp;" "&amp;DB76&amp;CHAR(10)&amp;DB179)</f>
        <v xml:space="preserve"> </v>
      </c>
      <c r="DC178" s="21" t="str">
        <f t="shared" si="736"/>
        <v xml:space="preserve"> </v>
      </c>
      <c r="DD178" s="21" t="str">
        <f t="shared" ref="DD178" si="1341">IF(DD76="",DD179,$C178&amp;" "&amp;DD76&amp;CHAR(10)&amp;DD179)</f>
        <v xml:space="preserve"> </v>
      </c>
      <c r="DE178" s="21" t="str">
        <f t="shared" si="738"/>
        <v xml:space="preserve">security(2), 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8" s="21" t="str">
        <f t="shared" si="739"/>
        <v xml:space="preserve"> </v>
      </c>
      <c r="DG178" s="21" t="str">
        <f t="shared" si="714"/>
        <v xml:space="preserve"> </v>
      </c>
      <c r="DH178" s="21" t="str">
        <f t="shared" ref="DH178" si="1342">IF(DH76="",DH179,$C178&amp;" "&amp;DH76&amp;CHAR(10)&amp;DH179)</f>
        <v xml:space="preserve">social project 1
 </v>
      </c>
      <c r="DI178" s="21" t="str">
        <f t="shared" si="741"/>
        <v xml:space="preserve"> </v>
      </c>
      <c r="DJ178" s="21" t="str">
        <f t="shared" ref="DJ178" si="1343">IF(DJ76="",DJ179,$C178&amp;" "&amp;DJ76&amp;CHAR(10)&amp;DJ179)</f>
        <v xml:space="preserve"> </v>
      </c>
      <c r="DK178" s="21" t="str">
        <f t="shared" si="743"/>
        <v xml:space="preserve">security(2), AI&amp; data analysis(2), mobile comm(2), VR&amp;AR(2), wood processing(2), metal processing(2), plastic processing(2), electronics(2), fabric(2), aesthetics(2), functions(2), safety(2), interaction(2), social project(2), social innovation(1), non-profit biz(1),  </v>
      </c>
      <c r="DL178" s="21" t="str">
        <f t="shared" si="744"/>
        <v xml:space="preserve"> </v>
      </c>
      <c r="DM178" s="21" t="str">
        <f t="shared" si="714"/>
        <v xml:space="preserve"> </v>
      </c>
      <c r="DN178" s="21" t="str">
        <f t="shared" ref="DN178" si="1344">IF(DN76="",DN179,$C178&amp;" "&amp;DN76&amp;CHAR(10)&amp;DN179)</f>
        <v xml:space="preserve">biz project 1
 </v>
      </c>
      <c r="DO178" s="21" t="str">
        <f t="shared" si="746"/>
        <v xml:space="preserve"> </v>
      </c>
      <c r="DP178" s="21" t="str">
        <f t="shared" ref="DP178" si="1345">IF(DP76="",DP179,$C178&amp;" "&amp;DP76&amp;CHAR(10)&amp;DP179)</f>
        <v xml:space="preserve"> </v>
      </c>
      <c r="DQ178" s="21" t="str">
        <f t="shared" si="748"/>
        <v xml:space="preserve">security(2), 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8" s="21" t="str">
        <f t="shared" si="749"/>
        <v xml:space="preserve"> </v>
      </c>
      <c r="DS178" s="21" t="str">
        <f t="shared" si="714"/>
        <v xml:space="preserve"> </v>
      </c>
      <c r="DT178" s="21" t="str">
        <f t="shared" ref="DT178" si="1346">IF(DT76="",DT179,$C178&amp;" "&amp;DT76&amp;CHAR(10)&amp;DT179)</f>
        <v xml:space="preserve"> </v>
      </c>
      <c r="DU178" s="21" t="str">
        <f t="shared" si="751"/>
        <v xml:space="preserve"> </v>
      </c>
      <c r="DV178" s="21" t="str">
        <f t="shared" ref="DV178" si="1347">IF(DV76="",DV179,$C178&amp;" "&amp;DV76&amp;CHAR(10)&amp;DV179)</f>
        <v xml:space="preserve"> </v>
      </c>
      <c r="DW178" s="21" t="str">
        <f t="shared" si="753"/>
        <v xml:space="preserve">for basic literacy(1),  </v>
      </c>
      <c r="DX178" s="21" t="str">
        <f t="shared" si="754"/>
        <v xml:space="preserve">for basic literacy(1,6.25),  </v>
      </c>
      <c r="DY178" s="21" t="str">
        <f t="shared" si="714"/>
        <v xml:space="preserve">for basic literacy(6.25), </v>
      </c>
      <c r="DZ178" s="21" t="str">
        <f t="shared" ref="DZ178" si="1348">IF(DZ76="",DZ179,$C178&amp;" "&amp;DZ76&amp;CHAR(10)&amp;DZ179)</f>
        <v xml:space="preserve"> </v>
      </c>
      <c r="EA178" s="21" t="str">
        <f t="shared" si="756"/>
        <v xml:space="preserve"> </v>
      </c>
      <c r="EB178" s="21" t="str">
        <f t="shared" ref="EB178" si="1349">IF(EB76="",EB179,$C178&amp;" "&amp;EB76&amp;CHAR(10)&amp;EB179)</f>
        <v xml:space="preserve"> </v>
      </c>
      <c r="EC178" s="21" t="str">
        <f t="shared" si="758"/>
        <v xml:space="preserve">security(2), AI&amp; data analysis(2), mobile comm(2), VR&amp;AR(2), wood processing(2), metal processing(2), plastic processing(2), electronics(2), fabric(2), for basic literacy(1),  </v>
      </c>
      <c r="ED178" s="21" t="str">
        <f t="shared" si="759"/>
        <v xml:space="preserve">for basic literacy(1,6.25),  </v>
      </c>
      <c r="EE178" s="21" t="str">
        <f t="shared" si="714"/>
        <v xml:space="preserve">for basic literacy(6.25), </v>
      </c>
      <c r="EF178" s="21" t="str">
        <f t="shared" ref="EF178" si="1350">IF(EF76="",EF179,$C178&amp;" "&amp;EF76&amp;CHAR(10)&amp;EF179)</f>
        <v xml:space="preserve"> </v>
      </c>
      <c r="EG178" s="21" t="str">
        <f t="shared" si="761"/>
        <v xml:space="preserve">interaction(1,50),  </v>
      </c>
      <c r="EH178" s="21" t="str">
        <f t="shared" ref="EH178" si="1351">IF(EH76="",EH179,$C178&amp;" "&amp;EH76&amp;CHAR(10)&amp;EH179)</f>
        <v xml:space="preserve">interaction 50
 </v>
      </c>
      <c r="EI178" s="21" t="str">
        <f t="shared" si="763"/>
        <v xml:space="preserve">mobile comm(1), for entrepreneurs(1),  </v>
      </c>
      <c r="EJ178" s="21" t="str">
        <f t="shared" si="764"/>
        <v xml:space="preserve">mobile comm(1,12.5), for entrepreneurs(1,6.25),  </v>
      </c>
      <c r="EK178" s="21" t="str">
        <f t="shared" si="714"/>
        <v xml:space="preserve">mobile comm(12.5),for entrepreneurs(6.25), </v>
      </c>
      <c r="EL178" s="21" t="str">
        <f t="shared" ref="EL178" si="1352">IF(EL76="",EL179,$C178&amp;" "&amp;EL76&amp;CHAR(10)&amp;EL179)</f>
        <v xml:space="preserve"> </v>
      </c>
      <c r="EM178" s="21" t="str">
        <f t="shared" si="766"/>
        <v xml:space="preserve"> </v>
      </c>
      <c r="EN178" s="21" t="str">
        <f t="shared" ref="EN178" si="1353">IF(EN76="",EN179,$C178&amp;" "&amp;EN76&amp;CHAR(10)&amp;EN179)</f>
        <v xml:space="preserve"> </v>
      </c>
      <c r="EO178" s="21" t="str">
        <f t="shared" si="768"/>
        <v xml:space="preserve">mobile comm(1), for entrepreneurs(1),  </v>
      </c>
      <c r="EP178" s="21" t="str">
        <f t="shared" si="769"/>
        <v xml:space="preserve">mobile comm(1,12.5), electronics(1,6.25), for entrepreneurs(1,6.25),  </v>
      </c>
      <c r="EQ178" s="21" t="str">
        <f t="shared" si="770"/>
        <v xml:space="preserve">mobile comm(12.5),electronics(6.25),for entrepreneurs(6.25), </v>
      </c>
      <c r="ER178" s="21" t="str">
        <f t="shared" ref="ER178" si="1354">IF(ER76="",ER179,$C178&amp;" "&amp;ER76&amp;CHAR(10)&amp;ER179)</f>
        <v xml:space="preserve"> </v>
      </c>
      <c r="ES178" s="21" t="str">
        <f t="shared" si="772"/>
        <v xml:space="preserve">AI&amp; data analysis(1,50),  </v>
      </c>
      <c r="ET178" s="21" t="str">
        <f t="shared" ref="ET178" si="1355">IF(ET76="",ET179,$C178&amp;" "&amp;ET76&amp;CHAR(10)&amp;ET179)</f>
        <v xml:space="preserve">AI&amp; data analysis 50
 </v>
      </c>
      <c r="EU178" s="21" t="str">
        <f t="shared" si="774"/>
        <v xml:space="preserve">mobile comm(1), for entrepreneurs(1),  </v>
      </c>
      <c r="EV178" s="21" t="str">
        <f t="shared" si="775"/>
        <v xml:space="preserve">mobile comm(1,12.5), for entrepreneurs(1,6.25),  </v>
      </c>
      <c r="EW178" s="21" t="str">
        <f t="shared" si="770"/>
        <v xml:space="preserve">mobile comm(12.5),for entrepreneurs(6.25), </v>
      </c>
      <c r="EX178" s="21" t="str">
        <f t="shared" ref="EX178" si="1356">IF(EX76="",EX179,$C178&amp;" "&amp;EX76&amp;CHAR(10)&amp;EX179)</f>
        <v xml:space="preserve"> </v>
      </c>
      <c r="EY178" s="21" t="str">
        <f t="shared" si="777"/>
        <v xml:space="preserve">security(1,50), interaction(1,25),  </v>
      </c>
      <c r="EZ178" s="21" t="str">
        <f t="shared" ref="EZ178" si="1357">IF(EZ76="",EZ179,$C178&amp;" "&amp;EZ76&amp;CHAR(10)&amp;EZ179)</f>
        <v xml:space="preserve">security 50
interaction 25
 </v>
      </c>
      <c r="FA178" s="21" t="str">
        <f t="shared" si="779"/>
        <v xml:space="preserve">for entrepreneurs(1),  </v>
      </c>
      <c r="FB178" s="21" t="str">
        <f t="shared" si="780"/>
        <v xml:space="preserve">security(1,12.5), mobile comm(1,12.5), for entrepreneurs(1,6.25),  </v>
      </c>
      <c r="FC178" s="21" t="str">
        <f t="shared" si="770"/>
        <v xml:space="preserve">security(12.5),mobile comm(12.5),for entrepreneurs(6.25), </v>
      </c>
      <c r="FD178" s="21" t="str">
        <f t="shared" ref="FD178" si="1358">IF(FD76="",FD179,$C178&amp;" "&amp;FD76&amp;CHAR(10)&amp;FD179)</f>
        <v xml:space="preserve"> </v>
      </c>
      <c r="FE178" s="21" t="str">
        <f t="shared" si="782"/>
        <v xml:space="preserve">security(1,50),  </v>
      </c>
      <c r="FF178" s="21" t="str">
        <f t="shared" ref="FF178" si="1359">IF(FF76="",FF179,$C178&amp;" "&amp;FF76&amp;CHAR(10)&amp;FF179)</f>
        <v xml:space="preserve">security 50
 </v>
      </c>
      <c r="FG178" s="21" t="str">
        <f t="shared" si="784"/>
        <v xml:space="preserve">for entrepreneurs(1),  </v>
      </c>
      <c r="FH178" s="21" t="str">
        <f t="shared" si="785"/>
        <v xml:space="preserve">AI&amp; data analysis(1,6.25), mobile comm(1,6.25), for entrepreneurs(1,6.25),  </v>
      </c>
      <c r="FI178" s="21" t="str">
        <f t="shared" si="770"/>
        <v xml:space="preserve">AI&amp; data analysis(6.25),mobile comm(6.25),for entrepreneurs(6.25), </v>
      </c>
      <c r="FJ178" s="21" t="str">
        <f t="shared" ref="FJ178" si="1360">IF(FJ76="",FJ179,$C178&amp;" "&amp;FJ76&amp;CHAR(10)&amp;FJ179)</f>
        <v xml:space="preserve"> </v>
      </c>
      <c r="FK178" s="21" t="str">
        <f t="shared" si="787"/>
        <v xml:space="preserve">wood processing(1,25), metal processing(1,25), plastic processing(1,25), fabric(1,25), safety(1,25), interaction(1,25),  </v>
      </c>
      <c r="FL178" s="21" t="str">
        <f t="shared" ref="FL178" si="1361">IF(FL76="",FL179,$C178&amp;" "&amp;FL76&amp;CHAR(10)&amp;FL179)</f>
        <v xml:space="preserve">wood processing 25
metal processing 25
plastic processing 25
fabric 25
safety 25
interaction 25
 </v>
      </c>
      <c r="FM178" s="21" t="str">
        <f t="shared" si="789"/>
        <v xml:space="preserve">for entrepreneurs(1),  </v>
      </c>
      <c r="FN178" s="21" t="str">
        <f t="shared" si="790"/>
        <v xml:space="preserve">for entrepreneurs(1,6.25),  </v>
      </c>
      <c r="FO178" s="21" t="str">
        <f t="shared" si="770"/>
        <v xml:space="preserve">for entrepreneurs(6.25), </v>
      </c>
      <c r="FP178" s="21" t="str">
        <f t="shared" ref="FP178" si="1362">IF(FP76="",FP179,$C178&amp;" "&amp;FP76&amp;CHAR(10)&amp;FP179)</f>
        <v xml:space="preserve"> </v>
      </c>
      <c r="FQ178" s="21" t="str">
        <f t="shared" si="792"/>
        <v xml:space="preserve">functions(1,25), interaction(1,25),  </v>
      </c>
      <c r="FR178" s="21" t="str">
        <f t="shared" ref="FR178" si="1363">IF(FR76="",FR179,$C178&amp;" "&amp;FR76&amp;CHAR(10)&amp;FR179)</f>
        <v xml:space="preserve">functions 25
interaction 25
 </v>
      </c>
      <c r="FS178" s="21" t="str">
        <f t="shared" si="794"/>
        <v xml:space="preserve">for entrepreneurs(1),  </v>
      </c>
      <c r="FT178" s="21" t="str">
        <f t="shared" si="795"/>
        <v xml:space="preserve">for entrepreneurs(1,6.25),  </v>
      </c>
      <c r="FU178" s="21" t="str">
        <f t="shared" si="770"/>
        <v xml:space="preserve">for entrepreneurs(6.25), </v>
      </c>
      <c r="FV178" s="21" t="str">
        <f t="shared" ref="FV178" si="1364">IF(FV76="",FV179,$C178&amp;" "&amp;FV76&amp;CHAR(10)&amp;FV179)</f>
        <v xml:space="preserve"> </v>
      </c>
      <c r="FW178" s="21" t="str">
        <f t="shared" si="797"/>
        <v xml:space="preserve">wood processing(1,25), plastic processing(1,25), electronics(1,25), functions(1,25), interaction(1,25),  </v>
      </c>
      <c r="FX178" s="21" t="str">
        <f t="shared" ref="FX178" si="1365">IF(FX76="",FX179,$C178&amp;" "&amp;FX76&amp;CHAR(10)&amp;FX179)</f>
        <v xml:space="preserve">wood processing 25
plastic processing 25
electronics 25
functions 25
interaction 25
 </v>
      </c>
      <c r="FY178" s="21" t="str">
        <f t="shared" si="799"/>
        <v xml:space="preserve">for entrepreneurs(1),  </v>
      </c>
      <c r="FZ178" s="21" t="str">
        <f t="shared" si="800"/>
        <v xml:space="preserve">AI&amp; data analysis(1,6.25), mobile comm(1,6.25), for entrepreneurs(1,6.25),  </v>
      </c>
      <c r="GA178" s="21" t="str">
        <f t="shared" si="770"/>
        <v xml:space="preserve">AI&amp; data analysis(6.25),mobile comm(6.25),for entrepreneurs(6.25), </v>
      </c>
      <c r="GB178" s="21" t="str">
        <f t="shared" ref="GB178" si="1366">IF(GB76="",GB179,$C178&amp;" "&amp;GB76&amp;CHAR(10)&amp;GB179)</f>
        <v xml:space="preserve"> </v>
      </c>
      <c r="GC178" s="21" t="str">
        <f t="shared" si="802"/>
        <v xml:space="preserve">mobile comm(1,25), electronics(1,50), functions(1,25), safety(1,25),  </v>
      </c>
      <c r="GD178" s="21" t="str">
        <f t="shared" ref="GD178" si="1367">IF(GD76="",GD179,$C178&amp;" "&amp;GD76&amp;CHAR(10)&amp;GD179)</f>
        <v xml:space="preserve">mobile comm 25
electronics 50
functions 25
safety 25
 </v>
      </c>
      <c r="GE178" s="21" t="str">
        <f t="shared" si="804"/>
        <v xml:space="preserve">for entrepreneurs(1),  </v>
      </c>
      <c r="GF178" s="21" t="str">
        <f t="shared" si="805"/>
        <v xml:space="preserve">AI&amp; data analysis(1,6.25), plastic processing(1,6.25), interaction(1,6.25), for entrepreneurs(1,6.25),  </v>
      </c>
      <c r="GG178" s="21" t="str">
        <f t="shared" si="770"/>
        <v xml:space="preserve">AI&amp; data analysis(6.25),plastic processing(6.25),interaction(6.25),for entrepreneurs(6.25), </v>
      </c>
      <c r="GH178" s="21" t="str">
        <f t="shared" ref="GH178" si="1368">IF(GH76="",GH179,$C178&amp;" "&amp;GH76&amp;CHAR(10)&amp;GH179)</f>
        <v xml:space="preserve"> </v>
      </c>
      <c r="GI178" s="21" t="str">
        <f t="shared" si="807"/>
        <v xml:space="preserve">functions(1,25), interaction(1,25),  </v>
      </c>
      <c r="GJ178" s="21" t="str">
        <f t="shared" ref="GJ178" si="1369">IF(GJ76="",GJ179,$C178&amp;" "&amp;GJ76&amp;CHAR(10)&amp;GJ179)</f>
        <v xml:space="preserve">functions 25
interaction 25
 </v>
      </c>
      <c r="GK178" s="21" t="str">
        <f t="shared" si="809"/>
        <v xml:space="preserve">for entrepreneurs(1),  </v>
      </c>
      <c r="GL178" s="21" t="str">
        <f t="shared" si="810"/>
        <v xml:space="preserve">for entrepreneurs(1,6.25),  </v>
      </c>
      <c r="GM178" s="21" t="str">
        <f t="shared" si="770"/>
        <v xml:space="preserve">for entrepreneurs(6.25), </v>
      </c>
      <c r="GN178" s="21" t="str">
        <f t="shared" ref="GN178" si="1370">IF(GN76="",GN179,$C178&amp;" "&amp;GN76&amp;CHAR(10)&amp;GN179)</f>
        <v xml:space="preserve"> </v>
      </c>
      <c r="GO178" s="21" t="str">
        <f t="shared" si="812"/>
        <v xml:space="preserve">VR&amp;AR(1,25), aesthetics(1,25), functions(1,25), interaction(1,50),  </v>
      </c>
      <c r="GP178" s="21" t="str">
        <f t="shared" ref="GP178" si="1371">IF(GP76="",GP179,$C178&amp;" "&amp;GP76&amp;CHAR(10)&amp;GP179)</f>
        <v xml:space="preserve">VR&amp;AR 25
aesthetics 25
functions 25
interaction 50
 </v>
      </c>
      <c r="GQ178" s="21" t="str">
        <f t="shared" si="814"/>
        <v xml:space="preserve">for entrepreneurs(1),  </v>
      </c>
      <c r="GR178" s="21" t="str">
        <f t="shared" si="815"/>
        <v xml:space="preserve">for entrepreneurs(1,6.25),  </v>
      </c>
      <c r="GS178" s="21" t="str">
        <f t="shared" si="770"/>
        <v xml:space="preserve">for entrepreneurs(6.25), </v>
      </c>
      <c r="GT178" s="21" t="str">
        <f t="shared" ref="GT178" si="1372">IF(GT76="",GT179,$C178&amp;" "&amp;GT76&amp;CHAR(10)&amp;GT179)</f>
        <v xml:space="preserve">mobile comm 1
 </v>
      </c>
      <c r="GU178" s="21" t="str">
        <f t="shared" si="817"/>
        <v xml:space="preserve"> </v>
      </c>
      <c r="GV178" s="21" t="str">
        <f t="shared" ref="GV178" si="1373">IF(GV76="",GV179,$C178&amp;" "&amp;GV76&amp;CHAR(10)&amp;GV179)</f>
        <v xml:space="preserve"> </v>
      </c>
      <c r="GW178" s="21" t="str">
        <f t="shared" si="819"/>
        <v xml:space="preserve">security(1), AI&amp; data analysis(1), electronics(1),  </v>
      </c>
      <c r="GX178" s="21" t="str">
        <f t="shared" si="820"/>
        <v xml:space="preserve"> </v>
      </c>
      <c r="GY178" s="21" t="str">
        <f t="shared" si="770"/>
        <v xml:space="preserve"> </v>
      </c>
      <c r="GZ178" s="21" t="str">
        <f t="shared" ref="GZ178" si="1374">IF(GZ76="",GZ179,$C178&amp;" "&amp;GZ76&amp;CHAR(10)&amp;GZ179)</f>
        <v xml:space="preserve"> </v>
      </c>
      <c r="HA178" s="21" t="str">
        <f t="shared" si="822"/>
        <v xml:space="preserve"> </v>
      </c>
      <c r="HB178" s="21" t="str">
        <f t="shared" ref="HB178" si="1375">IF(HB76="",HB179,$C178&amp;" "&amp;HB76&amp;CHAR(10)&amp;HB179)</f>
        <v xml:space="preserve"> </v>
      </c>
      <c r="HC178" s="21" t="str">
        <f t="shared" si="824"/>
        <v xml:space="preserve">AI&amp; data analysis(2), VR&amp;AR(2), plastic processing(2), electronics(2), aesthetics(2), interaction(2),  </v>
      </c>
      <c r="HD178" s="21" t="str">
        <f t="shared" si="825"/>
        <v xml:space="preserve">start-up with customers(1,6.25), for basic literacy(1,6.25),  </v>
      </c>
      <c r="HE178" s="21" t="str">
        <f t="shared" si="826"/>
        <v xml:space="preserve">start-up with customers(6.25),for basic literacy(6.25), </v>
      </c>
      <c r="HF178" s="21" t="str">
        <f t="shared" ref="HF178" si="1376">IF(HF76="",HF179,$C178&amp;" "&amp;HF76&amp;CHAR(10)&amp;HF179)</f>
        <v xml:space="preserve"> </v>
      </c>
      <c r="HG178" s="21" t="str">
        <f t="shared" si="828"/>
        <v xml:space="preserve"> </v>
      </c>
      <c r="HH178" s="21" t="str">
        <f t="shared" ref="HH178" si="1377">IF(HH76="",HH179,$C178&amp;" "&amp;HH76&amp;CHAR(10)&amp;HH179)</f>
        <v xml:space="preserve"> </v>
      </c>
      <c r="HI178" s="21" t="str">
        <f t="shared" si="830"/>
        <v xml:space="preserve">plastic processing(2), electronics(2), aesthetics(2), functions(2), interaction(2),  </v>
      </c>
      <c r="HJ178" s="21" t="str">
        <f t="shared" si="831"/>
        <v xml:space="preserve">start-up with customers(1,6.25),  </v>
      </c>
      <c r="HK178" s="21" t="str">
        <f t="shared" si="826"/>
        <v xml:space="preserve">start-up with customers(6.25), </v>
      </c>
      <c r="HL178" s="21" t="str">
        <f t="shared" ref="HL178" si="1378">IF(HL76="",HL179,$C178&amp;" "&amp;HL76&amp;CHAR(10)&amp;HL179)</f>
        <v xml:space="preserve"> </v>
      </c>
      <c r="HM178" s="21" t="str">
        <f t="shared" si="833"/>
        <v xml:space="preserve"> </v>
      </c>
      <c r="HN178" s="21" t="str">
        <f t="shared" ref="HN178" si="1379">IF(HN76="",HN179,$C178&amp;" "&amp;HN76&amp;CHAR(10)&amp;HN179)</f>
        <v xml:space="preserve"> </v>
      </c>
      <c r="HO178" s="21" t="str">
        <f t="shared" si="835"/>
        <v xml:space="preserve">wood processing(3), plastic processing(3), electronics(3), aesthetics(2), interaction(2),  </v>
      </c>
      <c r="HP178" s="21" t="str">
        <f t="shared" si="836"/>
        <v xml:space="preserve"> </v>
      </c>
      <c r="HQ178" s="47" t="str">
        <f t="shared" si="826"/>
        <v xml:space="preserve"> </v>
      </c>
      <c r="HR178" s="47" t="str">
        <f t="shared" ref="HR178:HW178" si="1380">IF(HR76="",HR179,$C178&amp;"("&amp;HR76&amp;"),"&amp;HR179)</f>
        <v xml:space="preserve">wood processing(1),aesthetics(1), </v>
      </c>
      <c r="HS178" s="47" t="str">
        <f t="shared" si="1380"/>
        <v xml:space="preserve"> </v>
      </c>
      <c r="HT178" s="47" t="str">
        <f t="shared" si="1380"/>
        <v xml:space="preserve"> </v>
      </c>
      <c r="HU178" s="47" t="str">
        <f t="shared" si="1380"/>
        <v xml:space="preserve">AI&amp; data analysis(3),mobile comm(3),VR&amp;AR(3),wood processing(3),metal processing(2),plastic processing(2),electronics(2),fabric(2),aesthetics(2),interaction(2),start-up with mvp(1), </v>
      </c>
      <c r="HV178" s="47" t="str">
        <f t="shared" si="1380"/>
        <v xml:space="preserve"> </v>
      </c>
      <c r="HW178" s="47" t="str">
        <f t="shared" si="1380"/>
        <v xml:space="preserve"> </v>
      </c>
      <c r="HX178" s="47" t="str">
        <f t="shared" ref="HX178:IU178" si="1381">IF(HX76="",HX179,$C178&amp;"("&amp;HX76&amp;"),"&amp;HX179)</f>
        <v xml:space="preserve">AI&amp; data analysis(2),VR&amp;AR(1),wood processing(1),metal processing(1),plastic processing(1),electronics(1),aesthetics(1),functions(1),interaction(1), </v>
      </c>
      <c r="HY178" s="47" t="str">
        <f t="shared" si="1381"/>
        <v xml:space="preserve">biz enhancement(1), </v>
      </c>
      <c r="HZ178" s="47" t="str">
        <f t="shared" si="1381"/>
        <v xml:space="preserve">biz enhancement(100), </v>
      </c>
      <c r="IA178" s="47" t="str">
        <f t="shared" si="1381"/>
        <v xml:space="preserve"> </v>
      </c>
      <c r="IB178" s="47" t="str">
        <f t="shared" si="1381"/>
        <v xml:space="preserve">AI&amp; data analysis(1),electronics(1),functions(1), </v>
      </c>
      <c r="IC178" s="47" t="str">
        <f t="shared" si="1381"/>
        <v xml:space="preserve">AI&amp; data analysis(6.25),electronics(6.25),functions(6.25), </v>
      </c>
      <c r="ID178" s="47" t="str">
        <f t="shared" si="1381"/>
        <v xml:space="preserve"> </v>
      </c>
      <c r="IE178" s="47" t="str">
        <f t="shared" si="1381"/>
        <v xml:space="preserve">security(1),AI&amp; data analysis(1), </v>
      </c>
      <c r="IF178" s="47" t="str">
        <f t="shared" si="1381"/>
        <v xml:space="preserve">security(25),AI&amp; data analysis(25), </v>
      </c>
      <c r="IG178" s="47" t="str">
        <f t="shared" si="1381"/>
        <v xml:space="preserve">security(2),AI&amp; data analysis(2), </v>
      </c>
      <c r="IH178" s="47" t="str">
        <f t="shared" si="1381"/>
        <v xml:space="preserve">security(1),AI&amp; data analysis(1), </v>
      </c>
      <c r="II178" s="47" t="str">
        <f t="shared" si="1381"/>
        <v xml:space="preserve">security(6.25),AI&amp; data analysis(6.25), </v>
      </c>
      <c r="IJ178" s="47" t="str">
        <f t="shared" si="1381"/>
        <v xml:space="preserve"> </v>
      </c>
      <c r="IK178" s="47" t="str">
        <f t="shared" si="1381"/>
        <v xml:space="preserve">wood processing(1),metal processing(1),functions(1),safety(1), </v>
      </c>
      <c r="IL178" s="47" t="str">
        <f t="shared" si="1381"/>
        <v xml:space="preserve">wood processing(25),metal processing(25),functions(25),safety(25), </v>
      </c>
      <c r="IM178" s="47" t="str">
        <f t="shared" si="1381"/>
        <v xml:space="preserve">wood processing(2),metal processing(2),functions(2),safety(2), </v>
      </c>
      <c r="IN178" s="47" t="str">
        <f t="shared" si="1381"/>
        <v xml:space="preserve">wood processing(1),metal processing(1),functions(1),safety(1),interaction(1), </v>
      </c>
      <c r="IO178" s="47" t="str">
        <f t="shared" si="1381"/>
        <v xml:space="preserve">wood processing(6.25),metal processing(6.25),functions(6.25),safety(6.25),interaction(6.25), </v>
      </c>
      <c r="IP178" s="57" t="str">
        <f t="shared" si="1381"/>
        <v xml:space="preserve"> </v>
      </c>
      <c r="IQ178" s="47" t="str">
        <f t="shared" si="1381"/>
        <v xml:space="preserve"> </v>
      </c>
      <c r="IR178" s="47" t="str">
        <f t="shared" si="1381"/>
        <v xml:space="preserve"> </v>
      </c>
      <c r="IS178" s="47" t="str">
        <f t="shared" si="1381"/>
        <v xml:space="preserve"> </v>
      </c>
      <c r="IT178" s="47" t="str">
        <f t="shared" si="1381"/>
        <v xml:space="preserve"> </v>
      </c>
      <c r="IU178" s="47" t="str">
        <f t="shared" si="1381"/>
        <v xml:space="preserve"> </v>
      </c>
      <c r="IV178" s="57" t="str">
        <f t="shared" ref="IV178:LG178" si="1382">IF(IV76="",IV179,$C178&amp;"("&amp;IV76&amp;"),"&amp;IV179)</f>
        <v xml:space="preserve"> </v>
      </c>
      <c r="IW178" s="47" t="str">
        <f t="shared" si="1382"/>
        <v xml:space="preserve"> </v>
      </c>
      <c r="IX178" s="47" t="str">
        <f t="shared" si="1382"/>
        <v xml:space="preserve"> </v>
      </c>
      <c r="IY178" s="47" t="str">
        <f t="shared" si="1382"/>
        <v xml:space="preserve"> </v>
      </c>
      <c r="IZ178" s="47" t="str">
        <f t="shared" si="1382"/>
        <v xml:space="preserve"> </v>
      </c>
      <c r="JA178" s="47" t="str">
        <f t="shared" si="1382"/>
        <v xml:space="preserve"> </v>
      </c>
      <c r="JB178" s="47" t="str">
        <f t="shared" si="1382"/>
        <v xml:space="preserve"> </v>
      </c>
      <c r="JC178" s="47" t="str">
        <f t="shared" si="1382"/>
        <v xml:space="preserve"> </v>
      </c>
      <c r="JD178" s="47" t="str">
        <f t="shared" si="1382"/>
        <v xml:space="preserve"> </v>
      </c>
      <c r="JE178" s="47" t="str">
        <f t="shared" si="1382"/>
        <v xml:space="preserve"> </v>
      </c>
      <c r="JF178" s="47" t="str">
        <f t="shared" si="1382"/>
        <v xml:space="preserve">security(1),AI&amp; data analysis(1),mobile comm(1),VR&amp;AR(1),wood processing(1),metal processing(1),plastic processing(1),electronics(1),fabric(1),aesthetics(1),functions(1),safety(1),interaction(1), </v>
      </c>
      <c r="JG178" s="47" t="str">
        <f t="shared" si="1382"/>
        <v xml:space="preserve">security(6.25),AI&amp; data analysis(6.25),mobile comm(6.25),VR&amp;AR(6.25),wood processing(6.25),metal processing(6.25),plastic processing(6.25),electronics(6.25),fabric(6.25),aesthetics(6.25),functions(6.25),safety(6.25),interaction(6.25), </v>
      </c>
      <c r="JH178" s="47" t="str">
        <f t="shared" si="1382"/>
        <v xml:space="preserve"> </v>
      </c>
      <c r="JI178" s="47" t="str">
        <f t="shared" si="1382"/>
        <v xml:space="preserve"> </v>
      </c>
      <c r="JJ178" s="47" t="str">
        <f t="shared" si="1382"/>
        <v xml:space="preserve"> </v>
      </c>
      <c r="JK178" s="47" t="str">
        <f t="shared" si="1382"/>
        <v xml:space="preserve">social project(1),social innovation(1),non-profit biz(1),biz project(1),biz enhancement(1),job creation(1),business(1),start-up(1),start-up with mvp(1),start-up with customers(1),for basic literacy(1),for the elites(1),for entrepreneurs(1), </v>
      </c>
      <c r="JL178" s="47" t="str">
        <f t="shared" si="1382"/>
        <v xml:space="preserve"> </v>
      </c>
      <c r="JM178" s="47" t="str">
        <f t="shared" si="1382"/>
        <v xml:space="preserve"> </v>
      </c>
      <c r="JN178" s="47" t="str">
        <f t="shared" si="1382"/>
        <v xml:space="preserve"> </v>
      </c>
      <c r="JO178" s="47" t="str">
        <f t="shared" si="1382"/>
        <v xml:space="preserve"> </v>
      </c>
      <c r="JP178" s="47" t="str">
        <f t="shared" si="1382"/>
        <v xml:space="preserve"> </v>
      </c>
      <c r="JQ178" s="47" t="str">
        <f t="shared" si="1382"/>
        <v xml:space="preserve">electronics(1),aesthetics(1),interaction(1),social project(1),social innovation(1),non-profit biz(1),biz project(1),biz enhancement(1),job creation(1),business(1),start-up(1),start-up with mvp(1),start-up with customers(1),for basic literacy(1),for the elites(1),for entrepreneurs(1), </v>
      </c>
      <c r="JR178" s="47" t="str">
        <f t="shared" si="1382"/>
        <v xml:space="preserve"> </v>
      </c>
      <c r="JS178" s="47" t="str">
        <f t="shared" si="1382"/>
        <v xml:space="preserve"> </v>
      </c>
      <c r="JT178" s="47" t="str">
        <f t="shared" si="1382"/>
        <v xml:space="preserve"> </v>
      </c>
      <c r="JU178" s="47" t="str">
        <f t="shared" si="1382"/>
        <v xml:space="preserve"> </v>
      </c>
      <c r="JV178" s="47" t="str">
        <f t="shared" si="1382"/>
        <v xml:space="preserve"> </v>
      </c>
      <c r="JW178" s="47" t="str">
        <f t="shared" si="1382"/>
        <v xml:space="preserve">social project(2),social innovation(1),non-profit biz(1),biz project(2),biz enhancement(2),job creation(1),business(1),start-up(2),start-up with mvp(1),start-up with customers(1),for basic literacy(2),for the elites(1),for entrepreneurs(1), </v>
      </c>
      <c r="JX178" s="47" t="str">
        <f t="shared" si="1382"/>
        <v xml:space="preserve"> </v>
      </c>
      <c r="JY178" s="47" t="str">
        <f t="shared" si="1382"/>
        <v xml:space="preserve"> </v>
      </c>
      <c r="JZ178" s="47" t="str">
        <f t="shared" si="1382"/>
        <v xml:space="preserve">social project(2), </v>
      </c>
      <c r="KA178" s="47" t="str">
        <f t="shared" si="1382"/>
        <v xml:space="preserve"> </v>
      </c>
      <c r="KB178" s="47" t="str">
        <f t="shared" si="1382"/>
        <v xml:space="preserve"> </v>
      </c>
      <c r="KC178" s="47" t="str">
        <f t="shared" si="1382"/>
        <v xml:space="preserve">AI&amp; data analysis(1),electronics(1),aesthetics(1),social project(3),social innovation(1),non-profit biz(1),biz project(2),biz enhancement(2),job creation(1),business(1),start-up(2),start-up with mvp(1),start-up with customers(1),for basic literacy(2),for the elites(1),for entrepreneurs(1), </v>
      </c>
      <c r="KD178" s="47" t="str">
        <f t="shared" si="1382"/>
        <v xml:space="preserve"> </v>
      </c>
      <c r="KE178" s="47" t="str">
        <f t="shared" si="1382"/>
        <v xml:space="preserve"> </v>
      </c>
      <c r="KF178" s="47" t="str">
        <f t="shared" si="1382"/>
        <v xml:space="preserve"> </v>
      </c>
      <c r="KG178" s="47" t="str">
        <f t="shared" si="1382"/>
        <v xml:space="preserve"> </v>
      </c>
      <c r="KH178" s="47" t="str">
        <f t="shared" si="1382"/>
        <v xml:space="preserve"> </v>
      </c>
      <c r="KI178" s="47" t="str">
        <f t="shared" si="1382"/>
        <v xml:space="preserve"> </v>
      </c>
      <c r="KJ178" s="47" t="str">
        <f t="shared" si="1382"/>
        <v xml:space="preserve"> </v>
      </c>
      <c r="KK178" s="47" t="str">
        <f t="shared" si="1382"/>
        <v xml:space="preserve"> </v>
      </c>
      <c r="KL178" s="57" t="str">
        <f t="shared" si="1382"/>
        <v xml:space="preserve"> </v>
      </c>
      <c r="KM178" s="47" t="str">
        <f t="shared" si="1382"/>
        <v xml:space="preserve"> </v>
      </c>
      <c r="KN178" s="47" t="str">
        <f t="shared" si="1382"/>
        <v xml:space="preserve"> </v>
      </c>
      <c r="KO178" s="47" t="str">
        <f t="shared" si="1382"/>
        <v xml:space="preserve"> </v>
      </c>
      <c r="KP178" s="47" t="str">
        <f t="shared" si="1382"/>
        <v xml:space="preserve"> </v>
      </c>
      <c r="KQ178" s="47" t="str">
        <f t="shared" si="1382"/>
        <v xml:space="preserve"> </v>
      </c>
      <c r="KR178" s="57" t="str">
        <f t="shared" si="1382"/>
        <v xml:space="preserve"> </v>
      </c>
      <c r="KS178" s="47" t="str">
        <f t="shared" si="1382"/>
        <v xml:space="preserve"> </v>
      </c>
      <c r="KT178" s="47" t="str">
        <f t="shared" si="1382"/>
        <v xml:space="preserve"> </v>
      </c>
      <c r="KU178" s="47" t="str">
        <f t="shared" si="1382"/>
        <v xml:space="preserve"> </v>
      </c>
      <c r="KV178" s="47" t="str">
        <f t="shared" si="1382"/>
        <v xml:space="preserve"> </v>
      </c>
      <c r="KW178" s="47" t="str">
        <f t="shared" si="1382"/>
        <v xml:space="preserve"> </v>
      </c>
      <c r="KX178" s="57" t="str">
        <f t="shared" si="1382"/>
        <v xml:space="preserve"> </v>
      </c>
      <c r="KY178" s="47" t="str">
        <f t="shared" si="1382"/>
        <v xml:space="preserve"> </v>
      </c>
      <c r="KZ178" s="47" t="str">
        <f t="shared" si="1382"/>
        <v xml:space="preserve"> </v>
      </c>
      <c r="LA178" s="47" t="str">
        <f t="shared" si="1382"/>
        <v xml:space="preserve"> </v>
      </c>
      <c r="LB178" s="47" t="str">
        <f t="shared" si="1382"/>
        <v xml:space="preserve"> </v>
      </c>
      <c r="LC178" s="47" t="str">
        <f t="shared" si="1382"/>
        <v xml:space="preserve"> </v>
      </c>
      <c r="LD178" s="57" t="str">
        <f t="shared" si="1382"/>
        <v xml:space="preserve"> </v>
      </c>
      <c r="LE178" s="47" t="str">
        <f t="shared" si="1382"/>
        <v xml:space="preserve"> </v>
      </c>
      <c r="LF178" s="47" t="str">
        <f t="shared" si="1382"/>
        <v xml:space="preserve"> </v>
      </c>
      <c r="LG178" s="47" t="str">
        <f t="shared" si="1382"/>
        <v xml:space="preserve"> </v>
      </c>
      <c r="LH178" s="47" t="str">
        <f t="shared" ref="LH178:NM178" si="1383">IF(LH76="",LH179,$C178&amp;"("&amp;LH76&amp;"),"&amp;LH179)</f>
        <v xml:space="preserve"> </v>
      </c>
      <c r="LI178" s="47" t="str">
        <f t="shared" si="1383"/>
        <v xml:space="preserve"> </v>
      </c>
      <c r="LJ178" s="57" t="str">
        <f t="shared" si="1383"/>
        <v xml:space="preserve"> </v>
      </c>
      <c r="LK178" s="47" t="str">
        <f t="shared" si="1383"/>
        <v xml:space="preserve"> </v>
      </c>
      <c r="LL178" s="47" t="str">
        <f t="shared" si="1383"/>
        <v xml:space="preserve"> </v>
      </c>
      <c r="LM178" s="47" t="str">
        <f t="shared" si="1383"/>
        <v xml:space="preserve"> </v>
      </c>
      <c r="LN178" s="47" t="str">
        <f t="shared" si="1383"/>
        <v xml:space="preserve"> </v>
      </c>
      <c r="LO178" s="47" t="str">
        <f t="shared" si="1383"/>
        <v xml:space="preserve"> </v>
      </c>
      <c r="LP178" s="57" t="str">
        <f t="shared" si="1383"/>
        <v xml:space="preserve"> </v>
      </c>
      <c r="LQ178" s="47" t="str">
        <f t="shared" si="1383"/>
        <v xml:space="preserve"> </v>
      </c>
      <c r="LR178" s="47" t="str">
        <f t="shared" si="1383"/>
        <v xml:space="preserve"> </v>
      </c>
      <c r="LS178" s="47" t="str">
        <f t="shared" si="1383"/>
        <v xml:space="preserve"> </v>
      </c>
      <c r="LT178" s="47" t="str">
        <f t="shared" si="1383"/>
        <v xml:space="preserve"> </v>
      </c>
      <c r="LU178" s="47" t="str">
        <f t="shared" si="1383"/>
        <v xml:space="preserve"> </v>
      </c>
      <c r="LV178" s="57" t="str">
        <f t="shared" si="1383"/>
        <v xml:space="preserve"> </v>
      </c>
      <c r="LW178" s="47" t="str">
        <f t="shared" si="1383"/>
        <v xml:space="preserve"> </v>
      </c>
      <c r="LX178" s="47" t="str">
        <f t="shared" si="1383"/>
        <v xml:space="preserve"> </v>
      </c>
      <c r="LY178" s="47" t="str">
        <f t="shared" si="1383"/>
        <v xml:space="preserve"> </v>
      </c>
      <c r="LZ178" s="47" t="str">
        <f t="shared" si="1383"/>
        <v xml:space="preserve"> </v>
      </c>
      <c r="MA178" s="47" t="str">
        <f t="shared" si="1383"/>
        <v xml:space="preserve"> </v>
      </c>
      <c r="MB178" s="57" t="str">
        <f t="shared" si="1383"/>
        <v xml:space="preserve"> </v>
      </c>
      <c r="MC178" s="47" t="str">
        <f t="shared" si="1383"/>
        <v xml:space="preserve"> </v>
      </c>
      <c r="MD178" s="47" t="str">
        <f t="shared" si="1383"/>
        <v xml:space="preserve"> </v>
      </c>
      <c r="ME178" s="47" t="str">
        <f t="shared" si="1383"/>
        <v xml:space="preserve"> </v>
      </c>
      <c r="MF178" s="47" t="str">
        <f t="shared" si="1383"/>
        <v xml:space="preserve"> </v>
      </c>
      <c r="MG178" s="47" t="str">
        <f t="shared" si="1383"/>
        <v xml:space="preserve"> </v>
      </c>
      <c r="MH178" s="57" t="str">
        <f t="shared" si="1383"/>
        <v xml:space="preserve"> </v>
      </c>
      <c r="MI178" s="47" t="str">
        <f t="shared" si="1383"/>
        <v xml:space="preserve"> </v>
      </c>
      <c r="MJ178" s="47" t="str">
        <f t="shared" si="1383"/>
        <v xml:space="preserve"> </v>
      </c>
      <c r="MK178" s="47" t="str">
        <f t="shared" si="1383"/>
        <v xml:space="preserve"> </v>
      </c>
      <c r="ML178" s="47" t="str">
        <f t="shared" si="1383"/>
        <v xml:space="preserve"> </v>
      </c>
      <c r="MM178" s="47" t="str">
        <f t="shared" si="1383"/>
        <v xml:space="preserve"> </v>
      </c>
      <c r="MN178" s="57" t="str">
        <f t="shared" si="1383"/>
        <v xml:space="preserve"> </v>
      </c>
      <c r="MO178" s="47" t="str">
        <f t="shared" si="1383"/>
        <v xml:space="preserve"> </v>
      </c>
      <c r="MP178" s="47" t="str">
        <f t="shared" si="1383"/>
        <v xml:space="preserve"> </v>
      </c>
      <c r="MQ178" s="47" t="str">
        <f t="shared" si="1383"/>
        <v xml:space="preserve"> </v>
      </c>
      <c r="MR178" s="47" t="str">
        <f t="shared" si="1383"/>
        <v xml:space="preserve"> </v>
      </c>
      <c r="MS178" s="47" t="str">
        <f t="shared" si="1383"/>
        <v xml:space="preserve"> </v>
      </c>
      <c r="MT178" s="57" t="str">
        <f t="shared" si="1383"/>
        <v xml:space="preserve"> </v>
      </c>
      <c r="MU178" s="47" t="str">
        <f t="shared" si="1383"/>
        <v xml:space="preserve"> </v>
      </c>
      <c r="MV178" s="47" t="str">
        <f t="shared" si="1383"/>
        <v xml:space="preserve"> </v>
      </c>
      <c r="MW178" s="47" t="str">
        <f t="shared" si="1383"/>
        <v xml:space="preserve"> </v>
      </c>
      <c r="MX178" s="47" t="str">
        <f t="shared" si="1383"/>
        <v xml:space="preserve"> </v>
      </c>
      <c r="MY178" s="47" t="str">
        <f t="shared" si="1383"/>
        <v xml:space="preserve"> </v>
      </c>
      <c r="MZ178" s="57" t="str">
        <f t="shared" si="1383"/>
        <v xml:space="preserve"> </v>
      </c>
      <c r="NA178" s="47" t="str">
        <f t="shared" si="1383"/>
        <v xml:space="preserve"> </v>
      </c>
      <c r="NB178" s="47" t="str">
        <f t="shared" si="1383"/>
        <v xml:space="preserve"> </v>
      </c>
      <c r="NC178" s="47" t="str">
        <f t="shared" si="1383"/>
        <v xml:space="preserve"> </v>
      </c>
      <c r="ND178" s="47" t="str">
        <f t="shared" si="1383"/>
        <v xml:space="preserve"> </v>
      </c>
      <c r="NE178" s="47" t="str">
        <f t="shared" si="1383"/>
        <v xml:space="preserve"> </v>
      </c>
      <c r="NF178" s="57" t="str">
        <f t="shared" si="1383"/>
        <v xml:space="preserve"> </v>
      </c>
      <c r="NG178" s="47" t="str">
        <f t="shared" si="1383"/>
        <v xml:space="preserve"> </v>
      </c>
      <c r="NH178" s="47" t="str">
        <f t="shared" si="1383"/>
        <v xml:space="preserve"> </v>
      </c>
      <c r="NI178" s="47" t="str">
        <f t="shared" si="1383"/>
        <v xml:space="preserve"> </v>
      </c>
      <c r="NJ178" s="47" t="str">
        <f t="shared" si="1383"/>
        <v xml:space="preserve"> </v>
      </c>
      <c r="NK178" s="47" t="str">
        <f t="shared" si="1383"/>
        <v xml:space="preserve"> </v>
      </c>
      <c r="NL178" s="57" t="str">
        <f t="shared" si="1383"/>
        <v xml:space="preserve"> </v>
      </c>
      <c r="NM178" s="47" t="str">
        <f t="shared" si="1383"/>
        <v xml:space="preserve"> </v>
      </c>
    </row>
    <row r="179" spans="3:377" ht="15.75" customHeight="1">
      <c r="C179" s="7" t="str">
        <f t="shared" si="841"/>
        <v>AI&amp; data analysis</v>
      </c>
      <c r="D179" s="21" t="str">
        <f t="shared" si="651"/>
        <v xml:space="preserve"> </v>
      </c>
      <c r="E179" s="21" t="str">
        <f t="shared" si="842"/>
        <v xml:space="preserve"> </v>
      </c>
      <c r="F179" s="21" t="str">
        <f t="shared" si="651"/>
        <v xml:space="preserve"> </v>
      </c>
      <c r="G179" s="21" t="str">
        <f t="shared" si="843"/>
        <v xml:space="preserve"> </v>
      </c>
      <c r="H179" s="21" t="str">
        <f t="shared" si="844"/>
        <v xml:space="preserve"> </v>
      </c>
      <c r="I179" s="21" t="str">
        <f t="shared" ref="I179" si="1384">IF(I77="",I180,$C179&amp;"("&amp;I77&amp;"),"&amp;I180)</f>
        <v xml:space="preserve"> </v>
      </c>
      <c r="J179" s="21" t="str">
        <f t="shared" ref="J179" si="1385">IF(J77="",J180,$C179&amp;" "&amp;J77&amp;CHAR(10)&amp;J180)</f>
        <v xml:space="preserve">interaction 1
 </v>
      </c>
      <c r="K179" s="21" t="str">
        <f t="shared" si="654"/>
        <v xml:space="preserve"> </v>
      </c>
      <c r="L179" s="21" t="str">
        <f t="shared" ref="L179" si="1386">IF(L77="",L180,$C179&amp;" "&amp;L77&amp;CHAR(10)&amp;L180)</f>
        <v xml:space="preserve"> </v>
      </c>
      <c r="M179" s="21" t="str">
        <f t="shared" si="656"/>
        <v xml:space="preserve">social innovation(1), non-profit biz(1),  </v>
      </c>
      <c r="N179" s="21" t="str">
        <f t="shared" si="657"/>
        <v xml:space="preserve"> </v>
      </c>
      <c r="O179" s="21" t="str">
        <f t="shared" si="658"/>
        <v xml:space="preserve"> </v>
      </c>
      <c r="P179" s="21" t="str">
        <f t="shared" ref="P179" si="1387">IF(P77="",P180,$C179&amp;" "&amp;P77&amp;CHAR(10)&amp;P180)</f>
        <v xml:space="preserve">biz project 1
 </v>
      </c>
      <c r="Q179" s="21" t="str">
        <f t="shared" si="660"/>
        <v xml:space="preserve"> </v>
      </c>
      <c r="R179" s="21" t="str">
        <f t="shared" ref="R179" si="1388">IF(R77="",R180,$C179&amp;" "&amp;R77&amp;CHAR(10)&amp;R180)</f>
        <v xml:space="preserve"> </v>
      </c>
      <c r="S179" s="21" t="str">
        <f t="shared" si="662"/>
        <v xml:space="preserve">biz enhancement(1), business(1), start-up(1),  </v>
      </c>
      <c r="T179" s="21" t="str">
        <f t="shared" si="663"/>
        <v xml:space="preserve"> </v>
      </c>
      <c r="U179" s="21" t="str">
        <f t="shared" si="658"/>
        <v xml:space="preserve"> </v>
      </c>
      <c r="V179" s="21" t="str">
        <f t="shared" ref="V179" si="1389">IF(V77="",V180,$C179&amp;" "&amp;V77&amp;CHAR(10)&amp;V180)</f>
        <v xml:space="preserve"> </v>
      </c>
      <c r="W179" s="21" t="str">
        <f t="shared" si="665"/>
        <v xml:space="preserve"> </v>
      </c>
      <c r="X179" s="21" t="str">
        <f t="shared" ref="X179" si="1390">IF(X77="",X180,$C179&amp;" "&amp;X77&amp;CHAR(10)&amp;X180)</f>
        <v xml:space="preserve"> </v>
      </c>
      <c r="Y179" s="21" t="str">
        <f t="shared" si="667"/>
        <v xml:space="preserve">biz project(1), biz enhancement(1), job creation(1), business(1),  </v>
      </c>
      <c r="Z179" s="21" t="str">
        <f t="shared" si="668"/>
        <v xml:space="preserve"> </v>
      </c>
      <c r="AA179" s="21" t="str">
        <f t="shared" si="658"/>
        <v xml:space="preserve"> </v>
      </c>
      <c r="AB179" s="21" t="str">
        <f t="shared" ref="AB179" si="1391">IF(AB77="",AB180,$C179&amp;" "&amp;AB77&amp;CHAR(10)&amp;AB180)</f>
        <v xml:space="preserve"> </v>
      </c>
      <c r="AC179" s="21" t="str">
        <f t="shared" si="670"/>
        <v xml:space="preserve"> </v>
      </c>
      <c r="AD179" s="21" t="str">
        <f t="shared" ref="AD179" si="1392">IF(AD77="",AD180,$C179&amp;" "&amp;AD77&amp;CHAR(10)&amp;AD180)</f>
        <v xml:space="preserve"> </v>
      </c>
      <c r="AE179" s="21" t="str">
        <f t="shared" si="672"/>
        <v xml:space="preserve">social project(1), social innovation(1), non-profit biz(1),  </v>
      </c>
      <c r="AF179" s="21" t="str">
        <f t="shared" si="673"/>
        <v xml:space="preserve"> </v>
      </c>
      <c r="AG179" s="21" t="str">
        <f t="shared" si="658"/>
        <v xml:space="preserve"> </v>
      </c>
      <c r="AH179" s="21" t="str">
        <f t="shared" ref="AH179" si="1393">IF(AH77="",AH180,$C179&amp;" "&amp;AH77&amp;CHAR(10)&amp;AH180)</f>
        <v xml:space="preserve"> </v>
      </c>
      <c r="AI179" s="21" t="str">
        <f t="shared" si="675"/>
        <v xml:space="preserve"> </v>
      </c>
      <c r="AJ179" s="21" t="str">
        <f t="shared" ref="AJ179" si="1394">IF(AJ77="",AJ180,$C179&amp;" "&amp;AJ77&amp;CHAR(10)&amp;AJ180)</f>
        <v xml:space="preserve"> </v>
      </c>
      <c r="AK179" s="21" t="str">
        <f t="shared" si="677"/>
        <v xml:space="preserve">social project(1), social innovation(1), non-profit biz(1),  </v>
      </c>
      <c r="AL179" s="21" t="str">
        <f t="shared" si="678"/>
        <v xml:space="preserve"> </v>
      </c>
      <c r="AM179" s="21" t="str">
        <f t="shared" si="658"/>
        <v xml:space="preserve"> </v>
      </c>
      <c r="AN179" s="21" t="str">
        <f t="shared" ref="AN179" si="1395">IF(AN77="",AN180,$C179&amp;" "&amp;AN77&amp;CHAR(10)&amp;AN180)</f>
        <v xml:space="preserve"> </v>
      </c>
      <c r="AO179" s="21" t="str">
        <f t="shared" si="680"/>
        <v xml:space="preserve"> </v>
      </c>
      <c r="AP179" s="21" t="str">
        <f t="shared" ref="AP179" si="1396">IF(AP77="",AP180,$C179&amp;" "&amp;AP77&amp;CHAR(10)&amp;AP180)</f>
        <v xml:space="preserve"> </v>
      </c>
      <c r="AQ179" s="21" t="str">
        <f t="shared" si="682"/>
        <v xml:space="preserve">start-up(1), start-up with mvp(1), start-up with customers(1),  </v>
      </c>
      <c r="AR179" s="21" t="str">
        <f t="shared" si="683"/>
        <v xml:space="preserve"> </v>
      </c>
      <c r="AS179" s="21" t="str">
        <f t="shared" si="658"/>
        <v xml:space="preserve"> </v>
      </c>
      <c r="AT179" s="21" t="str">
        <f t="shared" ref="AT179" si="1397">IF(AT77="",AT180,$C179&amp;" "&amp;AT77&amp;CHAR(10)&amp;AT180)</f>
        <v xml:space="preserve">social project 1
 </v>
      </c>
      <c r="AU179" s="21" t="str">
        <f t="shared" si="685"/>
        <v xml:space="preserve"> </v>
      </c>
      <c r="AV179" s="21" t="str">
        <f t="shared" ref="AV179" si="1398">IF(AV77="",AV180,$C179&amp;" "&amp;AV77&amp;CHAR(10)&amp;AV180)</f>
        <v xml:space="preserve"> </v>
      </c>
      <c r="AW179" s="21" t="str">
        <f t="shared" si="687"/>
        <v xml:space="preserve"> </v>
      </c>
      <c r="AX179" s="21" t="str">
        <f t="shared" si="688"/>
        <v xml:space="preserve"> </v>
      </c>
      <c r="AY179" s="21" t="str">
        <f t="shared" si="658"/>
        <v xml:space="preserve"> </v>
      </c>
      <c r="AZ179" s="21" t="str">
        <f t="shared" ref="AZ179" si="1399">IF(AZ77="",AZ180,$C179&amp;" "&amp;AZ77&amp;CHAR(10)&amp;AZ180)</f>
        <v xml:space="preserve"> </v>
      </c>
      <c r="BA179" s="21" t="str">
        <f t="shared" si="690"/>
        <v xml:space="preserve"> </v>
      </c>
      <c r="BB179" s="21" t="str">
        <f t="shared" ref="BB179" si="1400">IF(BB77="",BB180,$C179&amp;" "&amp;BB77&amp;CHAR(10)&amp;BB180)</f>
        <v xml:space="preserve"> </v>
      </c>
      <c r="BC179" s="21" t="str">
        <f t="shared" si="692"/>
        <v xml:space="preserve"> </v>
      </c>
      <c r="BD179" s="21" t="str">
        <f t="shared" si="693"/>
        <v xml:space="preserve"> </v>
      </c>
      <c r="BE179" s="21" t="str">
        <f t="shared" si="658"/>
        <v xml:space="preserve"> </v>
      </c>
      <c r="BF179" s="21" t="str">
        <f t="shared" ref="BF179" si="1401">IF(BF77="",BF180,$C179&amp;" "&amp;BF77&amp;CHAR(10)&amp;BF180)</f>
        <v xml:space="preserve">biz project 1
 </v>
      </c>
      <c r="BG179" s="21" t="str">
        <f t="shared" si="695"/>
        <v xml:space="preserve"> </v>
      </c>
      <c r="BH179" s="21" t="str">
        <f t="shared" ref="BH179" si="1402">IF(BH77="",BH180,$C179&amp;" "&amp;BH77&amp;CHAR(10)&amp;BH180)</f>
        <v xml:space="preserve"> </v>
      </c>
      <c r="BI179" s="21" t="str">
        <f t="shared" si="697"/>
        <v xml:space="preserve"> </v>
      </c>
      <c r="BJ179" s="21" t="str">
        <f t="shared" si="698"/>
        <v xml:space="preserve"> </v>
      </c>
      <c r="BK179" s="21" t="str">
        <f t="shared" si="658"/>
        <v xml:space="preserve"> </v>
      </c>
      <c r="BL179" s="21" t="str">
        <f t="shared" ref="BL179" si="1403">IF(BL77="",BL180,$C179&amp;" "&amp;BL77&amp;CHAR(10)&amp;BL180)</f>
        <v xml:space="preserve">biz enhancement 1
 </v>
      </c>
      <c r="BM179" s="21" t="str">
        <f t="shared" si="700"/>
        <v xml:space="preserve"> </v>
      </c>
      <c r="BN179" s="21" t="str">
        <f t="shared" ref="BN179" si="1404">IF(BN77="",BN180,$C179&amp;" "&amp;BN77&amp;CHAR(10)&amp;BN180)</f>
        <v xml:space="preserve"> </v>
      </c>
      <c r="BO179" s="21" t="str">
        <f t="shared" si="702"/>
        <v xml:space="preserve"> </v>
      </c>
      <c r="BP179" s="21" t="str">
        <f t="shared" si="703"/>
        <v xml:space="preserve"> </v>
      </c>
      <c r="BQ179" s="21" t="str">
        <f t="shared" si="658"/>
        <v xml:space="preserve"> </v>
      </c>
      <c r="BR179" s="21" t="str">
        <f t="shared" ref="BR179" si="1405">IF(BR77="",BR180,$C179&amp;" "&amp;BR77&amp;CHAR(10)&amp;BR180)</f>
        <v xml:space="preserve"> </v>
      </c>
      <c r="BS179" s="21" t="str">
        <f t="shared" si="705"/>
        <v xml:space="preserve"> </v>
      </c>
      <c r="BT179" s="21" t="str">
        <f t="shared" ref="BT179" si="1406">IF(BT77="",BT180,$C179&amp;" "&amp;BT77&amp;CHAR(10)&amp;BT180)</f>
        <v xml:space="preserve"> </v>
      </c>
      <c r="BU179" s="21" t="str">
        <f t="shared" si="707"/>
        <v xml:space="preserve"> </v>
      </c>
      <c r="BV179" s="21" t="str">
        <f t="shared" si="708"/>
        <v xml:space="preserve"> </v>
      </c>
      <c r="BW179" s="21" t="str">
        <f t="shared" si="658"/>
        <v xml:space="preserve"> </v>
      </c>
      <c r="BX179" s="21" t="str">
        <f t="shared" ref="BX179" si="1407">IF(BX77="",BX180,$C179&amp;" "&amp;BX77&amp;CHAR(10)&amp;BX180)</f>
        <v xml:space="preserve"> </v>
      </c>
      <c r="BY179" s="21" t="str">
        <f t="shared" si="710"/>
        <v xml:space="preserve"> </v>
      </c>
      <c r="BZ179" s="21" t="str">
        <f t="shared" ref="BZ179" si="1408">IF(BZ77="",BZ180,$C179&amp;" "&amp;BZ77&amp;CHAR(10)&amp;BZ180)</f>
        <v xml:space="preserve"> </v>
      </c>
      <c r="CA179" s="21" t="str">
        <f t="shared" si="712"/>
        <v xml:space="preserve"> </v>
      </c>
      <c r="CB179" s="21" t="str">
        <f t="shared" si="713"/>
        <v xml:space="preserve"> </v>
      </c>
      <c r="CC179" s="21" t="str">
        <f t="shared" si="714"/>
        <v xml:space="preserve"> </v>
      </c>
      <c r="CD179" s="21" t="str">
        <f t="shared" ref="CD179" si="1409">IF(CD77="",CD180,$C179&amp;" "&amp;CD77&amp;CHAR(10)&amp;CD180)</f>
        <v xml:space="preserve"> </v>
      </c>
      <c r="CE179" s="21" t="str">
        <f t="shared" si="716"/>
        <v xml:space="preserve"> </v>
      </c>
      <c r="CF179" s="21" t="str">
        <f t="shared" ref="CF179" si="1410">IF(CF77="",CF180,$C179&amp;" "&amp;CF77&amp;CHAR(10)&amp;CF180)</f>
        <v xml:space="preserve"> </v>
      </c>
      <c r="CG179" s="21" t="str">
        <f t="shared" si="718"/>
        <v xml:space="preserve">social project(1), biz project(1), for basic literacy(1), for the elites(1), for entrepreneurs(1),  </v>
      </c>
      <c r="CH179" s="21" t="str">
        <f t="shared" si="719"/>
        <v xml:space="preserve"> </v>
      </c>
      <c r="CI179" s="21" t="str">
        <f t="shared" si="714"/>
        <v xml:space="preserve"> </v>
      </c>
      <c r="CJ179" s="21" t="str">
        <f t="shared" ref="CJ179" si="1411">IF(CJ77="",CJ180,$C179&amp;" "&amp;CJ77&amp;CHAR(10)&amp;CJ180)</f>
        <v xml:space="preserve"> </v>
      </c>
      <c r="CK179" s="21" t="str">
        <f t="shared" si="721"/>
        <v xml:space="preserve"> </v>
      </c>
      <c r="CL179" s="21" t="str">
        <f t="shared" ref="CL179" si="1412">IF(CL77="",CL180,$C179&amp;" "&amp;CL77&amp;CHAR(10)&amp;CL180)</f>
        <v xml:space="preserve"> </v>
      </c>
      <c r="CM179" s="21" t="str">
        <f t="shared" si="723"/>
        <v xml:space="preserve"> </v>
      </c>
      <c r="CN179" s="21" t="str">
        <f t="shared" si="724"/>
        <v xml:space="preserve"> </v>
      </c>
      <c r="CO179" s="21" t="str">
        <f t="shared" si="714"/>
        <v xml:space="preserve"> </v>
      </c>
      <c r="CP179" s="21" t="str">
        <f t="shared" ref="CP179" si="1413">IF(CP77="",CP180,$C179&amp;" "&amp;CP77&amp;CHAR(10)&amp;CP180)</f>
        <v xml:space="preserve"> </v>
      </c>
      <c r="CQ179" s="21" t="str">
        <f t="shared" si="726"/>
        <v xml:space="preserve"> </v>
      </c>
      <c r="CR179" s="21" t="str">
        <f t="shared" ref="CR179" si="1414">IF(CR77="",CR180,$C179&amp;" "&amp;CR77&amp;CHAR(10)&amp;CR180)</f>
        <v xml:space="preserve"> </v>
      </c>
      <c r="CS179" s="21" t="str">
        <f t="shared" si="728"/>
        <v xml:space="preserve">AI&amp; data analysis(1), mobile comm(1), VR&amp;AR(1), wood processing(1), metal processing(1), plastic processing(1), electronics(1), fabric(1),  </v>
      </c>
      <c r="CT179" s="21" t="str">
        <f t="shared" si="729"/>
        <v xml:space="preserve"> </v>
      </c>
      <c r="CU179" s="21" t="str">
        <f t="shared" si="714"/>
        <v xml:space="preserve"> </v>
      </c>
      <c r="CV179" s="21" t="str">
        <f t="shared" ref="CV179" si="1415">IF(CV77="",CV180,$C179&amp;" "&amp;CV77&amp;CHAR(10)&amp;CV180)</f>
        <v xml:space="preserve"> </v>
      </c>
      <c r="CW179" s="21" t="str">
        <f t="shared" si="731"/>
        <v xml:space="preserve"> </v>
      </c>
      <c r="CX179" s="21" t="str">
        <f t="shared" ref="CX179" si="1416">IF(CX77="",CX180,$C179&amp;" "&amp;CX77&amp;CHAR(10)&amp;CX180)</f>
        <v xml:space="preserve"> </v>
      </c>
      <c r="CY179" s="21" t="str">
        <f t="shared" si="733"/>
        <v xml:space="preserve"> </v>
      </c>
      <c r="CZ179" s="21" t="str">
        <f t="shared" si="734"/>
        <v xml:space="preserve"> </v>
      </c>
      <c r="DA179" s="21" t="str">
        <f t="shared" si="714"/>
        <v xml:space="preserve"> </v>
      </c>
      <c r="DB179" s="21" t="str">
        <f t="shared" ref="DB179" si="1417">IF(DB77="",DB180,$C179&amp;" "&amp;DB77&amp;CHAR(10)&amp;DB180)</f>
        <v xml:space="preserve"> </v>
      </c>
      <c r="DC179" s="21" t="str">
        <f t="shared" si="736"/>
        <v xml:space="preserve"> </v>
      </c>
      <c r="DD179" s="21" t="str">
        <f t="shared" ref="DD179" si="1418">IF(DD77="",DD180,$C179&amp;" "&amp;DD77&amp;CHAR(10)&amp;DD180)</f>
        <v xml:space="preserve"> </v>
      </c>
      <c r="DE179" s="21" t="str">
        <f t="shared" si="738"/>
        <v xml:space="preserve">AI&amp; data analysis(2), mobile comm(2), VR&amp;AR(2), wood processing(2), metal processing(2), plastic processing(2), electronics(2), fabric(2), aesthetics(2), functions(2), safety(2), interaction(2), biz project(1), biz enhancement(1), job creation(1), business(1), start-up(1), start-up with mvp(1), start-up with customers(1), for entrepreneurs(2),  </v>
      </c>
      <c r="DF179" s="21" t="str">
        <f t="shared" si="739"/>
        <v xml:space="preserve"> </v>
      </c>
      <c r="DG179" s="21" t="str">
        <f t="shared" si="714"/>
        <v xml:space="preserve"> </v>
      </c>
      <c r="DH179" s="21" t="str">
        <f t="shared" ref="DH179" si="1419">IF(DH77="",DH180,$C179&amp;" "&amp;DH77&amp;CHAR(10)&amp;DH180)</f>
        <v xml:space="preserve">social project 1
 </v>
      </c>
      <c r="DI179" s="21" t="str">
        <f t="shared" si="741"/>
        <v xml:space="preserve"> </v>
      </c>
      <c r="DJ179" s="21" t="str">
        <f t="shared" ref="DJ179" si="1420">IF(DJ77="",DJ180,$C179&amp;" "&amp;DJ77&amp;CHAR(10)&amp;DJ180)</f>
        <v xml:space="preserve"> </v>
      </c>
      <c r="DK179" s="21" t="str">
        <f t="shared" si="743"/>
        <v xml:space="preserve">AI&amp; data analysis(2), mobile comm(2), VR&amp;AR(2), wood processing(2), metal processing(2), plastic processing(2), electronics(2), fabric(2), aesthetics(2), functions(2), safety(2), interaction(2), social project(2), social innovation(1), non-profit biz(1),  </v>
      </c>
      <c r="DL179" s="21" t="str">
        <f t="shared" si="744"/>
        <v xml:space="preserve"> </v>
      </c>
      <c r="DM179" s="21" t="str">
        <f t="shared" si="714"/>
        <v xml:space="preserve"> </v>
      </c>
      <c r="DN179" s="21" t="str">
        <f t="shared" ref="DN179" si="1421">IF(DN77="",DN180,$C179&amp;" "&amp;DN77&amp;CHAR(10)&amp;DN180)</f>
        <v xml:space="preserve">biz project 1
 </v>
      </c>
      <c r="DO179" s="21" t="str">
        <f t="shared" si="746"/>
        <v xml:space="preserve"> </v>
      </c>
      <c r="DP179" s="21" t="str">
        <f t="shared" ref="DP179" si="1422">IF(DP77="",DP180,$C179&amp;" "&amp;DP77&amp;CHAR(10)&amp;DP180)</f>
        <v xml:space="preserve"> </v>
      </c>
      <c r="DQ179" s="21" t="str">
        <f t="shared" si="748"/>
        <v xml:space="preserve">AI&amp; data analysis(2), mobile comm(2), VR&amp;AR(2), wood processing(2), metal processing(2), plastic processing(2), electronics(2), fabric(2), aesthetics(2), functions(2), safety(2), interaction(2), biz project(2), biz enhancement(1), job creation(1), business(1), start-up(1), start-up with mvp(1), start-up with customers(1), for entrepreneurs(1),  </v>
      </c>
      <c r="DR179" s="21" t="str">
        <f t="shared" si="749"/>
        <v xml:space="preserve"> </v>
      </c>
      <c r="DS179" s="21" t="str">
        <f t="shared" si="714"/>
        <v xml:space="preserve"> </v>
      </c>
      <c r="DT179" s="21" t="str">
        <f t="shared" ref="DT179" si="1423">IF(DT77="",DT180,$C179&amp;" "&amp;DT77&amp;CHAR(10)&amp;DT180)</f>
        <v xml:space="preserve"> </v>
      </c>
      <c r="DU179" s="21" t="str">
        <f t="shared" si="751"/>
        <v xml:space="preserve"> </v>
      </c>
      <c r="DV179" s="21" t="str">
        <f t="shared" ref="DV179" si="1424">IF(DV77="",DV180,$C179&amp;" "&amp;DV77&amp;CHAR(10)&amp;DV180)</f>
        <v xml:space="preserve"> </v>
      </c>
      <c r="DW179" s="21" t="str">
        <f t="shared" si="753"/>
        <v xml:space="preserve">for basic literacy(1),  </v>
      </c>
      <c r="DX179" s="21" t="str">
        <f t="shared" si="754"/>
        <v xml:space="preserve">for basic literacy(1,6.25),  </v>
      </c>
      <c r="DY179" s="21" t="str">
        <f t="shared" si="714"/>
        <v xml:space="preserve">for basic literacy(6.25), </v>
      </c>
      <c r="DZ179" s="21" t="str">
        <f t="shared" ref="DZ179" si="1425">IF(DZ77="",DZ180,$C179&amp;" "&amp;DZ77&amp;CHAR(10)&amp;DZ180)</f>
        <v xml:space="preserve"> </v>
      </c>
      <c r="EA179" s="21" t="str">
        <f t="shared" si="756"/>
        <v xml:space="preserve"> </v>
      </c>
      <c r="EB179" s="21" t="str">
        <f t="shared" ref="EB179" si="1426">IF(EB77="",EB180,$C179&amp;" "&amp;EB77&amp;CHAR(10)&amp;EB180)</f>
        <v xml:space="preserve"> </v>
      </c>
      <c r="EC179" s="21" t="str">
        <f t="shared" si="758"/>
        <v xml:space="preserve">AI&amp; data analysis(2), mobile comm(2), VR&amp;AR(2), wood processing(2), metal processing(2), plastic processing(2), electronics(2), fabric(2), for basic literacy(1),  </v>
      </c>
      <c r="ED179" s="21" t="str">
        <f t="shared" si="759"/>
        <v xml:space="preserve">for basic literacy(1,6.25),  </v>
      </c>
      <c r="EE179" s="21" t="str">
        <f t="shared" si="714"/>
        <v xml:space="preserve">for basic literacy(6.25), </v>
      </c>
      <c r="EF179" s="21" t="str">
        <f t="shared" ref="EF179" si="1427">IF(EF77="",EF180,$C179&amp;" "&amp;EF77&amp;CHAR(10)&amp;EF180)</f>
        <v xml:space="preserve"> </v>
      </c>
      <c r="EG179" s="21" t="str">
        <f t="shared" si="761"/>
        <v xml:space="preserve">interaction(1,50),  </v>
      </c>
      <c r="EH179" s="21" t="str">
        <f t="shared" ref="EH179" si="1428">IF(EH77="",EH180,$C179&amp;" "&amp;EH77&amp;CHAR(10)&amp;EH180)</f>
        <v xml:space="preserve">interaction 50
 </v>
      </c>
      <c r="EI179" s="21" t="str">
        <f t="shared" si="763"/>
        <v xml:space="preserve">mobile comm(1), for entrepreneurs(1),  </v>
      </c>
      <c r="EJ179" s="21" t="str">
        <f t="shared" si="764"/>
        <v xml:space="preserve">mobile comm(1,12.5), for entrepreneurs(1,6.25),  </v>
      </c>
      <c r="EK179" s="21" t="str">
        <f t="shared" si="714"/>
        <v xml:space="preserve">mobile comm(12.5),for entrepreneurs(6.25), </v>
      </c>
      <c r="EL179" s="21" t="str">
        <f t="shared" ref="EL179" si="1429">IF(EL77="",EL180,$C179&amp;" "&amp;EL77&amp;CHAR(10)&amp;EL180)</f>
        <v xml:space="preserve"> </v>
      </c>
      <c r="EM179" s="21" t="str">
        <f t="shared" si="766"/>
        <v xml:space="preserve"> </v>
      </c>
      <c r="EN179" s="21" t="str">
        <f t="shared" ref="EN179" si="1430">IF(EN77="",EN180,$C179&amp;" "&amp;EN77&amp;CHAR(10)&amp;EN180)</f>
        <v xml:space="preserve"> </v>
      </c>
      <c r="EO179" s="21" t="str">
        <f t="shared" si="768"/>
        <v xml:space="preserve">mobile comm(1), for entrepreneurs(1),  </v>
      </c>
      <c r="EP179" s="21" t="str">
        <f t="shared" si="769"/>
        <v xml:space="preserve">mobile comm(1,12.5), electronics(1,6.25), for entrepreneurs(1,6.25),  </v>
      </c>
      <c r="EQ179" s="21" t="str">
        <f t="shared" si="770"/>
        <v xml:space="preserve">mobile comm(12.5),electronics(6.25),for entrepreneurs(6.25), </v>
      </c>
      <c r="ER179" s="21" t="str">
        <f t="shared" ref="ER179" si="1431">IF(ER77="",ER180,$C179&amp;" "&amp;ER77&amp;CHAR(10)&amp;ER180)</f>
        <v xml:space="preserve"> </v>
      </c>
      <c r="ES179" s="21" t="str">
        <f t="shared" si="772"/>
        <v xml:space="preserve">AI&amp; data analysis(1,50),  </v>
      </c>
      <c r="ET179" s="21" t="str">
        <f t="shared" ref="ET179" si="1432">IF(ET77="",ET180,$C179&amp;" "&amp;ET77&amp;CHAR(10)&amp;ET180)</f>
        <v xml:space="preserve">AI&amp; data analysis 50
 </v>
      </c>
      <c r="EU179" s="21" t="str">
        <f t="shared" si="774"/>
        <v xml:space="preserve">mobile comm(1), for entrepreneurs(1),  </v>
      </c>
      <c r="EV179" s="21" t="str">
        <f t="shared" si="775"/>
        <v xml:space="preserve">mobile comm(1,12.5), for entrepreneurs(1,6.25),  </v>
      </c>
      <c r="EW179" s="21" t="str">
        <f t="shared" si="770"/>
        <v xml:space="preserve">mobile comm(12.5),for entrepreneurs(6.25), </v>
      </c>
      <c r="EX179" s="21" t="str">
        <f t="shared" ref="EX179" si="1433">IF(EX77="",EX180,$C179&amp;" "&amp;EX77&amp;CHAR(10)&amp;EX180)</f>
        <v xml:space="preserve"> </v>
      </c>
      <c r="EY179" s="21" t="str">
        <f t="shared" si="777"/>
        <v xml:space="preserve">interaction(1,25),  </v>
      </c>
      <c r="EZ179" s="21" t="str">
        <f t="shared" ref="EZ179" si="1434">IF(EZ77="",EZ180,$C179&amp;" "&amp;EZ77&amp;CHAR(10)&amp;EZ180)</f>
        <v xml:space="preserve">interaction 25
 </v>
      </c>
      <c r="FA179" s="21" t="str">
        <f t="shared" si="779"/>
        <v xml:space="preserve">for entrepreneurs(1),  </v>
      </c>
      <c r="FB179" s="21" t="str">
        <f t="shared" si="780"/>
        <v xml:space="preserve">mobile comm(1,12.5), for entrepreneurs(1,6.25),  </v>
      </c>
      <c r="FC179" s="21" t="str">
        <f t="shared" si="770"/>
        <v xml:space="preserve">mobile comm(12.5),for entrepreneurs(6.25), </v>
      </c>
      <c r="FD179" s="21" t="str">
        <f t="shared" ref="FD179" si="1435">IF(FD77="",FD180,$C179&amp;" "&amp;FD77&amp;CHAR(10)&amp;FD180)</f>
        <v xml:space="preserve"> </v>
      </c>
      <c r="FE179" s="21" t="str">
        <f t="shared" si="782"/>
        <v xml:space="preserve"> </v>
      </c>
      <c r="FF179" s="21" t="str">
        <f t="shared" ref="FF179" si="1436">IF(FF77="",FF180,$C179&amp;" "&amp;FF77&amp;CHAR(10)&amp;FF180)</f>
        <v xml:space="preserve"> </v>
      </c>
      <c r="FG179" s="21" t="str">
        <f t="shared" si="784"/>
        <v xml:space="preserve">for entrepreneurs(1),  </v>
      </c>
      <c r="FH179" s="21" t="str">
        <f t="shared" si="785"/>
        <v xml:space="preserve">AI&amp; data analysis(1,6.25), mobile comm(1,6.25), for entrepreneurs(1,6.25),  </v>
      </c>
      <c r="FI179" s="21" t="str">
        <f t="shared" si="770"/>
        <v xml:space="preserve">AI&amp; data analysis(6.25),mobile comm(6.25),for entrepreneurs(6.25), </v>
      </c>
      <c r="FJ179" s="21" t="str">
        <f t="shared" ref="FJ179" si="1437">IF(FJ77="",FJ180,$C179&amp;" "&amp;FJ77&amp;CHAR(10)&amp;FJ180)</f>
        <v xml:space="preserve"> </v>
      </c>
      <c r="FK179" s="21" t="str">
        <f t="shared" si="787"/>
        <v xml:space="preserve">wood processing(1,25), metal processing(1,25), plastic processing(1,25), fabric(1,25), safety(1,25), interaction(1,25),  </v>
      </c>
      <c r="FL179" s="21" t="str">
        <f t="shared" ref="FL179" si="1438">IF(FL77="",FL180,$C179&amp;" "&amp;FL77&amp;CHAR(10)&amp;FL180)</f>
        <v xml:space="preserve">wood processing 25
metal processing 25
plastic processing 25
fabric 25
safety 25
interaction 25
 </v>
      </c>
      <c r="FM179" s="21" t="str">
        <f t="shared" si="789"/>
        <v xml:space="preserve">for entrepreneurs(1),  </v>
      </c>
      <c r="FN179" s="21" t="str">
        <f t="shared" si="790"/>
        <v xml:space="preserve">for entrepreneurs(1,6.25),  </v>
      </c>
      <c r="FO179" s="21" t="str">
        <f t="shared" si="770"/>
        <v xml:space="preserve">for entrepreneurs(6.25), </v>
      </c>
      <c r="FP179" s="21" t="str">
        <f t="shared" ref="FP179" si="1439">IF(FP77="",FP180,$C179&amp;" "&amp;FP77&amp;CHAR(10)&amp;FP180)</f>
        <v xml:space="preserve"> </v>
      </c>
      <c r="FQ179" s="21" t="str">
        <f t="shared" si="792"/>
        <v xml:space="preserve">functions(1,25), interaction(1,25),  </v>
      </c>
      <c r="FR179" s="21" t="str">
        <f t="shared" ref="FR179" si="1440">IF(FR77="",FR180,$C179&amp;" "&amp;FR77&amp;CHAR(10)&amp;FR180)</f>
        <v xml:space="preserve">functions 25
interaction 25
 </v>
      </c>
      <c r="FS179" s="21" t="str">
        <f t="shared" si="794"/>
        <v xml:space="preserve">for entrepreneurs(1),  </v>
      </c>
      <c r="FT179" s="21" t="str">
        <f t="shared" si="795"/>
        <v xml:space="preserve">for entrepreneurs(1,6.25),  </v>
      </c>
      <c r="FU179" s="21" t="str">
        <f t="shared" si="770"/>
        <v xml:space="preserve">for entrepreneurs(6.25), </v>
      </c>
      <c r="FV179" s="21" t="str">
        <f t="shared" ref="FV179" si="1441">IF(FV77="",FV180,$C179&amp;" "&amp;FV77&amp;CHAR(10)&amp;FV180)</f>
        <v xml:space="preserve"> </v>
      </c>
      <c r="FW179" s="21" t="str">
        <f t="shared" si="797"/>
        <v xml:space="preserve">wood processing(1,25), plastic processing(1,25), electronics(1,25), functions(1,25), interaction(1,25),  </v>
      </c>
      <c r="FX179" s="21" t="str">
        <f t="shared" ref="FX179" si="1442">IF(FX77="",FX180,$C179&amp;" "&amp;FX77&amp;CHAR(10)&amp;FX180)</f>
        <v xml:space="preserve">wood processing 25
plastic processing 25
electronics 25
functions 25
interaction 25
 </v>
      </c>
      <c r="FY179" s="21" t="str">
        <f t="shared" si="799"/>
        <v xml:space="preserve">for entrepreneurs(1),  </v>
      </c>
      <c r="FZ179" s="21" t="str">
        <f t="shared" si="800"/>
        <v xml:space="preserve">AI&amp; data analysis(1,6.25), mobile comm(1,6.25), for entrepreneurs(1,6.25),  </v>
      </c>
      <c r="GA179" s="21" t="str">
        <f t="shared" si="770"/>
        <v xml:space="preserve">AI&amp; data analysis(6.25),mobile comm(6.25),for entrepreneurs(6.25), </v>
      </c>
      <c r="GB179" s="21" t="str">
        <f t="shared" ref="GB179" si="1443">IF(GB77="",GB180,$C179&amp;" "&amp;GB77&amp;CHAR(10)&amp;GB180)</f>
        <v xml:space="preserve"> </v>
      </c>
      <c r="GC179" s="21" t="str">
        <f t="shared" si="802"/>
        <v xml:space="preserve">mobile comm(1,25), electronics(1,50), functions(1,25), safety(1,25),  </v>
      </c>
      <c r="GD179" s="21" t="str">
        <f t="shared" ref="GD179" si="1444">IF(GD77="",GD180,$C179&amp;" "&amp;GD77&amp;CHAR(10)&amp;GD180)</f>
        <v xml:space="preserve">mobile comm 25
electronics 50
functions 25
safety 25
 </v>
      </c>
      <c r="GE179" s="21" t="str">
        <f t="shared" si="804"/>
        <v xml:space="preserve">for entrepreneurs(1),  </v>
      </c>
      <c r="GF179" s="21" t="str">
        <f t="shared" si="805"/>
        <v xml:space="preserve">AI&amp; data analysis(1,6.25), plastic processing(1,6.25), interaction(1,6.25), for entrepreneurs(1,6.25),  </v>
      </c>
      <c r="GG179" s="21" t="str">
        <f t="shared" si="770"/>
        <v xml:space="preserve">AI&amp; data analysis(6.25),plastic processing(6.25),interaction(6.25),for entrepreneurs(6.25), </v>
      </c>
      <c r="GH179" s="21" t="str">
        <f t="shared" ref="GH179" si="1445">IF(GH77="",GH180,$C179&amp;" "&amp;GH77&amp;CHAR(10)&amp;GH180)</f>
        <v xml:space="preserve"> </v>
      </c>
      <c r="GI179" s="21" t="str">
        <f t="shared" si="807"/>
        <v xml:space="preserve">functions(1,25), interaction(1,25),  </v>
      </c>
      <c r="GJ179" s="21" t="str">
        <f t="shared" ref="GJ179" si="1446">IF(GJ77="",GJ180,$C179&amp;" "&amp;GJ77&amp;CHAR(10)&amp;GJ180)</f>
        <v xml:space="preserve">functions 25
interaction 25
 </v>
      </c>
      <c r="GK179" s="21" t="str">
        <f t="shared" si="809"/>
        <v xml:space="preserve">for entrepreneurs(1),  </v>
      </c>
      <c r="GL179" s="21" t="str">
        <f t="shared" si="810"/>
        <v xml:space="preserve">for entrepreneurs(1,6.25),  </v>
      </c>
      <c r="GM179" s="21" t="str">
        <f t="shared" si="770"/>
        <v xml:space="preserve">for entrepreneurs(6.25), </v>
      </c>
      <c r="GN179" s="21" t="str">
        <f t="shared" ref="GN179" si="1447">IF(GN77="",GN180,$C179&amp;" "&amp;GN77&amp;CHAR(10)&amp;GN180)</f>
        <v xml:space="preserve"> </v>
      </c>
      <c r="GO179" s="21" t="str">
        <f t="shared" si="812"/>
        <v xml:space="preserve">VR&amp;AR(1,25), aesthetics(1,25), functions(1,25), interaction(1,50),  </v>
      </c>
      <c r="GP179" s="21" t="str">
        <f t="shared" ref="GP179" si="1448">IF(GP77="",GP180,$C179&amp;" "&amp;GP77&amp;CHAR(10)&amp;GP180)</f>
        <v xml:space="preserve">VR&amp;AR 25
aesthetics 25
functions 25
interaction 50
 </v>
      </c>
      <c r="GQ179" s="21" t="str">
        <f t="shared" si="814"/>
        <v xml:space="preserve">for entrepreneurs(1),  </v>
      </c>
      <c r="GR179" s="21" t="str">
        <f t="shared" si="815"/>
        <v xml:space="preserve">for entrepreneurs(1,6.25),  </v>
      </c>
      <c r="GS179" s="21" t="str">
        <f t="shared" si="770"/>
        <v xml:space="preserve">for entrepreneurs(6.25), </v>
      </c>
      <c r="GT179" s="21" t="str">
        <f t="shared" ref="GT179" si="1449">IF(GT77="",GT180,$C179&amp;" "&amp;GT77&amp;CHAR(10)&amp;GT180)</f>
        <v xml:space="preserve">mobile comm 1
 </v>
      </c>
      <c r="GU179" s="21" t="str">
        <f t="shared" si="817"/>
        <v xml:space="preserve"> </v>
      </c>
      <c r="GV179" s="21" t="str">
        <f t="shared" ref="GV179" si="1450">IF(GV77="",GV180,$C179&amp;" "&amp;GV77&amp;CHAR(10)&amp;GV180)</f>
        <v xml:space="preserve"> </v>
      </c>
      <c r="GW179" s="21" t="str">
        <f t="shared" si="819"/>
        <v xml:space="preserve">AI&amp; data analysis(1), electronics(1),  </v>
      </c>
      <c r="GX179" s="21" t="str">
        <f t="shared" si="820"/>
        <v xml:space="preserve"> </v>
      </c>
      <c r="GY179" s="21" t="str">
        <f t="shared" si="770"/>
        <v xml:space="preserve"> </v>
      </c>
      <c r="GZ179" s="21" t="str">
        <f t="shared" ref="GZ179" si="1451">IF(GZ77="",GZ180,$C179&amp;" "&amp;GZ77&amp;CHAR(10)&amp;GZ180)</f>
        <v xml:space="preserve"> </v>
      </c>
      <c r="HA179" s="21" t="str">
        <f t="shared" si="822"/>
        <v xml:space="preserve"> </v>
      </c>
      <c r="HB179" s="21" t="str">
        <f t="shared" ref="HB179" si="1452">IF(HB77="",HB180,$C179&amp;" "&amp;HB77&amp;CHAR(10)&amp;HB180)</f>
        <v xml:space="preserve"> </v>
      </c>
      <c r="HC179" s="21" t="str">
        <f t="shared" si="824"/>
        <v xml:space="preserve">AI&amp; data analysis(2), VR&amp;AR(2), plastic processing(2), electronics(2), aesthetics(2), interaction(2),  </v>
      </c>
      <c r="HD179" s="21" t="str">
        <f t="shared" si="825"/>
        <v xml:space="preserve">start-up with customers(1,6.25), for basic literacy(1,6.25),  </v>
      </c>
      <c r="HE179" s="21" t="str">
        <f t="shared" si="826"/>
        <v xml:space="preserve">start-up with customers(6.25),for basic literacy(6.25), </v>
      </c>
      <c r="HF179" s="21" t="str">
        <f t="shared" ref="HF179" si="1453">IF(HF77="",HF180,$C179&amp;" "&amp;HF77&amp;CHAR(10)&amp;HF180)</f>
        <v xml:space="preserve"> </v>
      </c>
      <c r="HG179" s="21" t="str">
        <f t="shared" si="828"/>
        <v xml:space="preserve"> </v>
      </c>
      <c r="HH179" s="21" t="str">
        <f t="shared" ref="HH179" si="1454">IF(HH77="",HH180,$C179&amp;" "&amp;HH77&amp;CHAR(10)&amp;HH180)</f>
        <v xml:space="preserve"> </v>
      </c>
      <c r="HI179" s="21" t="str">
        <f t="shared" si="830"/>
        <v xml:space="preserve">plastic processing(2), electronics(2), aesthetics(2), functions(2), interaction(2),  </v>
      </c>
      <c r="HJ179" s="21" t="str">
        <f t="shared" si="831"/>
        <v xml:space="preserve">start-up with customers(1,6.25),  </v>
      </c>
      <c r="HK179" s="21" t="str">
        <f t="shared" si="826"/>
        <v xml:space="preserve">start-up with customers(6.25), </v>
      </c>
      <c r="HL179" s="21" t="str">
        <f t="shared" ref="HL179" si="1455">IF(HL77="",HL180,$C179&amp;" "&amp;HL77&amp;CHAR(10)&amp;HL180)</f>
        <v xml:space="preserve"> </v>
      </c>
      <c r="HM179" s="21" t="str">
        <f t="shared" si="833"/>
        <v xml:space="preserve"> </v>
      </c>
      <c r="HN179" s="21" t="str">
        <f t="shared" ref="HN179" si="1456">IF(HN77="",HN180,$C179&amp;" "&amp;HN77&amp;CHAR(10)&amp;HN180)</f>
        <v xml:space="preserve"> </v>
      </c>
      <c r="HO179" s="21" t="str">
        <f t="shared" si="835"/>
        <v xml:space="preserve">wood processing(3), plastic processing(3), electronics(3), aesthetics(2), interaction(2),  </v>
      </c>
      <c r="HP179" s="21" t="str">
        <f t="shared" si="836"/>
        <v xml:space="preserve"> </v>
      </c>
      <c r="HQ179" s="47" t="str">
        <f t="shared" si="826"/>
        <v xml:space="preserve"> </v>
      </c>
      <c r="HR179" s="47" t="str">
        <f t="shared" ref="HR179:HW179" si="1457">IF(HR77="",HR180,$C179&amp;"("&amp;HR77&amp;"),"&amp;HR180)</f>
        <v xml:space="preserve">wood processing(1),aesthetics(1), </v>
      </c>
      <c r="HS179" s="47" t="str">
        <f t="shared" si="1457"/>
        <v xml:space="preserve"> </v>
      </c>
      <c r="HT179" s="47" t="str">
        <f t="shared" si="1457"/>
        <v xml:space="preserve"> </v>
      </c>
      <c r="HU179" s="47" t="str">
        <f t="shared" si="1457"/>
        <v xml:space="preserve">AI&amp; data analysis(3),mobile comm(3),VR&amp;AR(3),wood processing(3),metal processing(2),plastic processing(2),electronics(2),fabric(2),aesthetics(2),interaction(2),start-up with mvp(1), </v>
      </c>
      <c r="HV179" s="47" t="str">
        <f t="shared" si="1457"/>
        <v xml:space="preserve"> </v>
      </c>
      <c r="HW179" s="47" t="str">
        <f t="shared" si="1457"/>
        <v xml:space="preserve"> </v>
      </c>
      <c r="HX179" s="47" t="str">
        <f t="shared" ref="HX179:IU179" si="1458">IF(HX77="",HX180,$C179&amp;"("&amp;HX77&amp;"),"&amp;HX180)</f>
        <v xml:space="preserve">AI&amp; data analysis(2),VR&amp;AR(1),wood processing(1),metal processing(1),plastic processing(1),electronics(1),aesthetics(1),functions(1),interaction(1), </v>
      </c>
      <c r="HY179" s="47" t="str">
        <f t="shared" si="1458"/>
        <v xml:space="preserve">biz enhancement(1), </v>
      </c>
      <c r="HZ179" s="47" t="str">
        <f t="shared" si="1458"/>
        <v xml:space="preserve">biz enhancement(100), </v>
      </c>
      <c r="IA179" s="47" t="str">
        <f t="shared" si="1458"/>
        <v xml:space="preserve"> </v>
      </c>
      <c r="IB179" s="47" t="str">
        <f t="shared" si="1458"/>
        <v xml:space="preserve">AI&amp; data analysis(1),electronics(1),functions(1), </v>
      </c>
      <c r="IC179" s="47" t="str">
        <f t="shared" si="1458"/>
        <v xml:space="preserve">AI&amp; data analysis(6.25),electronics(6.25),functions(6.25), </v>
      </c>
      <c r="ID179" s="47" t="str">
        <f t="shared" si="1458"/>
        <v xml:space="preserve"> </v>
      </c>
      <c r="IE179" s="47" t="str">
        <f t="shared" si="1458"/>
        <v xml:space="preserve">AI&amp; data analysis(1), </v>
      </c>
      <c r="IF179" s="47" t="str">
        <f t="shared" si="1458"/>
        <v xml:space="preserve">AI&amp; data analysis(25), </v>
      </c>
      <c r="IG179" s="47" t="str">
        <f t="shared" si="1458"/>
        <v xml:space="preserve">AI&amp; data analysis(2), </v>
      </c>
      <c r="IH179" s="47" t="str">
        <f t="shared" si="1458"/>
        <v xml:space="preserve">AI&amp; data analysis(1), </v>
      </c>
      <c r="II179" s="47" t="str">
        <f t="shared" si="1458"/>
        <v xml:space="preserve">AI&amp; data analysis(6.25), </v>
      </c>
      <c r="IJ179" s="47" t="str">
        <f t="shared" si="1458"/>
        <v xml:space="preserve"> </v>
      </c>
      <c r="IK179" s="47" t="str">
        <f t="shared" si="1458"/>
        <v xml:space="preserve">wood processing(1),metal processing(1),functions(1),safety(1), </v>
      </c>
      <c r="IL179" s="47" t="str">
        <f t="shared" si="1458"/>
        <v xml:space="preserve">wood processing(25),metal processing(25),functions(25),safety(25), </v>
      </c>
      <c r="IM179" s="47" t="str">
        <f t="shared" si="1458"/>
        <v xml:space="preserve">wood processing(2),metal processing(2),functions(2),safety(2), </v>
      </c>
      <c r="IN179" s="47" t="str">
        <f t="shared" si="1458"/>
        <v xml:space="preserve">wood processing(1),metal processing(1),functions(1),safety(1),interaction(1), </v>
      </c>
      <c r="IO179" s="47" t="str">
        <f t="shared" si="1458"/>
        <v xml:space="preserve">wood processing(6.25),metal processing(6.25),functions(6.25),safety(6.25),interaction(6.25), </v>
      </c>
      <c r="IP179" s="57" t="str">
        <f t="shared" si="1458"/>
        <v xml:space="preserve"> </v>
      </c>
      <c r="IQ179" s="47" t="str">
        <f t="shared" si="1458"/>
        <v xml:space="preserve"> </v>
      </c>
      <c r="IR179" s="47" t="str">
        <f t="shared" si="1458"/>
        <v xml:space="preserve"> </v>
      </c>
      <c r="IS179" s="47" t="str">
        <f t="shared" si="1458"/>
        <v xml:space="preserve"> </v>
      </c>
      <c r="IT179" s="47" t="str">
        <f t="shared" si="1458"/>
        <v xml:space="preserve"> </v>
      </c>
      <c r="IU179" s="47" t="str">
        <f t="shared" si="1458"/>
        <v xml:space="preserve"> </v>
      </c>
      <c r="IV179" s="57" t="str">
        <f t="shared" ref="IV179:LG179" si="1459">IF(IV77="",IV180,$C179&amp;"("&amp;IV77&amp;"),"&amp;IV180)</f>
        <v xml:space="preserve"> </v>
      </c>
      <c r="IW179" s="47" t="str">
        <f t="shared" si="1459"/>
        <v xml:space="preserve"> </v>
      </c>
      <c r="IX179" s="47" t="str">
        <f t="shared" si="1459"/>
        <v xml:space="preserve"> </v>
      </c>
      <c r="IY179" s="47" t="str">
        <f t="shared" si="1459"/>
        <v xml:space="preserve"> </v>
      </c>
      <c r="IZ179" s="47" t="str">
        <f t="shared" si="1459"/>
        <v xml:space="preserve"> </v>
      </c>
      <c r="JA179" s="47" t="str">
        <f t="shared" si="1459"/>
        <v xml:space="preserve"> </v>
      </c>
      <c r="JB179" s="47" t="str">
        <f t="shared" si="1459"/>
        <v xml:space="preserve"> </v>
      </c>
      <c r="JC179" s="47" t="str">
        <f t="shared" si="1459"/>
        <v xml:space="preserve"> </v>
      </c>
      <c r="JD179" s="47" t="str">
        <f t="shared" si="1459"/>
        <v xml:space="preserve"> </v>
      </c>
      <c r="JE179" s="47" t="str">
        <f t="shared" si="1459"/>
        <v xml:space="preserve"> </v>
      </c>
      <c r="JF179" s="47" t="str">
        <f t="shared" si="1459"/>
        <v xml:space="preserve">AI&amp; data analysis(1),mobile comm(1),VR&amp;AR(1),wood processing(1),metal processing(1),plastic processing(1),electronics(1),fabric(1),aesthetics(1),functions(1),safety(1),interaction(1), </v>
      </c>
      <c r="JG179" s="47" t="str">
        <f t="shared" si="1459"/>
        <v xml:space="preserve">AI&amp; data analysis(6.25),mobile comm(6.25),VR&amp;AR(6.25),wood processing(6.25),metal processing(6.25),plastic processing(6.25),electronics(6.25),fabric(6.25),aesthetics(6.25),functions(6.25),safety(6.25),interaction(6.25), </v>
      </c>
      <c r="JH179" s="47" t="str">
        <f t="shared" si="1459"/>
        <v xml:space="preserve"> </v>
      </c>
      <c r="JI179" s="47" t="str">
        <f t="shared" si="1459"/>
        <v xml:space="preserve"> </v>
      </c>
      <c r="JJ179" s="47" t="str">
        <f t="shared" si="1459"/>
        <v xml:space="preserve"> </v>
      </c>
      <c r="JK179" s="47" t="str">
        <f t="shared" si="1459"/>
        <v xml:space="preserve">social project(1),social innovation(1),non-profit biz(1),biz project(1),biz enhancement(1),job creation(1),business(1),start-up(1),start-up with mvp(1),start-up with customers(1),for basic literacy(1),for the elites(1),for entrepreneurs(1), </v>
      </c>
      <c r="JL179" s="47" t="str">
        <f t="shared" si="1459"/>
        <v xml:space="preserve"> </v>
      </c>
      <c r="JM179" s="47" t="str">
        <f t="shared" si="1459"/>
        <v xml:space="preserve"> </v>
      </c>
      <c r="JN179" s="47" t="str">
        <f t="shared" si="1459"/>
        <v xml:space="preserve"> </v>
      </c>
      <c r="JO179" s="47" t="str">
        <f t="shared" si="1459"/>
        <v xml:space="preserve"> </v>
      </c>
      <c r="JP179" s="47" t="str">
        <f t="shared" si="1459"/>
        <v xml:space="preserve"> </v>
      </c>
      <c r="JQ179" s="47" t="str">
        <f t="shared" si="1459"/>
        <v xml:space="preserve">electronics(1),aesthetics(1),interaction(1),social project(1),social innovation(1),non-profit biz(1),biz project(1),biz enhancement(1),job creation(1),business(1),start-up(1),start-up with mvp(1),start-up with customers(1),for basic literacy(1),for the elites(1),for entrepreneurs(1), </v>
      </c>
      <c r="JR179" s="47" t="str">
        <f t="shared" si="1459"/>
        <v xml:space="preserve"> </v>
      </c>
      <c r="JS179" s="47" t="str">
        <f t="shared" si="1459"/>
        <v xml:space="preserve"> </v>
      </c>
      <c r="JT179" s="47" t="str">
        <f t="shared" si="1459"/>
        <v xml:space="preserve"> </v>
      </c>
      <c r="JU179" s="47" t="str">
        <f t="shared" si="1459"/>
        <v xml:space="preserve"> </v>
      </c>
      <c r="JV179" s="47" t="str">
        <f t="shared" si="1459"/>
        <v xml:space="preserve"> </v>
      </c>
      <c r="JW179" s="47" t="str">
        <f t="shared" si="1459"/>
        <v xml:space="preserve">social project(2),social innovation(1),non-profit biz(1),biz project(2),biz enhancement(2),job creation(1),business(1),start-up(2),start-up with mvp(1),start-up with customers(1),for basic literacy(2),for the elites(1),for entrepreneurs(1), </v>
      </c>
      <c r="JX179" s="47" t="str">
        <f t="shared" si="1459"/>
        <v xml:space="preserve"> </v>
      </c>
      <c r="JY179" s="47" t="str">
        <f t="shared" si="1459"/>
        <v xml:space="preserve"> </v>
      </c>
      <c r="JZ179" s="47" t="str">
        <f t="shared" si="1459"/>
        <v xml:space="preserve">social project(2), </v>
      </c>
      <c r="KA179" s="47" t="str">
        <f t="shared" si="1459"/>
        <v xml:space="preserve"> </v>
      </c>
      <c r="KB179" s="47" t="str">
        <f t="shared" si="1459"/>
        <v xml:space="preserve"> </v>
      </c>
      <c r="KC179" s="47" t="str">
        <f t="shared" si="1459"/>
        <v xml:space="preserve">AI&amp; data analysis(1),electronics(1),aesthetics(1),social project(3),social innovation(1),non-profit biz(1),biz project(2),biz enhancement(2),job creation(1),business(1),start-up(2),start-up with mvp(1),start-up with customers(1),for basic literacy(2),for the elites(1),for entrepreneurs(1), </v>
      </c>
      <c r="KD179" s="47" t="str">
        <f t="shared" si="1459"/>
        <v xml:space="preserve"> </v>
      </c>
      <c r="KE179" s="47" t="str">
        <f t="shared" si="1459"/>
        <v xml:space="preserve"> </v>
      </c>
      <c r="KF179" s="47" t="str">
        <f t="shared" si="1459"/>
        <v xml:space="preserve"> </v>
      </c>
      <c r="KG179" s="47" t="str">
        <f t="shared" si="1459"/>
        <v xml:space="preserve"> </v>
      </c>
      <c r="KH179" s="47" t="str">
        <f t="shared" si="1459"/>
        <v xml:space="preserve"> </v>
      </c>
      <c r="KI179" s="47" t="str">
        <f t="shared" si="1459"/>
        <v xml:space="preserve"> </v>
      </c>
      <c r="KJ179" s="47" t="str">
        <f t="shared" si="1459"/>
        <v xml:space="preserve"> </v>
      </c>
      <c r="KK179" s="47" t="str">
        <f t="shared" si="1459"/>
        <v xml:space="preserve"> </v>
      </c>
      <c r="KL179" s="57" t="str">
        <f t="shared" si="1459"/>
        <v xml:space="preserve"> </v>
      </c>
      <c r="KM179" s="47" t="str">
        <f t="shared" si="1459"/>
        <v xml:space="preserve"> </v>
      </c>
      <c r="KN179" s="47" t="str">
        <f t="shared" si="1459"/>
        <v xml:space="preserve"> </v>
      </c>
      <c r="KO179" s="47" t="str">
        <f t="shared" si="1459"/>
        <v xml:space="preserve"> </v>
      </c>
      <c r="KP179" s="47" t="str">
        <f t="shared" si="1459"/>
        <v xml:space="preserve"> </v>
      </c>
      <c r="KQ179" s="47" t="str">
        <f t="shared" si="1459"/>
        <v xml:space="preserve"> </v>
      </c>
      <c r="KR179" s="57" t="str">
        <f t="shared" si="1459"/>
        <v xml:space="preserve"> </v>
      </c>
      <c r="KS179" s="47" t="str">
        <f t="shared" si="1459"/>
        <v xml:space="preserve"> </v>
      </c>
      <c r="KT179" s="47" t="str">
        <f t="shared" si="1459"/>
        <v xml:space="preserve"> </v>
      </c>
      <c r="KU179" s="47" t="str">
        <f t="shared" si="1459"/>
        <v xml:space="preserve"> </v>
      </c>
      <c r="KV179" s="47" t="str">
        <f t="shared" si="1459"/>
        <v xml:space="preserve"> </v>
      </c>
      <c r="KW179" s="47" t="str">
        <f t="shared" si="1459"/>
        <v xml:space="preserve"> </v>
      </c>
      <c r="KX179" s="57" t="str">
        <f t="shared" si="1459"/>
        <v xml:space="preserve"> </v>
      </c>
      <c r="KY179" s="47" t="str">
        <f t="shared" si="1459"/>
        <v xml:space="preserve"> </v>
      </c>
      <c r="KZ179" s="47" t="str">
        <f t="shared" si="1459"/>
        <v xml:space="preserve"> </v>
      </c>
      <c r="LA179" s="47" t="str">
        <f t="shared" si="1459"/>
        <v xml:space="preserve"> </v>
      </c>
      <c r="LB179" s="47" t="str">
        <f t="shared" si="1459"/>
        <v xml:space="preserve"> </v>
      </c>
      <c r="LC179" s="47" t="str">
        <f t="shared" si="1459"/>
        <v xml:space="preserve"> </v>
      </c>
      <c r="LD179" s="57" t="str">
        <f t="shared" si="1459"/>
        <v xml:space="preserve"> </v>
      </c>
      <c r="LE179" s="47" t="str">
        <f t="shared" si="1459"/>
        <v xml:space="preserve"> </v>
      </c>
      <c r="LF179" s="47" t="str">
        <f t="shared" si="1459"/>
        <v xml:space="preserve"> </v>
      </c>
      <c r="LG179" s="47" t="str">
        <f t="shared" si="1459"/>
        <v xml:space="preserve"> </v>
      </c>
      <c r="LH179" s="47" t="str">
        <f t="shared" ref="LH179:NM179" si="1460">IF(LH77="",LH180,$C179&amp;"("&amp;LH77&amp;"),"&amp;LH180)</f>
        <v xml:space="preserve"> </v>
      </c>
      <c r="LI179" s="47" t="str">
        <f t="shared" si="1460"/>
        <v xml:space="preserve"> </v>
      </c>
      <c r="LJ179" s="57" t="str">
        <f t="shared" si="1460"/>
        <v xml:space="preserve"> </v>
      </c>
      <c r="LK179" s="47" t="str">
        <f t="shared" si="1460"/>
        <v xml:space="preserve"> </v>
      </c>
      <c r="LL179" s="47" t="str">
        <f t="shared" si="1460"/>
        <v xml:space="preserve"> </v>
      </c>
      <c r="LM179" s="47" t="str">
        <f t="shared" si="1460"/>
        <v xml:space="preserve"> </v>
      </c>
      <c r="LN179" s="47" t="str">
        <f t="shared" si="1460"/>
        <v xml:space="preserve"> </v>
      </c>
      <c r="LO179" s="47" t="str">
        <f t="shared" si="1460"/>
        <v xml:space="preserve"> </v>
      </c>
      <c r="LP179" s="57" t="str">
        <f t="shared" si="1460"/>
        <v xml:space="preserve"> </v>
      </c>
      <c r="LQ179" s="47" t="str">
        <f t="shared" si="1460"/>
        <v xml:space="preserve"> </v>
      </c>
      <c r="LR179" s="47" t="str">
        <f t="shared" si="1460"/>
        <v xml:space="preserve"> </v>
      </c>
      <c r="LS179" s="47" t="str">
        <f t="shared" si="1460"/>
        <v xml:space="preserve"> </v>
      </c>
      <c r="LT179" s="47" t="str">
        <f t="shared" si="1460"/>
        <v xml:space="preserve"> </v>
      </c>
      <c r="LU179" s="47" t="str">
        <f t="shared" si="1460"/>
        <v xml:space="preserve"> </v>
      </c>
      <c r="LV179" s="57" t="str">
        <f t="shared" si="1460"/>
        <v xml:space="preserve"> </v>
      </c>
      <c r="LW179" s="47" t="str">
        <f t="shared" si="1460"/>
        <v xml:space="preserve"> </v>
      </c>
      <c r="LX179" s="47" t="str">
        <f t="shared" si="1460"/>
        <v xml:space="preserve"> </v>
      </c>
      <c r="LY179" s="47" t="str">
        <f t="shared" si="1460"/>
        <v xml:space="preserve"> </v>
      </c>
      <c r="LZ179" s="47" t="str">
        <f t="shared" si="1460"/>
        <v xml:space="preserve"> </v>
      </c>
      <c r="MA179" s="47" t="str">
        <f t="shared" si="1460"/>
        <v xml:space="preserve"> </v>
      </c>
      <c r="MB179" s="57" t="str">
        <f t="shared" si="1460"/>
        <v xml:space="preserve"> </v>
      </c>
      <c r="MC179" s="47" t="str">
        <f t="shared" si="1460"/>
        <v xml:space="preserve"> </v>
      </c>
      <c r="MD179" s="47" t="str">
        <f t="shared" si="1460"/>
        <v xml:space="preserve"> </v>
      </c>
      <c r="ME179" s="47" t="str">
        <f t="shared" si="1460"/>
        <v xml:space="preserve"> </v>
      </c>
      <c r="MF179" s="47" t="str">
        <f t="shared" si="1460"/>
        <v xml:space="preserve"> </v>
      </c>
      <c r="MG179" s="47" t="str">
        <f t="shared" si="1460"/>
        <v xml:space="preserve"> </v>
      </c>
      <c r="MH179" s="57" t="str">
        <f t="shared" si="1460"/>
        <v xml:space="preserve"> </v>
      </c>
      <c r="MI179" s="47" t="str">
        <f t="shared" si="1460"/>
        <v xml:space="preserve"> </v>
      </c>
      <c r="MJ179" s="47" t="str">
        <f t="shared" si="1460"/>
        <v xml:space="preserve"> </v>
      </c>
      <c r="MK179" s="47" t="str">
        <f t="shared" si="1460"/>
        <v xml:space="preserve"> </v>
      </c>
      <c r="ML179" s="47" t="str">
        <f t="shared" si="1460"/>
        <v xml:space="preserve"> </v>
      </c>
      <c r="MM179" s="47" t="str">
        <f t="shared" si="1460"/>
        <v xml:space="preserve"> </v>
      </c>
      <c r="MN179" s="57" t="str">
        <f t="shared" si="1460"/>
        <v xml:space="preserve"> </v>
      </c>
      <c r="MO179" s="47" t="str">
        <f t="shared" si="1460"/>
        <v xml:space="preserve"> </v>
      </c>
      <c r="MP179" s="47" t="str">
        <f t="shared" si="1460"/>
        <v xml:space="preserve"> </v>
      </c>
      <c r="MQ179" s="47" t="str">
        <f t="shared" si="1460"/>
        <v xml:space="preserve"> </v>
      </c>
      <c r="MR179" s="47" t="str">
        <f t="shared" si="1460"/>
        <v xml:space="preserve"> </v>
      </c>
      <c r="MS179" s="47" t="str">
        <f t="shared" si="1460"/>
        <v xml:space="preserve"> </v>
      </c>
      <c r="MT179" s="57" t="str">
        <f t="shared" si="1460"/>
        <v xml:space="preserve"> </v>
      </c>
      <c r="MU179" s="47" t="str">
        <f t="shared" si="1460"/>
        <v xml:space="preserve"> </v>
      </c>
      <c r="MV179" s="47" t="str">
        <f t="shared" si="1460"/>
        <v xml:space="preserve"> </v>
      </c>
      <c r="MW179" s="47" t="str">
        <f t="shared" si="1460"/>
        <v xml:space="preserve"> </v>
      </c>
      <c r="MX179" s="47" t="str">
        <f t="shared" si="1460"/>
        <v xml:space="preserve"> </v>
      </c>
      <c r="MY179" s="47" t="str">
        <f t="shared" si="1460"/>
        <v xml:space="preserve"> </v>
      </c>
      <c r="MZ179" s="57" t="str">
        <f t="shared" si="1460"/>
        <v xml:space="preserve"> </v>
      </c>
      <c r="NA179" s="47" t="str">
        <f t="shared" si="1460"/>
        <v xml:space="preserve"> </v>
      </c>
      <c r="NB179" s="47" t="str">
        <f t="shared" si="1460"/>
        <v xml:space="preserve"> </v>
      </c>
      <c r="NC179" s="47" t="str">
        <f t="shared" si="1460"/>
        <v xml:space="preserve"> </v>
      </c>
      <c r="ND179" s="47" t="str">
        <f t="shared" si="1460"/>
        <v xml:space="preserve"> </v>
      </c>
      <c r="NE179" s="47" t="str">
        <f t="shared" si="1460"/>
        <v xml:space="preserve"> </v>
      </c>
      <c r="NF179" s="57" t="str">
        <f t="shared" si="1460"/>
        <v xml:space="preserve"> </v>
      </c>
      <c r="NG179" s="47" t="str">
        <f t="shared" si="1460"/>
        <v xml:space="preserve"> </v>
      </c>
      <c r="NH179" s="47" t="str">
        <f t="shared" si="1460"/>
        <v xml:space="preserve"> </v>
      </c>
      <c r="NI179" s="47" t="str">
        <f t="shared" si="1460"/>
        <v xml:space="preserve"> </v>
      </c>
      <c r="NJ179" s="47" t="str">
        <f t="shared" si="1460"/>
        <v xml:space="preserve"> </v>
      </c>
      <c r="NK179" s="47" t="str">
        <f t="shared" si="1460"/>
        <v xml:space="preserve"> </v>
      </c>
      <c r="NL179" s="57" t="str">
        <f t="shared" si="1460"/>
        <v xml:space="preserve"> </v>
      </c>
      <c r="NM179" s="47" t="str">
        <f t="shared" si="1460"/>
        <v xml:space="preserve"> </v>
      </c>
    </row>
    <row r="180" spans="3:377" ht="15.75" customHeight="1">
      <c r="C180" s="7" t="str">
        <f t="shared" si="841"/>
        <v>mobile comm</v>
      </c>
      <c r="D180" s="21" t="str">
        <f t="shared" si="651"/>
        <v xml:space="preserve"> </v>
      </c>
      <c r="E180" s="21" t="str">
        <f t="shared" si="842"/>
        <v xml:space="preserve"> </v>
      </c>
      <c r="F180" s="21" t="str">
        <f t="shared" si="651"/>
        <v xml:space="preserve"> </v>
      </c>
      <c r="G180" s="21" t="str">
        <f t="shared" si="843"/>
        <v xml:space="preserve"> </v>
      </c>
      <c r="H180" s="21" t="str">
        <f t="shared" si="844"/>
        <v xml:space="preserve"> </v>
      </c>
      <c r="I180" s="21" t="str">
        <f t="shared" ref="I180" si="1461">IF(I78="",I181,$C180&amp;"("&amp;I78&amp;"),"&amp;I181)</f>
        <v xml:space="preserve"> </v>
      </c>
      <c r="J180" s="21" t="str">
        <f t="shared" ref="J180" si="1462">IF(J78="",J181,$C180&amp;" "&amp;J78&amp;CHAR(10)&amp;J181)</f>
        <v xml:space="preserve">interaction 1
 </v>
      </c>
      <c r="K180" s="21" t="str">
        <f t="shared" si="654"/>
        <v xml:space="preserve"> </v>
      </c>
      <c r="L180" s="21" t="str">
        <f t="shared" ref="L180" si="1463">IF(L78="",L181,$C180&amp;" "&amp;L78&amp;CHAR(10)&amp;L181)</f>
        <v xml:space="preserve"> </v>
      </c>
      <c r="M180" s="21" t="str">
        <f t="shared" si="656"/>
        <v xml:space="preserve">social innovation(1), non-profit biz(1),  </v>
      </c>
      <c r="N180" s="21" t="str">
        <f t="shared" si="657"/>
        <v xml:space="preserve"> </v>
      </c>
      <c r="O180" s="21" t="str">
        <f t="shared" si="658"/>
        <v xml:space="preserve"> </v>
      </c>
      <c r="P180" s="21" t="str">
        <f t="shared" ref="P180" si="1464">IF(P78="",P181,$C180&amp;" "&amp;P78&amp;CHAR(10)&amp;P181)</f>
        <v xml:space="preserve">biz project 1
 </v>
      </c>
      <c r="Q180" s="21" t="str">
        <f t="shared" si="660"/>
        <v xml:space="preserve"> </v>
      </c>
      <c r="R180" s="21" t="str">
        <f t="shared" ref="R180" si="1465">IF(R78="",R181,$C180&amp;" "&amp;R78&amp;CHAR(10)&amp;R181)</f>
        <v xml:space="preserve"> </v>
      </c>
      <c r="S180" s="21" t="str">
        <f t="shared" si="662"/>
        <v xml:space="preserve">biz enhancement(1), business(1), start-up(1),  </v>
      </c>
      <c r="T180" s="21" t="str">
        <f t="shared" si="663"/>
        <v xml:space="preserve"> </v>
      </c>
      <c r="U180" s="21" t="str">
        <f t="shared" si="658"/>
        <v xml:space="preserve"> </v>
      </c>
      <c r="V180" s="21" t="str">
        <f t="shared" ref="V180" si="1466">IF(V78="",V181,$C180&amp;" "&amp;V78&amp;CHAR(10)&amp;V181)</f>
        <v xml:space="preserve"> </v>
      </c>
      <c r="W180" s="21" t="str">
        <f t="shared" si="665"/>
        <v xml:space="preserve"> </v>
      </c>
      <c r="X180" s="21" t="str">
        <f t="shared" ref="X180" si="1467">IF(X78="",X181,$C180&amp;" "&amp;X78&amp;CHAR(10)&amp;X181)</f>
        <v xml:space="preserve"> </v>
      </c>
      <c r="Y180" s="21" t="str">
        <f t="shared" si="667"/>
        <v xml:space="preserve">biz project(1), biz enhancement(1), job creation(1), business(1),  </v>
      </c>
      <c r="Z180" s="21" t="str">
        <f t="shared" si="668"/>
        <v xml:space="preserve"> </v>
      </c>
      <c r="AA180" s="21" t="str">
        <f t="shared" si="658"/>
        <v xml:space="preserve"> </v>
      </c>
      <c r="AB180" s="21" t="str">
        <f t="shared" ref="AB180" si="1468">IF(AB78="",AB181,$C180&amp;" "&amp;AB78&amp;CHAR(10)&amp;AB181)</f>
        <v xml:space="preserve"> </v>
      </c>
      <c r="AC180" s="21" t="str">
        <f t="shared" si="670"/>
        <v xml:space="preserve"> </v>
      </c>
      <c r="AD180" s="21" t="str">
        <f t="shared" ref="AD180" si="1469">IF(AD78="",AD181,$C180&amp;" "&amp;AD78&amp;CHAR(10)&amp;AD181)</f>
        <v xml:space="preserve"> </v>
      </c>
      <c r="AE180" s="21" t="str">
        <f t="shared" si="672"/>
        <v xml:space="preserve">social project(1), social innovation(1), non-profit biz(1),  </v>
      </c>
      <c r="AF180" s="21" t="str">
        <f t="shared" si="673"/>
        <v xml:space="preserve"> </v>
      </c>
      <c r="AG180" s="21" t="str">
        <f t="shared" si="658"/>
        <v xml:space="preserve"> </v>
      </c>
      <c r="AH180" s="21" t="str">
        <f t="shared" ref="AH180" si="1470">IF(AH78="",AH181,$C180&amp;" "&amp;AH78&amp;CHAR(10)&amp;AH181)</f>
        <v xml:space="preserve"> </v>
      </c>
      <c r="AI180" s="21" t="str">
        <f t="shared" si="675"/>
        <v xml:space="preserve"> </v>
      </c>
      <c r="AJ180" s="21" t="str">
        <f t="shared" ref="AJ180" si="1471">IF(AJ78="",AJ181,$C180&amp;" "&amp;AJ78&amp;CHAR(10)&amp;AJ181)</f>
        <v xml:space="preserve"> </v>
      </c>
      <c r="AK180" s="21" t="str">
        <f t="shared" si="677"/>
        <v xml:space="preserve">social project(1), social innovation(1), non-profit biz(1),  </v>
      </c>
      <c r="AL180" s="21" t="str">
        <f t="shared" si="678"/>
        <v xml:space="preserve"> </v>
      </c>
      <c r="AM180" s="21" t="str">
        <f t="shared" si="658"/>
        <v xml:space="preserve"> </v>
      </c>
      <c r="AN180" s="21" t="str">
        <f t="shared" ref="AN180" si="1472">IF(AN78="",AN181,$C180&amp;" "&amp;AN78&amp;CHAR(10)&amp;AN181)</f>
        <v xml:space="preserve"> </v>
      </c>
      <c r="AO180" s="21" t="str">
        <f t="shared" si="680"/>
        <v xml:space="preserve"> </v>
      </c>
      <c r="AP180" s="21" t="str">
        <f t="shared" ref="AP180" si="1473">IF(AP78="",AP181,$C180&amp;" "&amp;AP78&amp;CHAR(10)&amp;AP181)</f>
        <v xml:space="preserve"> </v>
      </c>
      <c r="AQ180" s="21" t="str">
        <f t="shared" si="682"/>
        <v xml:space="preserve">start-up(1), start-up with mvp(1), start-up with customers(1),  </v>
      </c>
      <c r="AR180" s="21" t="str">
        <f t="shared" si="683"/>
        <v xml:space="preserve"> </v>
      </c>
      <c r="AS180" s="21" t="str">
        <f t="shared" si="658"/>
        <v xml:space="preserve"> </v>
      </c>
      <c r="AT180" s="21" t="str">
        <f t="shared" ref="AT180" si="1474">IF(AT78="",AT181,$C180&amp;" "&amp;AT78&amp;CHAR(10)&amp;AT181)</f>
        <v xml:space="preserve">social project 1
 </v>
      </c>
      <c r="AU180" s="21" t="str">
        <f t="shared" si="685"/>
        <v xml:space="preserve"> </v>
      </c>
      <c r="AV180" s="21" t="str">
        <f t="shared" ref="AV180" si="1475">IF(AV78="",AV181,$C180&amp;" "&amp;AV78&amp;CHAR(10)&amp;AV181)</f>
        <v xml:space="preserve"> </v>
      </c>
      <c r="AW180" s="21" t="str">
        <f t="shared" si="687"/>
        <v xml:space="preserve"> </v>
      </c>
      <c r="AX180" s="21" t="str">
        <f t="shared" si="688"/>
        <v xml:space="preserve"> </v>
      </c>
      <c r="AY180" s="21" t="str">
        <f t="shared" si="658"/>
        <v xml:space="preserve"> </v>
      </c>
      <c r="AZ180" s="21" t="str">
        <f t="shared" ref="AZ180" si="1476">IF(AZ78="",AZ181,$C180&amp;" "&amp;AZ78&amp;CHAR(10)&amp;AZ181)</f>
        <v xml:space="preserve"> </v>
      </c>
      <c r="BA180" s="21" t="str">
        <f t="shared" si="690"/>
        <v xml:space="preserve"> </v>
      </c>
      <c r="BB180" s="21" t="str">
        <f t="shared" ref="BB180" si="1477">IF(BB78="",BB181,$C180&amp;" "&amp;BB78&amp;CHAR(10)&amp;BB181)</f>
        <v xml:space="preserve"> </v>
      </c>
      <c r="BC180" s="21" t="str">
        <f t="shared" si="692"/>
        <v xml:space="preserve"> </v>
      </c>
      <c r="BD180" s="21" t="str">
        <f t="shared" si="693"/>
        <v xml:space="preserve"> </v>
      </c>
      <c r="BE180" s="21" t="str">
        <f t="shared" si="658"/>
        <v xml:space="preserve"> </v>
      </c>
      <c r="BF180" s="21" t="str">
        <f t="shared" ref="BF180" si="1478">IF(BF78="",BF181,$C180&amp;" "&amp;BF78&amp;CHAR(10)&amp;BF181)</f>
        <v xml:space="preserve">biz project 1
 </v>
      </c>
      <c r="BG180" s="21" t="str">
        <f t="shared" si="695"/>
        <v xml:space="preserve"> </v>
      </c>
      <c r="BH180" s="21" t="str">
        <f t="shared" ref="BH180" si="1479">IF(BH78="",BH181,$C180&amp;" "&amp;BH78&amp;CHAR(10)&amp;BH181)</f>
        <v xml:space="preserve"> </v>
      </c>
      <c r="BI180" s="21" t="str">
        <f t="shared" si="697"/>
        <v xml:space="preserve"> </v>
      </c>
      <c r="BJ180" s="21" t="str">
        <f t="shared" si="698"/>
        <v xml:space="preserve"> </v>
      </c>
      <c r="BK180" s="21" t="str">
        <f t="shared" si="658"/>
        <v xml:space="preserve"> </v>
      </c>
      <c r="BL180" s="21" t="str">
        <f t="shared" ref="BL180" si="1480">IF(BL78="",BL181,$C180&amp;" "&amp;BL78&amp;CHAR(10)&amp;BL181)</f>
        <v xml:space="preserve">biz enhancement 1
 </v>
      </c>
      <c r="BM180" s="21" t="str">
        <f t="shared" si="700"/>
        <v xml:space="preserve"> </v>
      </c>
      <c r="BN180" s="21" t="str">
        <f t="shared" ref="BN180" si="1481">IF(BN78="",BN181,$C180&amp;" "&amp;BN78&amp;CHAR(10)&amp;BN181)</f>
        <v xml:space="preserve"> </v>
      </c>
      <c r="BO180" s="21" t="str">
        <f t="shared" si="702"/>
        <v xml:space="preserve"> </v>
      </c>
      <c r="BP180" s="21" t="str">
        <f t="shared" si="703"/>
        <v xml:space="preserve"> </v>
      </c>
      <c r="BQ180" s="21" t="str">
        <f t="shared" si="658"/>
        <v xml:space="preserve"> </v>
      </c>
      <c r="BR180" s="21" t="str">
        <f t="shared" ref="BR180" si="1482">IF(BR78="",BR181,$C180&amp;" "&amp;BR78&amp;CHAR(10)&amp;BR181)</f>
        <v xml:space="preserve"> </v>
      </c>
      <c r="BS180" s="21" t="str">
        <f t="shared" si="705"/>
        <v xml:space="preserve"> </v>
      </c>
      <c r="BT180" s="21" t="str">
        <f t="shared" ref="BT180" si="1483">IF(BT78="",BT181,$C180&amp;" "&amp;BT78&amp;CHAR(10)&amp;BT181)</f>
        <v xml:space="preserve"> </v>
      </c>
      <c r="BU180" s="21" t="str">
        <f t="shared" si="707"/>
        <v xml:space="preserve"> </v>
      </c>
      <c r="BV180" s="21" t="str">
        <f t="shared" si="708"/>
        <v xml:space="preserve"> </v>
      </c>
      <c r="BW180" s="21" t="str">
        <f t="shared" si="658"/>
        <v xml:space="preserve"> </v>
      </c>
      <c r="BX180" s="21" t="str">
        <f t="shared" ref="BX180" si="1484">IF(BX78="",BX181,$C180&amp;" "&amp;BX78&amp;CHAR(10)&amp;BX181)</f>
        <v xml:space="preserve"> </v>
      </c>
      <c r="BY180" s="21" t="str">
        <f t="shared" si="710"/>
        <v xml:space="preserve"> </v>
      </c>
      <c r="BZ180" s="21" t="str">
        <f t="shared" ref="BZ180" si="1485">IF(BZ78="",BZ181,$C180&amp;" "&amp;BZ78&amp;CHAR(10)&amp;BZ181)</f>
        <v xml:space="preserve"> </v>
      </c>
      <c r="CA180" s="21" t="str">
        <f t="shared" si="712"/>
        <v xml:space="preserve"> </v>
      </c>
      <c r="CB180" s="21" t="str">
        <f t="shared" si="713"/>
        <v xml:space="preserve"> </v>
      </c>
      <c r="CC180" s="21" t="str">
        <f t="shared" si="714"/>
        <v xml:space="preserve"> </v>
      </c>
      <c r="CD180" s="21" t="str">
        <f t="shared" ref="CD180" si="1486">IF(CD78="",CD181,$C180&amp;" "&amp;CD78&amp;CHAR(10)&amp;CD181)</f>
        <v xml:space="preserve"> </v>
      </c>
      <c r="CE180" s="21" t="str">
        <f t="shared" si="716"/>
        <v xml:space="preserve"> </v>
      </c>
      <c r="CF180" s="21" t="str">
        <f t="shared" ref="CF180" si="1487">IF(CF78="",CF181,$C180&amp;" "&amp;CF78&amp;CHAR(10)&amp;CF181)</f>
        <v xml:space="preserve"> </v>
      </c>
      <c r="CG180" s="21" t="str">
        <f t="shared" si="718"/>
        <v xml:space="preserve">social project(1), biz project(1), for basic literacy(1), for the elites(1), for entrepreneurs(1),  </v>
      </c>
      <c r="CH180" s="21" t="str">
        <f t="shared" si="719"/>
        <v xml:space="preserve"> </v>
      </c>
      <c r="CI180" s="21" t="str">
        <f t="shared" si="714"/>
        <v xml:space="preserve"> </v>
      </c>
      <c r="CJ180" s="21" t="str">
        <f t="shared" ref="CJ180" si="1488">IF(CJ78="",CJ181,$C180&amp;" "&amp;CJ78&amp;CHAR(10)&amp;CJ181)</f>
        <v xml:space="preserve"> </v>
      </c>
      <c r="CK180" s="21" t="str">
        <f t="shared" si="721"/>
        <v xml:space="preserve"> </v>
      </c>
      <c r="CL180" s="21" t="str">
        <f t="shared" ref="CL180" si="1489">IF(CL78="",CL181,$C180&amp;" "&amp;CL78&amp;CHAR(10)&amp;CL181)</f>
        <v xml:space="preserve"> </v>
      </c>
      <c r="CM180" s="21" t="str">
        <f t="shared" si="723"/>
        <v xml:space="preserve"> </v>
      </c>
      <c r="CN180" s="21" t="str">
        <f t="shared" si="724"/>
        <v xml:space="preserve"> </v>
      </c>
      <c r="CO180" s="21" t="str">
        <f t="shared" si="714"/>
        <v xml:space="preserve"> </v>
      </c>
      <c r="CP180" s="21" t="str">
        <f t="shared" ref="CP180" si="1490">IF(CP78="",CP181,$C180&amp;" "&amp;CP78&amp;CHAR(10)&amp;CP181)</f>
        <v xml:space="preserve"> </v>
      </c>
      <c r="CQ180" s="21" t="str">
        <f t="shared" si="726"/>
        <v xml:space="preserve"> </v>
      </c>
      <c r="CR180" s="21" t="str">
        <f t="shared" ref="CR180" si="1491">IF(CR78="",CR181,$C180&amp;" "&amp;CR78&amp;CHAR(10)&amp;CR181)</f>
        <v xml:space="preserve"> </v>
      </c>
      <c r="CS180" s="21" t="str">
        <f t="shared" si="728"/>
        <v xml:space="preserve">mobile comm(1), VR&amp;AR(1), wood processing(1), metal processing(1), plastic processing(1), electronics(1), fabric(1),  </v>
      </c>
      <c r="CT180" s="21" t="str">
        <f t="shared" si="729"/>
        <v xml:space="preserve"> </v>
      </c>
      <c r="CU180" s="21" t="str">
        <f t="shared" si="714"/>
        <v xml:space="preserve"> </v>
      </c>
      <c r="CV180" s="21" t="str">
        <f t="shared" ref="CV180" si="1492">IF(CV78="",CV181,$C180&amp;" "&amp;CV78&amp;CHAR(10)&amp;CV181)</f>
        <v xml:space="preserve"> </v>
      </c>
      <c r="CW180" s="21" t="str">
        <f t="shared" si="731"/>
        <v xml:space="preserve"> </v>
      </c>
      <c r="CX180" s="21" t="str">
        <f t="shared" ref="CX180" si="1493">IF(CX78="",CX181,$C180&amp;" "&amp;CX78&amp;CHAR(10)&amp;CX181)</f>
        <v xml:space="preserve"> </v>
      </c>
      <c r="CY180" s="21" t="str">
        <f t="shared" si="733"/>
        <v xml:space="preserve"> </v>
      </c>
      <c r="CZ180" s="21" t="str">
        <f t="shared" si="734"/>
        <v xml:space="preserve"> </v>
      </c>
      <c r="DA180" s="21" t="str">
        <f t="shared" si="714"/>
        <v xml:space="preserve"> </v>
      </c>
      <c r="DB180" s="21" t="str">
        <f t="shared" ref="DB180" si="1494">IF(DB78="",DB181,$C180&amp;" "&amp;DB78&amp;CHAR(10)&amp;DB181)</f>
        <v xml:space="preserve"> </v>
      </c>
      <c r="DC180" s="21" t="str">
        <f t="shared" si="736"/>
        <v xml:space="preserve"> </v>
      </c>
      <c r="DD180" s="21" t="str">
        <f t="shared" ref="DD180" si="1495">IF(DD78="",DD181,$C180&amp;" "&amp;DD78&amp;CHAR(10)&amp;DD181)</f>
        <v xml:space="preserve"> </v>
      </c>
      <c r="DE180" s="21" t="str">
        <f t="shared" si="738"/>
        <v xml:space="preserve">mobile comm(2), VR&amp;AR(2), wood processing(2), metal processing(2), plastic processing(2), electronics(2), fabric(2), aesthetics(2), functions(2), safety(2), interaction(2), biz project(1), biz enhancement(1), job creation(1), business(1), start-up(1), start-up with mvp(1), start-up with customers(1), for entrepreneurs(2),  </v>
      </c>
      <c r="DF180" s="21" t="str">
        <f t="shared" si="739"/>
        <v xml:space="preserve"> </v>
      </c>
      <c r="DG180" s="21" t="str">
        <f t="shared" si="714"/>
        <v xml:space="preserve"> </v>
      </c>
      <c r="DH180" s="21" t="str">
        <f t="shared" ref="DH180" si="1496">IF(DH78="",DH181,$C180&amp;" "&amp;DH78&amp;CHAR(10)&amp;DH181)</f>
        <v xml:space="preserve">social project 1
 </v>
      </c>
      <c r="DI180" s="21" t="str">
        <f t="shared" si="741"/>
        <v xml:space="preserve"> </v>
      </c>
      <c r="DJ180" s="21" t="str">
        <f t="shared" ref="DJ180" si="1497">IF(DJ78="",DJ181,$C180&amp;" "&amp;DJ78&amp;CHAR(10)&amp;DJ181)</f>
        <v xml:space="preserve"> </v>
      </c>
      <c r="DK180" s="21" t="str">
        <f t="shared" si="743"/>
        <v xml:space="preserve">mobile comm(2), VR&amp;AR(2), wood processing(2), metal processing(2), plastic processing(2), electronics(2), fabric(2), aesthetics(2), functions(2), safety(2), interaction(2), social project(2), social innovation(1), non-profit biz(1),  </v>
      </c>
      <c r="DL180" s="21" t="str">
        <f t="shared" si="744"/>
        <v xml:space="preserve"> </v>
      </c>
      <c r="DM180" s="21" t="str">
        <f t="shared" si="714"/>
        <v xml:space="preserve"> </v>
      </c>
      <c r="DN180" s="21" t="str">
        <f t="shared" ref="DN180" si="1498">IF(DN78="",DN181,$C180&amp;" "&amp;DN78&amp;CHAR(10)&amp;DN181)</f>
        <v xml:space="preserve">biz project 1
 </v>
      </c>
      <c r="DO180" s="21" t="str">
        <f t="shared" si="746"/>
        <v xml:space="preserve"> </v>
      </c>
      <c r="DP180" s="21" t="str">
        <f t="shared" ref="DP180" si="1499">IF(DP78="",DP181,$C180&amp;" "&amp;DP78&amp;CHAR(10)&amp;DP181)</f>
        <v xml:space="preserve"> </v>
      </c>
      <c r="DQ180" s="21" t="str">
        <f t="shared" si="748"/>
        <v xml:space="preserve">mobile comm(2), VR&amp;AR(2), wood processing(2), metal processing(2), plastic processing(2), electronics(2), fabric(2), aesthetics(2), functions(2), safety(2), interaction(2), biz project(2), biz enhancement(1), job creation(1), business(1), start-up(1), start-up with mvp(1), start-up with customers(1), for entrepreneurs(1),  </v>
      </c>
      <c r="DR180" s="21" t="str">
        <f t="shared" si="749"/>
        <v xml:space="preserve"> </v>
      </c>
      <c r="DS180" s="21" t="str">
        <f t="shared" si="714"/>
        <v xml:space="preserve"> </v>
      </c>
      <c r="DT180" s="21" t="str">
        <f t="shared" ref="DT180" si="1500">IF(DT78="",DT181,$C180&amp;" "&amp;DT78&amp;CHAR(10)&amp;DT181)</f>
        <v xml:space="preserve"> </v>
      </c>
      <c r="DU180" s="21" t="str">
        <f t="shared" si="751"/>
        <v xml:space="preserve"> </v>
      </c>
      <c r="DV180" s="21" t="str">
        <f t="shared" ref="DV180" si="1501">IF(DV78="",DV181,$C180&amp;" "&amp;DV78&amp;CHAR(10)&amp;DV181)</f>
        <v xml:space="preserve"> </v>
      </c>
      <c r="DW180" s="21" t="str">
        <f t="shared" si="753"/>
        <v xml:space="preserve">for basic literacy(1),  </v>
      </c>
      <c r="DX180" s="21" t="str">
        <f t="shared" si="754"/>
        <v xml:space="preserve">for basic literacy(1,6.25),  </v>
      </c>
      <c r="DY180" s="21" t="str">
        <f t="shared" si="714"/>
        <v xml:space="preserve">for basic literacy(6.25), </v>
      </c>
      <c r="DZ180" s="21" t="str">
        <f t="shared" ref="DZ180" si="1502">IF(DZ78="",DZ181,$C180&amp;" "&amp;DZ78&amp;CHAR(10)&amp;DZ181)</f>
        <v xml:space="preserve"> </v>
      </c>
      <c r="EA180" s="21" t="str">
        <f t="shared" si="756"/>
        <v xml:space="preserve"> </v>
      </c>
      <c r="EB180" s="21" t="str">
        <f t="shared" ref="EB180" si="1503">IF(EB78="",EB181,$C180&amp;" "&amp;EB78&amp;CHAR(10)&amp;EB181)</f>
        <v xml:space="preserve"> </v>
      </c>
      <c r="EC180" s="21" t="str">
        <f t="shared" si="758"/>
        <v xml:space="preserve">mobile comm(2), VR&amp;AR(2), wood processing(2), metal processing(2), plastic processing(2), electronics(2), fabric(2), for basic literacy(1),  </v>
      </c>
      <c r="ED180" s="21" t="str">
        <f t="shared" si="759"/>
        <v xml:space="preserve">for basic literacy(1,6.25),  </v>
      </c>
      <c r="EE180" s="21" t="str">
        <f t="shared" si="714"/>
        <v xml:space="preserve">for basic literacy(6.25), </v>
      </c>
      <c r="EF180" s="21" t="str">
        <f t="shared" ref="EF180" si="1504">IF(EF78="",EF181,$C180&amp;" "&amp;EF78&amp;CHAR(10)&amp;EF181)</f>
        <v xml:space="preserve"> </v>
      </c>
      <c r="EG180" s="21" t="str">
        <f t="shared" si="761"/>
        <v xml:space="preserve">interaction(1,50),  </v>
      </c>
      <c r="EH180" s="21" t="str">
        <f t="shared" ref="EH180" si="1505">IF(EH78="",EH181,$C180&amp;" "&amp;EH78&amp;CHAR(10)&amp;EH181)</f>
        <v xml:space="preserve">interaction 50
 </v>
      </c>
      <c r="EI180" s="21" t="str">
        <f t="shared" si="763"/>
        <v xml:space="preserve">mobile comm(1), for entrepreneurs(1),  </v>
      </c>
      <c r="EJ180" s="21" t="str">
        <f t="shared" si="764"/>
        <v xml:space="preserve">mobile comm(1,12.5), for entrepreneurs(1,6.25),  </v>
      </c>
      <c r="EK180" s="21" t="str">
        <f t="shared" si="714"/>
        <v xml:space="preserve">mobile comm(12.5),for entrepreneurs(6.25), </v>
      </c>
      <c r="EL180" s="21" t="str">
        <f t="shared" ref="EL180" si="1506">IF(EL78="",EL181,$C180&amp;" "&amp;EL78&amp;CHAR(10)&amp;EL181)</f>
        <v xml:space="preserve"> </v>
      </c>
      <c r="EM180" s="21" t="str">
        <f t="shared" si="766"/>
        <v xml:space="preserve"> </v>
      </c>
      <c r="EN180" s="21" t="str">
        <f t="shared" ref="EN180" si="1507">IF(EN78="",EN181,$C180&amp;" "&amp;EN78&amp;CHAR(10)&amp;EN181)</f>
        <v xml:space="preserve"> </v>
      </c>
      <c r="EO180" s="21" t="str">
        <f t="shared" si="768"/>
        <v xml:space="preserve">mobile comm(1), for entrepreneurs(1),  </v>
      </c>
      <c r="EP180" s="21" t="str">
        <f t="shared" si="769"/>
        <v xml:space="preserve">mobile comm(1,12.5), electronics(1,6.25), for entrepreneurs(1,6.25),  </v>
      </c>
      <c r="EQ180" s="21" t="str">
        <f t="shared" si="770"/>
        <v xml:space="preserve">mobile comm(12.5),electronics(6.25),for entrepreneurs(6.25), </v>
      </c>
      <c r="ER180" s="21" t="str">
        <f t="shared" ref="ER180" si="1508">IF(ER78="",ER181,$C180&amp;" "&amp;ER78&amp;CHAR(10)&amp;ER181)</f>
        <v xml:space="preserve"> </v>
      </c>
      <c r="ES180" s="21" t="str">
        <f t="shared" si="772"/>
        <v xml:space="preserve"> </v>
      </c>
      <c r="ET180" s="21" t="str">
        <f t="shared" ref="ET180" si="1509">IF(ET78="",ET181,$C180&amp;" "&amp;ET78&amp;CHAR(10)&amp;ET181)</f>
        <v xml:space="preserve"> </v>
      </c>
      <c r="EU180" s="21" t="str">
        <f t="shared" si="774"/>
        <v xml:space="preserve">mobile comm(1), for entrepreneurs(1),  </v>
      </c>
      <c r="EV180" s="21" t="str">
        <f t="shared" si="775"/>
        <v xml:space="preserve">mobile comm(1,12.5), for entrepreneurs(1,6.25),  </v>
      </c>
      <c r="EW180" s="21" t="str">
        <f t="shared" si="770"/>
        <v xml:space="preserve">mobile comm(12.5),for entrepreneurs(6.25), </v>
      </c>
      <c r="EX180" s="21" t="str">
        <f t="shared" ref="EX180" si="1510">IF(EX78="",EX181,$C180&amp;" "&amp;EX78&amp;CHAR(10)&amp;EX181)</f>
        <v xml:space="preserve"> </v>
      </c>
      <c r="EY180" s="21" t="str">
        <f t="shared" si="777"/>
        <v xml:space="preserve">interaction(1,25),  </v>
      </c>
      <c r="EZ180" s="21" t="str">
        <f t="shared" ref="EZ180" si="1511">IF(EZ78="",EZ181,$C180&amp;" "&amp;EZ78&amp;CHAR(10)&amp;EZ181)</f>
        <v xml:space="preserve">interaction 25
 </v>
      </c>
      <c r="FA180" s="21" t="str">
        <f t="shared" si="779"/>
        <v xml:space="preserve">for entrepreneurs(1),  </v>
      </c>
      <c r="FB180" s="21" t="str">
        <f t="shared" si="780"/>
        <v xml:space="preserve">mobile comm(1,12.5), for entrepreneurs(1,6.25),  </v>
      </c>
      <c r="FC180" s="21" t="str">
        <f t="shared" si="770"/>
        <v xml:space="preserve">mobile comm(12.5),for entrepreneurs(6.25), </v>
      </c>
      <c r="FD180" s="21" t="str">
        <f t="shared" ref="FD180" si="1512">IF(FD78="",FD181,$C180&amp;" "&amp;FD78&amp;CHAR(10)&amp;FD181)</f>
        <v xml:space="preserve"> </v>
      </c>
      <c r="FE180" s="21" t="str">
        <f t="shared" si="782"/>
        <v xml:space="preserve"> </v>
      </c>
      <c r="FF180" s="21" t="str">
        <f t="shared" ref="FF180" si="1513">IF(FF78="",FF181,$C180&amp;" "&amp;FF78&amp;CHAR(10)&amp;FF181)</f>
        <v xml:space="preserve"> </v>
      </c>
      <c r="FG180" s="21" t="str">
        <f t="shared" si="784"/>
        <v xml:space="preserve">for entrepreneurs(1),  </v>
      </c>
      <c r="FH180" s="21" t="str">
        <f t="shared" si="785"/>
        <v xml:space="preserve">mobile comm(1,6.25), for entrepreneurs(1,6.25),  </v>
      </c>
      <c r="FI180" s="21" t="str">
        <f t="shared" si="770"/>
        <v xml:space="preserve">mobile comm(6.25),for entrepreneurs(6.25), </v>
      </c>
      <c r="FJ180" s="21" t="str">
        <f t="shared" ref="FJ180" si="1514">IF(FJ78="",FJ181,$C180&amp;" "&amp;FJ78&amp;CHAR(10)&amp;FJ181)</f>
        <v xml:space="preserve"> </v>
      </c>
      <c r="FK180" s="21" t="str">
        <f t="shared" si="787"/>
        <v xml:space="preserve">wood processing(1,25), metal processing(1,25), plastic processing(1,25), fabric(1,25), safety(1,25), interaction(1,25),  </v>
      </c>
      <c r="FL180" s="21" t="str">
        <f t="shared" ref="FL180" si="1515">IF(FL78="",FL181,$C180&amp;" "&amp;FL78&amp;CHAR(10)&amp;FL181)</f>
        <v xml:space="preserve">wood processing 25
metal processing 25
plastic processing 25
fabric 25
safety 25
interaction 25
 </v>
      </c>
      <c r="FM180" s="21" t="str">
        <f t="shared" si="789"/>
        <v xml:space="preserve">for entrepreneurs(1),  </v>
      </c>
      <c r="FN180" s="21" t="str">
        <f t="shared" si="790"/>
        <v xml:space="preserve">for entrepreneurs(1,6.25),  </v>
      </c>
      <c r="FO180" s="21" t="str">
        <f t="shared" si="770"/>
        <v xml:space="preserve">for entrepreneurs(6.25), </v>
      </c>
      <c r="FP180" s="21" t="str">
        <f t="shared" ref="FP180" si="1516">IF(FP78="",FP181,$C180&amp;" "&amp;FP78&amp;CHAR(10)&amp;FP181)</f>
        <v xml:space="preserve"> </v>
      </c>
      <c r="FQ180" s="21" t="str">
        <f t="shared" si="792"/>
        <v xml:space="preserve">functions(1,25), interaction(1,25),  </v>
      </c>
      <c r="FR180" s="21" t="str">
        <f t="shared" ref="FR180" si="1517">IF(FR78="",FR181,$C180&amp;" "&amp;FR78&amp;CHAR(10)&amp;FR181)</f>
        <v xml:space="preserve">functions 25
interaction 25
 </v>
      </c>
      <c r="FS180" s="21" t="str">
        <f t="shared" si="794"/>
        <v xml:space="preserve">for entrepreneurs(1),  </v>
      </c>
      <c r="FT180" s="21" t="str">
        <f t="shared" si="795"/>
        <v xml:space="preserve">for entrepreneurs(1,6.25),  </v>
      </c>
      <c r="FU180" s="21" t="str">
        <f t="shared" si="770"/>
        <v xml:space="preserve">for entrepreneurs(6.25), </v>
      </c>
      <c r="FV180" s="21" t="str">
        <f t="shared" ref="FV180" si="1518">IF(FV78="",FV181,$C180&amp;" "&amp;FV78&amp;CHAR(10)&amp;FV181)</f>
        <v xml:space="preserve"> </v>
      </c>
      <c r="FW180" s="21" t="str">
        <f t="shared" si="797"/>
        <v xml:space="preserve">wood processing(1,25), plastic processing(1,25), electronics(1,25), functions(1,25), interaction(1,25),  </v>
      </c>
      <c r="FX180" s="21" t="str">
        <f t="shared" ref="FX180" si="1519">IF(FX78="",FX181,$C180&amp;" "&amp;FX78&amp;CHAR(10)&amp;FX181)</f>
        <v xml:space="preserve">wood processing 25
plastic processing 25
electronics 25
functions 25
interaction 25
 </v>
      </c>
      <c r="FY180" s="21" t="str">
        <f t="shared" si="799"/>
        <v xml:space="preserve">for entrepreneurs(1),  </v>
      </c>
      <c r="FZ180" s="21" t="str">
        <f t="shared" si="800"/>
        <v xml:space="preserve">mobile comm(1,6.25), for entrepreneurs(1,6.25),  </v>
      </c>
      <c r="GA180" s="21" t="str">
        <f t="shared" si="770"/>
        <v xml:space="preserve">mobile comm(6.25),for entrepreneurs(6.25), </v>
      </c>
      <c r="GB180" s="21" t="str">
        <f t="shared" ref="GB180" si="1520">IF(GB78="",GB181,$C180&amp;" "&amp;GB78&amp;CHAR(10)&amp;GB181)</f>
        <v xml:space="preserve"> </v>
      </c>
      <c r="GC180" s="21" t="str">
        <f t="shared" si="802"/>
        <v xml:space="preserve">mobile comm(1,25), electronics(1,50), functions(1,25), safety(1,25),  </v>
      </c>
      <c r="GD180" s="21" t="str">
        <f t="shared" ref="GD180" si="1521">IF(GD78="",GD181,$C180&amp;" "&amp;GD78&amp;CHAR(10)&amp;GD181)</f>
        <v xml:space="preserve">mobile comm 25
electronics 50
functions 25
safety 25
 </v>
      </c>
      <c r="GE180" s="21" t="str">
        <f t="shared" si="804"/>
        <v xml:space="preserve">for entrepreneurs(1),  </v>
      </c>
      <c r="GF180" s="21" t="str">
        <f t="shared" si="805"/>
        <v xml:space="preserve">plastic processing(1,6.25), interaction(1,6.25), for entrepreneurs(1,6.25),  </v>
      </c>
      <c r="GG180" s="21" t="str">
        <f t="shared" si="770"/>
        <v xml:space="preserve">plastic processing(6.25),interaction(6.25),for entrepreneurs(6.25), </v>
      </c>
      <c r="GH180" s="21" t="str">
        <f t="shared" ref="GH180" si="1522">IF(GH78="",GH181,$C180&amp;" "&amp;GH78&amp;CHAR(10)&amp;GH181)</f>
        <v xml:space="preserve"> </v>
      </c>
      <c r="GI180" s="21" t="str">
        <f t="shared" si="807"/>
        <v xml:space="preserve">functions(1,25), interaction(1,25),  </v>
      </c>
      <c r="GJ180" s="21" t="str">
        <f t="shared" ref="GJ180" si="1523">IF(GJ78="",GJ181,$C180&amp;" "&amp;GJ78&amp;CHAR(10)&amp;GJ181)</f>
        <v xml:space="preserve">functions 25
interaction 25
 </v>
      </c>
      <c r="GK180" s="21" t="str">
        <f t="shared" si="809"/>
        <v xml:space="preserve">for entrepreneurs(1),  </v>
      </c>
      <c r="GL180" s="21" t="str">
        <f t="shared" si="810"/>
        <v xml:space="preserve">for entrepreneurs(1,6.25),  </v>
      </c>
      <c r="GM180" s="21" t="str">
        <f t="shared" si="770"/>
        <v xml:space="preserve">for entrepreneurs(6.25), </v>
      </c>
      <c r="GN180" s="21" t="str">
        <f t="shared" ref="GN180" si="1524">IF(GN78="",GN181,$C180&amp;" "&amp;GN78&amp;CHAR(10)&amp;GN181)</f>
        <v xml:space="preserve"> </v>
      </c>
      <c r="GO180" s="21" t="str">
        <f t="shared" si="812"/>
        <v xml:space="preserve">VR&amp;AR(1,25), aesthetics(1,25), functions(1,25), interaction(1,50),  </v>
      </c>
      <c r="GP180" s="21" t="str">
        <f t="shared" ref="GP180" si="1525">IF(GP78="",GP181,$C180&amp;" "&amp;GP78&amp;CHAR(10)&amp;GP181)</f>
        <v xml:space="preserve">VR&amp;AR 25
aesthetics 25
functions 25
interaction 50
 </v>
      </c>
      <c r="GQ180" s="21" t="str">
        <f t="shared" si="814"/>
        <v xml:space="preserve">for entrepreneurs(1),  </v>
      </c>
      <c r="GR180" s="21" t="str">
        <f t="shared" si="815"/>
        <v xml:space="preserve">for entrepreneurs(1,6.25),  </v>
      </c>
      <c r="GS180" s="21" t="str">
        <f t="shared" si="770"/>
        <v xml:space="preserve">for entrepreneurs(6.25), </v>
      </c>
      <c r="GT180" s="21" t="str">
        <f t="shared" ref="GT180" si="1526">IF(GT78="",GT181,$C180&amp;" "&amp;GT78&amp;CHAR(10)&amp;GT181)</f>
        <v xml:space="preserve">mobile comm 1
 </v>
      </c>
      <c r="GU180" s="21" t="str">
        <f t="shared" si="817"/>
        <v xml:space="preserve"> </v>
      </c>
      <c r="GV180" s="21" t="str">
        <f t="shared" ref="GV180" si="1527">IF(GV78="",GV181,$C180&amp;" "&amp;GV78&amp;CHAR(10)&amp;GV181)</f>
        <v xml:space="preserve"> </v>
      </c>
      <c r="GW180" s="21" t="str">
        <f t="shared" si="819"/>
        <v xml:space="preserve">electronics(1),  </v>
      </c>
      <c r="GX180" s="21" t="str">
        <f t="shared" si="820"/>
        <v xml:space="preserve"> </v>
      </c>
      <c r="GY180" s="21" t="str">
        <f t="shared" si="770"/>
        <v xml:space="preserve"> </v>
      </c>
      <c r="GZ180" s="21" t="str">
        <f t="shared" ref="GZ180" si="1528">IF(GZ78="",GZ181,$C180&amp;" "&amp;GZ78&amp;CHAR(10)&amp;GZ181)</f>
        <v xml:space="preserve"> </v>
      </c>
      <c r="HA180" s="21" t="str">
        <f t="shared" si="822"/>
        <v xml:space="preserve"> </v>
      </c>
      <c r="HB180" s="21" t="str">
        <f t="shared" ref="HB180" si="1529">IF(HB78="",HB181,$C180&amp;" "&amp;HB78&amp;CHAR(10)&amp;HB181)</f>
        <v xml:space="preserve"> </v>
      </c>
      <c r="HC180" s="21" t="str">
        <f t="shared" si="824"/>
        <v xml:space="preserve">VR&amp;AR(2), plastic processing(2), electronics(2), aesthetics(2), interaction(2),  </v>
      </c>
      <c r="HD180" s="21" t="str">
        <f t="shared" si="825"/>
        <v xml:space="preserve">start-up with customers(1,6.25), for basic literacy(1,6.25),  </v>
      </c>
      <c r="HE180" s="21" t="str">
        <f t="shared" si="826"/>
        <v xml:space="preserve">start-up with customers(6.25),for basic literacy(6.25), </v>
      </c>
      <c r="HF180" s="21" t="str">
        <f t="shared" ref="HF180" si="1530">IF(HF78="",HF181,$C180&amp;" "&amp;HF78&amp;CHAR(10)&amp;HF181)</f>
        <v xml:space="preserve"> </v>
      </c>
      <c r="HG180" s="21" t="str">
        <f t="shared" si="828"/>
        <v xml:space="preserve"> </v>
      </c>
      <c r="HH180" s="21" t="str">
        <f t="shared" ref="HH180" si="1531">IF(HH78="",HH181,$C180&amp;" "&amp;HH78&amp;CHAR(10)&amp;HH181)</f>
        <v xml:space="preserve"> </v>
      </c>
      <c r="HI180" s="21" t="str">
        <f t="shared" si="830"/>
        <v xml:space="preserve">plastic processing(2), electronics(2), aesthetics(2), functions(2), interaction(2),  </v>
      </c>
      <c r="HJ180" s="21" t="str">
        <f t="shared" si="831"/>
        <v xml:space="preserve">start-up with customers(1,6.25),  </v>
      </c>
      <c r="HK180" s="21" t="str">
        <f t="shared" si="826"/>
        <v xml:space="preserve">start-up with customers(6.25), </v>
      </c>
      <c r="HL180" s="21" t="str">
        <f t="shared" ref="HL180" si="1532">IF(HL78="",HL181,$C180&amp;" "&amp;HL78&amp;CHAR(10)&amp;HL181)</f>
        <v xml:space="preserve"> </v>
      </c>
      <c r="HM180" s="21" t="str">
        <f t="shared" si="833"/>
        <v xml:space="preserve"> </v>
      </c>
      <c r="HN180" s="21" t="str">
        <f t="shared" ref="HN180" si="1533">IF(HN78="",HN181,$C180&amp;" "&amp;HN78&amp;CHAR(10)&amp;HN181)</f>
        <v xml:space="preserve"> </v>
      </c>
      <c r="HO180" s="21" t="str">
        <f t="shared" si="835"/>
        <v xml:space="preserve">wood processing(3), plastic processing(3), electronics(3), aesthetics(2), interaction(2),  </v>
      </c>
      <c r="HP180" s="21" t="str">
        <f t="shared" si="836"/>
        <v xml:space="preserve"> </v>
      </c>
      <c r="HQ180" s="47" t="str">
        <f t="shared" si="826"/>
        <v xml:space="preserve"> </v>
      </c>
      <c r="HR180" s="47" t="str">
        <f t="shared" ref="HR180:HW180" si="1534">IF(HR78="",HR181,$C180&amp;"("&amp;HR78&amp;"),"&amp;HR181)</f>
        <v xml:space="preserve">wood processing(1),aesthetics(1), </v>
      </c>
      <c r="HS180" s="47" t="str">
        <f t="shared" si="1534"/>
        <v xml:space="preserve"> </v>
      </c>
      <c r="HT180" s="47" t="str">
        <f t="shared" si="1534"/>
        <v xml:space="preserve"> </v>
      </c>
      <c r="HU180" s="47" t="str">
        <f t="shared" si="1534"/>
        <v xml:space="preserve">mobile comm(3),VR&amp;AR(3),wood processing(3),metal processing(2),plastic processing(2),electronics(2),fabric(2),aesthetics(2),interaction(2),start-up with mvp(1), </v>
      </c>
      <c r="HV180" s="47" t="str">
        <f t="shared" si="1534"/>
        <v xml:space="preserve"> </v>
      </c>
      <c r="HW180" s="47" t="str">
        <f t="shared" si="1534"/>
        <v xml:space="preserve"> </v>
      </c>
      <c r="HX180" s="47" t="str">
        <f t="shared" ref="HX180:IU180" si="1535">IF(HX78="",HX181,$C180&amp;"("&amp;HX78&amp;"),"&amp;HX181)</f>
        <v xml:space="preserve">VR&amp;AR(1),wood processing(1),metal processing(1),plastic processing(1),electronics(1),aesthetics(1),functions(1),interaction(1), </v>
      </c>
      <c r="HY180" s="47" t="str">
        <f t="shared" si="1535"/>
        <v xml:space="preserve">biz enhancement(1), </v>
      </c>
      <c r="HZ180" s="47" t="str">
        <f t="shared" si="1535"/>
        <v xml:space="preserve">biz enhancement(100), </v>
      </c>
      <c r="IA180" s="47" t="str">
        <f t="shared" si="1535"/>
        <v xml:space="preserve"> </v>
      </c>
      <c r="IB180" s="47" t="str">
        <f t="shared" si="1535"/>
        <v xml:space="preserve">electronics(1),functions(1), </v>
      </c>
      <c r="IC180" s="47" t="str">
        <f t="shared" si="1535"/>
        <v xml:space="preserve">electronics(6.25),functions(6.25), </v>
      </c>
      <c r="ID180" s="47" t="str">
        <f t="shared" si="1535"/>
        <v xml:space="preserve"> </v>
      </c>
      <c r="IE180" s="47" t="str">
        <f t="shared" si="1535"/>
        <v xml:space="preserve"> </v>
      </c>
      <c r="IF180" s="47" t="str">
        <f t="shared" si="1535"/>
        <v xml:space="preserve"> </v>
      </c>
      <c r="IG180" s="47" t="str">
        <f t="shared" si="1535"/>
        <v xml:space="preserve"> </v>
      </c>
      <c r="IH180" s="47" t="str">
        <f t="shared" si="1535"/>
        <v xml:space="preserve"> </v>
      </c>
      <c r="II180" s="47" t="str">
        <f t="shared" si="1535"/>
        <v xml:space="preserve"> </v>
      </c>
      <c r="IJ180" s="47" t="str">
        <f t="shared" si="1535"/>
        <v xml:space="preserve"> </v>
      </c>
      <c r="IK180" s="47" t="str">
        <f t="shared" si="1535"/>
        <v xml:space="preserve">wood processing(1),metal processing(1),functions(1),safety(1), </v>
      </c>
      <c r="IL180" s="47" t="str">
        <f t="shared" si="1535"/>
        <v xml:space="preserve">wood processing(25),metal processing(25),functions(25),safety(25), </v>
      </c>
      <c r="IM180" s="47" t="str">
        <f t="shared" si="1535"/>
        <v xml:space="preserve">wood processing(2),metal processing(2),functions(2),safety(2), </v>
      </c>
      <c r="IN180" s="47" t="str">
        <f t="shared" si="1535"/>
        <v xml:space="preserve">wood processing(1),metal processing(1),functions(1),safety(1),interaction(1), </v>
      </c>
      <c r="IO180" s="47" t="str">
        <f t="shared" si="1535"/>
        <v xml:space="preserve">wood processing(6.25),metal processing(6.25),functions(6.25),safety(6.25),interaction(6.25), </v>
      </c>
      <c r="IP180" s="57" t="str">
        <f t="shared" si="1535"/>
        <v xml:space="preserve"> </v>
      </c>
      <c r="IQ180" s="47" t="str">
        <f t="shared" si="1535"/>
        <v xml:space="preserve"> </v>
      </c>
      <c r="IR180" s="47" t="str">
        <f t="shared" si="1535"/>
        <v xml:space="preserve"> </v>
      </c>
      <c r="IS180" s="47" t="str">
        <f t="shared" si="1535"/>
        <v xml:space="preserve"> </v>
      </c>
      <c r="IT180" s="47" t="str">
        <f t="shared" si="1535"/>
        <v xml:space="preserve"> </v>
      </c>
      <c r="IU180" s="47" t="str">
        <f t="shared" si="1535"/>
        <v xml:space="preserve"> </v>
      </c>
      <c r="IV180" s="57" t="str">
        <f t="shared" ref="IV180:LG180" si="1536">IF(IV78="",IV181,$C180&amp;"("&amp;IV78&amp;"),"&amp;IV181)</f>
        <v xml:space="preserve"> </v>
      </c>
      <c r="IW180" s="47" t="str">
        <f t="shared" si="1536"/>
        <v xml:space="preserve"> </v>
      </c>
      <c r="IX180" s="47" t="str">
        <f t="shared" si="1536"/>
        <v xml:space="preserve"> </v>
      </c>
      <c r="IY180" s="47" t="str">
        <f t="shared" si="1536"/>
        <v xml:space="preserve"> </v>
      </c>
      <c r="IZ180" s="47" t="str">
        <f t="shared" si="1536"/>
        <v xml:space="preserve"> </v>
      </c>
      <c r="JA180" s="47" t="str">
        <f t="shared" si="1536"/>
        <v xml:space="preserve"> </v>
      </c>
      <c r="JB180" s="47" t="str">
        <f t="shared" si="1536"/>
        <v xml:space="preserve"> </v>
      </c>
      <c r="JC180" s="47" t="str">
        <f t="shared" si="1536"/>
        <v xml:space="preserve"> </v>
      </c>
      <c r="JD180" s="47" t="str">
        <f t="shared" si="1536"/>
        <v xml:space="preserve"> </v>
      </c>
      <c r="JE180" s="47" t="str">
        <f t="shared" si="1536"/>
        <v xml:space="preserve"> </v>
      </c>
      <c r="JF180" s="47" t="str">
        <f t="shared" si="1536"/>
        <v xml:space="preserve">mobile comm(1),VR&amp;AR(1),wood processing(1),metal processing(1),plastic processing(1),electronics(1),fabric(1),aesthetics(1),functions(1),safety(1),interaction(1), </v>
      </c>
      <c r="JG180" s="47" t="str">
        <f t="shared" si="1536"/>
        <v xml:space="preserve">mobile comm(6.25),VR&amp;AR(6.25),wood processing(6.25),metal processing(6.25),plastic processing(6.25),electronics(6.25),fabric(6.25),aesthetics(6.25),functions(6.25),safety(6.25),interaction(6.25), </v>
      </c>
      <c r="JH180" s="47" t="str">
        <f t="shared" si="1536"/>
        <v xml:space="preserve"> </v>
      </c>
      <c r="JI180" s="47" t="str">
        <f t="shared" si="1536"/>
        <v xml:space="preserve"> </v>
      </c>
      <c r="JJ180" s="47" t="str">
        <f t="shared" si="1536"/>
        <v xml:space="preserve"> </v>
      </c>
      <c r="JK180" s="47" t="str">
        <f t="shared" si="1536"/>
        <v xml:space="preserve">social project(1),social innovation(1),non-profit biz(1),biz project(1),biz enhancement(1),job creation(1),business(1),start-up(1),start-up with mvp(1),start-up with customers(1),for basic literacy(1),for the elites(1),for entrepreneurs(1), </v>
      </c>
      <c r="JL180" s="47" t="str">
        <f t="shared" si="1536"/>
        <v xml:space="preserve"> </v>
      </c>
      <c r="JM180" s="47" t="str">
        <f t="shared" si="1536"/>
        <v xml:space="preserve"> </v>
      </c>
      <c r="JN180" s="47" t="str">
        <f t="shared" si="1536"/>
        <v xml:space="preserve"> </v>
      </c>
      <c r="JO180" s="47" t="str">
        <f t="shared" si="1536"/>
        <v xml:space="preserve"> </v>
      </c>
      <c r="JP180" s="47" t="str">
        <f t="shared" si="1536"/>
        <v xml:space="preserve"> </v>
      </c>
      <c r="JQ180" s="47" t="str">
        <f t="shared" si="1536"/>
        <v xml:space="preserve">electronics(1),aesthetics(1),interaction(1),social project(1),social innovation(1),non-profit biz(1),biz project(1),biz enhancement(1),job creation(1),business(1),start-up(1),start-up with mvp(1),start-up with customers(1),for basic literacy(1),for the elites(1),for entrepreneurs(1), </v>
      </c>
      <c r="JR180" s="47" t="str">
        <f t="shared" si="1536"/>
        <v xml:space="preserve"> </v>
      </c>
      <c r="JS180" s="47" t="str">
        <f t="shared" si="1536"/>
        <v xml:space="preserve"> </v>
      </c>
      <c r="JT180" s="47" t="str">
        <f t="shared" si="1536"/>
        <v xml:space="preserve"> </v>
      </c>
      <c r="JU180" s="47" t="str">
        <f t="shared" si="1536"/>
        <v xml:space="preserve"> </v>
      </c>
      <c r="JV180" s="47" t="str">
        <f t="shared" si="1536"/>
        <v xml:space="preserve"> </v>
      </c>
      <c r="JW180" s="47" t="str">
        <f t="shared" si="1536"/>
        <v xml:space="preserve">social project(2),social innovation(1),non-profit biz(1),biz project(2),biz enhancement(2),job creation(1),business(1),start-up(2),start-up with mvp(1),start-up with customers(1),for basic literacy(2),for the elites(1),for entrepreneurs(1), </v>
      </c>
      <c r="JX180" s="47" t="str">
        <f t="shared" si="1536"/>
        <v xml:space="preserve"> </v>
      </c>
      <c r="JY180" s="47" t="str">
        <f t="shared" si="1536"/>
        <v xml:space="preserve"> </v>
      </c>
      <c r="JZ180" s="47" t="str">
        <f t="shared" si="1536"/>
        <v xml:space="preserve">social project(2), </v>
      </c>
      <c r="KA180" s="47" t="str">
        <f t="shared" si="1536"/>
        <v xml:space="preserve"> </v>
      </c>
      <c r="KB180" s="47" t="str">
        <f t="shared" si="1536"/>
        <v xml:space="preserve"> </v>
      </c>
      <c r="KC180" s="47" t="str">
        <f t="shared" si="1536"/>
        <v xml:space="preserve">electronics(1),aesthetics(1),social project(3),social innovation(1),non-profit biz(1),biz project(2),biz enhancement(2),job creation(1),business(1),start-up(2),start-up with mvp(1),start-up with customers(1),for basic literacy(2),for the elites(1),for entrepreneurs(1), </v>
      </c>
      <c r="KD180" s="47" t="str">
        <f t="shared" si="1536"/>
        <v xml:space="preserve"> </v>
      </c>
      <c r="KE180" s="47" t="str">
        <f t="shared" si="1536"/>
        <v xml:space="preserve"> </v>
      </c>
      <c r="KF180" s="47" t="str">
        <f t="shared" si="1536"/>
        <v xml:space="preserve"> </v>
      </c>
      <c r="KG180" s="47" t="str">
        <f t="shared" si="1536"/>
        <v xml:space="preserve"> </v>
      </c>
      <c r="KH180" s="47" t="str">
        <f t="shared" si="1536"/>
        <v xml:space="preserve"> </v>
      </c>
      <c r="KI180" s="47" t="str">
        <f t="shared" si="1536"/>
        <v xml:space="preserve"> </v>
      </c>
      <c r="KJ180" s="47" t="str">
        <f t="shared" si="1536"/>
        <v xml:space="preserve"> </v>
      </c>
      <c r="KK180" s="47" t="str">
        <f t="shared" si="1536"/>
        <v xml:space="preserve"> </v>
      </c>
      <c r="KL180" s="57" t="str">
        <f t="shared" si="1536"/>
        <v xml:space="preserve"> </v>
      </c>
      <c r="KM180" s="47" t="str">
        <f t="shared" si="1536"/>
        <v xml:space="preserve"> </v>
      </c>
      <c r="KN180" s="47" t="str">
        <f t="shared" si="1536"/>
        <v xml:space="preserve"> </v>
      </c>
      <c r="KO180" s="47" t="str">
        <f t="shared" si="1536"/>
        <v xml:space="preserve"> </v>
      </c>
      <c r="KP180" s="47" t="str">
        <f t="shared" si="1536"/>
        <v xml:space="preserve"> </v>
      </c>
      <c r="KQ180" s="47" t="str">
        <f t="shared" si="1536"/>
        <v xml:space="preserve"> </v>
      </c>
      <c r="KR180" s="57" t="str">
        <f t="shared" si="1536"/>
        <v xml:space="preserve"> </v>
      </c>
      <c r="KS180" s="47" t="str">
        <f t="shared" si="1536"/>
        <v xml:space="preserve"> </v>
      </c>
      <c r="KT180" s="47" t="str">
        <f t="shared" si="1536"/>
        <v xml:space="preserve"> </v>
      </c>
      <c r="KU180" s="47" t="str">
        <f t="shared" si="1536"/>
        <v xml:space="preserve"> </v>
      </c>
      <c r="KV180" s="47" t="str">
        <f t="shared" si="1536"/>
        <v xml:space="preserve"> </v>
      </c>
      <c r="KW180" s="47" t="str">
        <f t="shared" si="1536"/>
        <v xml:space="preserve"> </v>
      </c>
      <c r="KX180" s="57" t="str">
        <f t="shared" si="1536"/>
        <v xml:space="preserve"> </v>
      </c>
      <c r="KY180" s="47" t="str">
        <f t="shared" si="1536"/>
        <v xml:space="preserve"> </v>
      </c>
      <c r="KZ180" s="47" t="str">
        <f t="shared" si="1536"/>
        <v xml:space="preserve"> </v>
      </c>
      <c r="LA180" s="47" t="str">
        <f t="shared" si="1536"/>
        <v xml:space="preserve"> </v>
      </c>
      <c r="LB180" s="47" t="str">
        <f t="shared" si="1536"/>
        <v xml:space="preserve"> </v>
      </c>
      <c r="LC180" s="47" t="str">
        <f t="shared" si="1536"/>
        <v xml:space="preserve"> </v>
      </c>
      <c r="LD180" s="57" t="str">
        <f t="shared" si="1536"/>
        <v xml:space="preserve"> </v>
      </c>
      <c r="LE180" s="47" t="str">
        <f t="shared" si="1536"/>
        <v xml:space="preserve"> </v>
      </c>
      <c r="LF180" s="47" t="str">
        <f t="shared" si="1536"/>
        <v xml:space="preserve"> </v>
      </c>
      <c r="LG180" s="47" t="str">
        <f t="shared" si="1536"/>
        <v xml:space="preserve"> </v>
      </c>
      <c r="LH180" s="47" t="str">
        <f t="shared" ref="LH180:NM180" si="1537">IF(LH78="",LH181,$C180&amp;"("&amp;LH78&amp;"),"&amp;LH181)</f>
        <v xml:space="preserve"> </v>
      </c>
      <c r="LI180" s="47" t="str">
        <f t="shared" si="1537"/>
        <v xml:space="preserve"> </v>
      </c>
      <c r="LJ180" s="57" t="str">
        <f t="shared" si="1537"/>
        <v xml:space="preserve"> </v>
      </c>
      <c r="LK180" s="47" t="str">
        <f t="shared" si="1537"/>
        <v xml:space="preserve"> </v>
      </c>
      <c r="LL180" s="47" t="str">
        <f t="shared" si="1537"/>
        <v xml:space="preserve"> </v>
      </c>
      <c r="LM180" s="47" t="str">
        <f t="shared" si="1537"/>
        <v xml:space="preserve"> </v>
      </c>
      <c r="LN180" s="47" t="str">
        <f t="shared" si="1537"/>
        <v xml:space="preserve"> </v>
      </c>
      <c r="LO180" s="47" t="str">
        <f t="shared" si="1537"/>
        <v xml:space="preserve"> </v>
      </c>
      <c r="LP180" s="57" t="str">
        <f t="shared" si="1537"/>
        <v xml:space="preserve"> </v>
      </c>
      <c r="LQ180" s="47" t="str">
        <f t="shared" si="1537"/>
        <v xml:space="preserve"> </v>
      </c>
      <c r="LR180" s="47" t="str">
        <f t="shared" si="1537"/>
        <v xml:space="preserve"> </v>
      </c>
      <c r="LS180" s="47" t="str">
        <f t="shared" si="1537"/>
        <v xml:space="preserve"> </v>
      </c>
      <c r="LT180" s="47" t="str">
        <f t="shared" si="1537"/>
        <v xml:space="preserve"> </v>
      </c>
      <c r="LU180" s="47" t="str">
        <f t="shared" si="1537"/>
        <v xml:space="preserve"> </v>
      </c>
      <c r="LV180" s="57" t="str">
        <f t="shared" si="1537"/>
        <v xml:space="preserve"> </v>
      </c>
      <c r="LW180" s="47" t="str">
        <f t="shared" si="1537"/>
        <v xml:space="preserve"> </v>
      </c>
      <c r="LX180" s="47" t="str">
        <f t="shared" si="1537"/>
        <v xml:space="preserve"> </v>
      </c>
      <c r="LY180" s="47" t="str">
        <f t="shared" si="1537"/>
        <v xml:space="preserve"> </v>
      </c>
      <c r="LZ180" s="47" t="str">
        <f t="shared" si="1537"/>
        <v xml:space="preserve"> </v>
      </c>
      <c r="MA180" s="47" t="str">
        <f t="shared" si="1537"/>
        <v xml:space="preserve"> </v>
      </c>
      <c r="MB180" s="57" t="str">
        <f t="shared" si="1537"/>
        <v xml:space="preserve"> </v>
      </c>
      <c r="MC180" s="47" t="str">
        <f t="shared" si="1537"/>
        <v xml:space="preserve"> </v>
      </c>
      <c r="MD180" s="47" t="str">
        <f t="shared" si="1537"/>
        <v xml:space="preserve"> </v>
      </c>
      <c r="ME180" s="47" t="str">
        <f t="shared" si="1537"/>
        <v xml:space="preserve"> </v>
      </c>
      <c r="MF180" s="47" t="str">
        <f t="shared" si="1537"/>
        <v xml:space="preserve"> </v>
      </c>
      <c r="MG180" s="47" t="str">
        <f t="shared" si="1537"/>
        <v xml:space="preserve"> </v>
      </c>
      <c r="MH180" s="57" t="str">
        <f t="shared" si="1537"/>
        <v xml:space="preserve"> </v>
      </c>
      <c r="MI180" s="47" t="str">
        <f t="shared" si="1537"/>
        <v xml:space="preserve"> </v>
      </c>
      <c r="MJ180" s="47" t="str">
        <f t="shared" si="1537"/>
        <v xml:space="preserve"> </v>
      </c>
      <c r="MK180" s="47" t="str">
        <f t="shared" si="1537"/>
        <v xml:space="preserve"> </v>
      </c>
      <c r="ML180" s="47" t="str">
        <f t="shared" si="1537"/>
        <v xml:space="preserve"> </v>
      </c>
      <c r="MM180" s="47" t="str">
        <f t="shared" si="1537"/>
        <v xml:space="preserve"> </v>
      </c>
      <c r="MN180" s="57" t="str">
        <f t="shared" si="1537"/>
        <v xml:space="preserve"> </v>
      </c>
      <c r="MO180" s="47" t="str">
        <f t="shared" si="1537"/>
        <v xml:space="preserve"> </v>
      </c>
      <c r="MP180" s="47" t="str">
        <f t="shared" si="1537"/>
        <v xml:space="preserve"> </v>
      </c>
      <c r="MQ180" s="47" t="str">
        <f t="shared" si="1537"/>
        <v xml:space="preserve"> </v>
      </c>
      <c r="MR180" s="47" t="str">
        <f t="shared" si="1537"/>
        <v xml:space="preserve"> </v>
      </c>
      <c r="MS180" s="47" t="str">
        <f t="shared" si="1537"/>
        <v xml:space="preserve"> </v>
      </c>
      <c r="MT180" s="57" t="str">
        <f t="shared" si="1537"/>
        <v xml:space="preserve"> </v>
      </c>
      <c r="MU180" s="47" t="str">
        <f t="shared" si="1537"/>
        <v xml:space="preserve"> </v>
      </c>
      <c r="MV180" s="47" t="str">
        <f t="shared" si="1537"/>
        <v xml:space="preserve"> </v>
      </c>
      <c r="MW180" s="47" t="str">
        <f t="shared" si="1537"/>
        <v xml:space="preserve"> </v>
      </c>
      <c r="MX180" s="47" t="str">
        <f t="shared" si="1537"/>
        <v xml:space="preserve"> </v>
      </c>
      <c r="MY180" s="47" t="str">
        <f t="shared" si="1537"/>
        <v xml:space="preserve"> </v>
      </c>
      <c r="MZ180" s="57" t="str">
        <f t="shared" si="1537"/>
        <v xml:space="preserve"> </v>
      </c>
      <c r="NA180" s="47" t="str">
        <f t="shared" si="1537"/>
        <v xml:space="preserve"> </v>
      </c>
      <c r="NB180" s="47" t="str">
        <f t="shared" si="1537"/>
        <v xml:space="preserve"> </v>
      </c>
      <c r="NC180" s="47" t="str">
        <f t="shared" si="1537"/>
        <v xml:space="preserve"> </v>
      </c>
      <c r="ND180" s="47" t="str">
        <f t="shared" si="1537"/>
        <v xml:space="preserve"> </v>
      </c>
      <c r="NE180" s="47" t="str">
        <f t="shared" si="1537"/>
        <v xml:space="preserve"> </v>
      </c>
      <c r="NF180" s="57" t="str">
        <f t="shared" si="1537"/>
        <v xml:space="preserve"> </v>
      </c>
      <c r="NG180" s="47" t="str">
        <f t="shared" si="1537"/>
        <v xml:space="preserve"> </v>
      </c>
      <c r="NH180" s="47" t="str">
        <f t="shared" si="1537"/>
        <v xml:space="preserve"> </v>
      </c>
      <c r="NI180" s="47" t="str">
        <f t="shared" si="1537"/>
        <v xml:space="preserve"> </v>
      </c>
      <c r="NJ180" s="47" t="str">
        <f t="shared" si="1537"/>
        <v xml:space="preserve"> </v>
      </c>
      <c r="NK180" s="47" t="str">
        <f t="shared" si="1537"/>
        <v xml:space="preserve"> </v>
      </c>
      <c r="NL180" s="57" t="str">
        <f t="shared" si="1537"/>
        <v xml:space="preserve"> </v>
      </c>
      <c r="NM180" s="47" t="str">
        <f t="shared" si="1537"/>
        <v xml:space="preserve"> </v>
      </c>
    </row>
    <row r="181" spans="3:377" ht="15.75" customHeight="1">
      <c r="C181" s="7" t="str">
        <f t="shared" si="841"/>
        <v>VR&amp;AR</v>
      </c>
      <c r="D181" s="21" t="str">
        <f t="shared" si="651"/>
        <v xml:space="preserve"> </v>
      </c>
      <c r="E181" s="21" t="str">
        <f t="shared" si="842"/>
        <v xml:space="preserve"> </v>
      </c>
      <c r="F181" s="21" t="str">
        <f t="shared" si="651"/>
        <v xml:space="preserve"> </v>
      </c>
      <c r="G181" s="21" t="str">
        <f t="shared" si="843"/>
        <v xml:space="preserve"> </v>
      </c>
      <c r="H181" s="21" t="str">
        <f t="shared" si="844"/>
        <v xml:space="preserve"> </v>
      </c>
      <c r="I181" s="21" t="str">
        <f t="shared" ref="I181" si="1538">IF(I79="",I182,$C181&amp;"("&amp;I79&amp;"),"&amp;I182)</f>
        <v xml:space="preserve"> </v>
      </c>
      <c r="J181" s="21" t="str">
        <f t="shared" ref="J181" si="1539">IF(J79="",J182,$C181&amp;" "&amp;J79&amp;CHAR(10)&amp;J182)</f>
        <v xml:space="preserve">interaction 1
 </v>
      </c>
      <c r="K181" s="21" t="str">
        <f t="shared" si="654"/>
        <v xml:space="preserve"> </v>
      </c>
      <c r="L181" s="21" t="str">
        <f t="shared" ref="L181" si="1540">IF(L79="",L182,$C181&amp;" "&amp;L79&amp;CHAR(10)&amp;L182)</f>
        <v xml:space="preserve"> </v>
      </c>
      <c r="M181" s="21" t="str">
        <f t="shared" si="656"/>
        <v xml:space="preserve">social innovation(1), non-profit biz(1),  </v>
      </c>
      <c r="N181" s="21" t="str">
        <f t="shared" si="657"/>
        <v xml:space="preserve"> </v>
      </c>
      <c r="O181" s="21" t="str">
        <f t="shared" si="658"/>
        <v xml:space="preserve"> </v>
      </c>
      <c r="P181" s="21" t="str">
        <f t="shared" ref="P181" si="1541">IF(P79="",P182,$C181&amp;" "&amp;P79&amp;CHAR(10)&amp;P182)</f>
        <v xml:space="preserve">biz project 1
 </v>
      </c>
      <c r="Q181" s="21" t="str">
        <f t="shared" si="660"/>
        <v xml:space="preserve"> </v>
      </c>
      <c r="R181" s="21" t="str">
        <f t="shared" ref="R181" si="1542">IF(R79="",R182,$C181&amp;" "&amp;R79&amp;CHAR(10)&amp;R182)</f>
        <v xml:space="preserve"> </v>
      </c>
      <c r="S181" s="21" t="str">
        <f t="shared" si="662"/>
        <v xml:space="preserve">biz enhancement(1), business(1), start-up(1),  </v>
      </c>
      <c r="T181" s="21" t="str">
        <f t="shared" si="663"/>
        <v xml:space="preserve"> </v>
      </c>
      <c r="U181" s="21" t="str">
        <f t="shared" si="658"/>
        <v xml:space="preserve"> </v>
      </c>
      <c r="V181" s="21" t="str">
        <f t="shared" ref="V181" si="1543">IF(V79="",V182,$C181&amp;" "&amp;V79&amp;CHAR(10)&amp;V182)</f>
        <v xml:space="preserve"> </v>
      </c>
      <c r="W181" s="21" t="str">
        <f t="shared" si="665"/>
        <v xml:space="preserve"> </v>
      </c>
      <c r="X181" s="21" t="str">
        <f t="shared" ref="X181" si="1544">IF(X79="",X182,$C181&amp;" "&amp;X79&amp;CHAR(10)&amp;X182)</f>
        <v xml:space="preserve"> </v>
      </c>
      <c r="Y181" s="21" t="str">
        <f t="shared" si="667"/>
        <v xml:space="preserve">biz project(1), biz enhancement(1), job creation(1), business(1),  </v>
      </c>
      <c r="Z181" s="21" t="str">
        <f t="shared" si="668"/>
        <v xml:space="preserve"> </v>
      </c>
      <c r="AA181" s="21" t="str">
        <f t="shared" si="658"/>
        <v xml:space="preserve"> </v>
      </c>
      <c r="AB181" s="21" t="str">
        <f t="shared" ref="AB181" si="1545">IF(AB79="",AB182,$C181&amp;" "&amp;AB79&amp;CHAR(10)&amp;AB182)</f>
        <v xml:space="preserve"> </v>
      </c>
      <c r="AC181" s="21" t="str">
        <f t="shared" si="670"/>
        <v xml:space="preserve"> </v>
      </c>
      <c r="AD181" s="21" t="str">
        <f t="shared" ref="AD181" si="1546">IF(AD79="",AD182,$C181&amp;" "&amp;AD79&amp;CHAR(10)&amp;AD182)</f>
        <v xml:space="preserve"> </v>
      </c>
      <c r="AE181" s="21" t="str">
        <f t="shared" si="672"/>
        <v xml:space="preserve">social project(1), social innovation(1), non-profit biz(1),  </v>
      </c>
      <c r="AF181" s="21" t="str">
        <f t="shared" si="673"/>
        <v xml:space="preserve"> </v>
      </c>
      <c r="AG181" s="21" t="str">
        <f t="shared" si="658"/>
        <v xml:space="preserve"> </v>
      </c>
      <c r="AH181" s="21" t="str">
        <f t="shared" ref="AH181" si="1547">IF(AH79="",AH182,$C181&amp;" "&amp;AH79&amp;CHAR(10)&amp;AH182)</f>
        <v xml:space="preserve"> </v>
      </c>
      <c r="AI181" s="21" t="str">
        <f t="shared" si="675"/>
        <v xml:space="preserve"> </v>
      </c>
      <c r="AJ181" s="21" t="str">
        <f t="shared" ref="AJ181" si="1548">IF(AJ79="",AJ182,$C181&amp;" "&amp;AJ79&amp;CHAR(10)&amp;AJ182)</f>
        <v xml:space="preserve"> </v>
      </c>
      <c r="AK181" s="21" t="str">
        <f t="shared" si="677"/>
        <v xml:space="preserve">social project(1), social innovation(1), non-profit biz(1),  </v>
      </c>
      <c r="AL181" s="21" t="str">
        <f t="shared" si="678"/>
        <v xml:space="preserve"> </v>
      </c>
      <c r="AM181" s="21" t="str">
        <f t="shared" si="658"/>
        <v xml:space="preserve"> </v>
      </c>
      <c r="AN181" s="21" t="str">
        <f t="shared" ref="AN181" si="1549">IF(AN79="",AN182,$C181&amp;" "&amp;AN79&amp;CHAR(10)&amp;AN182)</f>
        <v xml:space="preserve"> </v>
      </c>
      <c r="AO181" s="21" t="str">
        <f t="shared" si="680"/>
        <v xml:space="preserve"> </v>
      </c>
      <c r="AP181" s="21" t="str">
        <f t="shared" ref="AP181" si="1550">IF(AP79="",AP182,$C181&amp;" "&amp;AP79&amp;CHAR(10)&amp;AP182)</f>
        <v xml:space="preserve"> </v>
      </c>
      <c r="AQ181" s="21" t="str">
        <f t="shared" si="682"/>
        <v xml:space="preserve">start-up(1), start-up with mvp(1), start-up with customers(1),  </v>
      </c>
      <c r="AR181" s="21" t="str">
        <f t="shared" si="683"/>
        <v xml:space="preserve"> </v>
      </c>
      <c r="AS181" s="21" t="str">
        <f t="shared" si="658"/>
        <v xml:space="preserve"> </v>
      </c>
      <c r="AT181" s="21" t="str">
        <f t="shared" ref="AT181" si="1551">IF(AT79="",AT182,$C181&amp;" "&amp;AT79&amp;CHAR(10)&amp;AT182)</f>
        <v xml:space="preserve">social project 1
 </v>
      </c>
      <c r="AU181" s="21" t="str">
        <f t="shared" si="685"/>
        <v xml:space="preserve"> </v>
      </c>
      <c r="AV181" s="21" t="str">
        <f t="shared" ref="AV181" si="1552">IF(AV79="",AV182,$C181&amp;" "&amp;AV79&amp;CHAR(10)&amp;AV182)</f>
        <v xml:space="preserve"> </v>
      </c>
      <c r="AW181" s="21" t="str">
        <f t="shared" si="687"/>
        <v xml:space="preserve"> </v>
      </c>
      <c r="AX181" s="21" t="str">
        <f t="shared" si="688"/>
        <v xml:space="preserve"> </v>
      </c>
      <c r="AY181" s="21" t="str">
        <f t="shared" si="658"/>
        <v xml:space="preserve"> </v>
      </c>
      <c r="AZ181" s="21" t="str">
        <f t="shared" ref="AZ181" si="1553">IF(AZ79="",AZ182,$C181&amp;" "&amp;AZ79&amp;CHAR(10)&amp;AZ182)</f>
        <v xml:space="preserve"> </v>
      </c>
      <c r="BA181" s="21" t="str">
        <f t="shared" si="690"/>
        <v xml:space="preserve"> </v>
      </c>
      <c r="BB181" s="21" t="str">
        <f t="shared" ref="BB181" si="1554">IF(BB79="",BB182,$C181&amp;" "&amp;BB79&amp;CHAR(10)&amp;BB182)</f>
        <v xml:space="preserve"> </v>
      </c>
      <c r="BC181" s="21" t="str">
        <f t="shared" si="692"/>
        <v xml:space="preserve"> </v>
      </c>
      <c r="BD181" s="21" t="str">
        <f t="shared" si="693"/>
        <v xml:space="preserve"> </v>
      </c>
      <c r="BE181" s="21" t="str">
        <f t="shared" si="658"/>
        <v xml:space="preserve"> </v>
      </c>
      <c r="BF181" s="21" t="str">
        <f t="shared" ref="BF181" si="1555">IF(BF79="",BF182,$C181&amp;" "&amp;BF79&amp;CHAR(10)&amp;BF182)</f>
        <v xml:space="preserve">biz project 1
 </v>
      </c>
      <c r="BG181" s="21" t="str">
        <f t="shared" si="695"/>
        <v xml:space="preserve"> </v>
      </c>
      <c r="BH181" s="21" t="str">
        <f t="shared" ref="BH181" si="1556">IF(BH79="",BH182,$C181&amp;" "&amp;BH79&amp;CHAR(10)&amp;BH182)</f>
        <v xml:space="preserve"> </v>
      </c>
      <c r="BI181" s="21" t="str">
        <f t="shared" si="697"/>
        <v xml:space="preserve"> </v>
      </c>
      <c r="BJ181" s="21" t="str">
        <f t="shared" si="698"/>
        <v xml:space="preserve"> </v>
      </c>
      <c r="BK181" s="21" t="str">
        <f t="shared" si="658"/>
        <v xml:space="preserve"> </v>
      </c>
      <c r="BL181" s="21" t="str">
        <f t="shared" ref="BL181" si="1557">IF(BL79="",BL182,$C181&amp;" "&amp;BL79&amp;CHAR(10)&amp;BL182)</f>
        <v xml:space="preserve">biz enhancement 1
 </v>
      </c>
      <c r="BM181" s="21" t="str">
        <f t="shared" si="700"/>
        <v xml:space="preserve"> </v>
      </c>
      <c r="BN181" s="21" t="str">
        <f t="shared" ref="BN181" si="1558">IF(BN79="",BN182,$C181&amp;" "&amp;BN79&amp;CHAR(10)&amp;BN182)</f>
        <v xml:space="preserve"> </v>
      </c>
      <c r="BO181" s="21" t="str">
        <f t="shared" si="702"/>
        <v xml:space="preserve"> </v>
      </c>
      <c r="BP181" s="21" t="str">
        <f t="shared" si="703"/>
        <v xml:space="preserve"> </v>
      </c>
      <c r="BQ181" s="21" t="str">
        <f t="shared" si="658"/>
        <v xml:space="preserve"> </v>
      </c>
      <c r="BR181" s="21" t="str">
        <f t="shared" ref="BR181" si="1559">IF(BR79="",BR182,$C181&amp;" "&amp;BR79&amp;CHAR(10)&amp;BR182)</f>
        <v xml:space="preserve"> </v>
      </c>
      <c r="BS181" s="21" t="str">
        <f t="shared" si="705"/>
        <v xml:space="preserve"> </v>
      </c>
      <c r="BT181" s="21" t="str">
        <f t="shared" ref="BT181" si="1560">IF(BT79="",BT182,$C181&amp;" "&amp;BT79&amp;CHAR(10)&amp;BT182)</f>
        <v xml:space="preserve"> </v>
      </c>
      <c r="BU181" s="21" t="str">
        <f t="shared" si="707"/>
        <v xml:space="preserve"> </v>
      </c>
      <c r="BV181" s="21" t="str">
        <f t="shared" si="708"/>
        <v xml:space="preserve"> </v>
      </c>
      <c r="BW181" s="21" t="str">
        <f t="shared" si="658"/>
        <v xml:space="preserve"> </v>
      </c>
      <c r="BX181" s="21" t="str">
        <f t="shared" ref="BX181" si="1561">IF(BX79="",BX182,$C181&amp;" "&amp;BX79&amp;CHAR(10)&amp;BX182)</f>
        <v xml:space="preserve"> </v>
      </c>
      <c r="BY181" s="21" t="str">
        <f t="shared" si="710"/>
        <v xml:space="preserve"> </v>
      </c>
      <c r="BZ181" s="21" t="str">
        <f t="shared" ref="BZ181" si="1562">IF(BZ79="",BZ182,$C181&amp;" "&amp;BZ79&amp;CHAR(10)&amp;BZ182)</f>
        <v xml:space="preserve"> </v>
      </c>
      <c r="CA181" s="21" t="str">
        <f t="shared" si="712"/>
        <v xml:space="preserve"> </v>
      </c>
      <c r="CB181" s="21" t="str">
        <f t="shared" si="713"/>
        <v xml:space="preserve"> </v>
      </c>
      <c r="CC181" s="21" t="str">
        <f t="shared" si="714"/>
        <v xml:space="preserve"> </v>
      </c>
      <c r="CD181" s="21" t="str">
        <f t="shared" ref="CD181" si="1563">IF(CD79="",CD182,$C181&amp;" "&amp;CD79&amp;CHAR(10)&amp;CD182)</f>
        <v xml:space="preserve"> </v>
      </c>
      <c r="CE181" s="21" t="str">
        <f t="shared" si="716"/>
        <v xml:space="preserve"> </v>
      </c>
      <c r="CF181" s="21" t="str">
        <f t="shared" ref="CF181" si="1564">IF(CF79="",CF182,$C181&amp;" "&amp;CF79&amp;CHAR(10)&amp;CF182)</f>
        <v xml:space="preserve"> </v>
      </c>
      <c r="CG181" s="21" t="str">
        <f t="shared" si="718"/>
        <v xml:space="preserve">social project(1), biz project(1), for basic literacy(1), for the elites(1), for entrepreneurs(1),  </v>
      </c>
      <c r="CH181" s="21" t="str">
        <f t="shared" si="719"/>
        <v xml:space="preserve"> </v>
      </c>
      <c r="CI181" s="21" t="str">
        <f t="shared" si="714"/>
        <v xml:space="preserve"> </v>
      </c>
      <c r="CJ181" s="21" t="str">
        <f t="shared" ref="CJ181" si="1565">IF(CJ79="",CJ182,$C181&amp;" "&amp;CJ79&amp;CHAR(10)&amp;CJ182)</f>
        <v xml:space="preserve"> </v>
      </c>
      <c r="CK181" s="21" t="str">
        <f t="shared" si="721"/>
        <v xml:space="preserve"> </v>
      </c>
      <c r="CL181" s="21" t="str">
        <f t="shared" ref="CL181" si="1566">IF(CL79="",CL182,$C181&amp;" "&amp;CL79&amp;CHAR(10)&amp;CL182)</f>
        <v xml:space="preserve"> </v>
      </c>
      <c r="CM181" s="21" t="str">
        <f t="shared" si="723"/>
        <v xml:space="preserve"> </v>
      </c>
      <c r="CN181" s="21" t="str">
        <f t="shared" si="724"/>
        <v xml:space="preserve"> </v>
      </c>
      <c r="CO181" s="21" t="str">
        <f t="shared" si="714"/>
        <v xml:space="preserve"> </v>
      </c>
      <c r="CP181" s="21" t="str">
        <f t="shared" ref="CP181" si="1567">IF(CP79="",CP182,$C181&amp;" "&amp;CP79&amp;CHAR(10)&amp;CP182)</f>
        <v xml:space="preserve"> </v>
      </c>
      <c r="CQ181" s="21" t="str">
        <f t="shared" si="726"/>
        <v xml:space="preserve"> </v>
      </c>
      <c r="CR181" s="21" t="str">
        <f t="shared" ref="CR181" si="1568">IF(CR79="",CR182,$C181&amp;" "&amp;CR79&amp;CHAR(10)&amp;CR182)</f>
        <v xml:space="preserve"> </v>
      </c>
      <c r="CS181" s="21" t="str">
        <f t="shared" si="728"/>
        <v xml:space="preserve">VR&amp;AR(1), wood processing(1), metal processing(1), plastic processing(1), electronics(1), fabric(1),  </v>
      </c>
      <c r="CT181" s="21" t="str">
        <f t="shared" si="729"/>
        <v xml:space="preserve"> </v>
      </c>
      <c r="CU181" s="21" t="str">
        <f t="shared" si="714"/>
        <v xml:space="preserve"> </v>
      </c>
      <c r="CV181" s="21" t="str">
        <f t="shared" ref="CV181" si="1569">IF(CV79="",CV182,$C181&amp;" "&amp;CV79&amp;CHAR(10)&amp;CV182)</f>
        <v xml:space="preserve"> </v>
      </c>
      <c r="CW181" s="21" t="str">
        <f t="shared" si="731"/>
        <v xml:space="preserve"> </v>
      </c>
      <c r="CX181" s="21" t="str">
        <f t="shared" ref="CX181" si="1570">IF(CX79="",CX182,$C181&amp;" "&amp;CX79&amp;CHAR(10)&amp;CX182)</f>
        <v xml:space="preserve"> </v>
      </c>
      <c r="CY181" s="21" t="str">
        <f t="shared" si="733"/>
        <v xml:space="preserve"> </v>
      </c>
      <c r="CZ181" s="21" t="str">
        <f t="shared" si="734"/>
        <v xml:space="preserve"> </v>
      </c>
      <c r="DA181" s="21" t="str">
        <f t="shared" si="714"/>
        <v xml:space="preserve"> </v>
      </c>
      <c r="DB181" s="21" t="str">
        <f t="shared" ref="DB181" si="1571">IF(DB79="",DB182,$C181&amp;" "&amp;DB79&amp;CHAR(10)&amp;DB182)</f>
        <v xml:space="preserve"> </v>
      </c>
      <c r="DC181" s="21" t="str">
        <f t="shared" si="736"/>
        <v xml:space="preserve"> </v>
      </c>
      <c r="DD181" s="21" t="str">
        <f t="shared" ref="DD181" si="1572">IF(DD79="",DD182,$C181&amp;" "&amp;DD79&amp;CHAR(10)&amp;DD182)</f>
        <v xml:space="preserve"> </v>
      </c>
      <c r="DE181" s="21" t="str">
        <f t="shared" si="738"/>
        <v xml:space="preserve">VR&amp;AR(2), wood processing(2), metal processing(2), plastic processing(2), electronics(2), fabric(2), aesthetics(2), functions(2), safety(2), interaction(2), biz project(1), biz enhancement(1), job creation(1), business(1), start-up(1), start-up with mvp(1), start-up with customers(1), for entrepreneurs(2),  </v>
      </c>
      <c r="DF181" s="21" t="str">
        <f t="shared" si="739"/>
        <v xml:space="preserve"> </v>
      </c>
      <c r="DG181" s="21" t="str">
        <f t="shared" si="714"/>
        <v xml:space="preserve"> </v>
      </c>
      <c r="DH181" s="21" t="str">
        <f t="shared" ref="DH181" si="1573">IF(DH79="",DH182,$C181&amp;" "&amp;DH79&amp;CHAR(10)&amp;DH182)</f>
        <v xml:space="preserve">social project 1
 </v>
      </c>
      <c r="DI181" s="21" t="str">
        <f t="shared" si="741"/>
        <v xml:space="preserve"> </v>
      </c>
      <c r="DJ181" s="21" t="str">
        <f t="shared" ref="DJ181" si="1574">IF(DJ79="",DJ182,$C181&amp;" "&amp;DJ79&amp;CHAR(10)&amp;DJ182)</f>
        <v xml:space="preserve"> </v>
      </c>
      <c r="DK181" s="21" t="str">
        <f t="shared" si="743"/>
        <v xml:space="preserve">VR&amp;AR(2), wood processing(2), metal processing(2), plastic processing(2), electronics(2), fabric(2), aesthetics(2), functions(2), safety(2), interaction(2), social project(2), social innovation(1), non-profit biz(1),  </v>
      </c>
      <c r="DL181" s="21" t="str">
        <f t="shared" si="744"/>
        <v xml:space="preserve"> </v>
      </c>
      <c r="DM181" s="21" t="str">
        <f t="shared" si="714"/>
        <v xml:space="preserve"> </v>
      </c>
      <c r="DN181" s="21" t="str">
        <f t="shared" ref="DN181" si="1575">IF(DN79="",DN182,$C181&amp;" "&amp;DN79&amp;CHAR(10)&amp;DN182)</f>
        <v xml:space="preserve">biz project 1
 </v>
      </c>
      <c r="DO181" s="21" t="str">
        <f t="shared" si="746"/>
        <v xml:space="preserve"> </v>
      </c>
      <c r="DP181" s="21" t="str">
        <f t="shared" ref="DP181" si="1576">IF(DP79="",DP182,$C181&amp;" "&amp;DP79&amp;CHAR(10)&amp;DP182)</f>
        <v xml:space="preserve"> </v>
      </c>
      <c r="DQ181" s="21" t="str">
        <f t="shared" si="748"/>
        <v xml:space="preserve">VR&amp;AR(2), wood processing(2), metal processing(2), plastic processing(2), electronics(2), fabric(2), aesthetics(2), functions(2), safety(2), interaction(2), biz project(2), biz enhancement(1), job creation(1), business(1), start-up(1), start-up with mvp(1), start-up with customers(1), for entrepreneurs(1),  </v>
      </c>
      <c r="DR181" s="21" t="str">
        <f t="shared" si="749"/>
        <v xml:space="preserve"> </v>
      </c>
      <c r="DS181" s="21" t="str">
        <f t="shared" si="714"/>
        <v xml:space="preserve"> </v>
      </c>
      <c r="DT181" s="21" t="str">
        <f t="shared" ref="DT181" si="1577">IF(DT79="",DT182,$C181&amp;" "&amp;DT79&amp;CHAR(10)&amp;DT182)</f>
        <v xml:space="preserve"> </v>
      </c>
      <c r="DU181" s="21" t="str">
        <f t="shared" si="751"/>
        <v xml:space="preserve"> </v>
      </c>
      <c r="DV181" s="21" t="str">
        <f t="shared" ref="DV181" si="1578">IF(DV79="",DV182,$C181&amp;" "&amp;DV79&amp;CHAR(10)&amp;DV182)</f>
        <v xml:space="preserve"> </v>
      </c>
      <c r="DW181" s="21" t="str">
        <f t="shared" si="753"/>
        <v xml:space="preserve">for basic literacy(1),  </v>
      </c>
      <c r="DX181" s="21" t="str">
        <f t="shared" si="754"/>
        <v xml:space="preserve">for basic literacy(1,6.25),  </v>
      </c>
      <c r="DY181" s="21" t="str">
        <f t="shared" si="714"/>
        <v xml:space="preserve">for basic literacy(6.25), </v>
      </c>
      <c r="DZ181" s="21" t="str">
        <f t="shared" ref="DZ181" si="1579">IF(DZ79="",DZ182,$C181&amp;" "&amp;DZ79&amp;CHAR(10)&amp;DZ182)</f>
        <v xml:space="preserve"> </v>
      </c>
      <c r="EA181" s="21" t="str">
        <f t="shared" si="756"/>
        <v xml:space="preserve"> </v>
      </c>
      <c r="EB181" s="21" t="str">
        <f t="shared" ref="EB181" si="1580">IF(EB79="",EB182,$C181&amp;" "&amp;EB79&amp;CHAR(10)&amp;EB182)</f>
        <v xml:space="preserve"> </v>
      </c>
      <c r="EC181" s="21" t="str">
        <f t="shared" si="758"/>
        <v xml:space="preserve">VR&amp;AR(2), wood processing(2), metal processing(2), plastic processing(2), electronics(2), fabric(2), for basic literacy(1),  </v>
      </c>
      <c r="ED181" s="21" t="str">
        <f t="shared" si="759"/>
        <v xml:space="preserve">for basic literacy(1,6.25),  </v>
      </c>
      <c r="EE181" s="21" t="str">
        <f t="shared" si="714"/>
        <v xml:space="preserve">for basic literacy(6.25), </v>
      </c>
      <c r="EF181" s="21" t="str">
        <f t="shared" ref="EF181" si="1581">IF(EF79="",EF182,$C181&amp;" "&amp;EF79&amp;CHAR(10)&amp;EF182)</f>
        <v xml:space="preserve"> </v>
      </c>
      <c r="EG181" s="21" t="str">
        <f t="shared" si="761"/>
        <v xml:space="preserve">interaction(1,50),  </v>
      </c>
      <c r="EH181" s="21" t="str">
        <f t="shared" ref="EH181" si="1582">IF(EH79="",EH182,$C181&amp;" "&amp;EH79&amp;CHAR(10)&amp;EH182)</f>
        <v xml:space="preserve">interaction 50
 </v>
      </c>
      <c r="EI181" s="21" t="str">
        <f t="shared" si="763"/>
        <v xml:space="preserve">for entrepreneurs(1),  </v>
      </c>
      <c r="EJ181" s="21" t="str">
        <f t="shared" si="764"/>
        <v xml:space="preserve">for entrepreneurs(1,6.25),  </v>
      </c>
      <c r="EK181" s="21" t="str">
        <f t="shared" si="714"/>
        <v xml:space="preserve">for entrepreneurs(6.25), </v>
      </c>
      <c r="EL181" s="21" t="str">
        <f t="shared" ref="EL181" si="1583">IF(EL79="",EL182,$C181&amp;" "&amp;EL79&amp;CHAR(10)&amp;EL182)</f>
        <v xml:space="preserve"> </v>
      </c>
      <c r="EM181" s="21" t="str">
        <f t="shared" si="766"/>
        <v xml:space="preserve"> </v>
      </c>
      <c r="EN181" s="21" t="str">
        <f t="shared" ref="EN181" si="1584">IF(EN79="",EN182,$C181&amp;" "&amp;EN79&amp;CHAR(10)&amp;EN182)</f>
        <v xml:space="preserve"> </v>
      </c>
      <c r="EO181" s="21" t="str">
        <f t="shared" si="768"/>
        <v xml:space="preserve">for entrepreneurs(1),  </v>
      </c>
      <c r="EP181" s="21" t="str">
        <f t="shared" si="769"/>
        <v xml:space="preserve">electronics(1,6.25), for entrepreneurs(1,6.25),  </v>
      </c>
      <c r="EQ181" s="21" t="str">
        <f t="shared" si="770"/>
        <v xml:space="preserve">electronics(6.25),for entrepreneurs(6.25), </v>
      </c>
      <c r="ER181" s="21" t="str">
        <f t="shared" ref="ER181" si="1585">IF(ER79="",ER182,$C181&amp;" "&amp;ER79&amp;CHAR(10)&amp;ER182)</f>
        <v xml:space="preserve"> </v>
      </c>
      <c r="ES181" s="21" t="str">
        <f t="shared" si="772"/>
        <v xml:space="preserve"> </v>
      </c>
      <c r="ET181" s="21" t="str">
        <f t="shared" ref="ET181" si="1586">IF(ET79="",ET182,$C181&amp;" "&amp;ET79&amp;CHAR(10)&amp;ET182)</f>
        <v xml:space="preserve"> </v>
      </c>
      <c r="EU181" s="21" t="str">
        <f t="shared" si="774"/>
        <v xml:space="preserve">for entrepreneurs(1),  </v>
      </c>
      <c r="EV181" s="21" t="str">
        <f t="shared" si="775"/>
        <v xml:space="preserve">for entrepreneurs(1,6.25),  </v>
      </c>
      <c r="EW181" s="21" t="str">
        <f t="shared" si="770"/>
        <v xml:space="preserve">for entrepreneurs(6.25), </v>
      </c>
      <c r="EX181" s="21" t="str">
        <f t="shared" ref="EX181" si="1587">IF(EX79="",EX182,$C181&amp;" "&amp;EX79&amp;CHAR(10)&amp;EX182)</f>
        <v xml:space="preserve"> </v>
      </c>
      <c r="EY181" s="21" t="str">
        <f t="shared" si="777"/>
        <v xml:space="preserve">interaction(1,25),  </v>
      </c>
      <c r="EZ181" s="21" t="str">
        <f t="shared" ref="EZ181" si="1588">IF(EZ79="",EZ182,$C181&amp;" "&amp;EZ79&amp;CHAR(10)&amp;EZ182)</f>
        <v xml:space="preserve">interaction 25
 </v>
      </c>
      <c r="FA181" s="21" t="str">
        <f t="shared" si="779"/>
        <v xml:space="preserve">for entrepreneurs(1),  </v>
      </c>
      <c r="FB181" s="21" t="str">
        <f t="shared" si="780"/>
        <v xml:space="preserve">for entrepreneurs(1,6.25),  </v>
      </c>
      <c r="FC181" s="21" t="str">
        <f t="shared" si="770"/>
        <v xml:space="preserve">for entrepreneurs(6.25), </v>
      </c>
      <c r="FD181" s="21" t="str">
        <f t="shared" ref="FD181" si="1589">IF(FD79="",FD182,$C181&amp;" "&amp;FD79&amp;CHAR(10)&amp;FD182)</f>
        <v xml:space="preserve"> </v>
      </c>
      <c r="FE181" s="21" t="str">
        <f t="shared" si="782"/>
        <v xml:space="preserve"> </v>
      </c>
      <c r="FF181" s="21" t="str">
        <f t="shared" ref="FF181" si="1590">IF(FF79="",FF182,$C181&amp;" "&amp;FF79&amp;CHAR(10)&amp;FF182)</f>
        <v xml:space="preserve"> </v>
      </c>
      <c r="FG181" s="21" t="str">
        <f t="shared" si="784"/>
        <v xml:space="preserve">for entrepreneurs(1),  </v>
      </c>
      <c r="FH181" s="21" t="str">
        <f t="shared" si="785"/>
        <v xml:space="preserve">for entrepreneurs(1,6.25),  </v>
      </c>
      <c r="FI181" s="21" t="str">
        <f t="shared" si="770"/>
        <v xml:space="preserve">for entrepreneurs(6.25), </v>
      </c>
      <c r="FJ181" s="21" t="str">
        <f t="shared" ref="FJ181" si="1591">IF(FJ79="",FJ182,$C181&amp;" "&amp;FJ79&amp;CHAR(10)&amp;FJ182)</f>
        <v xml:space="preserve"> </v>
      </c>
      <c r="FK181" s="21" t="str">
        <f t="shared" si="787"/>
        <v xml:space="preserve">wood processing(1,25), metal processing(1,25), plastic processing(1,25), fabric(1,25), safety(1,25), interaction(1,25),  </v>
      </c>
      <c r="FL181" s="21" t="str">
        <f t="shared" ref="FL181" si="1592">IF(FL79="",FL182,$C181&amp;" "&amp;FL79&amp;CHAR(10)&amp;FL182)</f>
        <v xml:space="preserve">wood processing 25
metal processing 25
plastic processing 25
fabric 25
safety 25
interaction 25
 </v>
      </c>
      <c r="FM181" s="21" t="str">
        <f t="shared" si="789"/>
        <v xml:space="preserve">for entrepreneurs(1),  </v>
      </c>
      <c r="FN181" s="21" t="str">
        <f t="shared" si="790"/>
        <v xml:space="preserve">for entrepreneurs(1,6.25),  </v>
      </c>
      <c r="FO181" s="21" t="str">
        <f t="shared" si="770"/>
        <v xml:space="preserve">for entrepreneurs(6.25), </v>
      </c>
      <c r="FP181" s="21" t="str">
        <f t="shared" ref="FP181" si="1593">IF(FP79="",FP182,$C181&amp;" "&amp;FP79&amp;CHAR(10)&amp;FP182)</f>
        <v xml:space="preserve"> </v>
      </c>
      <c r="FQ181" s="21" t="str">
        <f t="shared" si="792"/>
        <v xml:space="preserve">functions(1,25), interaction(1,25),  </v>
      </c>
      <c r="FR181" s="21" t="str">
        <f t="shared" ref="FR181" si="1594">IF(FR79="",FR182,$C181&amp;" "&amp;FR79&amp;CHAR(10)&amp;FR182)</f>
        <v xml:space="preserve">functions 25
interaction 25
 </v>
      </c>
      <c r="FS181" s="21" t="str">
        <f t="shared" si="794"/>
        <v xml:space="preserve">for entrepreneurs(1),  </v>
      </c>
      <c r="FT181" s="21" t="str">
        <f t="shared" si="795"/>
        <v xml:space="preserve">for entrepreneurs(1,6.25),  </v>
      </c>
      <c r="FU181" s="21" t="str">
        <f t="shared" si="770"/>
        <v xml:space="preserve">for entrepreneurs(6.25), </v>
      </c>
      <c r="FV181" s="21" t="str">
        <f t="shared" ref="FV181" si="1595">IF(FV79="",FV182,$C181&amp;" "&amp;FV79&amp;CHAR(10)&amp;FV182)</f>
        <v xml:space="preserve"> </v>
      </c>
      <c r="FW181" s="21" t="str">
        <f t="shared" si="797"/>
        <v xml:space="preserve">wood processing(1,25), plastic processing(1,25), electronics(1,25), functions(1,25), interaction(1,25),  </v>
      </c>
      <c r="FX181" s="21" t="str">
        <f t="shared" ref="FX181" si="1596">IF(FX79="",FX182,$C181&amp;" "&amp;FX79&amp;CHAR(10)&amp;FX182)</f>
        <v xml:space="preserve">wood processing 25
plastic processing 25
electronics 25
functions 25
interaction 25
 </v>
      </c>
      <c r="FY181" s="21" t="str">
        <f t="shared" si="799"/>
        <v xml:space="preserve">for entrepreneurs(1),  </v>
      </c>
      <c r="FZ181" s="21" t="str">
        <f t="shared" si="800"/>
        <v xml:space="preserve">for entrepreneurs(1,6.25),  </v>
      </c>
      <c r="GA181" s="21" t="str">
        <f t="shared" si="770"/>
        <v xml:space="preserve">for entrepreneurs(6.25), </v>
      </c>
      <c r="GB181" s="21" t="str">
        <f t="shared" ref="GB181" si="1597">IF(GB79="",GB182,$C181&amp;" "&amp;GB79&amp;CHAR(10)&amp;GB182)</f>
        <v xml:space="preserve"> </v>
      </c>
      <c r="GC181" s="21" t="str">
        <f t="shared" si="802"/>
        <v xml:space="preserve">electronics(1,50), functions(1,25), safety(1,25),  </v>
      </c>
      <c r="GD181" s="21" t="str">
        <f t="shared" ref="GD181" si="1598">IF(GD79="",GD182,$C181&amp;" "&amp;GD79&amp;CHAR(10)&amp;GD182)</f>
        <v xml:space="preserve">electronics 50
functions 25
safety 25
 </v>
      </c>
      <c r="GE181" s="21" t="str">
        <f t="shared" si="804"/>
        <v xml:space="preserve">for entrepreneurs(1),  </v>
      </c>
      <c r="GF181" s="21" t="str">
        <f t="shared" si="805"/>
        <v xml:space="preserve">plastic processing(1,6.25), interaction(1,6.25), for entrepreneurs(1,6.25),  </v>
      </c>
      <c r="GG181" s="21" t="str">
        <f t="shared" si="770"/>
        <v xml:space="preserve">plastic processing(6.25),interaction(6.25),for entrepreneurs(6.25), </v>
      </c>
      <c r="GH181" s="21" t="str">
        <f t="shared" ref="GH181" si="1599">IF(GH79="",GH182,$C181&amp;" "&amp;GH79&amp;CHAR(10)&amp;GH182)</f>
        <v xml:space="preserve"> </v>
      </c>
      <c r="GI181" s="21" t="str">
        <f t="shared" si="807"/>
        <v xml:space="preserve">functions(1,25), interaction(1,25),  </v>
      </c>
      <c r="GJ181" s="21" t="str">
        <f t="shared" ref="GJ181" si="1600">IF(GJ79="",GJ182,$C181&amp;" "&amp;GJ79&amp;CHAR(10)&amp;GJ182)</f>
        <v xml:space="preserve">functions 25
interaction 25
 </v>
      </c>
      <c r="GK181" s="21" t="str">
        <f t="shared" si="809"/>
        <v xml:space="preserve">for entrepreneurs(1),  </v>
      </c>
      <c r="GL181" s="21" t="str">
        <f t="shared" si="810"/>
        <v xml:space="preserve">for entrepreneurs(1,6.25),  </v>
      </c>
      <c r="GM181" s="21" t="str">
        <f t="shared" si="770"/>
        <v xml:space="preserve">for entrepreneurs(6.25), </v>
      </c>
      <c r="GN181" s="21" t="str">
        <f t="shared" ref="GN181" si="1601">IF(GN79="",GN182,$C181&amp;" "&amp;GN79&amp;CHAR(10)&amp;GN182)</f>
        <v xml:space="preserve"> </v>
      </c>
      <c r="GO181" s="21" t="str">
        <f t="shared" si="812"/>
        <v xml:space="preserve">VR&amp;AR(1,25), aesthetics(1,25), functions(1,25), interaction(1,50),  </v>
      </c>
      <c r="GP181" s="21" t="str">
        <f t="shared" ref="GP181" si="1602">IF(GP79="",GP182,$C181&amp;" "&amp;GP79&amp;CHAR(10)&amp;GP182)</f>
        <v xml:space="preserve">VR&amp;AR 25
aesthetics 25
functions 25
interaction 50
 </v>
      </c>
      <c r="GQ181" s="21" t="str">
        <f t="shared" si="814"/>
        <v xml:space="preserve">for entrepreneurs(1),  </v>
      </c>
      <c r="GR181" s="21" t="str">
        <f t="shared" si="815"/>
        <v xml:space="preserve">for entrepreneurs(1,6.25),  </v>
      </c>
      <c r="GS181" s="21" t="str">
        <f t="shared" si="770"/>
        <v xml:space="preserve">for entrepreneurs(6.25), </v>
      </c>
      <c r="GT181" s="21" t="str">
        <f t="shared" ref="GT181" si="1603">IF(GT79="",GT182,$C181&amp;" "&amp;GT79&amp;CHAR(10)&amp;GT182)</f>
        <v xml:space="preserve"> </v>
      </c>
      <c r="GU181" s="21" t="str">
        <f t="shared" si="817"/>
        <v xml:space="preserve"> </v>
      </c>
      <c r="GV181" s="21" t="str">
        <f t="shared" ref="GV181" si="1604">IF(GV79="",GV182,$C181&amp;" "&amp;GV79&amp;CHAR(10)&amp;GV182)</f>
        <v xml:space="preserve"> </v>
      </c>
      <c r="GW181" s="21" t="str">
        <f t="shared" si="819"/>
        <v xml:space="preserve">electronics(1),  </v>
      </c>
      <c r="GX181" s="21" t="str">
        <f t="shared" si="820"/>
        <v xml:space="preserve"> </v>
      </c>
      <c r="GY181" s="21" t="str">
        <f t="shared" si="770"/>
        <v xml:space="preserve"> </v>
      </c>
      <c r="GZ181" s="21" t="str">
        <f t="shared" ref="GZ181" si="1605">IF(GZ79="",GZ182,$C181&amp;" "&amp;GZ79&amp;CHAR(10)&amp;GZ182)</f>
        <v xml:space="preserve"> </v>
      </c>
      <c r="HA181" s="21" t="str">
        <f t="shared" si="822"/>
        <v xml:space="preserve"> </v>
      </c>
      <c r="HB181" s="21" t="str">
        <f t="shared" ref="HB181" si="1606">IF(HB79="",HB182,$C181&amp;" "&amp;HB79&amp;CHAR(10)&amp;HB182)</f>
        <v xml:space="preserve"> </v>
      </c>
      <c r="HC181" s="21" t="str">
        <f t="shared" si="824"/>
        <v xml:space="preserve">VR&amp;AR(2), plastic processing(2), electronics(2), aesthetics(2), interaction(2),  </v>
      </c>
      <c r="HD181" s="21" t="str">
        <f t="shared" si="825"/>
        <v xml:space="preserve">start-up with customers(1,6.25), for basic literacy(1,6.25),  </v>
      </c>
      <c r="HE181" s="21" t="str">
        <f t="shared" si="826"/>
        <v xml:space="preserve">start-up with customers(6.25),for basic literacy(6.25), </v>
      </c>
      <c r="HF181" s="21" t="str">
        <f t="shared" ref="HF181" si="1607">IF(HF79="",HF182,$C181&amp;" "&amp;HF79&amp;CHAR(10)&amp;HF182)</f>
        <v xml:space="preserve"> </v>
      </c>
      <c r="HG181" s="21" t="str">
        <f t="shared" si="828"/>
        <v xml:space="preserve"> </v>
      </c>
      <c r="HH181" s="21" t="str">
        <f t="shared" ref="HH181" si="1608">IF(HH79="",HH182,$C181&amp;" "&amp;HH79&amp;CHAR(10)&amp;HH182)</f>
        <v xml:space="preserve"> </v>
      </c>
      <c r="HI181" s="21" t="str">
        <f t="shared" si="830"/>
        <v xml:space="preserve">plastic processing(2), electronics(2), aesthetics(2), functions(2), interaction(2),  </v>
      </c>
      <c r="HJ181" s="21" t="str">
        <f t="shared" si="831"/>
        <v xml:space="preserve">start-up with customers(1,6.25),  </v>
      </c>
      <c r="HK181" s="21" t="str">
        <f t="shared" si="826"/>
        <v xml:space="preserve">start-up with customers(6.25), </v>
      </c>
      <c r="HL181" s="21" t="str">
        <f t="shared" ref="HL181" si="1609">IF(HL79="",HL182,$C181&amp;" "&amp;HL79&amp;CHAR(10)&amp;HL182)</f>
        <v xml:space="preserve"> </v>
      </c>
      <c r="HM181" s="21" t="str">
        <f t="shared" si="833"/>
        <v xml:space="preserve"> </v>
      </c>
      <c r="HN181" s="21" t="str">
        <f t="shared" ref="HN181" si="1610">IF(HN79="",HN182,$C181&amp;" "&amp;HN79&amp;CHAR(10)&amp;HN182)</f>
        <v xml:space="preserve"> </v>
      </c>
      <c r="HO181" s="21" t="str">
        <f t="shared" si="835"/>
        <v xml:space="preserve">wood processing(3), plastic processing(3), electronics(3), aesthetics(2), interaction(2),  </v>
      </c>
      <c r="HP181" s="21" t="str">
        <f t="shared" si="836"/>
        <v xml:space="preserve"> </v>
      </c>
      <c r="HQ181" s="47" t="str">
        <f t="shared" si="826"/>
        <v xml:space="preserve"> </v>
      </c>
      <c r="HR181" s="47" t="str">
        <f t="shared" ref="HR181:HW181" si="1611">IF(HR79="",HR182,$C181&amp;"("&amp;HR79&amp;"),"&amp;HR182)</f>
        <v xml:space="preserve">wood processing(1),aesthetics(1), </v>
      </c>
      <c r="HS181" s="47" t="str">
        <f t="shared" si="1611"/>
        <v xml:space="preserve"> </v>
      </c>
      <c r="HT181" s="47" t="str">
        <f t="shared" si="1611"/>
        <v xml:space="preserve"> </v>
      </c>
      <c r="HU181" s="47" t="str">
        <f t="shared" si="1611"/>
        <v xml:space="preserve">VR&amp;AR(3),wood processing(3),metal processing(2),plastic processing(2),electronics(2),fabric(2),aesthetics(2),interaction(2),start-up with mvp(1), </v>
      </c>
      <c r="HV181" s="47" t="str">
        <f t="shared" si="1611"/>
        <v xml:space="preserve"> </v>
      </c>
      <c r="HW181" s="47" t="str">
        <f t="shared" si="1611"/>
        <v xml:space="preserve"> </v>
      </c>
      <c r="HX181" s="47" t="str">
        <f t="shared" ref="HX181:IU181" si="1612">IF(HX79="",HX182,$C181&amp;"("&amp;HX79&amp;"),"&amp;HX182)</f>
        <v xml:space="preserve">VR&amp;AR(1),wood processing(1),metal processing(1),plastic processing(1),electronics(1),aesthetics(1),functions(1),interaction(1), </v>
      </c>
      <c r="HY181" s="47" t="str">
        <f t="shared" si="1612"/>
        <v xml:space="preserve">biz enhancement(1), </v>
      </c>
      <c r="HZ181" s="47" t="str">
        <f t="shared" si="1612"/>
        <v xml:space="preserve">biz enhancement(100), </v>
      </c>
      <c r="IA181" s="47" t="str">
        <f t="shared" si="1612"/>
        <v xml:space="preserve"> </v>
      </c>
      <c r="IB181" s="47" t="str">
        <f t="shared" si="1612"/>
        <v xml:space="preserve">electronics(1),functions(1), </v>
      </c>
      <c r="IC181" s="47" t="str">
        <f t="shared" si="1612"/>
        <v xml:space="preserve">electronics(6.25),functions(6.25), </v>
      </c>
      <c r="ID181" s="47" t="str">
        <f t="shared" si="1612"/>
        <v xml:space="preserve"> </v>
      </c>
      <c r="IE181" s="47" t="str">
        <f t="shared" si="1612"/>
        <v xml:space="preserve"> </v>
      </c>
      <c r="IF181" s="47" t="str">
        <f t="shared" si="1612"/>
        <v xml:space="preserve"> </v>
      </c>
      <c r="IG181" s="47" t="str">
        <f t="shared" si="1612"/>
        <v xml:space="preserve"> </v>
      </c>
      <c r="IH181" s="47" t="str">
        <f t="shared" si="1612"/>
        <v xml:space="preserve"> </v>
      </c>
      <c r="II181" s="47" t="str">
        <f t="shared" si="1612"/>
        <v xml:space="preserve"> </v>
      </c>
      <c r="IJ181" s="47" t="str">
        <f t="shared" si="1612"/>
        <v xml:space="preserve"> </v>
      </c>
      <c r="IK181" s="47" t="str">
        <f t="shared" si="1612"/>
        <v xml:space="preserve">wood processing(1),metal processing(1),functions(1),safety(1), </v>
      </c>
      <c r="IL181" s="47" t="str">
        <f t="shared" si="1612"/>
        <v xml:space="preserve">wood processing(25),metal processing(25),functions(25),safety(25), </v>
      </c>
      <c r="IM181" s="47" t="str">
        <f t="shared" si="1612"/>
        <v xml:space="preserve">wood processing(2),metal processing(2),functions(2),safety(2), </v>
      </c>
      <c r="IN181" s="47" t="str">
        <f t="shared" si="1612"/>
        <v xml:space="preserve">wood processing(1),metal processing(1),functions(1),safety(1),interaction(1), </v>
      </c>
      <c r="IO181" s="47" t="str">
        <f t="shared" si="1612"/>
        <v xml:space="preserve">wood processing(6.25),metal processing(6.25),functions(6.25),safety(6.25),interaction(6.25), </v>
      </c>
      <c r="IP181" s="57" t="str">
        <f t="shared" si="1612"/>
        <v xml:space="preserve"> </v>
      </c>
      <c r="IQ181" s="47" t="str">
        <f t="shared" si="1612"/>
        <v xml:space="preserve"> </v>
      </c>
      <c r="IR181" s="47" t="str">
        <f t="shared" si="1612"/>
        <v xml:space="preserve"> </v>
      </c>
      <c r="IS181" s="47" t="str">
        <f t="shared" si="1612"/>
        <v xml:space="preserve"> </v>
      </c>
      <c r="IT181" s="47" t="str">
        <f t="shared" si="1612"/>
        <v xml:space="preserve"> </v>
      </c>
      <c r="IU181" s="47" t="str">
        <f t="shared" si="1612"/>
        <v xml:space="preserve"> </v>
      </c>
      <c r="IV181" s="57" t="str">
        <f t="shared" ref="IV181:LG181" si="1613">IF(IV79="",IV182,$C181&amp;"("&amp;IV79&amp;"),"&amp;IV182)</f>
        <v xml:space="preserve"> </v>
      </c>
      <c r="IW181" s="47" t="str">
        <f t="shared" si="1613"/>
        <v xml:space="preserve"> </v>
      </c>
      <c r="IX181" s="47" t="str">
        <f t="shared" si="1613"/>
        <v xml:space="preserve"> </v>
      </c>
      <c r="IY181" s="47" t="str">
        <f t="shared" si="1613"/>
        <v xml:space="preserve"> </v>
      </c>
      <c r="IZ181" s="47" t="str">
        <f t="shared" si="1613"/>
        <v xml:space="preserve"> </v>
      </c>
      <c r="JA181" s="47" t="str">
        <f t="shared" si="1613"/>
        <v xml:space="preserve"> </v>
      </c>
      <c r="JB181" s="47" t="str">
        <f t="shared" si="1613"/>
        <v xml:space="preserve"> </v>
      </c>
      <c r="JC181" s="47" t="str">
        <f t="shared" si="1613"/>
        <v xml:space="preserve"> </v>
      </c>
      <c r="JD181" s="47" t="str">
        <f t="shared" si="1613"/>
        <v xml:space="preserve"> </v>
      </c>
      <c r="JE181" s="47" t="str">
        <f t="shared" si="1613"/>
        <v xml:space="preserve"> </v>
      </c>
      <c r="JF181" s="47" t="str">
        <f t="shared" si="1613"/>
        <v xml:space="preserve">VR&amp;AR(1),wood processing(1),metal processing(1),plastic processing(1),electronics(1),fabric(1),aesthetics(1),functions(1),safety(1),interaction(1), </v>
      </c>
      <c r="JG181" s="47" t="str">
        <f t="shared" si="1613"/>
        <v xml:space="preserve">VR&amp;AR(6.25),wood processing(6.25),metal processing(6.25),plastic processing(6.25),electronics(6.25),fabric(6.25),aesthetics(6.25),functions(6.25),safety(6.25),interaction(6.25), </v>
      </c>
      <c r="JH181" s="47" t="str">
        <f t="shared" si="1613"/>
        <v xml:space="preserve"> </v>
      </c>
      <c r="JI181" s="47" t="str">
        <f t="shared" si="1613"/>
        <v xml:space="preserve"> </v>
      </c>
      <c r="JJ181" s="47" t="str">
        <f t="shared" si="1613"/>
        <v xml:space="preserve"> </v>
      </c>
      <c r="JK181" s="47" t="str">
        <f t="shared" si="1613"/>
        <v xml:space="preserve">social project(1),social innovation(1),non-profit biz(1),biz project(1),biz enhancement(1),job creation(1),business(1),start-up(1),start-up with mvp(1),start-up with customers(1),for basic literacy(1),for the elites(1),for entrepreneurs(1), </v>
      </c>
      <c r="JL181" s="47" t="str">
        <f t="shared" si="1613"/>
        <v xml:space="preserve"> </v>
      </c>
      <c r="JM181" s="47" t="str">
        <f t="shared" si="1613"/>
        <v xml:space="preserve"> </v>
      </c>
      <c r="JN181" s="47" t="str">
        <f t="shared" si="1613"/>
        <v xml:space="preserve"> </v>
      </c>
      <c r="JO181" s="47" t="str">
        <f t="shared" si="1613"/>
        <v xml:space="preserve"> </v>
      </c>
      <c r="JP181" s="47" t="str">
        <f t="shared" si="1613"/>
        <v xml:space="preserve"> </v>
      </c>
      <c r="JQ181" s="47" t="str">
        <f t="shared" si="1613"/>
        <v xml:space="preserve">electronics(1),aesthetics(1),interaction(1),social project(1),social innovation(1),non-profit biz(1),biz project(1),biz enhancement(1),job creation(1),business(1),start-up(1),start-up with mvp(1),start-up with customers(1),for basic literacy(1),for the elites(1),for entrepreneurs(1), </v>
      </c>
      <c r="JR181" s="47" t="str">
        <f t="shared" si="1613"/>
        <v xml:space="preserve"> </v>
      </c>
      <c r="JS181" s="47" t="str">
        <f t="shared" si="1613"/>
        <v xml:space="preserve"> </v>
      </c>
      <c r="JT181" s="47" t="str">
        <f t="shared" si="1613"/>
        <v xml:space="preserve"> </v>
      </c>
      <c r="JU181" s="47" t="str">
        <f t="shared" si="1613"/>
        <v xml:space="preserve"> </v>
      </c>
      <c r="JV181" s="47" t="str">
        <f t="shared" si="1613"/>
        <v xml:space="preserve"> </v>
      </c>
      <c r="JW181" s="47" t="str">
        <f t="shared" si="1613"/>
        <v xml:space="preserve">social project(2),social innovation(1),non-profit biz(1),biz project(2),biz enhancement(2),job creation(1),business(1),start-up(2),start-up with mvp(1),start-up with customers(1),for basic literacy(2),for the elites(1),for entrepreneurs(1), </v>
      </c>
      <c r="JX181" s="47" t="str">
        <f t="shared" si="1613"/>
        <v xml:space="preserve"> </v>
      </c>
      <c r="JY181" s="47" t="str">
        <f t="shared" si="1613"/>
        <v xml:space="preserve"> </v>
      </c>
      <c r="JZ181" s="47" t="str">
        <f t="shared" si="1613"/>
        <v xml:space="preserve">social project(2), </v>
      </c>
      <c r="KA181" s="47" t="str">
        <f t="shared" si="1613"/>
        <v xml:space="preserve"> </v>
      </c>
      <c r="KB181" s="47" t="str">
        <f t="shared" si="1613"/>
        <v xml:space="preserve"> </v>
      </c>
      <c r="KC181" s="47" t="str">
        <f t="shared" si="1613"/>
        <v xml:space="preserve">electronics(1),aesthetics(1),social project(3),social innovation(1),non-profit biz(1),biz project(2),biz enhancement(2),job creation(1),business(1),start-up(2),start-up with mvp(1),start-up with customers(1),for basic literacy(2),for the elites(1),for entrepreneurs(1), </v>
      </c>
      <c r="KD181" s="47" t="str">
        <f t="shared" si="1613"/>
        <v xml:space="preserve"> </v>
      </c>
      <c r="KE181" s="47" t="str">
        <f t="shared" si="1613"/>
        <v xml:space="preserve"> </v>
      </c>
      <c r="KF181" s="47" t="str">
        <f t="shared" si="1613"/>
        <v xml:space="preserve"> </v>
      </c>
      <c r="KG181" s="47" t="str">
        <f t="shared" si="1613"/>
        <v xml:space="preserve"> </v>
      </c>
      <c r="KH181" s="47" t="str">
        <f t="shared" si="1613"/>
        <v xml:space="preserve"> </v>
      </c>
      <c r="KI181" s="47" t="str">
        <f t="shared" si="1613"/>
        <v xml:space="preserve"> </v>
      </c>
      <c r="KJ181" s="47" t="str">
        <f t="shared" si="1613"/>
        <v xml:space="preserve"> </v>
      </c>
      <c r="KK181" s="47" t="str">
        <f t="shared" si="1613"/>
        <v xml:space="preserve"> </v>
      </c>
      <c r="KL181" s="57" t="str">
        <f t="shared" si="1613"/>
        <v xml:space="preserve"> </v>
      </c>
      <c r="KM181" s="47" t="str">
        <f t="shared" si="1613"/>
        <v xml:space="preserve"> </v>
      </c>
      <c r="KN181" s="47" t="str">
        <f t="shared" si="1613"/>
        <v xml:space="preserve"> </v>
      </c>
      <c r="KO181" s="47" t="str">
        <f t="shared" si="1613"/>
        <v xml:space="preserve"> </v>
      </c>
      <c r="KP181" s="47" t="str">
        <f t="shared" si="1613"/>
        <v xml:space="preserve"> </v>
      </c>
      <c r="KQ181" s="47" t="str">
        <f t="shared" si="1613"/>
        <v xml:space="preserve"> </v>
      </c>
      <c r="KR181" s="57" t="str">
        <f t="shared" si="1613"/>
        <v xml:space="preserve"> </v>
      </c>
      <c r="KS181" s="47" t="str">
        <f t="shared" si="1613"/>
        <v xml:space="preserve"> </v>
      </c>
      <c r="KT181" s="47" t="str">
        <f t="shared" si="1613"/>
        <v xml:space="preserve"> </v>
      </c>
      <c r="KU181" s="47" t="str">
        <f t="shared" si="1613"/>
        <v xml:space="preserve"> </v>
      </c>
      <c r="KV181" s="47" t="str">
        <f t="shared" si="1613"/>
        <v xml:space="preserve"> </v>
      </c>
      <c r="KW181" s="47" t="str">
        <f t="shared" si="1613"/>
        <v xml:space="preserve"> </v>
      </c>
      <c r="KX181" s="57" t="str">
        <f t="shared" si="1613"/>
        <v xml:space="preserve"> </v>
      </c>
      <c r="KY181" s="47" t="str">
        <f t="shared" si="1613"/>
        <v xml:space="preserve"> </v>
      </c>
      <c r="KZ181" s="47" t="str">
        <f t="shared" si="1613"/>
        <v xml:space="preserve"> </v>
      </c>
      <c r="LA181" s="47" t="str">
        <f t="shared" si="1613"/>
        <v xml:space="preserve"> </v>
      </c>
      <c r="LB181" s="47" t="str">
        <f t="shared" si="1613"/>
        <v xml:space="preserve"> </v>
      </c>
      <c r="LC181" s="47" t="str">
        <f t="shared" si="1613"/>
        <v xml:space="preserve"> </v>
      </c>
      <c r="LD181" s="57" t="str">
        <f t="shared" si="1613"/>
        <v xml:space="preserve"> </v>
      </c>
      <c r="LE181" s="47" t="str">
        <f t="shared" si="1613"/>
        <v xml:space="preserve"> </v>
      </c>
      <c r="LF181" s="47" t="str">
        <f t="shared" si="1613"/>
        <v xml:space="preserve"> </v>
      </c>
      <c r="LG181" s="47" t="str">
        <f t="shared" si="1613"/>
        <v xml:space="preserve"> </v>
      </c>
      <c r="LH181" s="47" t="str">
        <f t="shared" ref="LH181:NM181" si="1614">IF(LH79="",LH182,$C181&amp;"("&amp;LH79&amp;"),"&amp;LH182)</f>
        <v xml:space="preserve"> </v>
      </c>
      <c r="LI181" s="47" t="str">
        <f t="shared" si="1614"/>
        <v xml:space="preserve"> </v>
      </c>
      <c r="LJ181" s="57" t="str">
        <f t="shared" si="1614"/>
        <v xml:space="preserve"> </v>
      </c>
      <c r="LK181" s="47" t="str">
        <f t="shared" si="1614"/>
        <v xml:space="preserve"> </v>
      </c>
      <c r="LL181" s="47" t="str">
        <f t="shared" si="1614"/>
        <v xml:space="preserve"> </v>
      </c>
      <c r="LM181" s="47" t="str">
        <f t="shared" si="1614"/>
        <v xml:space="preserve"> </v>
      </c>
      <c r="LN181" s="47" t="str">
        <f t="shared" si="1614"/>
        <v xml:space="preserve"> </v>
      </c>
      <c r="LO181" s="47" t="str">
        <f t="shared" si="1614"/>
        <v xml:space="preserve"> </v>
      </c>
      <c r="LP181" s="57" t="str">
        <f t="shared" si="1614"/>
        <v xml:space="preserve"> </v>
      </c>
      <c r="LQ181" s="47" t="str">
        <f t="shared" si="1614"/>
        <v xml:space="preserve"> </v>
      </c>
      <c r="LR181" s="47" t="str">
        <f t="shared" si="1614"/>
        <v xml:space="preserve"> </v>
      </c>
      <c r="LS181" s="47" t="str">
        <f t="shared" si="1614"/>
        <v xml:space="preserve"> </v>
      </c>
      <c r="LT181" s="47" t="str">
        <f t="shared" si="1614"/>
        <v xml:space="preserve"> </v>
      </c>
      <c r="LU181" s="47" t="str">
        <f t="shared" si="1614"/>
        <v xml:space="preserve"> </v>
      </c>
      <c r="LV181" s="57" t="str">
        <f t="shared" si="1614"/>
        <v xml:space="preserve"> </v>
      </c>
      <c r="LW181" s="47" t="str">
        <f t="shared" si="1614"/>
        <v xml:space="preserve"> </v>
      </c>
      <c r="LX181" s="47" t="str">
        <f t="shared" si="1614"/>
        <v xml:space="preserve"> </v>
      </c>
      <c r="LY181" s="47" t="str">
        <f t="shared" si="1614"/>
        <v xml:space="preserve"> </v>
      </c>
      <c r="LZ181" s="47" t="str">
        <f t="shared" si="1614"/>
        <v xml:space="preserve"> </v>
      </c>
      <c r="MA181" s="47" t="str">
        <f t="shared" si="1614"/>
        <v xml:space="preserve"> </v>
      </c>
      <c r="MB181" s="57" t="str">
        <f t="shared" si="1614"/>
        <v xml:space="preserve"> </v>
      </c>
      <c r="MC181" s="47" t="str">
        <f t="shared" si="1614"/>
        <v xml:space="preserve"> </v>
      </c>
      <c r="MD181" s="47" t="str">
        <f t="shared" si="1614"/>
        <v xml:space="preserve"> </v>
      </c>
      <c r="ME181" s="47" t="str">
        <f t="shared" si="1614"/>
        <v xml:space="preserve"> </v>
      </c>
      <c r="MF181" s="47" t="str">
        <f t="shared" si="1614"/>
        <v xml:space="preserve"> </v>
      </c>
      <c r="MG181" s="47" t="str">
        <f t="shared" si="1614"/>
        <v xml:space="preserve"> </v>
      </c>
      <c r="MH181" s="57" t="str">
        <f t="shared" si="1614"/>
        <v xml:space="preserve"> </v>
      </c>
      <c r="MI181" s="47" t="str">
        <f t="shared" si="1614"/>
        <v xml:space="preserve"> </v>
      </c>
      <c r="MJ181" s="47" t="str">
        <f t="shared" si="1614"/>
        <v xml:space="preserve"> </v>
      </c>
      <c r="MK181" s="47" t="str">
        <f t="shared" si="1614"/>
        <v xml:space="preserve"> </v>
      </c>
      <c r="ML181" s="47" t="str">
        <f t="shared" si="1614"/>
        <v xml:space="preserve"> </v>
      </c>
      <c r="MM181" s="47" t="str">
        <f t="shared" si="1614"/>
        <v xml:space="preserve"> </v>
      </c>
      <c r="MN181" s="57" t="str">
        <f t="shared" si="1614"/>
        <v xml:space="preserve"> </v>
      </c>
      <c r="MO181" s="47" t="str">
        <f t="shared" si="1614"/>
        <v xml:space="preserve"> </v>
      </c>
      <c r="MP181" s="47" t="str">
        <f t="shared" si="1614"/>
        <v xml:space="preserve"> </v>
      </c>
      <c r="MQ181" s="47" t="str">
        <f t="shared" si="1614"/>
        <v xml:space="preserve"> </v>
      </c>
      <c r="MR181" s="47" t="str">
        <f t="shared" si="1614"/>
        <v xml:space="preserve"> </v>
      </c>
      <c r="MS181" s="47" t="str">
        <f t="shared" si="1614"/>
        <v xml:space="preserve"> </v>
      </c>
      <c r="MT181" s="57" t="str">
        <f t="shared" si="1614"/>
        <v xml:space="preserve"> </v>
      </c>
      <c r="MU181" s="47" t="str">
        <f t="shared" si="1614"/>
        <v xml:space="preserve"> </v>
      </c>
      <c r="MV181" s="47" t="str">
        <f t="shared" si="1614"/>
        <v xml:space="preserve"> </v>
      </c>
      <c r="MW181" s="47" t="str">
        <f t="shared" si="1614"/>
        <v xml:space="preserve"> </v>
      </c>
      <c r="MX181" s="47" t="str">
        <f t="shared" si="1614"/>
        <v xml:space="preserve"> </v>
      </c>
      <c r="MY181" s="47" t="str">
        <f t="shared" si="1614"/>
        <v xml:space="preserve"> </v>
      </c>
      <c r="MZ181" s="57" t="str">
        <f t="shared" si="1614"/>
        <v xml:space="preserve"> </v>
      </c>
      <c r="NA181" s="47" t="str">
        <f t="shared" si="1614"/>
        <v xml:space="preserve"> </v>
      </c>
      <c r="NB181" s="47" t="str">
        <f t="shared" si="1614"/>
        <v xml:space="preserve"> </v>
      </c>
      <c r="NC181" s="47" t="str">
        <f t="shared" si="1614"/>
        <v xml:space="preserve"> </v>
      </c>
      <c r="ND181" s="47" t="str">
        <f t="shared" si="1614"/>
        <v xml:space="preserve"> </v>
      </c>
      <c r="NE181" s="47" t="str">
        <f t="shared" si="1614"/>
        <v xml:space="preserve"> </v>
      </c>
      <c r="NF181" s="57" t="str">
        <f t="shared" si="1614"/>
        <v xml:space="preserve"> </v>
      </c>
      <c r="NG181" s="47" t="str">
        <f t="shared" si="1614"/>
        <v xml:space="preserve"> </v>
      </c>
      <c r="NH181" s="47" t="str">
        <f t="shared" si="1614"/>
        <v xml:space="preserve"> </v>
      </c>
      <c r="NI181" s="47" t="str">
        <f t="shared" si="1614"/>
        <v xml:space="preserve"> </v>
      </c>
      <c r="NJ181" s="47" t="str">
        <f t="shared" si="1614"/>
        <v xml:space="preserve"> </v>
      </c>
      <c r="NK181" s="47" t="str">
        <f t="shared" si="1614"/>
        <v xml:space="preserve"> </v>
      </c>
      <c r="NL181" s="57" t="str">
        <f t="shared" si="1614"/>
        <v xml:space="preserve"> </v>
      </c>
      <c r="NM181" s="47" t="str">
        <f t="shared" si="1614"/>
        <v xml:space="preserve"> </v>
      </c>
    </row>
    <row r="182" spans="3:377" ht="15.75" customHeight="1">
      <c r="C182" s="7" t="str">
        <f t="shared" si="841"/>
        <v>wood processing</v>
      </c>
      <c r="D182" s="21" t="str">
        <f t="shared" si="651"/>
        <v xml:space="preserve"> </v>
      </c>
      <c r="E182" s="21" t="str">
        <f t="shared" si="842"/>
        <v xml:space="preserve"> </v>
      </c>
      <c r="F182" s="21" t="str">
        <f t="shared" si="651"/>
        <v xml:space="preserve"> </v>
      </c>
      <c r="G182" s="21" t="str">
        <f t="shared" si="843"/>
        <v xml:space="preserve"> </v>
      </c>
      <c r="H182" s="21" t="str">
        <f t="shared" si="844"/>
        <v xml:space="preserve"> </v>
      </c>
      <c r="I182" s="21" t="str">
        <f t="shared" ref="I182" si="1615">IF(I80="",I183,$C182&amp;"("&amp;I80&amp;"),"&amp;I183)</f>
        <v xml:space="preserve"> </v>
      </c>
      <c r="J182" s="21" t="str">
        <f t="shared" ref="J182" si="1616">IF(J80="",J183,$C182&amp;" "&amp;J80&amp;CHAR(10)&amp;J183)</f>
        <v xml:space="preserve">interaction 1
 </v>
      </c>
      <c r="K182" s="21" t="str">
        <f t="shared" si="654"/>
        <v xml:space="preserve"> </v>
      </c>
      <c r="L182" s="21" t="str">
        <f t="shared" ref="L182" si="1617">IF(L80="",L183,$C182&amp;" "&amp;L80&amp;CHAR(10)&amp;L183)</f>
        <v xml:space="preserve"> </v>
      </c>
      <c r="M182" s="21" t="str">
        <f t="shared" si="656"/>
        <v xml:space="preserve">social innovation(1), non-profit biz(1),  </v>
      </c>
      <c r="N182" s="21" t="str">
        <f t="shared" si="657"/>
        <v xml:space="preserve"> </v>
      </c>
      <c r="O182" s="21" t="str">
        <f t="shared" si="658"/>
        <v xml:space="preserve"> </v>
      </c>
      <c r="P182" s="21" t="str">
        <f t="shared" ref="P182" si="1618">IF(P80="",P183,$C182&amp;" "&amp;P80&amp;CHAR(10)&amp;P183)</f>
        <v xml:space="preserve">biz project 1
 </v>
      </c>
      <c r="Q182" s="21" t="str">
        <f t="shared" si="660"/>
        <v xml:space="preserve"> </v>
      </c>
      <c r="R182" s="21" t="str">
        <f t="shared" ref="R182" si="1619">IF(R80="",R183,$C182&amp;" "&amp;R80&amp;CHAR(10)&amp;R183)</f>
        <v xml:space="preserve"> </v>
      </c>
      <c r="S182" s="21" t="str">
        <f t="shared" si="662"/>
        <v xml:space="preserve">biz enhancement(1), business(1), start-up(1),  </v>
      </c>
      <c r="T182" s="21" t="str">
        <f t="shared" si="663"/>
        <v xml:space="preserve"> </v>
      </c>
      <c r="U182" s="21" t="str">
        <f t="shared" si="658"/>
        <v xml:space="preserve"> </v>
      </c>
      <c r="V182" s="21" t="str">
        <f t="shared" ref="V182" si="1620">IF(V80="",V183,$C182&amp;" "&amp;V80&amp;CHAR(10)&amp;V183)</f>
        <v xml:space="preserve"> </v>
      </c>
      <c r="W182" s="21" t="str">
        <f t="shared" si="665"/>
        <v xml:space="preserve"> </v>
      </c>
      <c r="X182" s="21" t="str">
        <f t="shared" ref="X182" si="1621">IF(X80="",X183,$C182&amp;" "&amp;X80&amp;CHAR(10)&amp;X183)</f>
        <v xml:space="preserve"> </v>
      </c>
      <c r="Y182" s="21" t="str">
        <f t="shared" si="667"/>
        <v xml:space="preserve">biz project(1), biz enhancement(1), job creation(1), business(1),  </v>
      </c>
      <c r="Z182" s="21" t="str">
        <f t="shared" si="668"/>
        <v xml:space="preserve"> </v>
      </c>
      <c r="AA182" s="21" t="str">
        <f t="shared" si="658"/>
        <v xml:space="preserve"> </v>
      </c>
      <c r="AB182" s="21" t="str">
        <f t="shared" ref="AB182" si="1622">IF(AB80="",AB183,$C182&amp;" "&amp;AB80&amp;CHAR(10)&amp;AB183)</f>
        <v xml:space="preserve"> </v>
      </c>
      <c r="AC182" s="21" t="str">
        <f t="shared" si="670"/>
        <v xml:space="preserve"> </v>
      </c>
      <c r="AD182" s="21" t="str">
        <f t="shared" ref="AD182" si="1623">IF(AD80="",AD183,$C182&amp;" "&amp;AD80&amp;CHAR(10)&amp;AD183)</f>
        <v xml:space="preserve"> </v>
      </c>
      <c r="AE182" s="21" t="str">
        <f t="shared" si="672"/>
        <v xml:space="preserve">social project(1), social innovation(1), non-profit biz(1),  </v>
      </c>
      <c r="AF182" s="21" t="str">
        <f t="shared" si="673"/>
        <v xml:space="preserve"> </v>
      </c>
      <c r="AG182" s="21" t="str">
        <f t="shared" si="658"/>
        <v xml:space="preserve"> </v>
      </c>
      <c r="AH182" s="21" t="str">
        <f t="shared" ref="AH182" si="1624">IF(AH80="",AH183,$C182&amp;" "&amp;AH80&amp;CHAR(10)&amp;AH183)</f>
        <v xml:space="preserve"> </v>
      </c>
      <c r="AI182" s="21" t="str">
        <f t="shared" si="675"/>
        <v xml:space="preserve"> </v>
      </c>
      <c r="AJ182" s="21" t="str">
        <f t="shared" ref="AJ182" si="1625">IF(AJ80="",AJ183,$C182&amp;" "&amp;AJ80&amp;CHAR(10)&amp;AJ183)</f>
        <v xml:space="preserve"> </v>
      </c>
      <c r="AK182" s="21" t="str">
        <f t="shared" si="677"/>
        <v xml:space="preserve">social project(1), social innovation(1), non-profit biz(1),  </v>
      </c>
      <c r="AL182" s="21" t="str">
        <f t="shared" si="678"/>
        <v xml:space="preserve"> </v>
      </c>
      <c r="AM182" s="21" t="str">
        <f t="shared" si="658"/>
        <v xml:space="preserve"> </v>
      </c>
      <c r="AN182" s="21" t="str">
        <f t="shared" ref="AN182" si="1626">IF(AN80="",AN183,$C182&amp;" "&amp;AN80&amp;CHAR(10)&amp;AN183)</f>
        <v xml:space="preserve"> </v>
      </c>
      <c r="AO182" s="21" t="str">
        <f t="shared" si="680"/>
        <v xml:space="preserve"> </v>
      </c>
      <c r="AP182" s="21" t="str">
        <f t="shared" ref="AP182" si="1627">IF(AP80="",AP183,$C182&amp;" "&amp;AP80&amp;CHAR(10)&amp;AP183)</f>
        <v xml:space="preserve"> </v>
      </c>
      <c r="AQ182" s="21" t="str">
        <f t="shared" si="682"/>
        <v xml:space="preserve">start-up(1), start-up with mvp(1), start-up with customers(1),  </v>
      </c>
      <c r="AR182" s="21" t="str">
        <f t="shared" si="683"/>
        <v xml:space="preserve"> </v>
      </c>
      <c r="AS182" s="21" t="str">
        <f t="shared" si="658"/>
        <v xml:space="preserve"> </v>
      </c>
      <c r="AT182" s="21" t="str">
        <f t="shared" ref="AT182" si="1628">IF(AT80="",AT183,$C182&amp;" "&amp;AT80&amp;CHAR(10)&amp;AT183)</f>
        <v xml:space="preserve">social project 1
 </v>
      </c>
      <c r="AU182" s="21" t="str">
        <f t="shared" si="685"/>
        <v xml:space="preserve"> </v>
      </c>
      <c r="AV182" s="21" t="str">
        <f t="shared" ref="AV182" si="1629">IF(AV80="",AV183,$C182&amp;" "&amp;AV80&amp;CHAR(10)&amp;AV183)</f>
        <v xml:space="preserve"> </v>
      </c>
      <c r="AW182" s="21" t="str">
        <f t="shared" si="687"/>
        <v xml:space="preserve"> </v>
      </c>
      <c r="AX182" s="21" t="str">
        <f t="shared" si="688"/>
        <v xml:space="preserve"> </v>
      </c>
      <c r="AY182" s="21" t="str">
        <f t="shared" si="658"/>
        <v xml:space="preserve"> </v>
      </c>
      <c r="AZ182" s="21" t="str">
        <f t="shared" ref="AZ182" si="1630">IF(AZ80="",AZ183,$C182&amp;" "&amp;AZ80&amp;CHAR(10)&amp;AZ183)</f>
        <v xml:space="preserve"> </v>
      </c>
      <c r="BA182" s="21" t="str">
        <f t="shared" si="690"/>
        <v xml:space="preserve"> </v>
      </c>
      <c r="BB182" s="21" t="str">
        <f t="shared" ref="BB182" si="1631">IF(BB80="",BB183,$C182&amp;" "&amp;BB80&amp;CHAR(10)&amp;BB183)</f>
        <v xml:space="preserve"> </v>
      </c>
      <c r="BC182" s="21" t="str">
        <f t="shared" si="692"/>
        <v xml:space="preserve"> </v>
      </c>
      <c r="BD182" s="21" t="str">
        <f t="shared" si="693"/>
        <v xml:space="preserve"> </v>
      </c>
      <c r="BE182" s="21" t="str">
        <f t="shared" si="658"/>
        <v xml:space="preserve"> </v>
      </c>
      <c r="BF182" s="21" t="str">
        <f t="shared" ref="BF182" si="1632">IF(BF80="",BF183,$C182&amp;" "&amp;BF80&amp;CHAR(10)&amp;BF183)</f>
        <v xml:space="preserve">biz project 1
 </v>
      </c>
      <c r="BG182" s="21" t="str">
        <f t="shared" si="695"/>
        <v xml:space="preserve"> </v>
      </c>
      <c r="BH182" s="21" t="str">
        <f t="shared" ref="BH182" si="1633">IF(BH80="",BH183,$C182&amp;" "&amp;BH80&amp;CHAR(10)&amp;BH183)</f>
        <v xml:space="preserve"> </v>
      </c>
      <c r="BI182" s="21" t="str">
        <f t="shared" si="697"/>
        <v xml:space="preserve"> </v>
      </c>
      <c r="BJ182" s="21" t="str">
        <f t="shared" si="698"/>
        <v xml:space="preserve"> </v>
      </c>
      <c r="BK182" s="21" t="str">
        <f t="shared" si="658"/>
        <v xml:space="preserve"> </v>
      </c>
      <c r="BL182" s="21" t="str">
        <f t="shared" ref="BL182" si="1634">IF(BL80="",BL183,$C182&amp;" "&amp;BL80&amp;CHAR(10)&amp;BL183)</f>
        <v xml:space="preserve">biz enhancement 1
 </v>
      </c>
      <c r="BM182" s="21" t="str">
        <f t="shared" si="700"/>
        <v xml:space="preserve"> </v>
      </c>
      <c r="BN182" s="21" t="str">
        <f t="shared" ref="BN182" si="1635">IF(BN80="",BN183,$C182&amp;" "&amp;BN80&amp;CHAR(10)&amp;BN183)</f>
        <v xml:space="preserve"> </v>
      </c>
      <c r="BO182" s="21" t="str">
        <f t="shared" si="702"/>
        <v xml:space="preserve"> </v>
      </c>
      <c r="BP182" s="21" t="str">
        <f t="shared" si="703"/>
        <v xml:space="preserve"> </v>
      </c>
      <c r="BQ182" s="21" t="str">
        <f t="shared" si="658"/>
        <v xml:space="preserve"> </v>
      </c>
      <c r="BR182" s="21" t="str">
        <f t="shared" ref="BR182" si="1636">IF(BR80="",BR183,$C182&amp;" "&amp;BR80&amp;CHAR(10)&amp;BR183)</f>
        <v xml:space="preserve"> </v>
      </c>
      <c r="BS182" s="21" t="str">
        <f t="shared" si="705"/>
        <v xml:space="preserve"> </v>
      </c>
      <c r="BT182" s="21" t="str">
        <f t="shared" ref="BT182" si="1637">IF(BT80="",BT183,$C182&amp;" "&amp;BT80&amp;CHAR(10)&amp;BT183)</f>
        <v xml:space="preserve"> </v>
      </c>
      <c r="BU182" s="21" t="str">
        <f t="shared" si="707"/>
        <v xml:space="preserve"> </v>
      </c>
      <c r="BV182" s="21" t="str">
        <f t="shared" si="708"/>
        <v xml:space="preserve"> </v>
      </c>
      <c r="BW182" s="21" t="str">
        <f t="shared" si="658"/>
        <v xml:space="preserve"> </v>
      </c>
      <c r="BX182" s="21" t="str">
        <f t="shared" ref="BX182" si="1638">IF(BX80="",BX183,$C182&amp;" "&amp;BX80&amp;CHAR(10)&amp;BX183)</f>
        <v xml:space="preserve"> </v>
      </c>
      <c r="BY182" s="21" t="str">
        <f t="shared" si="710"/>
        <v xml:space="preserve"> </v>
      </c>
      <c r="BZ182" s="21" t="str">
        <f t="shared" ref="BZ182" si="1639">IF(BZ80="",BZ183,$C182&amp;" "&amp;BZ80&amp;CHAR(10)&amp;BZ183)</f>
        <v xml:space="preserve"> </v>
      </c>
      <c r="CA182" s="21" t="str">
        <f t="shared" si="712"/>
        <v xml:space="preserve"> </v>
      </c>
      <c r="CB182" s="21" t="str">
        <f t="shared" si="713"/>
        <v xml:space="preserve"> </v>
      </c>
      <c r="CC182" s="21" t="str">
        <f t="shared" si="714"/>
        <v xml:space="preserve"> </v>
      </c>
      <c r="CD182" s="21" t="str">
        <f t="shared" ref="CD182" si="1640">IF(CD80="",CD183,$C182&amp;" "&amp;CD80&amp;CHAR(10)&amp;CD183)</f>
        <v xml:space="preserve"> </v>
      </c>
      <c r="CE182" s="21" t="str">
        <f t="shared" si="716"/>
        <v xml:space="preserve"> </v>
      </c>
      <c r="CF182" s="21" t="str">
        <f t="shared" ref="CF182" si="1641">IF(CF80="",CF183,$C182&amp;" "&amp;CF80&amp;CHAR(10)&amp;CF183)</f>
        <v xml:space="preserve"> </v>
      </c>
      <c r="CG182" s="21" t="str">
        <f t="shared" si="718"/>
        <v xml:space="preserve">social project(1), biz project(1), for basic literacy(1), for the elites(1), for entrepreneurs(1),  </v>
      </c>
      <c r="CH182" s="21" t="str">
        <f t="shared" si="719"/>
        <v xml:space="preserve"> </v>
      </c>
      <c r="CI182" s="21" t="str">
        <f t="shared" si="714"/>
        <v xml:space="preserve"> </v>
      </c>
      <c r="CJ182" s="21" t="str">
        <f t="shared" ref="CJ182" si="1642">IF(CJ80="",CJ183,$C182&amp;" "&amp;CJ80&amp;CHAR(10)&amp;CJ183)</f>
        <v xml:space="preserve"> </v>
      </c>
      <c r="CK182" s="21" t="str">
        <f t="shared" si="721"/>
        <v xml:space="preserve"> </v>
      </c>
      <c r="CL182" s="21" t="str">
        <f t="shared" ref="CL182" si="1643">IF(CL80="",CL183,$C182&amp;" "&amp;CL80&amp;CHAR(10)&amp;CL183)</f>
        <v xml:space="preserve"> </v>
      </c>
      <c r="CM182" s="21" t="str">
        <f t="shared" si="723"/>
        <v xml:space="preserve"> </v>
      </c>
      <c r="CN182" s="21" t="str">
        <f t="shared" si="724"/>
        <v xml:space="preserve"> </v>
      </c>
      <c r="CO182" s="21" t="str">
        <f t="shared" si="714"/>
        <v xml:space="preserve"> </v>
      </c>
      <c r="CP182" s="21" t="str">
        <f t="shared" ref="CP182" si="1644">IF(CP80="",CP183,$C182&amp;" "&amp;CP80&amp;CHAR(10)&amp;CP183)</f>
        <v xml:space="preserve"> </v>
      </c>
      <c r="CQ182" s="21" t="str">
        <f t="shared" si="726"/>
        <v xml:space="preserve"> </v>
      </c>
      <c r="CR182" s="21" t="str">
        <f t="shared" ref="CR182" si="1645">IF(CR80="",CR183,$C182&amp;" "&amp;CR80&amp;CHAR(10)&amp;CR183)</f>
        <v xml:space="preserve"> </v>
      </c>
      <c r="CS182" s="21" t="str">
        <f t="shared" si="728"/>
        <v xml:space="preserve">wood processing(1), metal processing(1), plastic processing(1), electronics(1), fabric(1),  </v>
      </c>
      <c r="CT182" s="21" t="str">
        <f t="shared" si="729"/>
        <v xml:space="preserve"> </v>
      </c>
      <c r="CU182" s="21" t="str">
        <f t="shared" si="714"/>
        <v xml:space="preserve"> </v>
      </c>
      <c r="CV182" s="21" t="str">
        <f t="shared" ref="CV182" si="1646">IF(CV80="",CV183,$C182&amp;" "&amp;CV80&amp;CHAR(10)&amp;CV183)</f>
        <v xml:space="preserve"> </v>
      </c>
      <c r="CW182" s="21" t="str">
        <f t="shared" si="731"/>
        <v xml:space="preserve"> </v>
      </c>
      <c r="CX182" s="21" t="str">
        <f t="shared" ref="CX182" si="1647">IF(CX80="",CX183,$C182&amp;" "&amp;CX80&amp;CHAR(10)&amp;CX183)</f>
        <v xml:space="preserve"> </v>
      </c>
      <c r="CY182" s="21" t="str">
        <f t="shared" si="733"/>
        <v xml:space="preserve"> </v>
      </c>
      <c r="CZ182" s="21" t="str">
        <f t="shared" si="734"/>
        <v xml:space="preserve"> </v>
      </c>
      <c r="DA182" s="21" t="str">
        <f t="shared" si="714"/>
        <v xml:space="preserve"> </v>
      </c>
      <c r="DB182" s="21" t="str">
        <f t="shared" ref="DB182" si="1648">IF(DB80="",DB183,$C182&amp;" "&amp;DB80&amp;CHAR(10)&amp;DB183)</f>
        <v xml:space="preserve"> </v>
      </c>
      <c r="DC182" s="21" t="str">
        <f t="shared" si="736"/>
        <v xml:space="preserve"> </v>
      </c>
      <c r="DD182" s="21" t="str">
        <f t="shared" ref="DD182" si="1649">IF(DD80="",DD183,$C182&amp;" "&amp;DD80&amp;CHAR(10)&amp;DD183)</f>
        <v xml:space="preserve"> </v>
      </c>
      <c r="DE182" s="21" t="str">
        <f t="shared" si="738"/>
        <v xml:space="preserve">wood processing(2), metal processing(2), plastic processing(2), electronics(2), fabric(2), aesthetics(2), functions(2), safety(2), interaction(2), biz project(1), biz enhancement(1), job creation(1), business(1), start-up(1), start-up with mvp(1), start-up with customers(1), for entrepreneurs(2),  </v>
      </c>
      <c r="DF182" s="21" t="str">
        <f t="shared" si="739"/>
        <v xml:space="preserve"> </v>
      </c>
      <c r="DG182" s="21" t="str">
        <f t="shared" si="714"/>
        <v xml:space="preserve"> </v>
      </c>
      <c r="DH182" s="21" t="str">
        <f t="shared" ref="DH182" si="1650">IF(DH80="",DH183,$C182&amp;" "&amp;DH80&amp;CHAR(10)&amp;DH183)</f>
        <v xml:space="preserve">social project 1
 </v>
      </c>
      <c r="DI182" s="21" t="str">
        <f t="shared" si="741"/>
        <v xml:space="preserve"> </v>
      </c>
      <c r="DJ182" s="21" t="str">
        <f t="shared" ref="DJ182" si="1651">IF(DJ80="",DJ183,$C182&amp;" "&amp;DJ80&amp;CHAR(10)&amp;DJ183)</f>
        <v xml:space="preserve"> </v>
      </c>
      <c r="DK182" s="21" t="str">
        <f t="shared" si="743"/>
        <v xml:space="preserve">wood processing(2), metal processing(2), plastic processing(2), electronics(2), fabric(2), aesthetics(2), functions(2), safety(2), interaction(2), social project(2), social innovation(1), non-profit biz(1),  </v>
      </c>
      <c r="DL182" s="21" t="str">
        <f t="shared" si="744"/>
        <v xml:space="preserve"> </v>
      </c>
      <c r="DM182" s="21" t="str">
        <f t="shared" si="714"/>
        <v xml:space="preserve"> </v>
      </c>
      <c r="DN182" s="21" t="str">
        <f t="shared" ref="DN182" si="1652">IF(DN80="",DN183,$C182&amp;" "&amp;DN80&amp;CHAR(10)&amp;DN183)</f>
        <v xml:space="preserve">biz project 1
 </v>
      </c>
      <c r="DO182" s="21" t="str">
        <f t="shared" si="746"/>
        <v xml:space="preserve"> </v>
      </c>
      <c r="DP182" s="21" t="str">
        <f t="shared" ref="DP182" si="1653">IF(DP80="",DP183,$C182&amp;" "&amp;DP80&amp;CHAR(10)&amp;DP183)</f>
        <v xml:space="preserve"> </v>
      </c>
      <c r="DQ182" s="21" t="str">
        <f t="shared" si="748"/>
        <v xml:space="preserve">wood processing(2), metal processing(2), plastic processing(2), electronics(2), fabric(2), aesthetics(2), functions(2), safety(2), interaction(2), biz project(2), biz enhancement(1), job creation(1), business(1), start-up(1), start-up with mvp(1), start-up with customers(1), for entrepreneurs(1),  </v>
      </c>
      <c r="DR182" s="21" t="str">
        <f t="shared" si="749"/>
        <v xml:space="preserve"> </v>
      </c>
      <c r="DS182" s="21" t="str">
        <f t="shared" si="714"/>
        <v xml:space="preserve"> </v>
      </c>
      <c r="DT182" s="21" t="str">
        <f t="shared" ref="DT182" si="1654">IF(DT80="",DT183,$C182&amp;" "&amp;DT80&amp;CHAR(10)&amp;DT183)</f>
        <v xml:space="preserve"> </v>
      </c>
      <c r="DU182" s="21" t="str">
        <f t="shared" si="751"/>
        <v xml:space="preserve"> </v>
      </c>
      <c r="DV182" s="21" t="str">
        <f t="shared" ref="DV182" si="1655">IF(DV80="",DV183,$C182&amp;" "&amp;DV80&amp;CHAR(10)&amp;DV183)</f>
        <v xml:space="preserve"> </v>
      </c>
      <c r="DW182" s="21" t="str">
        <f t="shared" si="753"/>
        <v xml:space="preserve">for basic literacy(1),  </v>
      </c>
      <c r="DX182" s="21" t="str">
        <f t="shared" si="754"/>
        <v xml:space="preserve">for basic literacy(1,6.25),  </v>
      </c>
      <c r="DY182" s="21" t="str">
        <f t="shared" si="714"/>
        <v xml:space="preserve">for basic literacy(6.25), </v>
      </c>
      <c r="DZ182" s="21" t="str">
        <f t="shared" ref="DZ182" si="1656">IF(DZ80="",DZ183,$C182&amp;" "&amp;DZ80&amp;CHAR(10)&amp;DZ183)</f>
        <v xml:space="preserve"> </v>
      </c>
      <c r="EA182" s="21" t="str">
        <f t="shared" si="756"/>
        <v xml:space="preserve"> </v>
      </c>
      <c r="EB182" s="21" t="str">
        <f t="shared" ref="EB182" si="1657">IF(EB80="",EB183,$C182&amp;" "&amp;EB80&amp;CHAR(10)&amp;EB183)</f>
        <v xml:space="preserve"> </v>
      </c>
      <c r="EC182" s="21" t="str">
        <f t="shared" si="758"/>
        <v xml:space="preserve">wood processing(2), metal processing(2), plastic processing(2), electronics(2), fabric(2), for basic literacy(1),  </v>
      </c>
      <c r="ED182" s="21" t="str">
        <f t="shared" si="759"/>
        <v xml:space="preserve">for basic literacy(1,6.25),  </v>
      </c>
      <c r="EE182" s="21" t="str">
        <f t="shared" si="714"/>
        <v xml:space="preserve">for basic literacy(6.25), </v>
      </c>
      <c r="EF182" s="21" t="str">
        <f t="shared" ref="EF182" si="1658">IF(EF80="",EF183,$C182&amp;" "&amp;EF80&amp;CHAR(10)&amp;EF183)</f>
        <v xml:space="preserve"> </v>
      </c>
      <c r="EG182" s="21" t="str">
        <f t="shared" si="761"/>
        <v xml:space="preserve">interaction(1,50),  </v>
      </c>
      <c r="EH182" s="21" t="str">
        <f t="shared" ref="EH182" si="1659">IF(EH80="",EH183,$C182&amp;" "&amp;EH80&amp;CHAR(10)&amp;EH183)</f>
        <v xml:space="preserve">interaction 50
 </v>
      </c>
      <c r="EI182" s="21" t="str">
        <f t="shared" si="763"/>
        <v xml:space="preserve">for entrepreneurs(1),  </v>
      </c>
      <c r="EJ182" s="21" t="str">
        <f t="shared" si="764"/>
        <v xml:space="preserve">for entrepreneurs(1,6.25),  </v>
      </c>
      <c r="EK182" s="21" t="str">
        <f t="shared" si="714"/>
        <v xml:space="preserve">for entrepreneurs(6.25), </v>
      </c>
      <c r="EL182" s="21" t="str">
        <f t="shared" ref="EL182" si="1660">IF(EL80="",EL183,$C182&amp;" "&amp;EL80&amp;CHAR(10)&amp;EL183)</f>
        <v xml:space="preserve"> </v>
      </c>
      <c r="EM182" s="21" t="str">
        <f t="shared" si="766"/>
        <v xml:space="preserve"> </v>
      </c>
      <c r="EN182" s="21" t="str">
        <f t="shared" ref="EN182" si="1661">IF(EN80="",EN183,$C182&amp;" "&amp;EN80&amp;CHAR(10)&amp;EN183)</f>
        <v xml:space="preserve"> </v>
      </c>
      <c r="EO182" s="21" t="str">
        <f t="shared" si="768"/>
        <v xml:space="preserve">for entrepreneurs(1),  </v>
      </c>
      <c r="EP182" s="21" t="str">
        <f t="shared" si="769"/>
        <v xml:space="preserve">electronics(1,6.25), for entrepreneurs(1,6.25),  </v>
      </c>
      <c r="EQ182" s="21" t="str">
        <f t="shared" si="770"/>
        <v xml:space="preserve">electronics(6.25),for entrepreneurs(6.25), </v>
      </c>
      <c r="ER182" s="21" t="str">
        <f t="shared" ref="ER182" si="1662">IF(ER80="",ER183,$C182&amp;" "&amp;ER80&amp;CHAR(10)&amp;ER183)</f>
        <v xml:space="preserve"> </v>
      </c>
      <c r="ES182" s="21" t="str">
        <f t="shared" si="772"/>
        <v xml:space="preserve"> </v>
      </c>
      <c r="ET182" s="21" t="str">
        <f t="shared" ref="ET182" si="1663">IF(ET80="",ET183,$C182&amp;" "&amp;ET80&amp;CHAR(10)&amp;ET183)</f>
        <v xml:space="preserve"> </v>
      </c>
      <c r="EU182" s="21" t="str">
        <f t="shared" si="774"/>
        <v xml:space="preserve">for entrepreneurs(1),  </v>
      </c>
      <c r="EV182" s="21" t="str">
        <f t="shared" si="775"/>
        <v xml:space="preserve">for entrepreneurs(1,6.25),  </v>
      </c>
      <c r="EW182" s="21" t="str">
        <f t="shared" si="770"/>
        <v xml:space="preserve">for entrepreneurs(6.25), </v>
      </c>
      <c r="EX182" s="21" t="str">
        <f t="shared" ref="EX182" si="1664">IF(EX80="",EX183,$C182&amp;" "&amp;EX80&amp;CHAR(10)&amp;EX183)</f>
        <v xml:space="preserve"> </v>
      </c>
      <c r="EY182" s="21" t="str">
        <f t="shared" si="777"/>
        <v xml:space="preserve">interaction(1,25),  </v>
      </c>
      <c r="EZ182" s="21" t="str">
        <f t="shared" ref="EZ182" si="1665">IF(EZ80="",EZ183,$C182&amp;" "&amp;EZ80&amp;CHAR(10)&amp;EZ183)</f>
        <v xml:space="preserve">interaction 25
 </v>
      </c>
      <c r="FA182" s="21" t="str">
        <f t="shared" si="779"/>
        <v xml:space="preserve">for entrepreneurs(1),  </v>
      </c>
      <c r="FB182" s="21" t="str">
        <f t="shared" si="780"/>
        <v xml:space="preserve">for entrepreneurs(1,6.25),  </v>
      </c>
      <c r="FC182" s="21" t="str">
        <f t="shared" si="770"/>
        <v xml:space="preserve">for entrepreneurs(6.25), </v>
      </c>
      <c r="FD182" s="21" t="str">
        <f t="shared" ref="FD182" si="1666">IF(FD80="",FD183,$C182&amp;" "&amp;FD80&amp;CHAR(10)&amp;FD183)</f>
        <v xml:space="preserve"> </v>
      </c>
      <c r="FE182" s="21" t="str">
        <f t="shared" si="782"/>
        <v xml:space="preserve"> </v>
      </c>
      <c r="FF182" s="21" t="str">
        <f t="shared" ref="FF182" si="1667">IF(FF80="",FF183,$C182&amp;" "&amp;FF80&amp;CHAR(10)&amp;FF183)</f>
        <v xml:space="preserve"> </v>
      </c>
      <c r="FG182" s="21" t="str">
        <f t="shared" si="784"/>
        <v xml:space="preserve">for entrepreneurs(1),  </v>
      </c>
      <c r="FH182" s="21" t="str">
        <f t="shared" si="785"/>
        <v xml:space="preserve">for entrepreneurs(1,6.25),  </v>
      </c>
      <c r="FI182" s="21" t="str">
        <f t="shared" si="770"/>
        <v xml:space="preserve">for entrepreneurs(6.25), </v>
      </c>
      <c r="FJ182" s="21" t="str">
        <f t="shared" ref="FJ182" si="1668">IF(FJ80="",FJ183,$C182&amp;" "&amp;FJ80&amp;CHAR(10)&amp;FJ183)</f>
        <v xml:space="preserve"> </v>
      </c>
      <c r="FK182" s="21" t="str">
        <f t="shared" si="787"/>
        <v xml:space="preserve">wood processing(1,25), metal processing(1,25), plastic processing(1,25), fabric(1,25), safety(1,25), interaction(1,25),  </v>
      </c>
      <c r="FL182" s="21" t="str">
        <f t="shared" ref="FL182" si="1669">IF(FL80="",FL183,$C182&amp;" "&amp;FL80&amp;CHAR(10)&amp;FL183)</f>
        <v xml:space="preserve">wood processing 25
metal processing 25
plastic processing 25
fabric 25
safety 25
interaction 25
 </v>
      </c>
      <c r="FM182" s="21" t="str">
        <f t="shared" si="789"/>
        <v xml:space="preserve">for entrepreneurs(1),  </v>
      </c>
      <c r="FN182" s="21" t="str">
        <f t="shared" si="790"/>
        <v xml:space="preserve">for entrepreneurs(1,6.25),  </v>
      </c>
      <c r="FO182" s="21" t="str">
        <f t="shared" si="770"/>
        <v xml:space="preserve">for entrepreneurs(6.25), </v>
      </c>
      <c r="FP182" s="21" t="str">
        <f t="shared" ref="FP182" si="1670">IF(FP80="",FP183,$C182&amp;" "&amp;FP80&amp;CHAR(10)&amp;FP183)</f>
        <v xml:space="preserve"> </v>
      </c>
      <c r="FQ182" s="21" t="str">
        <f t="shared" si="792"/>
        <v xml:space="preserve">functions(1,25), interaction(1,25),  </v>
      </c>
      <c r="FR182" s="21" t="str">
        <f t="shared" ref="FR182" si="1671">IF(FR80="",FR183,$C182&amp;" "&amp;FR80&amp;CHAR(10)&amp;FR183)</f>
        <v xml:space="preserve">functions 25
interaction 25
 </v>
      </c>
      <c r="FS182" s="21" t="str">
        <f t="shared" si="794"/>
        <v xml:space="preserve">for entrepreneurs(1),  </v>
      </c>
      <c r="FT182" s="21" t="str">
        <f t="shared" si="795"/>
        <v xml:space="preserve">for entrepreneurs(1,6.25),  </v>
      </c>
      <c r="FU182" s="21" t="str">
        <f t="shared" si="770"/>
        <v xml:space="preserve">for entrepreneurs(6.25), </v>
      </c>
      <c r="FV182" s="21" t="str">
        <f t="shared" ref="FV182" si="1672">IF(FV80="",FV183,$C182&amp;" "&amp;FV80&amp;CHAR(10)&amp;FV183)</f>
        <v xml:space="preserve"> </v>
      </c>
      <c r="FW182" s="21" t="str">
        <f t="shared" si="797"/>
        <v xml:space="preserve">wood processing(1,25), plastic processing(1,25), electronics(1,25), functions(1,25), interaction(1,25),  </v>
      </c>
      <c r="FX182" s="21" t="str">
        <f t="shared" ref="FX182" si="1673">IF(FX80="",FX183,$C182&amp;" "&amp;FX80&amp;CHAR(10)&amp;FX183)</f>
        <v xml:space="preserve">wood processing 25
plastic processing 25
electronics 25
functions 25
interaction 25
 </v>
      </c>
      <c r="FY182" s="21" t="str">
        <f t="shared" si="799"/>
        <v xml:space="preserve">for entrepreneurs(1),  </v>
      </c>
      <c r="FZ182" s="21" t="str">
        <f t="shared" si="800"/>
        <v xml:space="preserve">for entrepreneurs(1,6.25),  </v>
      </c>
      <c r="GA182" s="21" t="str">
        <f t="shared" si="770"/>
        <v xml:space="preserve">for entrepreneurs(6.25), </v>
      </c>
      <c r="GB182" s="21" t="str">
        <f t="shared" ref="GB182" si="1674">IF(GB80="",GB183,$C182&amp;" "&amp;GB80&amp;CHAR(10)&amp;GB183)</f>
        <v xml:space="preserve"> </v>
      </c>
      <c r="GC182" s="21" t="str">
        <f t="shared" si="802"/>
        <v xml:space="preserve">electronics(1,50), functions(1,25), safety(1,25),  </v>
      </c>
      <c r="GD182" s="21" t="str">
        <f t="shared" ref="GD182" si="1675">IF(GD80="",GD183,$C182&amp;" "&amp;GD80&amp;CHAR(10)&amp;GD183)</f>
        <v xml:space="preserve">electronics 50
functions 25
safety 25
 </v>
      </c>
      <c r="GE182" s="21" t="str">
        <f t="shared" si="804"/>
        <v xml:space="preserve">for entrepreneurs(1),  </v>
      </c>
      <c r="GF182" s="21" t="str">
        <f t="shared" si="805"/>
        <v xml:space="preserve">plastic processing(1,6.25), interaction(1,6.25), for entrepreneurs(1,6.25),  </v>
      </c>
      <c r="GG182" s="21" t="str">
        <f t="shared" si="770"/>
        <v xml:space="preserve">plastic processing(6.25),interaction(6.25),for entrepreneurs(6.25), </v>
      </c>
      <c r="GH182" s="21" t="str">
        <f t="shared" ref="GH182" si="1676">IF(GH80="",GH183,$C182&amp;" "&amp;GH80&amp;CHAR(10)&amp;GH183)</f>
        <v xml:space="preserve"> </v>
      </c>
      <c r="GI182" s="21" t="str">
        <f t="shared" si="807"/>
        <v xml:space="preserve">functions(1,25), interaction(1,25),  </v>
      </c>
      <c r="GJ182" s="21" t="str">
        <f t="shared" ref="GJ182" si="1677">IF(GJ80="",GJ183,$C182&amp;" "&amp;GJ80&amp;CHAR(10)&amp;GJ183)</f>
        <v xml:space="preserve">functions 25
interaction 25
 </v>
      </c>
      <c r="GK182" s="21" t="str">
        <f t="shared" si="809"/>
        <v xml:space="preserve">for entrepreneurs(1),  </v>
      </c>
      <c r="GL182" s="21" t="str">
        <f t="shared" si="810"/>
        <v xml:space="preserve">for entrepreneurs(1,6.25),  </v>
      </c>
      <c r="GM182" s="21" t="str">
        <f t="shared" si="770"/>
        <v xml:space="preserve">for entrepreneurs(6.25), </v>
      </c>
      <c r="GN182" s="21" t="str">
        <f t="shared" ref="GN182" si="1678">IF(GN80="",GN183,$C182&amp;" "&amp;GN80&amp;CHAR(10)&amp;GN183)</f>
        <v xml:space="preserve"> </v>
      </c>
      <c r="GO182" s="21" t="str">
        <f t="shared" si="812"/>
        <v xml:space="preserve">aesthetics(1,25), functions(1,25), interaction(1,50),  </v>
      </c>
      <c r="GP182" s="21" t="str">
        <f t="shared" ref="GP182" si="1679">IF(GP80="",GP183,$C182&amp;" "&amp;GP80&amp;CHAR(10)&amp;GP183)</f>
        <v xml:space="preserve">aesthetics 25
functions 25
interaction 50
 </v>
      </c>
      <c r="GQ182" s="21" t="str">
        <f t="shared" si="814"/>
        <v xml:space="preserve">for entrepreneurs(1),  </v>
      </c>
      <c r="GR182" s="21" t="str">
        <f t="shared" si="815"/>
        <v xml:space="preserve">for entrepreneurs(1,6.25),  </v>
      </c>
      <c r="GS182" s="21" t="str">
        <f t="shared" si="770"/>
        <v xml:space="preserve">for entrepreneurs(6.25), </v>
      </c>
      <c r="GT182" s="21" t="str">
        <f t="shared" ref="GT182" si="1680">IF(GT80="",GT183,$C182&amp;" "&amp;GT80&amp;CHAR(10)&amp;GT183)</f>
        <v xml:space="preserve"> </v>
      </c>
      <c r="GU182" s="21" t="str">
        <f t="shared" si="817"/>
        <v xml:space="preserve"> </v>
      </c>
      <c r="GV182" s="21" t="str">
        <f t="shared" ref="GV182" si="1681">IF(GV80="",GV183,$C182&amp;" "&amp;GV80&amp;CHAR(10)&amp;GV183)</f>
        <v xml:space="preserve"> </v>
      </c>
      <c r="GW182" s="21" t="str">
        <f t="shared" si="819"/>
        <v xml:space="preserve">electronics(1),  </v>
      </c>
      <c r="GX182" s="21" t="str">
        <f t="shared" si="820"/>
        <v xml:space="preserve"> </v>
      </c>
      <c r="GY182" s="21" t="str">
        <f t="shared" si="770"/>
        <v xml:space="preserve"> </v>
      </c>
      <c r="GZ182" s="21" t="str">
        <f t="shared" ref="GZ182" si="1682">IF(GZ80="",GZ183,$C182&amp;" "&amp;GZ80&amp;CHAR(10)&amp;GZ183)</f>
        <v xml:space="preserve"> </v>
      </c>
      <c r="HA182" s="21" t="str">
        <f t="shared" si="822"/>
        <v xml:space="preserve"> </v>
      </c>
      <c r="HB182" s="21" t="str">
        <f t="shared" ref="HB182" si="1683">IF(HB80="",HB183,$C182&amp;" "&amp;HB80&amp;CHAR(10)&amp;HB183)</f>
        <v xml:space="preserve"> </v>
      </c>
      <c r="HC182" s="21" t="str">
        <f t="shared" si="824"/>
        <v xml:space="preserve">plastic processing(2), electronics(2), aesthetics(2), interaction(2),  </v>
      </c>
      <c r="HD182" s="21" t="str">
        <f t="shared" si="825"/>
        <v xml:space="preserve">start-up with customers(1,6.25), for basic literacy(1,6.25),  </v>
      </c>
      <c r="HE182" s="21" t="str">
        <f t="shared" si="826"/>
        <v xml:space="preserve">start-up with customers(6.25),for basic literacy(6.25), </v>
      </c>
      <c r="HF182" s="21" t="str">
        <f t="shared" ref="HF182" si="1684">IF(HF80="",HF183,$C182&amp;" "&amp;HF80&amp;CHAR(10)&amp;HF183)</f>
        <v xml:space="preserve"> </v>
      </c>
      <c r="HG182" s="21" t="str">
        <f t="shared" si="828"/>
        <v xml:space="preserve"> </v>
      </c>
      <c r="HH182" s="21" t="str">
        <f t="shared" ref="HH182" si="1685">IF(HH80="",HH183,$C182&amp;" "&amp;HH80&amp;CHAR(10)&amp;HH183)</f>
        <v xml:space="preserve"> </v>
      </c>
      <c r="HI182" s="21" t="str">
        <f t="shared" si="830"/>
        <v xml:space="preserve">plastic processing(2), electronics(2), aesthetics(2), functions(2), interaction(2),  </v>
      </c>
      <c r="HJ182" s="21" t="str">
        <f t="shared" si="831"/>
        <v xml:space="preserve">start-up with customers(1,6.25),  </v>
      </c>
      <c r="HK182" s="21" t="str">
        <f t="shared" si="826"/>
        <v xml:space="preserve">start-up with customers(6.25), </v>
      </c>
      <c r="HL182" s="21" t="str">
        <f t="shared" ref="HL182" si="1686">IF(HL80="",HL183,$C182&amp;" "&amp;HL80&amp;CHAR(10)&amp;HL183)</f>
        <v xml:space="preserve"> </v>
      </c>
      <c r="HM182" s="21" t="str">
        <f t="shared" si="833"/>
        <v xml:space="preserve"> </v>
      </c>
      <c r="HN182" s="21" t="str">
        <f t="shared" ref="HN182" si="1687">IF(HN80="",HN183,$C182&amp;" "&amp;HN80&amp;CHAR(10)&amp;HN183)</f>
        <v xml:space="preserve"> </v>
      </c>
      <c r="HO182" s="21" t="str">
        <f t="shared" si="835"/>
        <v xml:space="preserve">wood processing(3), plastic processing(3), electronics(3), aesthetics(2), interaction(2),  </v>
      </c>
      <c r="HP182" s="21" t="str">
        <f t="shared" si="836"/>
        <v xml:space="preserve"> </v>
      </c>
      <c r="HQ182" s="47" t="str">
        <f t="shared" si="826"/>
        <v xml:space="preserve"> </v>
      </c>
      <c r="HR182" s="47" t="str">
        <f t="shared" ref="HR182:HW182" si="1688">IF(HR80="",HR183,$C182&amp;"("&amp;HR80&amp;"),"&amp;HR183)</f>
        <v xml:space="preserve">wood processing(1),aesthetics(1), </v>
      </c>
      <c r="HS182" s="47" t="str">
        <f t="shared" si="1688"/>
        <v xml:space="preserve"> </v>
      </c>
      <c r="HT182" s="47" t="str">
        <f t="shared" si="1688"/>
        <v xml:space="preserve"> </v>
      </c>
      <c r="HU182" s="47" t="str">
        <f t="shared" si="1688"/>
        <v xml:space="preserve">wood processing(3),metal processing(2),plastic processing(2),electronics(2),fabric(2),aesthetics(2),interaction(2),start-up with mvp(1), </v>
      </c>
      <c r="HV182" s="47" t="str">
        <f t="shared" si="1688"/>
        <v xml:space="preserve"> </v>
      </c>
      <c r="HW182" s="47" t="str">
        <f t="shared" si="1688"/>
        <v xml:space="preserve"> </v>
      </c>
      <c r="HX182" s="47" t="str">
        <f t="shared" ref="HX182:IU182" si="1689">IF(HX80="",HX183,$C182&amp;"("&amp;HX80&amp;"),"&amp;HX183)</f>
        <v xml:space="preserve">wood processing(1),metal processing(1),plastic processing(1),electronics(1),aesthetics(1),functions(1),interaction(1), </v>
      </c>
      <c r="HY182" s="47" t="str">
        <f t="shared" si="1689"/>
        <v xml:space="preserve">biz enhancement(1), </v>
      </c>
      <c r="HZ182" s="47" t="str">
        <f t="shared" si="1689"/>
        <v xml:space="preserve">biz enhancement(100), </v>
      </c>
      <c r="IA182" s="47" t="str">
        <f t="shared" si="1689"/>
        <v xml:space="preserve"> </v>
      </c>
      <c r="IB182" s="47" t="str">
        <f t="shared" si="1689"/>
        <v xml:space="preserve">electronics(1),functions(1), </v>
      </c>
      <c r="IC182" s="47" t="str">
        <f t="shared" si="1689"/>
        <v xml:space="preserve">electronics(6.25),functions(6.25), </v>
      </c>
      <c r="ID182" s="47" t="str">
        <f t="shared" si="1689"/>
        <v xml:space="preserve"> </v>
      </c>
      <c r="IE182" s="47" t="str">
        <f t="shared" si="1689"/>
        <v xml:space="preserve"> </v>
      </c>
      <c r="IF182" s="47" t="str">
        <f t="shared" si="1689"/>
        <v xml:space="preserve"> </v>
      </c>
      <c r="IG182" s="47" t="str">
        <f t="shared" si="1689"/>
        <v xml:space="preserve"> </v>
      </c>
      <c r="IH182" s="47" t="str">
        <f t="shared" si="1689"/>
        <v xml:space="preserve"> </v>
      </c>
      <c r="II182" s="47" t="str">
        <f t="shared" si="1689"/>
        <v xml:space="preserve"> </v>
      </c>
      <c r="IJ182" s="47" t="str">
        <f t="shared" si="1689"/>
        <v xml:space="preserve"> </v>
      </c>
      <c r="IK182" s="47" t="str">
        <f t="shared" si="1689"/>
        <v xml:space="preserve">wood processing(1),metal processing(1),functions(1),safety(1), </v>
      </c>
      <c r="IL182" s="47" t="str">
        <f t="shared" si="1689"/>
        <v xml:space="preserve">wood processing(25),metal processing(25),functions(25),safety(25), </v>
      </c>
      <c r="IM182" s="47" t="str">
        <f t="shared" si="1689"/>
        <v xml:space="preserve">wood processing(2),metal processing(2),functions(2),safety(2), </v>
      </c>
      <c r="IN182" s="47" t="str">
        <f t="shared" si="1689"/>
        <v xml:space="preserve">wood processing(1),metal processing(1),functions(1),safety(1),interaction(1), </v>
      </c>
      <c r="IO182" s="47" t="str">
        <f t="shared" si="1689"/>
        <v xml:space="preserve">wood processing(6.25),metal processing(6.25),functions(6.25),safety(6.25),interaction(6.25), </v>
      </c>
      <c r="IP182" s="57" t="str">
        <f t="shared" si="1689"/>
        <v xml:space="preserve"> </v>
      </c>
      <c r="IQ182" s="47" t="str">
        <f t="shared" si="1689"/>
        <v xml:space="preserve"> </v>
      </c>
      <c r="IR182" s="47" t="str">
        <f t="shared" si="1689"/>
        <v xml:space="preserve"> </v>
      </c>
      <c r="IS182" s="47" t="str">
        <f t="shared" si="1689"/>
        <v xml:space="preserve"> </v>
      </c>
      <c r="IT182" s="47" t="str">
        <f t="shared" si="1689"/>
        <v xml:space="preserve"> </v>
      </c>
      <c r="IU182" s="47" t="str">
        <f t="shared" si="1689"/>
        <v xml:space="preserve"> </v>
      </c>
      <c r="IV182" s="57" t="str">
        <f t="shared" ref="IV182:LG182" si="1690">IF(IV80="",IV183,$C182&amp;"("&amp;IV80&amp;"),"&amp;IV183)</f>
        <v xml:space="preserve"> </v>
      </c>
      <c r="IW182" s="47" t="str">
        <f t="shared" si="1690"/>
        <v xml:space="preserve"> </v>
      </c>
      <c r="IX182" s="47" t="str">
        <f t="shared" si="1690"/>
        <v xml:space="preserve"> </v>
      </c>
      <c r="IY182" s="47" t="str">
        <f t="shared" si="1690"/>
        <v xml:space="preserve"> </v>
      </c>
      <c r="IZ182" s="47" t="str">
        <f t="shared" si="1690"/>
        <v xml:space="preserve"> </v>
      </c>
      <c r="JA182" s="47" t="str">
        <f t="shared" si="1690"/>
        <v xml:space="preserve"> </v>
      </c>
      <c r="JB182" s="47" t="str">
        <f t="shared" si="1690"/>
        <v xml:space="preserve"> </v>
      </c>
      <c r="JC182" s="47" t="str">
        <f t="shared" si="1690"/>
        <v xml:space="preserve"> </v>
      </c>
      <c r="JD182" s="47" t="str">
        <f t="shared" si="1690"/>
        <v xml:space="preserve"> </v>
      </c>
      <c r="JE182" s="47" t="str">
        <f t="shared" si="1690"/>
        <v xml:space="preserve"> </v>
      </c>
      <c r="JF182" s="47" t="str">
        <f t="shared" si="1690"/>
        <v xml:space="preserve">wood processing(1),metal processing(1),plastic processing(1),electronics(1),fabric(1),aesthetics(1),functions(1),safety(1),interaction(1), </v>
      </c>
      <c r="JG182" s="47" t="str">
        <f t="shared" si="1690"/>
        <v xml:space="preserve">wood processing(6.25),metal processing(6.25),plastic processing(6.25),electronics(6.25),fabric(6.25),aesthetics(6.25),functions(6.25),safety(6.25),interaction(6.25), </v>
      </c>
      <c r="JH182" s="47" t="str">
        <f t="shared" si="1690"/>
        <v xml:space="preserve"> </v>
      </c>
      <c r="JI182" s="47" t="str">
        <f t="shared" si="1690"/>
        <v xml:space="preserve"> </v>
      </c>
      <c r="JJ182" s="47" t="str">
        <f t="shared" si="1690"/>
        <v xml:space="preserve"> </v>
      </c>
      <c r="JK182" s="47" t="str">
        <f t="shared" si="1690"/>
        <v xml:space="preserve">social project(1),social innovation(1),non-profit biz(1),biz project(1),biz enhancement(1),job creation(1),business(1),start-up(1),start-up with mvp(1),start-up with customers(1),for basic literacy(1),for the elites(1),for entrepreneurs(1), </v>
      </c>
      <c r="JL182" s="47" t="str">
        <f t="shared" si="1690"/>
        <v xml:space="preserve"> </v>
      </c>
      <c r="JM182" s="47" t="str">
        <f t="shared" si="1690"/>
        <v xml:space="preserve"> </v>
      </c>
      <c r="JN182" s="47" t="str">
        <f t="shared" si="1690"/>
        <v xml:space="preserve"> </v>
      </c>
      <c r="JO182" s="47" t="str">
        <f t="shared" si="1690"/>
        <v xml:space="preserve"> </v>
      </c>
      <c r="JP182" s="47" t="str">
        <f t="shared" si="1690"/>
        <v xml:space="preserve"> </v>
      </c>
      <c r="JQ182" s="47" t="str">
        <f t="shared" si="1690"/>
        <v xml:space="preserve">electronics(1),aesthetics(1),interaction(1),social project(1),social innovation(1),non-profit biz(1),biz project(1),biz enhancement(1),job creation(1),business(1),start-up(1),start-up with mvp(1),start-up with customers(1),for basic literacy(1),for the elites(1),for entrepreneurs(1), </v>
      </c>
      <c r="JR182" s="47" t="str">
        <f t="shared" si="1690"/>
        <v xml:space="preserve"> </v>
      </c>
      <c r="JS182" s="47" t="str">
        <f t="shared" si="1690"/>
        <v xml:space="preserve"> </v>
      </c>
      <c r="JT182" s="47" t="str">
        <f t="shared" si="1690"/>
        <v xml:space="preserve"> </v>
      </c>
      <c r="JU182" s="47" t="str">
        <f t="shared" si="1690"/>
        <v xml:space="preserve"> </v>
      </c>
      <c r="JV182" s="47" t="str">
        <f t="shared" si="1690"/>
        <v xml:space="preserve"> </v>
      </c>
      <c r="JW182" s="47" t="str">
        <f t="shared" si="1690"/>
        <v xml:space="preserve">social project(2),social innovation(1),non-profit biz(1),biz project(2),biz enhancement(2),job creation(1),business(1),start-up(2),start-up with mvp(1),start-up with customers(1),for basic literacy(2),for the elites(1),for entrepreneurs(1), </v>
      </c>
      <c r="JX182" s="47" t="str">
        <f t="shared" si="1690"/>
        <v xml:space="preserve"> </v>
      </c>
      <c r="JY182" s="47" t="str">
        <f t="shared" si="1690"/>
        <v xml:space="preserve"> </v>
      </c>
      <c r="JZ182" s="47" t="str">
        <f t="shared" si="1690"/>
        <v xml:space="preserve">social project(2), </v>
      </c>
      <c r="KA182" s="47" t="str">
        <f t="shared" si="1690"/>
        <v xml:space="preserve"> </v>
      </c>
      <c r="KB182" s="47" t="str">
        <f t="shared" si="1690"/>
        <v xml:space="preserve"> </v>
      </c>
      <c r="KC182" s="47" t="str">
        <f t="shared" si="1690"/>
        <v xml:space="preserve">electronics(1),aesthetics(1),social project(3),social innovation(1),non-profit biz(1),biz project(2),biz enhancement(2),job creation(1),business(1),start-up(2),start-up with mvp(1),start-up with customers(1),for basic literacy(2),for the elites(1),for entrepreneurs(1), </v>
      </c>
      <c r="KD182" s="47" t="str">
        <f t="shared" si="1690"/>
        <v xml:space="preserve"> </v>
      </c>
      <c r="KE182" s="47" t="str">
        <f t="shared" si="1690"/>
        <v xml:space="preserve"> </v>
      </c>
      <c r="KF182" s="47" t="str">
        <f t="shared" si="1690"/>
        <v xml:space="preserve"> </v>
      </c>
      <c r="KG182" s="47" t="str">
        <f t="shared" si="1690"/>
        <v xml:space="preserve"> </v>
      </c>
      <c r="KH182" s="47" t="str">
        <f t="shared" si="1690"/>
        <v xml:space="preserve"> </v>
      </c>
      <c r="KI182" s="47" t="str">
        <f t="shared" si="1690"/>
        <v xml:space="preserve"> </v>
      </c>
      <c r="KJ182" s="47" t="str">
        <f t="shared" si="1690"/>
        <v xml:space="preserve"> </v>
      </c>
      <c r="KK182" s="47" t="str">
        <f t="shared" si="1690"/>
        <v xml:space="preserve"> </v>
      </c>
      <c r="KL182" s="57" t="str">
        <f t="shared" si="1690"/>
        <v xml:space="preserve"> </v>
      </c>
      <c r="KM182" s="47" t="str">
        <f t="shared" si="1690"/>
        <v xml:space="preserve"> </v>
      </c>
      <c r="KN182" s="47" t="str">
        <f t="shared" si="1690"/>
        <v xml:space="preserve"> </v>
      </c>
      <c r="KO182" s="47" t="str">
        <f t="shared" si="1690"/>
        <v xml:space="preserve"> </v>
      </c>
      <c r="KP182" s="47" t="str">
        <f t="shared" si="1690"/>
        <v xml:space="preserve"> </v>
      </c>
      <c r="KQ182" s="47" t="str">
        <f t="shared" si="1690"/>
        <v xml:space="preserve"> </v>
      </c>
      <c r="KR182" s="57" t="str">
        <f t="shared" si="1690"/>
        <v xml:space="preserve"> </v>
      </c>
      <c r="KS182" s="47" t="str">
        <f t="shared" si="1690"/>
        <v xml:space="preserve"> </v>
      </c>
      <c r="KT182" s="47" t="str">
        <f t="shared" si="1690"/>
        <v xml:space="preserve"> </v>
      </c>
      <c r="KU182" s="47" t="str">
        <f t="shared" si="1690"/>
        <v xml:space="preserve"> </v>
      </c>
      <c r="KV182" s="47" t="str">
        <f t="shared" si="1690"/>
        <v xml:space="preserve"> </v>
      </c>
      <c r="KW182" s="47" t="str">
        <f t="shared" si="1690"/>
        <v xml:space="preserve"> </v>
      </c>
      <c r="KX182" s="57" t="str">
        <f t="shared" si="1690"/>
        <v xml:space="preserve"> </v>
      </c>
      <c r="KY182" s="47" t="str">
        <f t="shared" si="1690"/>
        <v xml:space="preserve"> </v>
      </c>
      <c r="KZ182" s="47" t="str">
        <f t="shared" si="1690"/>
        <v xml:space="preserve"> </v>
      </c>
      <c r="LA182" s="47" t="str">
        <f t="shared" si="1690"/>
        <v xml:space="preserve"> </v>
      </c>
      <c r="LB182" s="47" t="str">
        <f t="shared" si="1690"/>
        <v xml:space="preserve"> </v>
      </c>
      <c r="LC182" s="47" t="str">
        <f t="shared" si="1690"/>
        <v xml:space="preserve"> </v>
      </c>
      <c r="LD182" s="57" t="str">
        <f t="shared" si="1690"/>
        <v xml:space="preserve"> </v>
      </c>
      <c r="LE182" s="47" t="str">
        <f t="shared" si="1690"/>
        <v xml:space="preserve"> </v>
      </c>
      <c r="LF182" s="47" t="str">
        <f t="shared" si="1690"/>
        <v xml:space="preserve"> </v>
      </c>
      <c r="LG182" s="47" t="str">
        <f t="shared" si="1690"/>
        <v xml:space="preserve"> </v>
      </c>
      <c r="LH182" s="47" t="str">
        <f t="shared" ref="LH182:NM182" si="1691">IF(LH80="",LH183,$C182&amp;"("&amp;LH80&amp;"),"&amp;LH183)</f>
        <v xml:space="preserve"> </v>
      </c>
      <c r="LI182" s="47" t="str">
        <f t="shared" si="1691"/>
        <v xml:space="preserve"> </v>
      </c>
      <c r="LJ182" s="57" t="str">
        <f t="shared" si="1691"/>
        <v xml:space="preserve"> </v>
      </c>
      <c r="LK182" s="47" t="str">
        <f t="shared" si="1691"/>
        <v xml:space="preserve"> </v>
      </c>
      <c r="LL182" s="47" t="str">
        <f t="shared" si="1691"/>
        <v xml:space="preserve"> </v>
      </c>
      <c r="LM182" s="47" t="str">
        <f t="shared" si="1691"/>
        <v xml:space="preserve"> </v>
      </c>
      <c r="LN182" s="47" t="str">
        <f t="shared" si="1691"/>
        <v xml:space="preserve"> </v>
      </c>
      <c r="LO182" s="47" t="str">
        <f t="shared" si="1691"/>
        <v xml:space="preserve"> </v>
      </c>
      <c r="LP182" s="57" t="str">
        <f t="shared" si="1691"/>
        <v xml:space="preserve"> </v>
      </c>
      <c r="LQ182" s="47" t="str">
        <f t="shared" si="1691"/>
        <v xml:space="preserve"> </v>
      </c>
      <c r="LR182" s="47" t="str">
        <f t="shared" si="1691"/>
        <v xml:space="preserve"> </v>
      </c>
      <c r="LS182" s="47" t="str">
        <f t="shared" si="1691"/>
        <v xml:space="preserve"> </v>
      </c>
      <c r="LT182" s="47" t="str">
        <f t="shared" si="1691"/>
        <v xml:space="preserve"> </v>
      </c>
      <c r="LU182" s="47" t="str">
        <f t="shared" si="1691"/>
        <v xml:space="preserve"> </v>
      </c>
      <c r="LV182" s="57" t="str">
        <f t="shared" si="1691"/>
        <v xml:space="preserve"> </v>
      </c>
      <c r="LW182" s="47" t="str">
        <f t="shared" si="1691"/>
        <v xml:space="preserve"> </v>
      </c>
      <c r="LX182" s="47" t="str">
        <f t="shared" si="1691"/>
        <v xml:space="preserve"> </v>
      </c>
      <c r="LY182" s="47" t="str">
        <f t="shared" si="1691"/>
        <v xml:space="preserve"> </v>
      </c>
      <c r="LZ182" s="47" t="str">
        <f t="shared" si="1691"/>
        <v xml:space="preserve"> </v>
      </c>
      <c r="MA182" s="47" t="str">
        <f t="shared" si="1691"/>
        <v xml:space="preserve"> </v>
      </c>
      <c r="MB182" s="57" t="str">
        <f t="shared" si="1691"/>
        <v xml:space="preserve"> </v>
      </c>
      <c r="MC182" s="47" t="str">
        <f t="shared" si="1691"/>
        <v xml:space="preserve"> </v>
      </c>
      <c r="MD182" s="47" t="str">
        <f t="shared" si="1691"/>
        <v xml:space="preserve"> </v>
      </c>
      <c r="ME182" s="47" t="str">
        <f t="shared" si="1691"/>
        <v xml:space="preserve"> </v>
      </c>
      <c r="MF182" s="47" t="str">
        <f t="shared" si="1691"/>
        <v xml:space="preserve"> </v>
      </c>
      <c r="MG182" s="47" t="str">
        <f t="shared" si="1691"/>
        <v xml:space="preserve"> </v>
      </c>
      <c r="MH182" s="57" t="str">
        <f t="shared" si="1691"/>
        <v xml:space="preserve"> </v>
      </c>
      <c r="MI182" s="47" t="str">
        <f t="shared" si="1691"/>
        <v xml:space="preserve"> </v>
      </c>
      <c r="MJ182" s="47" t="str">
        <f t="shared" si="1691"/>
        <v xml:space="preserve"> </v>
      </c>
      <c r="MK182" s="47" t="str">
        <f t="shared" si="1691"/>
        <v xml:space="preserve"> </v>
      </c>
      <c r="ML182" s="47" t="str">
        <f t="shared" si="1691"/>
        <v xml:space="preserve"> </v>
      </c>
      <c r="MM182" s="47" t="str">
        <f t="shared" si="1691"/>
        <v xml:space="preserve"> </v>
      </c>
      <c r="MN182" s="57" t="str">
        <f t="shared" si="1691"/>
        <v xml:space="preserve"> </v>
      </c>
      <c r="MO182" s="47" t="str">
        <f t="shared" si="1691"/>
        <v xml:space="preserve"> </v>
      </c>
      <c r="MP182" s="47" t="str">
        <f t="shared" si="1691"/>
        <v xml:space="preserve"> </v>
      </c>
      <c r="MQ182" s="47" t="str">
        <f t="shared" si="1691"/>
        <v xml:space="preserve"> </v>
      </c>
      <c r="MR182" s="47" t="str">
        <f t="shared" si="1691"/>
        <v xml:space="preserve"> </v>
      </c>
      <c r="MS182" s="47" t="str">
        <f t="shared" si="1691"/>
        <v xml:space="preserve"> </v>
      </c>
      <c r="MT182" s="57" t="str">
        <f t="shared" si="1691"/>
        <v xml:space="preserve"> </v>
      </c>
      <c r="MU182" s="47" t="str">
        <f t="shared" si="1691"/>
        <v xml:space="preserve"> </v>
      </c>
      <c r="MV182" s="47" t="str">
        <f t="shared" si="1691"/>
        <v xml:space="preserve"> </v>
      </c>
      <c r="MW182" s="47" t="str">
        <f t="shared" si="1691"/>
        <v xml:space="preserve"> </v>
      </c>
      <c r="MX182" s="47" t="str">
        <f t="shared" si="1691"/>
        <v xml:space="preserve"> </v>
      </c>
      <c r="MY182" s="47" t="str">
        <f t="shared" si="1691"/>
        <v xml:space="preserve"> </v>
      </c>
      <c r="MZ182" s="57" t="str">
        <f t="shared" si="1691"/>
        <v xml:space="preserve"> </v>
      </c>
      <c r="NA182" s="47" t="str">
        <f t="shared" si="1691"/>
        <v xml:space="preserve"> </v>
      </c>
      <c r="NB182" s="47" t="str">
        <f t="shared" si="1691"/>
        <v xml:space="preserve"> </v>
      </c>
      <c r="NC182" s="47" t="str">
        <f t="shared" si="1691"/>
        <v xml:space="preserve"> </v>
      </c>
      <c r="ND182" s="47" t="str">
        <f t="shared" si="1691"/>
        <v xml:space="preserve"> </v>
      </c>
      <c r="NE182" s="47" t="str">
        <f t="shared" si="1691"/>
        <v xml:space="preserve"> </v>
      </c>
      <c r="NF182" s="57" t="str">
        <f t="shared" si="1691"/>
        <v xml:space="preserve"> </v>
      </c>
      <c r="NG182" s="47" t="str">
        <f t="shared" si="1691"/>
        <v xml:space="preserve"> </v>
      </c>
      <c r="NH182" s="47" t="str">
        <f t="shared" si="1691"/>
        <v xml:space="preserve"> </v>
      </c>
      <c r="NI182" s="47" t="str">
        <f t="shared" si="1691"/>
        <v xml:space="preserve"> </v>
      </c>
      <c r="NJ182" s="47" t="str">
        <f t="shared" si="1691"/>
        <v xml:space="preserve"> </v>
      </c>
      <c r="NK182" s="47" t="str">
        <f t="shared" si="1691"/>
        <v xml:space="preserve"> </v>
      </c>
      <c r="NL182" s="57" t="str">
        <f t="shared" si="1691"/>
        <v xml:space="preserve"> </v>
      </c>
      <c r="NM182" s="47" t="str">
        <f t="shared" si="1691"/>
        <v xml:space="preserve"> </v>
      </c>
    </row>
    <row r="183" spans="3:377" ht="15.75" customHeight="1">
      <c r="C183" s="7" t="str">
        <f t="shared" si="841"/>
        <v>metal processing</v>
      </c>
      <c r="D183" s="21" t="str">
        <f t="shared" si="651"/>
        <v xml:space="preserve"> </v>
      </c>
      <c r="E183" s="21" t="str">
        <f t="shared" si="842"/>
        <v xml:space="preserve"> </v>
      </c>
      <c r="F183" s="21" t="str">
        <f t="shared" si="651"/>
        <v xml:space="preserve"> </v>
      </c>
      <c r="G183" s="21" t="str">
        <f t="shared" si="843"/>
        <v xml:space="preserve"> </v>
      </c>
      <c r="H183" s="21" t="str">
        <f t="shared" si="844"/>
        <v xml:space="preserve"> </v>
      </c>
      <c r="I183" s="21" t="str">
        <f t="shared" ref="I183" si="1692">IF(I81="",I184,$C183&amp;"("&amp;I81&amp;"),"&amp;I184)</f>
        <v xml:space="preserve"> </v>
      </c>
      <c r="J183" s="21" t="str">
        <f t="shared" ref="J183" si="1693">IF(J81="",J184,$C183&amp;" "&amp;J81&amp;CHAR(10)&amp;J184)</f>
        <v xml:space="preserve">interaction 1
 </v>
      </c>
      <c r="K183" s="21" t="str">
        <f t="shared" si="654"/>
        <v xml:space="preserve"> </v>
      </c>
      <c r="L183" s="21" t="str">
        <f t="shared" ref="L183" si="1694">IF(L81="",L184,$C183&amp;" "&amp;L81&amp;CHAR(10)&amp;L184)</f>
        <v xml:space="preserve"> </v>
      </c>
      <c r="M183" s="21" t="str">
        <f t="shared" si="656"/>
        <v xml:space="preserve">social innovation(1), non-profit biz(1),  </v>
      </c>
      <c r="N183" s="21" t="str">
        <f t="shared" si="657"/>
        <v xml:space="preserve"> </v>
      </c>
      <c r="O183" s="21" t="str">
        <f t="shared" si="658"/>
        <v xml:space="preserve"> </v>
      </c>
      <c r="P183" s="21" t="str">
        <f t="shared" ref="P183" si="1695">IF(P81="",P184,$C183&amp;" "&amp;P81&amp;CHAR(10)&amp;P184)</f>
        <v xml:space="preserve">biz project 1
 </v>
      </c>
      <c r="Q183" s="21" t="str">
        <f t="shared" si="660"/>
        <v xml:space="preserve"> </v>
      </c>
      <c r="R183" s="21" t="str">
        <f t="shared" ref="R183" si="1696">IF(R81="",R184,$C183&amp;" "&amp;R81&amp;CHAR(10)&amp;R184)</f>
        <v xml:space="preserve"> </v>
      </c>
      <c r="S183" s="21" t="str">
        <f t="shared" si="662"/>
        <v xml:space="preserve">biz enhancement(1), business(1), start-up(1),  </v>
      </c>
      <c r="T183" s="21" t="str">
        <f t="shared" si="663"/>
        <v xml:space="preserve"> </v>
      </c>
      <c r="U183" s="21" t="str">
        <f t="shared" si="658"/>
        <v xml:space="preserve"> </v>
      </c>
      <c r="V183" s="21" t="str">
        <f t="shared" ref="V183" si="1697">IF(V81="",V184,$C183&amp;" "&amp;V81&amp;CHAR(10)&amp;V184)</f>
        <v xml:space="preserve"> </v>
      </c>
      <c r="W183" s="21" t="str">
        <f t="shared" si="665"/>
        <v xml:space="preserve"> </v>
      </c>
      <c r="X183" s="21" t="str">
        <f t="shared" ref="X183" si="1698">IF(X81="",X184,$C183&amp;" "&amp;X81&amp;CHAR(10)&amp;X184)</f>
        <v xml:space="preserve"> </v>
      </c>
      <c r="Y183" s="21" t="str">
        <f t="shared" si="667"/>
        <v xml:space="preserve">biz project(1), biz enhancement(1), job creation(1), business(1),  </v>
      </c>
      <c r="Z183" s="21" t="str">
        <f t="shared" si="668"/>
        <v xml:space="preserve"> </v>
      </c>
      <c r="AA183" s="21" t="str">
        <f t="shared" si="658"/>
        <v xml:space="preserve"> </v>
      </c>
      <c r="AB183" s="21" t="str">
        <f t="shared" ref="AB183" si="1699">IF(AB81="",AB184,$C183&amp;" "&amp;AB81&amp;CHAR(10)&amp;AB184)</f>
        <v xml:space="preserve"> </v>
      </c>
      <c r="AC183" s="21" t="str">
        <f t="shared" si="670"/>
        <v xml:space="preserve"> </v>
      </c>
      <c r="AD183" s="21" t="str">
        <f t="shared" ref="AD183" si="1700">IF(AD81="",AD184,$C183&amp;" "&amp;AD81&amp;CHAR(10)&amp;AD184)</f>
        <v xml:space="preserve"> </v>
      </c>
      <c r="AE183" s="21" t="str">
        <f t="shared" si="672"/>
        <v xml:space="preserve">social project(1), social innovation(1), non-profit biz(1),  </v>
      </c>
      <c r="AF183" s="21" t="str">
        <f t="shared" si="673"/>
        <v xml:space="preserve"> </v>
      </c>
      <c r="AG183" s="21" t="str">
        <f t="shared" si="658"/>
        <v xml:space="preserve"> </v>
      </c>
      <c r="AH183" s="21" t="str">
        <f t="shared" ref="AH183" si="1701">IF(AH81="",AH184,$C183&amp;" "&amp;AH81&amp;CHAR(10)&amp;AH184)</f>
        <v xml:space="preserve"> </v>
      </c>
      <c r="AI183" s="21" t="str">
        <f t="shared" si="675"/>
        <v xml:space="preserve"> </v>
      </c>
      <c r="AJ183" s="21" t="str">
        <f t="shared" ref="AJ183" si="1702">IF(AJ81="",AJ184,$C183&amp;" "&amp;AJ81&amp;CHAR(10)&amp;AJ184)</f>
        <v xml:space="preserve"> </v>
      </c>
      <c r="AK183" s="21" t="str">
        <f t="shared" si="677"/>
        <v xml:space="preserve">social project(1), social innovation(1), non-profit biz(1),  </v>
      </c>
      <c r="AL183" s="21" t="str">
        <f t="shared" si="678"/>
        <v xml:space="preserve"> </v>
      </c>
      <c r="AM183" s="21" t="str">
        <f t="shared" si="658"/>
        <v xml:space="preserve"> </v>
      </c>
      <c r="AN183" s="21" t="str">
        <f t="shared" ref="AN183" si="1703">IF(AN81="",AN184,$C183&amp;" "&amp;AN81&amp;CHAR(10)&amp;AN184)</f>
        <v xml:space="preserve"> </v>
      </c>
      <c r="AO183" s="21" t="str">
        <f t="shared" si="680"/>
        <v xml:space="preserve"> </v>
      </c>
      <c r="AP183" s="21" t="str">
        <f t="shared" ref="AP183" si="1704">IF(AP81="",AP184,$C183&amp;" "&amp;AP81&amp;CHAR(10)&amp;AP184)</f>
        <v xml:space="preserve"> </v>
      </c>
      <c r="AQ183" s="21" t="str">
        <f t="shared" si="682"/>
        <v xml:space="preserve">start-up(1), start-up with mvp(1), start-up with customers(1),  </v>
      </c>
      <c r="AR183" s="21" t="str">
        <f t="shared" si="683"/>
        <v xml:space="preserve"> </v>
      </c>
      <c r="AS183" s="21" t="str">
        <f t="shared" si="658"/>
        <v xml:space="preserve"> </v>
      </c>
      <c r="AT183" s="21" t="str">
        <f t="shared" ref="AT183" si="1705">IF(AT81="",AT184,$C183&amp;" "&amp;AT81&amp;CHAR(10)&amp;AT184)</f>
        <v xml:space="preserve">social project 1
 </v>
      </c>
      <c r="AU183" s="21" t="str">
        <f t="shared" si="685"/>
        <v xml:space="preserve"> </v>
      </c>
      <c r="AV183" s="21" t="str">
        <f t="shared" ref="AV183" si="1706">IF(AV81="",AV184,$C183&amp;" "&amp;AV81&amp;CHAR(10)&amp;AV184)</f>
        <v xml:space="preserve"> </v>
      </c>
      <c r="AW183" s="21" t="str">
        <f t="shared" si="687"/>
        <v xml:space="preserve"> </v>
      </c>
      <c r="AX183" s="21" t="str">
        <f t="shared" si="688"/>
        <v xml:space="preserve"> </v>
      </c>
      <c r="AY183" s="21" t="str">
        <f t="shared" si="658"/>
        <v xml:space="preserve"> </v>
      </c>
      <c r="AZ183" s="21" t="str">
        <f t="shared" ref="AZ183" si="1707">IF(AZ81="",AZ184,$C183&amp;" "&amp;AZ81&amp;CHAR(10)&amp;AZ184)</f>
        <v xml:space="preserve"> </v>
      </c>
      <c r="BA183" s="21" t="str">
        <f t="shared" si="690"/>
        <v xml:space="preserve"> </v>
      </c>
      <c r="BB183" s="21" t="str">
        <f t="shared" ref="BB183" si="1708">IF(BB81="",BB184,$C183&amp;" "&amp;BB81&amp;CHAR(10)&amp;BB184)</f>
        <v xml:space="preserve"> </v>
      </c>
      <c r="BC183" s="21" t="str">
        <f t="shared" si="692"/>
        <v xml:space="preserve"> </v>
      </c>
      <c r="BD183" s="21" t="str">
        <f t="shared" si="693"/>
        <v xml:space="preserve"> </v>
      </c>
      <c r="BE183" s="21" t="str">
        <f t="shared" si="658"/>
        <v xml:space="preserve"> </v>
      </c>
      <c r="BF183" s="21" t="str">
        <f t="shared" ref="BF183" si="1709">IF(BF81="",BF184,$C183&amp;" "&amp;BF81&amp;CHAR(10)&amp;BF184)</f>
        <v xml:space="preserve">biz project 1
 </v>
      </c>
      <c r="BG183" s="21" t="str">
        <f t="shared" si="695"/>
        <v xml:space="preserve"> </v>
      </c>
      <c r="BH183" s="21" t="str">
        <f t="shared" ref="BH183" si="1710">IF(BH81="",BH184,$C183&amp;" "&amp;BH81&amp;CHAR(10)&amp;BH184)</f>
        <v xml:space="preserve"> </v>
      </c>
      <c r="BI183" s="21" t="str">
        <f t="shared" si="697"/>
        <v xml:space="preserve"> </v>
      </c>
      <c r="BJ183" s="21" t="str">
        <f t="shared" si="698"/>
        <v xml:space="preserve"> </v>
      </c>
      <c r="BK183" s="21" t="str">
        <f t="shared" si="658"/>
        <v xml:space="preserve"> </v>
      </c>
      <c r="BL183" s="21" t="str">
        <f t="shared" ref="BL183" si="1711">IF(BL81="",BL184,$C183&amp;" "&amp;BL81&amp;CHAR(10)&amp;BL184)</f>
        <v xml:space="preserve">biz enhancement 1
 </v>
      </c>
      <c r="BM183" s="21" t="str">
        <f t="shared" si="700"/>
        <v xml:space="preserve"> </v>
      </c>
      <c r="BN183" s="21" t="str">
        <f t="shared" ref="BN183" si="1712">IF(BN81="",BN184,$C183&amp;" "&amp;BN81&amp;CHAR(10)&amp;BN184)</f>
        <v xml:space="preserve"> </v>
      </c>
      <c r="BO183" s="21" t="str">
        <f t="shared" si="702"/>
        <v xml:space="preserve"> </v>
      </c>
      <c r="BP183" s="21" t="str">
        <f t="shared" si="703"/>
        <v xml:space="preserve"> </v>
      </c>
      <c r="BQ183" s="21" t="str">
        <f t="shared" si="658"/>
        <v xml:space="preserve"> </v>
      </c>
      <c r="BR183" s="21" t="str">
        <f t="shared" ref="BR183" si="1713">IF(BR81="",BR184,$C183&amp;" "&amp;BR81&amp;CHAR(10)&amp;BR184)</f>
        <v xml:space="preserve"> </v>
      </c>
      <c r="BS183" s="21" t="str">
        <f t="shared" si="705"/>
        <v xml:space="preserve"> </v>
      </c>
      <c r="BT183" s="21" t="str">
        <f t="shared" ref="BT183" si="1714">IF(BT81="",BT184,$C183&amp;" "&amp;BT81&amp;CHAR(10)&amp;BT184)</f>
        <v xml:space="preserve"> </v>
      </c>
      <c r="BU183" s="21" t="str">
        <f t="shared" si="707"/>
        <v xml:space="preserve"> </v>
      </c>
      <c r="BV183" s="21" t="str">
        <f t="shared" si="708"/>
        <v xml:space="preserve"> </v>
      </c>
      <c r="BW183" s="21" t="str">
        <f t="shared" si="658"/>
        <v xml:space="preserve"> </v>
      </c>
      <c r="BX183" s="21" t="str">
        <f t="shared" ref="BX183" si="1715">IF(BX81="",BX184,$C183&amp;" "&amp;BX81&amp;CHAR(10)&amp;BX184)</f>
        <v xml:space="preserve"> </v>
      </c>
      <c r="BY183" s="21" t="str">
        <f t="shared" si="710"/>
        <v xml:space="preserve"> </v>
      </c>
      <c r="BZ183" s="21" t="str">
        <f t="shared" ref="BZ183" si="1716">IF(BZ81="",BZ184,$C183&amp;" "&amp;BZ81&amp;CHAR(10)&amp;BZ184)</f>
        <v xml:space="preserve"> </v>
      </c>
      <c r="CA183" s="21" t="str">
        <f t="shared" si="712"/>
        <v xml:space="preserve"> </v>
      </c>
      <c r="CB183" s="21" t="str">
        <f t="shared" si="713"/>
        <v xml:space="preserve"> </v>
      </c>
      <c r="CC183" s="21" t="str">
        <f t="shared" si="714"/>
        <v xml:space="preserve"> </v>
      </c>
      <c r="CD183" s="21" t="str">
        <f t="shared" ref="CD183" si="1717">IF(CD81="",CD184,$C183&amp;" "&amp;CD81&amp;CHAR(10)&amp;CD184)</f>
        <v xml:space="preserve"> </v>
      </c>
      <c r="CE183" s="21" t="str">
        <f t="shared" si="716"/>
        <v xml:space="preserve"> </v>
      </c>
      <c r="CF183" s="21" t="str">
        <f t="shared" ref="CF183" si="1718">IF(CF81="",CF184,$C183&amp;" "&amp;CF81&amp;CHAR(10)&amp;CF184)</f>
        <v xml:space="preserve"> </v>
      </c>
      <c r="CG183" s="21" t="str">
        <f t="shared" si="718"/>
        <v xml:space="preserve">social project(1), biz project(1), for basic literacy(1), for the elites(1), for entrepreneurs(1),  </v>
      </c>
      <c r="CH183" s="21" t="str">
        <f t="shared" si="719"/>
        <v xml:space="preserve"> </v>
      </c>
      <c r="CI183" s="21" t="str">
        <f t="shared" si="714"/>
        <v xml:space="preserve"> </v>
      </c>
      <c r="CJ183" s="21" t="str">
        <f t="shared" ref="CJ183" si="1719">IF(CJ81="",CJ184,$C183&amp;" "&amp;CJ81&amp;CHAR(10)&amp;CJ184)</f>
        <v xml:space="preserve"> </v>
      </c>
      <c r="CK183" s="21" t="str">
        <f t="shared" si="721"/>
        <v xml:space="preserve"> </v>
      </c>
      <c r="CL183" s="21" t="str">
        <f t="shared" ref="CL183" si="1720">IF(CL81="",CL184,$C183&amp;" "&amp;CL81&amp;CHAR(10)&amp;CL184)</f>
        <v xml:space="preserve"> </v>
      </c>
      <c r="CM183" s="21" t="str">
        <f t="shared" si="723"/>
        <v xml:space="preserve"> </v>
      </c>
      <c r="CN183" s="21" t="str">
        <f t="shared" si="724"/>
        <v xml:space="preserve"> </v>
      </c>
      <c r="CO183" s="21" t="str">
        <f t="shared" si="714"/>
        <v xml:space="preserve"> </v>
      </c>
      <c r="CP183" s="21" t="str">
        <f t="shared" ref="CP183" si="1721">IF(CP81="",CP184,$C183&amp;" "&amp;CP81&amp;CHAR(10)&amp;CP184)</f>
        <v xml:space="preserve"> </v>
      </c>
      <c r="CQ183" s="21" t="str">
        <f t="shared" si="726"/>
        <v xml:space="preserve"> </v>
      </c>
      <c r="CR183" s="21" t="str">
        <f t="shared" ref="CR183" si="1722">IF(CR81="",CR184,$C183&amp;" "&amp;CR81&amp;CHAR(10)&amp;CR184)</f>
        <v xml:space="preserve"> </v>
      </c>
      <c r="CS183" s="21" t="str">
        <f t="shared" si="728"/>
        <v xml:space="preserve">metal processing(1), plastic processing(1), electronics(1), fabric(1),  </v>
      </c>
      <c r="CT183" s="21" t="str">
        <f t="shared" si="729"/>
        <v xml:space="preserve"> </v>
      </c>
      <c r="CU183" s="21" t="str">
        <f t="shared" si="714"/>
        <v xml:space="preserve"> </v>
      </c>
      <c r="CV183" s="21" t="str">
        <f t="shared" ref="CV183" si="1723">IF(CV81="",CV184,$C183&amp;" "&amp;CV81&amp;CHAR(10)&amp;CV184)</f>
        <v xml:space="preserve"> </v>
      </c>
      <c r="CW183" s="21" t="str">
        <f t="shared" si="731"/>
        <v xml:space="preserve"> </v>
      </c>
      <c r="CX183" s="21" t="str">
        <f t="shared" ref="CX183" si="1724">IF(CX81="",CX184,$C183&amp;" "&amp;CX81&amp;CHAR(10)&amp;CX184)</f>
        <v xml:space="preserve"> </v>
      </c>
      <c r="CY183" s="21" t="str">
        <f t="shared" si="733"/>
        <v xml:space="preserve"> </v>
      </c>
      <c r="CZ183" s="21" t="str">
        <f t="shared" si="734"/>
        <v xml:space="preserve"> </v>
      </c>
      <c r="DA183" s="21" t="str">
        <f t="shared" si="714"/>
        <v xml:space="preserve"> </v>
      </c>
      <c r="DB183" s="21" t="str">
        <f t="shared" ref="DB183" si="1725">IF(DB81="",DB184,$C183&amp;" "&amp;DB81&amp;CHAR(10)&amp;DB184)</f>
        <v xml:space="preserve"> </v>
      </c>
      <c r="DC183" s="21" t="str">
        <f t="shared" si="736"/>
        <v xml:space="preserve"> </v>
      </c>
      <c r="DD183" s="21" t="str">
        <f t="shared" ref="DD183" si="1726">IF(DD81="",DD184,$C183&amp;" "&amp;DD81&amp;CHAR(10)&amp;DD184)</f>
        <v xml:space="preserve"> </v>
      </c>
      <c r="DE183" s="21" t="str">
        <f t="shared" si="738"/>
        <v xml:space="preserve">metal processing(2), plastic processing(2), electronics(2), fabric(2), aesthetics(2), functions(2), safety(2), interaction(2), biz project(1), biz enhancement(1), job creation(1), business(1), start-up(1), start-up with mvp(1), start-up with customers(1), for entrepreneurs(2),  </v>
      </c>
      <c r="DF183" s="21" t="str">
        <f t="shared" si="739"/>
        <v xml:space="preserve"> </v>
      </c>
      <c r="DG183" s="21" t="str">
        <f t="shared" si="714"/>
        <v xml:space="preserve"> </v>
      </c>
      <c r="DH183" s="21" t="str">
        <f t="shared" ref="DH183" si="1727">IF(DH81="",DH184,$C183&amp;" "&amp;DH81&amp;CHAR(10)&amp;DH184)</f>
        <v xml:space="preserve">social project 1
 </v>
      </c>
      <c r="DI183" s="21" t="str">
        <f t="shared" si="741"/>
        <v xml:space="preserve"> </v>
      </c>
      <c r="DJ183" s="21" t="str">
        <f t="shared" ref="DJ183" si="1728">IF(DJ81="",DJ184,$C183&amp;" "&amp;DJ81&amp;CHAR(10)&amp;DJ184)</f>
        <v xml:space="preserve"> </v>
      </c>
      <c r="DK183" s="21" t="str">
        <f t="shared" si="743"/>
        <v xml:space="preserve">metal processing(2), plastic processing(2), electronics(2), fabric(2), aesthetics(2), functions(2), safety(2), interaction(2), social project(2), social innovation(1), non-profit biz(1),  </v>
      </c>
      <c r="DL183" s="21" t="str">
        <f t="shared" si="744"/>
        <v xml:space="preserve"> </v>
      </c>
      <c r="DM183" s="21" t="str">
        <f t="shared" si="714"/>
        <v xml:space="preserve"> </v>
      </c>
      <c r="DN183" s="21" t="str">
        <f t="shared" ref="DN183" si="1729">IF(DN81="",DN184,$C183&amp;" "&amp;DN81&amp;CHAR(10)&amp;DN184)</f>
        <v xml:space="preserve">biz project 1
 </v>
      </c>
      <c r="DO183" s="21" t="str">
        <f t="shared" si="746"/>
        <v xml:space="preserve"> </v>
      </c>
      <c r="DP183" s="21" t="str">
        <f t="shared" ref="DP183" si="1730">IF(DP81="",DP184,$C183&amp;" "&amp;DP81&amp;CHAR(10)&amp;DP184)</f>
        <v xml:space="preserve"> </v>
      </c>
      <c r="DQ183" s="21" t="str">
        <f t="shared" si="748"/>
        <v xml:space="preserve">metal processing(2), plastic processing(2), electronics(2), fabric(2), aesthetics(2), functions(2), safety(2), interaction(2), biz project(2), biz enhancement(1), job creation(1), business(1), start-up(1), start-up with mvp(1), start-up with customers(1), for entrepreneurs(1),  </v>
      </c>
      <c r="DR183" s="21" t="str">
        <f t="shared" si="749"/>
        <v xml:space="preserve"> </v>
      </c>
      <c r="DS183" s="21" t="str">
        <f t="shared" si="714"/>
        <v xml:space="preserve"> </v>
      </c>
      <c r="DT183" s="21" t="str">
        <f t="shared" ref="DT183" si="1731">IF(DT81="",DT184,$C183&amp;" "&amp;DT81&amp;CHAR(10)&amp;DT184)</f>
        <v xml:space="preserve"> </v>
      </c>
      <c r="DU183" s="21" t="str">
        <f t="shared" si="751"/>
        <v xml:space="preserve"> </v>
      </c>
      <c r="DV183" s="21" t="str">
        <f t="shared" ref="DV183" si="1732">IF(DV81="",DV184,$C183&amp;" "&amp;DV81&amp;CHAR(10)&amp;DV184)</f>
        <v xml:space="preserve"> </v>
      </c>
      <c r="DW183" s="21" t="str">
        <f t="shared" si="753"/>
        <v xml:space="preserve">for basic literacy(1),  </v>
      </c>
      <c r="DX183" s="21" t="str">
        <f t="shared" si="754"/>
        <v xml:space="preserve">for basic literacy(1,6.25),  </v>
      </c>
      <c r="DY183" s="21" t="str">
        <f t="shared" si="714"/>
        <v xml:space="preserve">for basic literacy(6.25), </v>
      </c>
      <c r="DZ183" s="21" t="str">
        <f t="shared" ref="DZ183" si="1733">IF(DZ81="",DZ184,$C183&amp;" "&amp;DZ81&amp;CHAR(10)&amp;DZ184)</f>
        <v xml:space="preserve"> </v>
      </c>
      <c r="EA183" s="21" t="str">
        <f t="shared" si="756"/>
        <v xml:space="preserve"> </v>
      </c>
      <c r="EB183" s="21" t="str">
        <f t="shared" ref="EB183" si="1734">IF(EB81="",EB184,$C183&amp;" "&amp;EB81&amp;CHAR(10)&amp;EB184)</f>
        <v xml:space="preserve"> </v>
      </c>
      <c r="EC183" s="21" t="str">
        <f t="shared" si="758"/>
        <v xml:space="preserve">metal processing(2), plastic processing(2), electronics(2), fabric(2), for basic literacy(1),  </v>
      </c>
      <c r="ED183" s="21" t="str">
        <f t="shared" si="759"/>
        <v xml:space="preserve">for basic literacy(1,6.25),  </v>
      </c>
      <c r="EE183" s="21" t="str">
        <f t="shared" si="714"/>
        <v xml:space="preserve">for basic literacy(6.25), </v>
      </c>
      <c r="EF183" s="21" t="str">
        <f t="shared" ref="EF183" si="1735">IF(EF81="",EF184,$C183&amp;" "&amp;EF81&amp;CHAR(10)&amp;EF184)</f>
        <v xml:space="preserve"> </v>
      </c>
      <c r="EG183" s="21" t="str">
        <f t="shared" si="761"/>
        <v xml:space="preserve">interaction(1,50),  </v>
      </c>
      <c r="EH183" s="21" t="str">
        <f t="shared" ref="EH183" si="1736">IF(EH81="",EH184,$C183&amp;" "&amp;EH81&amp;CHAR(10)&amp;EH184)</f>
        <v xml:space="preserve">interaction 50
 </v>
      </c>
      <c r="EI183" s="21" t="str">
        <f t="shared" si="763"/>
        <v xml:space="preserve">for entrepreneurs(1),  </v>
      </c>
      <c r="EJ183" s="21" t="str">
        <f t="shared" si="764"/>
        <v xml:space="preserve">for entrepreneurs(1,6.25),  </v>
      </c>
      <c r="EK183" s="21" t="str">
        <f t="shared" si="714"/>
        <v xml:space="preserve">for entrepreneurs(6.25), </v>
      </c>
      <c r="EL183" s="21" t="str">
        <f t="shared" ref="EL183" si="1737">IF(EL81="",EL184,$C183&amp;" "&amp;EL81&amp;CHAR(10)&amp;EL184)</f>
        <v xml:space="preserve"> </v>
      </c>
      <c r="EM183" s="21" t="str">
        <f t="shared" si="766"/>
        <v xml:space="preserve"> </v>
      </c>
      <c r="EN183" s="21" t="str">
        <f t="shared" ref="EN183" si="1738">IF(EN81="",EN184,$C183&amp;" "&amp;EN81&amp;CHAR(10)&amp;EN184)</f>
        <v xml:space="preserve"> </v>
      </c>
      <c r="EO183" s="21" t="str">
        <f t="shared" si="768"/>
        <v xml:space="preserve">for entrepreneurs(1),  </v>
      </c>
      <c r="EP183" s="21" t="str">
        <f t="shared" si="769"/>
        <v xml:space="preserve">electronics(1,6.25), for entrepreneurs(1,6.25),  </v>
      </c>
      <c r="EQ183" s="21" t="str">
        <f t="shared" si="770"/>
        <v xml:space="preserve">electronics(6.25),for entrepreneurs(6.25), </v>
      </c>
      <c r="ER183" s="21" t="str">
        <f t="shared" ref="ER183" si="1739">IF(ER81="",ER184,$C183&amp;" "&amp;ER81&amp;CHAR(10)&amp;ER184)</f>
        <v xml:space="preserve"> </v>
      </c>
      <c r="ES183" s="21" t="str">
        <f t="shared" si="772"/>
        <v xml:space="preserve"> </v>
      </c>
      <c r="ET183" s="21" t="str">
        <f t="shared" ref="ET183" si="1740">IF(ET81="",ET184,$C183&amp;" "&amp;ET81&amp;CHAR(10)&amp;ET184)</f>
        <v xml:space="preserve"> </v>
      </c>
      <c r="EU183" s="21" t="str">
        <f t="shared" si="774"/>
        <v xml:space="preserve">for entrepreneurs(1),  </v>
      </c>
      <c r="EV183" s="21" t="str">
        <f t="shared" si="775"/>
        <v xml:space="preserve">for entrepreneurs(1,6.25),  </v>
      </c>
      <c r="EW183" s="21" t="str">
        <f t="shared" si="770"/>
        <v xml:space="preserve">for entrepreneurs(6.25), </v>
      </c>
      <c r="EX183" s="21" t="str">
        <f t="shared" ref="EX183" si="1741">IF(EX81="",EX184,$C183&amp;" "&amp;EX81&amp;CHAR(10)&amp;EX184)</f>
        <v xml:space="preserve"> </v>
      </c>
      <c r="EY183" s="21" t="str">
        <f t="shared" si="777"/>
        <v xml:space="preserve">interaction(1,25),  </v>
      </c>
      <c r="EZ183" s="21" t="str">
        <f t="shared" ref="EZ183" si="1742">IF(EZ81="",EZ184,$C183&amp;" "&amp;EZ81&amp;CHAR(10)&amp;EZ184)</f>
        <v xml:space="preserve">interaction 25
 </v>
      </c>
      <c r="FA183" s="21" t="str">
        <f t="shared" si="779"/>
        <v xml:space="preserve">for entrepreneurs(1),  </v>
      </c>
      <c r="FB183" s="21" t="str">
        <f t="shared" si="780"/>
        <v xml:space="preserve">for entrepreneurs(1,6.25),  </v>
      </c>
      <c r="FC183" s="21" t="str">
        <f t="shared" si="770"/>
        <v xml:space="preserve">for entrepreneurs(6.25), </v>
      </c>
      <c r="FD183" s="21" t="str">
        <f t="shared" ref="FD183" si="1743">IF(FD81="",FD184,$C183&amp;" "&amp;FD81&amp;CHAR(10)&amp;FD184)</f>
        <v xml:space="preserve"> </v>
      </c>
      <c r="FE183" s="21" t="str">
        <f t="shared" si="782"/>
        <v xml:space="preserve"> </v>
      </c>
      <c r="FF183" s="21" t="str">
        <f t="shared" ref="FF183" si="1744">IF(FF81="",FF184,$C183&amp;" "&amp;FF81&amp;CHAR(10)&amp;FF184)</f>
        <v xml:space="preserve"> </v>
      </c>
      <c r="FG183" s="21" t="str">
        <f t="shared" si="784"/>
        <v xml:space="preserve">for entrepreneurs(1),  </v>
      </c>
      <c r="FH183" s="21" t="str">
        <f t="shared" si="785"/>
        <v xml:space="preserve">for entrepreneurs(1,6.25),  </v>
      </c>
      <c r="FI183" s="21" t="str">
        <f t="shared" si="770"/>
        <v xml:space="preserve">for entrepreneurs(6.25), </v>
      </c>
      <c r="FJ183" s="21" t="str">
        <f t="shared" ref="FJ183" si="1745">IF(FJ81="",FJ184,$C183&amp;" "&amp;FJ81&amp;CHAR(10)&amp;FJ184)</f>
        <v xml:space="preserve"> </v>
      </c>
      <c r="FK183" s="21" t="str">
        <f t="shared" si="787"/>
        <v xml:space="preserve">metal processing(1,25), plastic processing(1,25), fabric(1,25), safety(1,25), interaction(1,25),  </v>
      </c>
      <c r="FL183" s="21" t="str">
        <f t="shared" ref="FL183" si="1746">IF(FL81="",FL184,$C183&amp;" "&amp;FL81&amp;CHAR(10)&amp;FL184)</f>
        <v xml:space="preserve">metal processing 25
plastic processing 25
fabric 25
safety 25
interaction 25
 </v>
      </c>
      <c r="FM183" s="21" t="str">
        <f t="shared" si="789"/>
        <v xml:space="preserve">for entrepreneurs(1),  </v>
      </c>
      <c r="FN183" s="21" t="str">
        <f t="shared" si="790"/>
        <v xml:space="preserve">for entrepreneurs(1,6.25),  </v>
      </c>
      <c r="FO183" s="21" t="str">
        <f t="shared" si="770"/>
        <v xml:space="preserve">for entrepreneurs(6.25), </v>
      </c>
      <c r="FP183" s="21" t="str">
        <f t="shared" ref="FP183" si="1747">IF(FP81="",FP184,$C183&amp;" "&amp;FP81&amp;CHAR(10)&amp;FP184)</f>
        <v xml:space="preserve"> </v>
      </c>
      <c r="FQ183" s="21" t="str">
        <f t="shared" si="792"/>
        <v xml:space="preserve">functions(1,25), interaction(1,25),  </v>
      </c>
      <c r="FR183" s="21" t="str">
        <f t="shared" ref="FR183" si="1748">IF(FR81="",FR184,$C183&amp;" "&amp;FR81&amp;CHAR(10)&amp;FR184)</f>
        <v xml:space="preserve">functions 25
interaction 25
 </v>
      </c>
      <c r="FS183" s="21" t="str">
        <f t="shared" si="794"/>
        <v xml:space="preserve">for entrepreneurs(1),  </v>
      </c>
      <c r="FT183" s="21" t="str">
        <f t="shared" si="795"/>
        <v xml:space="preserve">for entrepreneurs(1,6.25),  </v>
      </c>
      <c r="FU183" s="21" t="str">
        <f t="shared" si="770"/>
        <v xml:space="preserve">for entrepreneurs(6.25), </v>
      </c>
      <c r="FV183" s="21" t="str">
        <f t="shared" ref="FV183" si="1749">IF(FV81="",FV184,$C183&amp;" "&amp;FV81&amp;CHAR(10)&amp;FV184)</f>
        <v xml:space="preserve"> </v>
      </c>
      <c r="FW183" s="21" t="str">
        <f t="shared" si="797"/>
        <v xml:space="preserve">plastic processing(1,25), electronics(1,25), functions(1,25), interaction(1,25),  </v>
      </c>
      <c r="FX183" s="21" t="str">
        <f t="shared" ref="FX183" si="1750">IF(FX81="",FX184,$C183&amp;" "&amp;FX81&amp;CHAR(10)&amp;FX184)</f>
        <v xml:space="preserve">plastic processing 25
electronics 25
functions 25
interaction 25
 </v>
      </c>
      <c r="FY183" s="21" t="str">
        <f t="shared" si="799"/>
        <v xml:space="preserve">for entrepreneurs(1),  </v>
      </c>
      <c r="FZ183" s="21" t="str">
        <f t="shared" si="800"/>
        <v xml:space="preserve">for entrepreneurs(1,6.25),  </v>
      </c>
      <c r="GA183" s="21" t="str">
        <f t="shared" si="770"/>
        <v xml:space="preserve">for entrepreneurs(6.25), </v>
      </c>
      <c r="GB183" s="21" t="str">
        <f t="shared" ref="GB183" si="1751">IF(GB81="",GB184,$C183&amp;" "&amp;GB81&amp;CHAR(10)&amp;GB184)</f>
        <v xml:space="preserve"> </v>
      </c>
      <c r="GC183" s="21" t="str">
        <f t="shared" si="802"/>
        <v xml:space="preserve">electronics(1,50), functions(1,25), safety(1,25),  </v>
      </c>
      <c r="GD183" s="21" t="str">
        <f t="shared" ref="GD183" si="1752">IF(GD81="",GD184,$C183&amp;" "&amp;GD81&amp;CHAR(10)&amp;GD184)</f>
        <v xml:space="preserve">electronics 50
functions 25
safety 25
 </v>
      </c>
      <c r="GE183" s="21" t="str">
        <f t="shared" si="804"/>
        <v xml:space="preserve">for entrepreneurs(1),  </v>
      </c>
      <c r="GF183" s="21" t="str">
        <f t="shared" si="805"/>
        <v xml:space="preserve">plastic processing(1,6.25), interaction(1,6.25), for entrepreneurs(1,6.25),  </v>
      </c>
      <c r="GG183" s="21" t="str">
        <f t="shared" si="770"/>
        <v xml:space="preserve">plastic processing(6.25),interaction(6.25),for entrepreneurs(6.25), </v>
      </c>
      <c r="GH183" s="21" t="str">
        <f t="shared" ref="GH183" si="1753">IF(GH81="",GH184,$C183&amp;" "&amp;GH81&amp;CHAR(10)&amp;GH184)</f>
        <v xml:space="preserve"> </v>
      </c>
      <c r="GI183" s="21" t="str">
        <f t="shared" si="807"/>
        <v xml:space="preserve">functions(1,25), interaction(1,25),  </v>
      </c>
      <c r="GJ183" s="21" t="str">
        <f t="shared" ref="GJ183" si="1754">IF(GJ81="",GJ184,$C183&amp;" "&amp;GJ81&amp;CHAR(10)&amp;GJ184)</f>
        <v xml:space="preserve">functions 25
interaction 25
 </v>
      </c>
      <c r="GK183" s="21" t="str">
        <f t="shared" si="809"/>
        <v xml:space="preserve">for entrepreneurs(1),  </v>
      </c>
      <c r="GL183" s="21" t="str">
        <f t="shared" si="810"/>
        <v xml:space="preserve">for entrepreneurs(1,6.25),  </v>
      </c>
      <c r="GM183" s="21" t="str">
        <f t="shared" si="770"/>
        <v xml:space="preserve">for entrepreneurs(6.25), </v>
      </c>
      <c r="GN183" s="21" t="str">
        <f t="shared" ref="GN183" si="1755">IF(GN81="",GN184,$C183&amp;" "&amp;GN81&amp;CHAR(10)&amp;GN184)</f>
        <v xml:space="preserve"> </v>
      </c>
      <c r="GO183" s="21" t="str">
        <f t="shared" si="812"/>
        <v xml:space="preserve">aesthetics(1,25), functions(1,25), interaction(1,50),  </v>
      </c>
      <c r="GP183" s="21" t="str">
        <f t="shared" ref="GP183" si="1756">IF(GP81="",GP184,$C183&amp;" "&amp;GP81&amp;CHAR(10)&amp;GP184)</f>
        <v xml:space="preserve">aesthetics 25
functions 25
interaction 50
 </v>
      </c>
      <c r="GQ183" s="21" t="str">
        <f t="shared" si="814"/>
        <v xml:space="preserve">for entrepreneurs(1),  </v>
      </c>
      <c r="GR183" s="21" t="str">
        <f t="shared" si="815"/>
        <v xml:space="preserve">for entrepreneurs(1,6.25),  </v>
      </c>
      <c r="GS183" s="21" t="str">
        <f t="shared" si="770"/>
        <v xml:space="preserve">for entrepreneurs(6.25), </v>
      </c>
      <c r="GT183" s="21" t="str">
        <f t="shared" ref="GT183" si="1757">IF(GT81="",GT184,$C183&amp;" "&amp;GT81&amp;CHAR(10)&amp;GT184)</f>
        <v xml:space="preserve"> </v>
      </c>
      <c r="GU183" s="21" t="str">
        <f t="shared" si="817"/>
        <v xml:space="preserve"> </v>
      </c>
      <c r="GV183" s="21" t="str">
        <f t="shared" ref="GV183" si="1758">IF(GV81="",GV184,$C183&amp;" "&amp;GV81&amp;CHAR(10)&amp;GV184)</f>
        <v xml:space="preserve"> </v>
      </c>
      <c r="GW183" s="21" t="str">
        <f t="shared" si="819"/>
        <v xml:space="preserve">electronics(1),  </v>
      </c>
      <c r="GX183" s="21" t="str">
        <f t="shared" si="820"/>
        <v xml:space="preserve"> </v>
      </c>
      <c r="GY183" s="21" t="str">
        <f t="shared" si="770"/>
        <v xml:space="preserve"> </v>
      </c>
      <c r="GZ183" s="21" t="str">
        <f t="shared" ref="GZ183" si="1759">IF(GZ81="",GZ184,$C183&amp;" "&amp;GZ81&amp;CHAR(10)&amp;GZ184)</f>
        <v xml:space="preserve"> </v>
      </c>
      <c r="HA183" s="21" t="str">
        <f t="shared" si="822"/>
        <v xml:space="preserve"> </v>
      </c>
      <c r="HB183" s="21" t="str">
        <f t="shared" ref="HB183" si="1760">IF(HB81="",HB184,$C183&amp;" "&amp;HB81&amp;CHAR(10)&amp;HB184)</f>
        <v xml:space="preserve"> </v>
      </c>
      <c r="HC183" s="21" t="str">
        <f t="shared" si="824"/>
        <v xml:space="preserve">plastic processing(2), electronics(2), aesthetics(2), interaction(2),  </v>
      </c>
      <c r="HD183" s="21" t="str">
        <f t="shared" si="825"/>
        <v xml:space="preserve">start-up with customers(1,6.25), for basic literacy(1,6.25),  </v>
      </c>
      <c r="HE183" s="21" t="str">
        <f t="shared" si="826"/>
        <v xml:space="preserve">start-up with customers(6.25),for basic literacy(6.25), </v>
      </c>
      <c r="HF183" s="21" t="str">
        <f t="shared" ref="HF183" si="1761">IF(HF81="",HF184,$C183&amp;" "&amp;HF81&amp;CHAR(10)&amp;HF184)</f>
        <v xml:space="preserve"> </v>
      </c>
      <c r="HG183" s="21" t="str">
        <f t="shared" si="828"/>
        <v xml:space="preserve"> </v>
      </c>
      <c r="HH183" s="21" t="str">
        <f t="shared" ref="HH183" si="1762">IF(HH81="",HH184,$C183&amp;" "&amp;HH81&amp;CHAR(10)&amp;HH184)</f>
        <v xml:space="preserve"> </v>
      </c>
      <c r="HI183" s="21" t="str">
        <f t="shared" si="830"/>
        <v xml:space="preserve">plastic processing(2), electronics(2), aesthetics(2), functions(2), interaction(2),  </v>
      </c>
      <c r="HJ183" s="21" t="str">
        <f t="shared" si="831"/>
        <v xml:space="preserve">start-up with customers(1,6.25),  </v>
      </c>
      <c r="HK183" s="21" t="str">
        <f t="shared" si="826"/>
        <v xml:space="preserve">start-up with customers(6.25), </v>
      </c>
      <c r="HL183" s="21" t="str">
        <f t="shared" ref="HL183" si="1763">IF(HL81="",HL184,$C183&amp;" "&amp;HL81&amp;CHAR(10)&amp;HL184)</f>
        <v xml:space="preserve"> </v>
      </c>
      <c r="HM183" s="21" t="str">
        <f t="shared" si="833"/>
        <v xml:space="preserve"> </v>
      </c>
      <c r="HN183" s="21" t="str">
        <f t="shared" ref="HN183" si="1764">IF(HN81="",HN184,$C183&amp;" "&amp;HN81&amp;CHAR(10)&amp;HN184)</f>
        <v xml:space="preserve"> </v>
      </c>
      <c r="HO183" s="21" t="str">
        <f t="shared" si="835"/>
        <v xml:space="preserve">plastic processing(3), electronics(3), aesthetics(2), interaction(2),  </v>
      </c>
      <c r="HP183" s="21" t="str">
        <f t="shared" si="836"/>
        <v xml:space="preserve"> </v>
      </c>
      <c r="HQ183" s="47" t="str">
        <f t="shared" si="826"/>
        <v xml:space="preserve"> </v>
      </c>
      <c r="HR183" s="47" t="str">
        <f t="shared" ref="HR183:HW183" si="1765">IF(HR81="",HR184,$C183&amp;"("&amp;HR81&amp;"),"&amp;HR184)</f>
        <v xml:space="preserve">aesthetics(1), </v>
      </c>
      <c r="HS183" s="47" t="str">
        <f t="shared" si="1765"/>
        <v xml:space="preserve"> </v>
      </c>
      <c r="HT183" s="47" t="str">
        <f t="shared" si="1765"/>
        <v xml:space="preserve"> </v>
      </c>
      <c r="HU183" s="47" t="str">
        <f t="shared" si="1765"/>
        <v xml:space="preserve">metal processing(2),plastic processing(2),electronics(2),fabric(2),aesthetics(2),interaction(2),start-up with mvp(1), </v>
      </c>
      <c r="HV183" s="47" t="str">
        <f t="shared" si="1765"/>
        <v xml:space="preserve"> </v>
      </c>
      <c r="HW183" s="47" t="str">
        <f t="shared" si="1765"/>
        <v xml:space="preserve"> </v>
      </c>
      <c r="HX183" s="47" t="str">
        <f t="shared" ref="HX183:IU183" si="1766">IF(HX81="",HX184,$C183&amp;"("&amp;HX81&amp;"),"&amp;HX184)</f>
        <v xml:space="preserve">metal processing(1),plastic processing(1),electronics(1),aesthetics(1),functions(1),interaction(1), </v>
      </c>
      <c r="HY183" s="47" t="str">
        <f t="shared" si="1766"/>
        <v xml:space="preserve">biz enhancement(1), </v>
      </c>
      <c r="HZ183" s="47" t="str">
        <f t="shared" si="1766"/>
        <v xml:space="preserve">biz enhancement(100), </v>
      </c>
      <c r="IA183" s="47" t="str">
        <f t="shared" si="1766"/>
        <v xml:space="preserve"> </v>
      </c>
      <c r="IB183" s="47" t="str">
        <f t="shared" si="1766"/>
        <v xml:space="preserve">electronics(1),functions(1), </v>
      </c>
      <c r="IC183" s="47" t="str">
        <f t="shared" si="1766"/>
        <v xml:space="preserve">electronics(6.25),functions(6.25), </v>
      </c>
      <c r="ID183" s="47" t="str">
        <f t="shared" si="1766"/>
        <v xml:space="preserve"> </v>
      </c>
      <c r="IE183" s="47" t="str">
        <f t="shared" si="1766"/>
        <v xml:space="preserve"> </v>
      </c>
      <c r="IF183" s="47" t="str">
        <f t="shared" si="1766"/>
        <v xml:space="preserve"> </v>
      </c>
      <c r="IG183" s="47" t="str">
        <f t="shared" si="1766"/>
        <v xml:space="preserve"> </v>
      </c>
      <c r="IH183" s="47" t="str">
        <f t="shared" si="1766"/>
        <v xml:space="preserve"> </v>
      </c>
      <c r="II183" s="47" t="str">
        <f t="shared" si="1766"/>
        <v xml:space="preserve"> </v>
      </c>
      <c r="IJ183" s="47" t="str">
        <f t="shared" si="1766"/>
        <v xml:space="preserve"> </v>
      </c>
      <c r="IK183" s="47" t="str">
        <f t="shared" si="1766"/>
        <v xml:space="preserve">metal processing(1),functions(1),safety(1), </v>
      </c>
      <c r="IL183" s="47" t="str">
        <f t="shared" si="1766"/>
        <v xml:space="preserve">metal processing(25),functions(25),safety(25), </v>
      </c>
      <c r="IM183" s="47" t="str">
        <f t="shared" si="1766"/>
        <v xml:space="preserve">metal processing(2),functions(2),safety(2), </v>
      </c>
      <c r="IN183" s="47" t="str">
        <f t="shared" si="1766"/>
        <v xml:space="preserve">metal processing(1),functions(1),safety(1),interaction(1), </v>
      </c>
      <c r="IO183" s="47" t="str">
        <f t="shared" si="1766"/>
        <v xml:space="preserve">metal processing(6.25),functions(6.25),safety(6.25),interaction(6.25), </v>
      </c>
      <c r="IP183" s="57" t="str">
        <f t="shared" si="1766"/>
        <v xml:space="preserve"> </v>
      </c>
      <c r="IQ183" s="47" t="str">
        <f t="shared" si="1766"/>
        <v xml:space="preserve"> </v>
      </c>
      <c r="IR183" s="47" t="str">
        <f t="shared" si="1766"/>
        <v xml:space="preserve"> </v>
      </c>
      <c r="IS183" s="47" t="str">
        <f t="shared" si="1766"/>
        <v xml:space="preserve"> </v>
      </c>
      <c r="IT183" s="47" t="str">
        <f t="shared" si="1766"/>
        <v xml:space="preserve"> </v>
      </c>
      <c r="IU183" s="47" t="str">
        <f t="shared" si="1766"/>
        <v xml:space="preserve"> </v>
      </c>
      <c r="IV183" s="57" t="str">
        <f t="shared" ref="IV183:LG183" si="1767">IF(IV81="",IV184,$C183&amp;"("&amp;IV81&amp;"),"&amp;IV184)</f>
        <v xml:space="preserve"> </v>
      </c>
      <c r="IW183" s="47" t="str">
        <f t="shared" si="1767"/>
        <v xml:space="preserve"> </v>
      </c>
      <c r="IX183" s="47" t="str">
        <f t="shared" si="1767"/>
        <v xml:space="preserve"> </v>
      </c>
      <c r="IY183" s="47" t="str">
        <f t="shared" si="1767"/>
        <v xml:space="preserve"> </v>
      </c>
      <c r="IZ183" s="47" t="str">
        <f t="shared" si="1767"/>
        <v xml:space="preserve"> </v>
      </c>
      <c r="JA183" s="47" t="str">
        <f t="shared" si="1767"/>
        <v xml:space="preserve"> </v>
      </c>
      <c r="JB183" s="47" t="str">
        <f t="shared" si="1767"/>
        <v xml:space="preserve"> </v>
      </c>
      <c r="JC183" s="47" t="str">
        <f t="shared" si="1767"/>
        <v xml:space="preserve"> </v>
      </c>
      <c r="JD183" s="47" t="str">
        <f t="shared" si="1767"/>
        <v xml:space="preserve"> </v>
      </c>
      <c r="JE183" s="47" t="str">
        <f t="shared" si="1767"/>
        <v xml:space="preserve"> </v>
      </c>
      <c r="JF183" s="47" t="str">
        <f t="shared" si="1767"/>
        <v xml:space="preserve">metal processing(1),plastic processing(1),electronics(1),fabric(1),aesthetics(1),functions(1),safety(1),interaction(1), </v>
      </c>
      <c r="JG183" s="47" t="str">
        <f t="shared" si="1767"/>
        <v xml:space="preserve">metal processing(6.25),plastic processing(6.25),electronics(6.25),fabric(6.25),aesthetics(6.25),functions(6.25),safety(6.25),interaction(6.25), </v>
      </c>
      <c r="JH183" s="47" t="str">
        <f t="shared" si="1767"/>
        <v xml:space="preserve"> </v>
      </c>
      <c r="JI183" s="47" t="str">
        <f t="shared" si="1767"/>
        <v xml:space="preserve"> </v>
      </c>
      <c r="JJ183" s="47" t="str">
        <f t="shared" si="1767"/>
        <v xml:space="preserve"> </v>
      </c>
      <c r="JK183" s="47" t="str">
        <f t="shared" si="1767"/>
        <v xml:space="preserve">social project(1),social innovation(1),non-profit biz(1),biz project(1),biz enhancement(1),job creation(1),business(1),start-up(1),start-up with mvp(1),start-up with customers(1),for basic literacy(1),for the elites(1),for entrepreneurs(1), </v>
      </c>
      <c r="JL183" s="47" t="str">
        <f t="shared" si="1767"/>
        <v xml:space="preserve"> </v>
      </c>
      <c r="JM183" s="47" t="str">
        <f t="shared" si="1767"/>
        <v xml:space="preserve"> </v>
      </c>
      <c r="JN183" s="47" t="str">
        <f t="shared" si="1767"/>
        <v xml:space="preserve"> </v>
      </c>
      <c r="JO183" s="47" t="str">
        <f t="shared" si="1767"/>
        <v xml:space="preserve"> </v>
      </c>
      <c r="JP183" s="47" t="str">
        <f t="shared" si="1767"/>
        <v xml:space="preserve"> </v>
      </c>
      <c r="JQ183" s="47" t="str">
        <f t="shared" si="1767"/>
        <v xml:space="preserve">electronics(1),aesthetics(1),interaction(1),social project(1),social innovation(1),non-profit biz(1),biz project(1),biz enhancement(1),job creation(1),business(1),start-up(1),start-up with mvp(1),start-up with customers(1),for basic literacy(1),for the elites(1),for entrepreneurs(1), </v>
      </c>
      <c r="JR183" s="47" t="str">
        <f t="shared" si="1767"/>
        <v xml:space="preserve"> </v>
      </c>
      <c r="JS183" s="47" t="str">
        <f t="shared" si="1767"/>
        <v xml:space="preserve"> </v>
      </c>
      <c r="JT183" s="47" t="str">
        <f t="shared" si="1767"/>
        <v xml:space="preserve"> </v>
      </c>
      <c r="JU183" s="47" t="str">
        <f t="shared" si="1767"/>
        <v xml:space="preserve"> </v>
      </c>
      <c r="JV183" s="47" t="str">
        <f t="shared" si="1767"/>
        <v xml:space="preserve"> </v>
      </c>
      <c r="JW183" s="47" t="str">
        <f t="shared" si="1767"/>
        <v xml:space="preserve">social project(2),social innovation(1),non-profit biz(1),biz project(2),biz enhancement(2),job creation(1),business(1),start-up(2),start-up with mvp(1),start-up with customers(1),for basic literacy(2),for the elites(1),for entrepreneurs(1), </v>
      </c>
      <c r="JX183" s="47" t="str">
        <f t="shared" si="1767"/>
        <v xml:space="preserve"> </v>
      </c>
      <c r="JY183" s="47" t="str">
        <f t="shared" si="1767"/>
        <v xml:space="preserve"> </v>
      </c>
      <c r="JZ183" s="47" t="str">
        <f t="shared" si="1767"/>
        <v xml:space="preserve">social project(2), </v>
      </c>
      <c r="KA183" s="47" t="str">
        <f t="shared" si="1767"/>
        <v xml:space="preserve"> </v>
      </c>
      <c r="KB183" s="47" t="str">
        <f t="shared" si="1767"/>
        <v xml:space="preserve"> </v>
      </c>
      <c r="KC183" s="47" t="str">
        <f t="shared" si="1767"/>
        <v xml:space="preserve">electronics(1),aesthetics(1),social project(3),social innovation(1),non-profit biz(1),biz project(2),biz enhancement(2),job creation(1),business(1),start-up(2),start-up with mvp(1),start-up with customers(1),for basic literacy(2),for the elites(1),for entrepreneurs(1), </v>
      </c>
      <c r="KD183" s="47" t="str">
        <f t="shared" si="1767"/>
        <v xml:space="preserve"> </v>
      </c>
      <c r="KE183" s="47" t="str">
        <f t="shared" si="1767"/>
        <v xml:space="preserve"> </v>
      </c>
      <c r="KF183" s="47" t="str">
        <f t="shared" si="1767"/>
        <v xml:space="preserve"> </v>
      </c>
      <c r="KG183" s="47" t="str">
        <f t="shared" si="1767"/>
        <v xml:space="preserve"> </v>
      </c>
      <c r="KH183" s="47" t="str">
        <f t="shared" si="1767"/>
        <v xml:space="preserve"> </v>
      </c>
      <c r="KI183" s="47" t="str">
        <f t="shared" si="1767"/>
        <v xml:space="preserve"> </v>
      </c>
      <c r="KJ183" s="47" t="str">
        <f t="shared" si="1767"/>
        <v xml:space="preserve"> </v>
      </c>
      <c r="KK183" s="47" t="str">
        <f t="shared" si="1767"/>
        <v xml:space="preserve"> </v>
      </c>
      <c r="KL183" s="57" t="str">
        <f t="shared" si="1767"/>
        <v xml:space="preserve"> </v>
      </c>
      <c r="KM183" s="47" t="str">
        <f t="shared" si="1767"/>
        <v xml:space="preserve"> </v>
      </c>
      <c r="KN183" s="47" t="str">
        <f t="shared" si="1767"/>
        <v xml:space="preserve"> </v>
      </c>
      <c r="KO183" s="47" t="str">
        <f t="shared" si="1767"/>
        <v xml:space="preserve"> </v>
      </c>
      <c r="KP183" s="47" t="str">
        <f t="shared" si="1767"/>
        <v xml:space="preserve"> </v>
      </c>
      <c r="KQ183" s="47" t="str">
        <f t="shared" si="1767"/>
        <v xml:space="preserve"> </v>
      </c>
      <c r="KR183" s="57" t="str">
        <f t="shared" si="1767"/>
        <v xml:space="preserve"> </v>
      </c>
      <c r="KS183" s="47" t="str">
        <f t="shared" si="1767"/>
        <v xml:space="preserve"> </v>
      </c>
      <c r="KT183" s="47" t="str">
        <f t="shared" si="1767"/>
        <v xml:space="preserve"> </v>
      </c>
      <c r="KU183" s="47" t="str">
        <f t="shared" si="1767"/>
        <v xml:space="preserve"> </v>
      </c>
      <c r="KV183" s="47" t="str">
        <f t="shared" si="1767"/>
        <v xml:space="preserve"> </v>
      </c>
      <c r="KW183" s="47" t="str">
        <f t="shared" si="1767"/>
        <v xml:space="preserve"> </v>
      </c>
      <c r="KX183" s="57" t="str">
        <f t="shared" si="1767"/>
        <v xml:space="preserve"> </v>
      </c>
      <c r="KY183" s="47" t="str">
        <f t="shared" si="1767"/>
        <v xml:space="preserve"> </v>
      </c>
      <c r="KZ183" s="47" t="str">
        <f t="shared" si="1767"/>
        <v xml:space="preserve"> </v>
      </c>
      <c r="LA183" s="47" t="str">
        <f t="shared" si="1767"/>
        <v xml:space="preserve"> </v>
      </c>
      <c r="LB183" s="47" t="str">
        <f t="shared" si="1767"/>
        <v xml:space="preserve"> </v>
      </c>
      <c r="LC183" s="47" t="str">
        <f t="shared" si="1767"/>
        <v xml:space="preserve"> </v>
      </c>
      <c r="LD183" s="57" t="str">
        <f t="shared" si="1767"/>
        <v xml:space="preserve"> </v>
      </c>
      <c r="LE183" s="47" t="str">
        <f t="shared" si="1767"/>
        <v xml:space="preserve"> </v>
      </c>
      <c r="LF183" s="47" t="str">
        <f t="shared" si="1767"/>
        <v xml:space="preserve"> </v>
      </c>
      <c r="LG183" s="47" t="str">
        <f t="shared" si="1767"/>
        <v xml:space="preserve"> </v>
      </c>
      <c r="LH183" s="47" t="str">
        <f t="shared" ref="LH183:NM183" si="1768">IF(LH81="",LH184,$C183&amp;"("&amp;LH81&amp;"),"&amp;LH184)</f>
        <v xml:space="preserve"> </v>
      </c>
      <c r="LI183" s="47" t="str">
        <f t="shared" si="1768"/>
        <v xml:space="preserve"> </v>
      </c>
      <c r="LJ183" s="57" t="str">
        <f t="shared" si="1768"/>
        <v xml:space="preserve"> </v>
      </c>
      <c r="LK183" s="47" t="str">
        <f t="shared" si="1768"/>
        <v xml:space="preserve"> </v>
      </c>
      <c r="LL183" s="47" t="str">
        <f t="shared" si="1768"/>
        <v xml:space="preserve"> </v>
      </c>
      <c r="LM183" s="47" t="str">
        <f t="shared" si="1768"/>
        <v xml:space="preserve"> </v>
      </c>
      <c r="LN183" s="47" t="str">
        <f t="shared" si="1768"/>
        <v xml:space="preserve"> </v>
      </c>
      <c r="LO183" s="47" t="str">
        <f t="shared" si="1768"/>
        <v xml:space="preserve"> </v>
      </c>
      <c r="LP183" s="57" t="str">
        <f t="shared" si="1768"/>
        <v xml:space="preserve"> </v>
      </c>
      <c r="LQ183" s="47" t="str">
        <f t="shared" si="1768"/>
        <v xml:space="preserve"> </v>
      </c>
      <c r="LR183" s="47" t="str">
        <f t="shared" si="1768"/>
        <v xml:space="preserve"> </v>
      </c>
      <c r="LS183" s="47" t="str">
        <f t="shared" si="1768"/>
        <v xml:space="preserve"> </v>
      </c>
      <c r="LT183" s="47" t="str">
        <f t="shared" si="1768"/>
        <v xml:space="preserve"> </v>
      </c>
      <c r="LU183" s="47" t="str">
        <f t="shared" si="1768"/>
        <v xml:space="preserve"> </v>
      </c>
      <c r="LV183" s="57" t="str">
        <f t="shared" si="1768"/>
        <v xml:space="preserve"> </v>
      </c>
      <c r="LW183" s="47" t="str">
        <f t="shared" si="1768"/>
        <v xml:space="preserve"> </v>
      </c>
      <c r="LX183" s="47" t="str">
        <f t="shared" si="1768"/>
        <v xml:space="preserve"> </v>
      </c>
      <c r="LY183" s="47" t="str">
        <f t="shared" si="1768"/>
        <v xml:space="preserve"> </v>
      </c>
      <c r="LZ183" s="47" t="str">
        <f t="shared" si="1768"/>
        <v xml:space="preserve"> </v>
      </c>
      <c r="MA183" s="47" t="str">
        <f t="shared" si="1768"/>
        <v xml:space="preserve"> </v>
      </c>
      <c r="MB183" s="57" t="str">
        <f t="shared" si="1768"/>
        <v xml:space="preserve"> </v>
      </c>
      <c r="MC183" s="47" t="str">
        <f t="shared" si="1768"/>
        <v xml:space="preserve"> </v>
      </c>
      <c r="MD183" s="47" t="str">
        <f t="shared" si="1768"/>
        <v xml:space="preserve"> </v>
      </c>
      <c r="ME183" s="47" t="str">
        <f t="shared" si="1768"/>
        <v xml:space="preserve"> </v>
      </c>
      <c r="MF183" s="47" t="str">
        <f t="shared" si="1768"/>
        <v xml:space="preserve"> </v>
      </c>
      <c r="MG183" s="47" t="str">
        <f t="shared" si="1768"/>
        <v xml:space="preserve"> </v>
      </c>
      <c r="MH183" s="57" t="str">
        <f t="shared" si="1768"/>
        <v xml:space="preserve"> </v>
      </c>
      <c r="MI183" s="47" t="str">
        <f t="shared" si="1768"/>
        <v xml:space="preserve"> </v>
      </c>
      <c r="MJ183" s="47" t="str">
        <f t="shared" si="1768"/>
        <v xml:space="preserve"> </v>
      </c>
      <c r="MK183" s="47" t="str">
        <f t="shared" si="1768"/>
        <v xml:space="preserve"> </v>
      </c>
      <c r="ML183" s="47" t="str">
        <f t="shared" si="1768"/>
        <v xml:space="preserve"> </v>
      </c>
      <c r="MM183" s="47" t="str">
        <f t="shared" si="1768"/>
        <v xml:space="preserve"> </v>
      </c>
      <c r="MN183" s="57" t="str">
        <f t="shared" si="1768"/>
        <v xml:space="preserve"> </v>
      </c>
      <c r="MO183" s="47" t="str">
        <f t="shared" si="1768"/>
        <v xml:space="preserve"> </v>
      </c>
      <c r="MP183" s="47" t="str">
        <f t="shared" si="1768"/>
        <v xml:space="preserve"> </v>
      </c>
      <c r="MQ183" s="47" t="str">
        <f t="shared" si="1768"/>
        <v xml:space="preserve"> </v>
      </c>
      <c r="MR183" s="47" t="str">
        <f t="shared" si="1768"/>
        <v xml:space="preserve"> </v>
      </c>
      <c r="MS183" s="47" t="str">
        <f t="shared" si="1768"/>
        <v xml:space="preserve"> </v>
      </c>
      <c r="MT183" s="57" t="str">
        <f t="shared" si="1768"/>
        <v xml:space="preserve"> </v>
      </c>
      <c r="MU183" s="47" t="str">
        <f t="shared" si="1768"/>
        <v xml:space="preserve"> </v>
      </c>
      <c r="MV183" s="47" t="str">
        <f t="shared" si="1768"/>
        <v xml:space="preserve"> </v>
      </c>
      <c r="MW183" s="47" t="str">
        <f t="shared" si="1768"/>
        <v xml:space="preserve"> </v>
      </c>
      <c r="MX183" s="47" t="str">
        <f t="shared" si="1768"/>
        <v xml:space="preserve"> </v>
      </c>
      <c r="MY183" s="47" t="str">
        <f t="shared" si="1768"/>
        <v xml:space="preserve"> </v>
      </c>
      <c r="MZ183" s="57" t="str">
        <f t="shared" si="1768"/>
        <v xml:space="preserve"> </v>
      </c>
      <c r="NA183" s="47" t="str">
        <f t="shared" si="1768"/>
        <v xml:space="preserve"> </v>
      </c>
      <c r="NB183" s="47" t="str">
        <f t="shared" si="1768"/>
        <v xml:space="preserve"> </v>
      </c>
      <c r="NC183" s="47" t="str">
        <f t="shared" si="1768"/>
        <v xml:space="preserve"> </v>
      </c>
      <c r="ND183" s="47" t="str">
        <f t="shared" si="1768"/>
        <v xml:space="preserve"> </v>
      </c>
      <c r="NE183" s="47" t="str">
        <f t="shared" si="1768"/>
        <v xml:space="preserve"> </v>
      </c>
      <c r="NF183" s="57" t="str">
        <f t="shared" si="1768"/>
        <v xml:space="preserve"> </v>
      </c>
      <c r="NG183" s="47" t="str">
        <f t="shared" si="1768"/>
        <v xml:space="preserve"> </v>
      </c>
      <c r="NH183" s="47" t="str">
        <f t="shared" si="1768"/>
        <v xml:space="preserve"> </v>
      </c>
      <c r="NI183" s="47" t="str">
        <f t="shared" si="1768"/>
        <v xml:space="preserve"> </v>
      </c>
      <c r="NJ183" s="47" t="str">
        <f t="shared" si="1768"/>
        <v xml:space="preserve"> </v>
      </c>
      <c r="NK183" s="47" t="str">
        <f t="shared" si="1768"/>
        <v xml:space="preserve"> </v>
      </c>
      <c r="NL183" s="57" t="str">
        <f t="shared" si="1768"/>
        <v xml:space="preserve"> </v>
      </c>
      <c r="NM183" s="47" t="str">
        <f t="shared" si="1768"/>
        <v xml:space="preserve"> </v>
      </c>
    </row>
    <row r="184" spans="3:377" ht="15.75" customHeight="1">
      <c r="C184" s="7" t="str">
        <f t="shared" si="841"/>
        <v>plastic processing</v>
      </c>
      <c r="D184" s="21" t="str">
        <f t="shared" si="651"/>
        <v xml:space="preserve"> </v>
      </c>
      <c r="E184" s="21" t="str">
        <f t="shared" si="842"/>
        <v xml:space="preserve"> </v>
      </c>
      <c r="F184" s="21" t="str">
        <f t="shared" si="651"/>
        <v xml:space="preserve"> </v>
      </c>
      <c r="G184" s="21" t="str">
        <f t="shared" si="843"/>
        <v xml:space="preserve"> </v>
      </c>
      <c r="H184" s="21" t="str">
        <f t="shared" si="844"/>
        <v xml:space="preserve"> </v>
      </c>
      <c r="I184" s="21" t="str">
        <f t="shared" ref="I184" si="1769">IF(I82="",I185,$C184&amp;"("&amp;I82&amp;"),"&amp;I185)</f>
        <v xml:space="preserve"> </v>
      </c>
      <c r="J184" s="21" t="str">
        <f t="shared" ref="J184" si="1770">IF(J82="",J185,$C184&amp;" "&amp;J82&amp;CHAR(10)&amp;J185)</f>
        <v xml:space="preserve">interaction 1
 </v>
      </c>
      <c r="K184" s="21" t="str">
        <f t="shared" si="654"/>
        <v xml:space="preserve"> </v>
      </c>
      <c r="L184" s="21" t="str">
        <f t="shared" ref="L184" si="1771">IF(L82="",L185,$C184&amp;" "&amp;L82&amp;CHAR(10)&amp;L185)</f>
        <v xml:space="preserve"> </v>
      </c>
      <c r="M184" s="21" t="str">
        <f t="shared" si="656"/>
        <v xml:space="preserve">social innovation(1), non-profit biz(1),  </v>
      </c>
      <c r="N184" s="21" t="str">
        <f t="shared" si="657"/>
        <v xml:space="preserve"> </v>
      </c>
      <c r="O184" s="21" t="str">
        <f t="shared" si="658"/>
        <v xml:space="preserve"> </v>
      </c>
      <c r="P184" s="21" t="str">
        <f t="shared" ref="P184" si="1772">IF(P82="",P185,$C184&amp;" "&amp;P82&amp;CHAR(10)&amp;P185)</f>
        <v xml:space="preserve">biz project 1
 </v>
      </c>
      <c r="Q184" s="21" t="str">
        <f t="shared" si="660"/>
        <v xml:space="preserve"> </v>
      </c>
      <c r="R184" s="21" t="str">
        <f t="shared" ref="R184" si="1773">IF(R82="",R185,$C184&amp;" "&amp;R82&amp;CHAR(10)&amp;R185)</f>
        <v xml:space="preserve"> </v>
      </c>
      <c r="S184" s="21" t="str">
        <f t="shared" si="662"/>
        <v xml:space="preserve">biz enhancement(1), business(1), start-up(1),  </v>
      </c>
      <c r="T184" s="21" t="str">
        <f t="shared" si="663"/>
        <v xml:space="preserve"> </v>
      </c>
      <c r="U184" s="21" t="str">
        <f t="shared" si="658"/>
        <v xml:space="preserve"> </v>
      </c>
      <c r="V184" s="21" t="str">
        <f t="shared" ref="V184" si="1774">IF(V82="",V185,$C184&amp;" "&amp;V82&amp;CHAR(10)&amp;V185)</f>
        <v xml:space="preserve"> </v>
      </c>
      <c r="W184" s="21" t="str">
        <f t="shared" si="665"/>
        <v xml:space="preserve"> </v>
      </c>
      <c r="X184" s="21" t="str">
        <f t="shared" ref="X184" si="1775">IF(X82="",X185,$C184&amp;" "&amp;X82&amp;CHAR(10)&amp;X185)</f>
        <v xml:space="preserve"> </v>
      </c>
      <c r="Y184" s="21" t="str">
        <f t="shared" si="667"/>
        <v xml:space="preserve">biz project(1), biz enhancement(1), job creation(1), business(1),  </v>
      </c>
      <c r="Z184" s="21" t="str">
        <f t="shared" si="668"/>
        <v xml:space="preserve"> </v>
      </c>
      <c r="AA184" s="21" t="str">
        <f t="shared" si="658"/>
        <v xml:space="preserve"> </v>
      </c>
      <c r="AB184" s="21" t="str">
        <f t="shared" ref="AB184" si="1776">IF(AB82="",AB185,$C184&amp;" "&amp;AB82&amp;CHAR(10)&amp;AB185)</f>
        <v xml:space="preserve"> </v>
      </c>
      <c r="AC184" s="21" t="str">
        <f t="shared" si="670"/>
        <v xml:space="preserve"> </v>
      </c>
      <c r="AD184" s="21" t="str">
        <f t="shared" ref="AD184" si="1777">IF(AD82="",AD185,$C184&amp;" "&amp;AD82&amp;CHAR(10)&amp;AD185)</f>
        <v xml:space="preserve"> </v>
      </c>
      <c r="AE184" s="21" t="str">
        <f t="shared" si="672"/>
        <v xml:space="preserve">social project(1), social innovation(1), non-profit biz(1),  </v>
      </c>
      <c r="AF184" s="21" t="str">
        <f t="shared" si="673"/>
        <v xml:space="preserve"> </v>
      </c>
      <c r="AG184" s="21" t="str">
        <f t="shared" si="658"/>
        <v xml:space="preserve"> </v>
      </c>
      <c r="AH184" s="21" t="str">
        <f t="shared" ref="AH184" si="1778">IF(AH82="",AH185,$C184&amp;" "&amp;AH82&amp;CHAR(10)&amp;AH185)</f>
        <v xml:space="preserve"> </v>
      </c>
      <c r="AI184" s="21" t="str">
        <f t="shared" si="675"/>
        <v xml:space="preserve"> </v>
      </c>
      <c r="AJ184" s="21" t="str">
        <f t="shared" ref="AJ184" si="1779">IF(AJ82="",AJ185,$C184&amp;" "&amp;AJ82&amp;CHAR(10)&amp;AJ185)</f>
        <v xml:space="preserve"> </v>
      </c>
      <c r="AK184" s="21" t="str">
        <f t="shared" si="677"/>
        <v xml:space="preserve">social project(1), social innovation(1), non-profit biz(1),  </v>
      </c>
      <c r="AL184" s="21" t="str">
        <f t="shared" si="678"/>
        <v xml:space="preserve"> </v>
      </c>
      <c r="AM184" s="21" t="str">
        <f t="shared" si="658"/>
        <v xml:space="preserve"> </v>
      </c>
      <c r="AN184" s="21" t="str">
        <f t="shared" ref="AN184" si="1780">IF(AN82="",AN185,$C184&amp;" "&amp;AN82&amp;CHAR(10)&amp;AN185)</f>
        <v xml:space="preserve"> </v>
      </c>
      <c r="AO184" s="21" t="str">
        <f t="shared" si="680"/>
        <v xml:space="preserve"> </v>
      </c>
      <c r="AP184" s="21" t="str">
        <f t="shared" ref="AP184" si="1781">IF(AP82="",AP185,$C184&amp;" "&amp;AP82&amp;CHAR(10)&amp;AP185)</f>
        <v xml:space="preserve"> </v>
      </c>
      <c r="AQ184" s="21" t="str">
        <f t="shared" si="682"/>
        <v xml:space="preserve">start-up(1), start-up with mvp(1), start-up with customers(1),  </v>
      </c>
      <c r="AR184" s="21" t="str">
        <f t="shared" si="683"/>
        <v xml:space="preserve"> </v>
      </c>
      <c r="AS184" s="21" t="str">
        <f t="shared" si="658"/>
        <v xml:space="preserve"> </v>
      </c>
      <c r="AT184" s="21" t="str">
        <f t="shared" ref="AT184" si="1782">IF(AT82="",AT185,$C184&amp;" "&amp;AT82&amp;CHAR(10)&amp;AT185)</f>
        <v xml:space="preserve">social project 1
 </v>
      </c>
      <c r="AU184" s="21" t="str">
        <f t="shared" si="685"/>
        <v xml:space="preserve"> </v>
      </c>
      <c r="AV184" s="21" t="str">
        <f t="shared" ref="AV184" si="1783">IF(AV82="",AV185,$C184&amp;" "&amp;AV82&amp;CHAR(10)&amp;AV185)</f>
        <v xml:space="preserve"> </v>
      </c>
      <c r="AW184" s="21" t="str">
        <f t="shared" si="687"/>
        <v xml:space="preserve"> </v>
      </c>
      <c r="AX184" s="21" t="str">
        <f t="shared" si="688"/>
        <v xml:space="preserve"> </v>
      </c>
      <c r="AY184" s="21" t="str">
        <f t="shared" si="658"/>
        <v xml:space="preserve"> </v>
      </c>
      <c r="AZ184" s="21" t="str">
        <f t="shared" ref="AZ184" si="1784">IF(AZ82="",AZ185,$C184&amp;" "&amp;AZ82&amp;CHAR(10)&amp;AZ185)</f>
        <v xml:space="preserve"> </v>
      </c>
      <c r="BA184" s="21" t="str">
        <f t="shared" si="690"/>
        <v xml:space="preserve"> </v>
      </c>
      <c r="BB184" s="21" t="str">
        <f t="shared" ref="BB184" si="1785">IF(BB82="",BB185,$C184&amp;" "&amp;BB82&amp;CHAR(10)&amp;BB185)</f>
        <v xml:space="preserve"> </v>
      </c>
      <c r="BC184" s="21" t="str">
        <f t="shared" si="692"/>
        <v xml:space="preserve"> </v>
      </c>
      <c r="BD184" s="21" t="str">
        <f t="shared" si="693"/>
        <v xml:space="preserve"> </v>
      </c>
      <c r="BE184" s="21" t="str">
        <f t="shared" si="658"/>
        <v xml:space="preserve"> </v>
      </c>
      <c r="BF184" s="21" t="str">
        <f t="shared" ref="BF184" si="1786">IF(BF82="",BF185,$C184&amp;" "&amp;BF82&amp;CHAR(10)&amp;BF185)</f>
        <v xml:space="preserve">biz project 1
 </v>
      </c>
      <c r="BG184" s="21" t="str">
        <f t="shared" si="695"/>
        <v xml:space="preserve"> </v>
      </c>
      <c r="BH184" s="21" t="str">
        <f t="shared" ref="BH184" si="1787">IF(BH82="",BH185,$C184&amp;" "&amp;BH82&amp;CHAR(10)&amp;BH185)</f>
        <v xml:space="preserve"> </v>
      </c>
      <c r="BI184" s="21" t="str">
        <f t="shared" si="697"/>
        <v xml:space="preserve"> </v>
      </c>
      <c r="BJ184" s="21" t="str">
        <f t="shared" si="698"/>
        <v xml:space="preserve"> </v>
      </c>
      <c r="BK184" s="21" t="str">
        <f t="shared" si="658"/>
        <v xml:space="preserve"> </v>
      </c>
      <c r="BL184" s="21" t="str">
        <f t="shared" ref="BL184" si="1788">IF(BL82="",BL185,$C184&amp;" "&amp;BL82&amp;CHAR(10)&amp;BL185)</f>
        <v xml:space="preserve">biz enhancement 1
 </v>
      </c>
      <c r="BM184" s="21" t="str">
        <f t="shared" si="700"/>
        <v xml:space="preserve"> </v>
      </c>
      <c r="BN184" s="21" t="str">
        <f t="shared" ref="BN184" si="1789">IF(BN82="",BN185,$C184&amp;" "&amp;BN82&amp;CHAR(10)&amp;BN185)</f>
        <v xml:space="preserve"> </v>
      </c>
      <c r="BO184" s="21" t="str">
        <f t="shared" si="702"/>
        <v xml:space="preserve"> </v>
      </c>
      <c r="BP184" s="21" t="str">
        <f t="shared" si="703"/>
        <v xml:space="preserve"> </v>
      </c>
      <c r="BQ184" s="21" t="str">
        <f t="shared" si="658"/>
        <v xml:space="preserve"> </v>
      </c>
      <c r="BR184" s="21" t="str">
        <f t="shared" ref="BR184" si="1790">IF(BR82="",BR185,$C184&amp;" "&amp;BR82&amp;CHAR(10)&amp;BR185)</f>
        <v xml:space="preserve"> </v>
      </c>
      <c r="BS184" s="21" t="str">
        <f t="shared" si="705"/>
        <v xml:space="preserve"> </v>
      </c>
      <c r="BT184" s="21" t="str">
        <f t="shared" ref="BT184" si="1791">IF(BT82="",BT185,$C184&amp;" "&amp;BT82&amp;CHAR(10)&amp;BT185)</f>
        <v xml:space="preserve"> </v>
      </c>
      <c r="BU184" s="21" t="str">
        <f t="shared" si="707"/>
        <v xml:space="preserve"> </v>
      </c>
      <c r="BV184" s="21" t="str">
        <f t="shared" si="708"/>
        <v xml:space="preserve"> </v>
      </c>
      <c r="BW184" s="21" t="str">
        <f t="shared" si="658"/>
        <v xml:space="preserve"> </v>
      </c>
      <c r="BX184" s="21" t="str">
        <f t="shared" ref="BX184" si="1792">IF(BX82="",BX185,$C184&amp;" "&amp;BX82&amp;CHAR(10)&amp;BX185)</f>
        <v xml:space="preserve"> </v>
      </c>
      <c r="BY184" s="21" t="str">
        <f t="shared" si="710"/>
        <v xml:space="preserve"> </v>
      </c>
      <c r="BZ184" s="21" t="str">
        <f t="shared" ref="BZ184" si="1793">IF(BZ82="",BZ185,$C184&amp;" "&amp;BZ82&amp;CHAR(10)&amp;BZ185)</f>
        <v xml:space="preserve"> </v>
      </c>
      <c r="CA184" s="21" t="str">
        <f t="shared" si="712"/>
        <v xml:space="preserve"> </v>
      </c>
      <c r="CB184" s="21" t="str">
        <f t="shared" si="713"/>
        <v xml:space="preserve"> </v>
      </c>
      <c r="CC184" s="21" t="str">
        <f t="shared" si="714"/>
        <v xml:space="preserve"> </v>
      </c>
      <c r="CD184" s="21" t="str">
        <f t="shared" ref="CD184" si="1794">IF(CD82="",CD185,$C184&amp;" "&amp;CD82&amp;CHAR(10)&amp;CD185)</f>
        <v xml:space="preserve"> </v>
      </c>
      <c r="CE184" s="21" t="str">
        <f t="shared" si="716"/>
        <v xml:space="preserve"> </v>
      </c>
      <c r="CF184" s="21" t="str">
        <f t="shared" ref="CF184" si="1795">IF(CF82="",CF185,$C184&amp;" "&amp;CF82&amp;CHAR(10)&amp;CF185)</f>
        <v xml:space="preserve"> </v>
      </c>
      <c r="CG184" s="21" t="str">
        <f t="shared" si="718"/>
        <v xml:space="preserve">social project(1), biz project(1), for basic literacy(1), for the elites(1), for entrepreneurs(1),  </v>
      </c>
      <c r="CH184" s="21" t="str">
        <f t="shared" si="719"/>
        <v xml:space="preserve"> </v>
      </c>
      <c r="CI184" s="21" t="str">
        <f t="shared" si="714"/>
        <v xml:space="preserve"> </v>
      </c>
      <c r="CJ184" s="21" t="str">
        <f t="shared" ref="CJ184" si="1796">IF(CJ82="",CJ185,$C184&amp;" "&amp;CJ82&amp;CHAR(10)&amp;CJ185)</f>
        <v xml:space="preserve"> </v>
      </c>
      <c r="CK184" s="21" t="str">
        <f t="shared" si="721"/>
        <v xml:space="preserve"> </v>
      </c>
      <c r="CL184" s="21" t="str">
        <f t="shared" ref="CL184" si="1797">IF(CL82="",CL185,$C184&amp;" "&amp;CL82&amp;CHAR(10)&amp;CL185)</f>
        <v xml:space="preserve"> </v>
      </c>
      <c r="CM184" s="21" t="str">
        <f t="shared" si="723"/>
        <v xml:space="preserve"> </v>
      </c>
      <c r="CN184" s="21" t="str">
        <f t="shared" si="724"/>
        <v xml:space="preserve"> </v>
      </c>
      <c r="CO184" s="21" t="str">
        <f t="shared" si="714"/>
        <v xml:space="preserve"> </v>
      </c>
      <c r="CP184" s="21" t="str">
        <f t="shared" ref="CP184" si="1798">IF(CP82="",CP185,$C184&amp;" "&amp;CP82&amp;CHAR(10)&amp;CP185)</f>
        <v xml:space="preserve"> </v>
      </c>
      <c r="CQ184" s="21" t="str">
        <f t="shared" si="726"/>
        <v xml:space="preserve"> </v>
      </c>
      <c r="CR184" s="21" t="str">
        <f t="shared" ref="CR184" si="1799">IF(CR82="",CR185,$C184&amp;" "&amp;CR82&amp;CHAR(10)&amp;CR185)</f>
        <v xml:space="preserve"> </v>
      </c>
      <c r="CS184" s="21" t="str">
        <f t="shared" si="728"/>
        <v xml:space="preserve">plastic processing(1), electronics(1), fabric(1),  </v>
      </c>
      <c r="CT184" s="21" t="str">
        <f t="shared" si="729"/>
        <v xml:space="preserve"> </v>
      </c>
      <c r="CU184" s="21" t="str">
        <f t="shared" si="714"/>
        <v xml:space="preserve"> </v>
      </c>
      <c r="CV184" s="21" t="str">
        <f t="shared" ref="CV184" si="1800">IF(CV82="",CV185,$C184&amp;" "&amp;CV82&amp;CHAR(10)&amp;CV185)</f>
        <v xml:space="preserve"> </v>
      </c>
      <c r="CW184" s="21" t="str">
        <f t="shared" si="731"/>
        <v xml:space="preserve"> </v>
      </c>
      <c r="CX184" s="21" t="str">
        <f t="shared" ref="CX184" si="1801">IF(CX82="",CX185,$C184&amp;" "&amp;CX82&amp;CHAR(10)&amp;CX185)</f>
        <v xml:space="preserve"> </v>
      </c>
      <c r="CY184" s="21" t="str">
        <f t="shared" si="733"/>
        <v xml:space="preserve"> </v>
      </c>
      <c r="CZ184" s="21" t="str">
        <f t="shared" si="734"/>
        <v xml:space="preserve"> </v>
      </c>
      <c r="DA184" s="21" t="str">
        <f t="shared" si="714"/>
        <v xml:space="preserve"> </v>
      </c>
      <c r="DB184" s="21" t="str">
        <f t="shared" ref="DB184" si="1802">IF(DB82="",DB185,$C184&amp;" "&amp;DB82&amp;CHAR(10)&amp;DB185)</f>
        <v xml:space="preserve"> </v>
      </c>
      <c r="DC184" s="21" t="str">
        <f t="shared" si="736"/>
        <v xml:space="preserve"> </v>
      </c>
      <c r="DD184" s="21" t="str">
        <f t="shared" ref="DD184" si="1803">IF(DD82="",DD185,$C184&amp;" "&amp;DD82&amp;CHAR(10)&amp;DD185)</f>
        <v xml:space="preserve"> </v>
      </c>
      <c r="DE184" s="21" t="str">
        <f t="shared" si="738"/>
        <v xml:space="preserve">plastic processing(2), electronics(2), fabric(2), aesthetics(2), functions(2), safety(2), interaction(2), biz project(1), biz enhancement(1), job creation(1), business(1), start-up(1), start-up with mvp(1), start-up with customers(1), for entrepreneurs(2),  </v>
      </c>
      <c r="DF184" s="21" t="str">
        <f t="shared" si="739"/>
        <v xml:space="preserve"> </v>
      </c>
      <c r="DG184" s="21" t="str">
        <f t="shared" si="714"/>
        <v xml:space="preserve"> </v>
      </c>
      <c r="DH184" s="21" t="str">
        <f t="shared" ref="DH184" si="1804">IF(DH82="",DH185,$C184&amp;" "&amp;DH82&amp;CHAR(10)&amp;DH185)</f>
        <v xml:space="preserve">social project 1
 </v>
      </c>
      <c r="DI184" s="21" t="str">
        <f t="shared" si="741"/>
        <v xml:space="preserve"> </v>
      </c>
      <c r="DJ184" s="21" t="str">
        <f t="shared" ref="DJ184" si="1805">IF(DJ82="",DJ185,$C184&amp;" "&amp;DJ82&amp;CHAR(10)&amp;DJ185)</f>
        <v xml:space="preserve"> </v>
      </c>
      <c r="DK184" s="21" t="str">
        <f t="shared" si="743"/>
        <v xml:space="preserve">plastic processing(2), electronics(2), fabric(2), aesthetics(2), functions(2), safety(2), interaction(2), social project(2), social innovation(1), non-profit biz(1),  </v>
      </c>
      <c r="DL184" s="21" t="str">
        <f t="shared" si="744"/>
        <v xml:space="preserve"> </v>
      </c>
      <c r="DM184" s="21" t="str">
        <f t="shared" si="714"/>
        <v xml:space="preserve"> </v>
      </c>
      <c r="DN184" s="21" t="str">
        <f t="shared" ref="DN184" si="1806">IF(DN82="",DN185,$C184&amp;" "&amp;DN82&amp;CHAR(10)&amp;DN185)</f>
        <v xml:space="preserve">biz project 1
 </v>
      </c>
      <c r="DO184" s="21" t="str">
        <f t="shared" si="746"/>
        <v xml:space="preserve"> </v>
      </c>
      <c r="DP184" s="21" t="str">
        <f t="shared" ref="DP184" si="1807">IF(DP82="",DP185,$C184&amp;" "&amp;DP82&amp;CHAR(10)&amp;DP185)</f>
        <v xml:space="preserve"> </v>
      </c>
      <c r="DQ184" s="21" t="str">
        <f t="shared" si="748"/>
        <v xml:space="preserve">plastic processing(2), electronics(2), fabric(2), aesthetics(2), functions(2), safety(2), interaction(2), biz project(2), biz enhancement(1), job creation(1), business(1), start-up(1), start-up with mvp(1), start-up with customers(1), for entrepreneurs(1),  </v>
      </c>
      <c r="DR184" s="21" t="str">
        <f t="shared" si="749"/>
        <v xml:space="preserve"> </v>
      </c>
      <c r="DS184" s="21" t="str">
        <f t="shared" si="714"/>
        <v xml:space="preserve"> </v>
      </c>
      <c r="DT184" s="21" t="str">
        <f t="shared" ref="DT184" si="1808">IF(DT82="",DT185,$C184&amp;" "&amp;DT82&amp;CHAR(10)&amp;DT185)</f>
        <v xml:space="preserve"> </v>
      </c>
      <c r="DU184" s="21" t="str">
        <f t="shared" si="751"/>
        <v xml:space="preserve"> </v>
      </c>
      <c r="DV184" s="21" t="str">
        <f t="shared" ref="DV184" si="1809">IF(DV82="",DV185,$C184&amp;" "&amp;DV82&amp;CHAR(10)&amp;DV185)</f>
        <v xml:space="preserve"> </v>
      </c>
      <c r="DW184" s="21" t="str">
        <f t="shared" si="753"/>
        <v xml:space="preserve">for basic literacy(1),  </v>
      </c>
      <c r="DX184" s="21" t="str">
        <f t="shared" si="754"/>
        <v xml:space="preserve">for basic literacy(1,6.25),  </v>
      </c>
      <c r="DY184" s="21" t="str">
        <f t="shared" si="714"/>
        <v xml:space="preserve">for basic literacy(6.25), </v>
      </c>
      <c r="DZ184" s="21" t="str">
        <f t="shared" ref="DZ184" si="1810">IF(DZ82="",DZ185,$C184&amp;" "&amp;DZ82&amp;CHAR(10)&amp;DZ185)</f>
        <v xml:space="preserve"> </v>
      </c>
      <c r="EA184" s="21" t="str">
        <f t="shared" si="756"/>
        <v xml:space="preserve"> </v>
      </c>
      <c r="EB184" s="21" t="str">
        <f t="shared" ref="EB184" si="1811">IF(EB82="",EB185,$C184&amp;" "&amp;EB82&amp;CHAR(10)&amp;EB185)</f>
        <v xml:space="preserve"> </v>
      </c>
      <c r="EC184" s="21" t="str">
        <f t="shared" si="758"/>
        <v xml:space="preserve">plastic processing(2), electronics(2), fabric(2), for basic literacy(1),  </v>
      </c>
      <c r="ED184" s="21" t="str">
        <f t="shared" si="759"/>
        <v xml:space="preserve">for basic literacy(1,6.25),  </v>
      </c>
      <c r="EE184" s="21" t="str">
        <f t="shared" si="714"/>
        <v xml:space="preserve">for basic literacy(6.25), </v>
      </c>
      <c r="EF184" s="21" t="str">
        <f t="shared" ref="EF184" si="1812">IF(EF82="",EF185,$C184&amp;" "&amp;EF82&amp;CHAR(10)&amp;EF185)</f>
        <v xml:space="preserve"> </v>
      </c>
      <c r="EG184" s="21" t="str">
        <f t="shared" si="761"/>
        <v xml:space="preserve">interaction(1,50),  </v>
      </c>
      <c r="EH184" s="21" t="str">
        <f t="shared" ref="EH184" si="1813">IF(EH82="",EH185,$C184&amp;" "&amp;EH82&amp;CHAR(10)&amp;EH185)</f>
        <v xml:space="preserve">interaction 50
 </v>
      </c>
      <c r="EI184" s="21" t="str">
        <f t="shared" si="763"/>
        <v xml:space="preserve">for entrepreneurs(1),  </v>
      </c>
      <c r="EJ184" s="21" t="str">
        <f t="shared" si="764"/>
        <v xml:space="preserve">for entrepreneurs(1,6.25),  </v>
      </c>
      <c r="EK184" s="21" t="str">
        <f t="shared" si="714"/>
        <v xml:space="preserve">for entrepreneurs(6.25), </v>
      </c>
      <c r="EL184" s="21" t="str">
        <f t="shared" ref="EL184" si="1814">IF(EL82="",EL185,$C184&amp;" "&amp;EL82&amp;CHAR(10)&amp;EL185)</f>
        <v xml:space="preserve"> </v>
      </c>
      <c r="EM184" s="21" t="str">
        <f t="shared" si="766"/>
        <v xml:space="preserve"> </v>
      </c>
      <c r="EN184" s="21" t="str">
        <f t="shared" ref="EN184" si="1815">IF(EN82="",EN185,$C184&amp;" "&amp;EN82&amp;CHAR(10)&amp;EN185)</f>
        <v xml:space="preserve"> </v>
      </c>
      <c r="EO184" s="21" t="str">
        <f t="shared" si="768"/>
        <v xml:space="preserve">for entrepreneurs(1),  </v>
      </c>
      <c r="EP184" s="21" t="str">
        <f t="shared" si="769"/>
        <v xml:space="preserve">electronics(1,6.25), for entrepreneurs(1,6.25),  </v>
      </c>
      <c r="EQ184" s="21" t="str">
        <f t="shared" si="770"/>
        <v xml:space="preserve">electronics(6.25),for entrepreneurs(6.25), </v>
      </c>
      <c r="ER184" s="21" t="str">
        <f t="shared" ref="ER184" si="1816">IF(ER82="",ER185,$C184&amp;" "&amp;ER82&amp;CHAR(10)&amp;ER185)</f>
        <v xml:space="preserve"> </v>
      </c>
      <c r="ES184" s="21" t="str">
        <f t="shared" si="772"/>
        <v xml:space="preserve"> </v>
      </c>
      <c r="ET184" s="21" t="str">
        <f t="shared" ref="ET184" si="1817">IF(ET82="",ET185,$C184&amp;" "&amp;ET82&amp;CHAR(10)&amp;ET185)</f>
        <v xml:space="preserve"> </v>
      </c>
      <c r="EU184" s="21" t="str">
        <f t="shared" si="774"/>
        <v xml:space="preserve">for entrepreneurs(1),  </v>
      </c>
      <c r="EV184" s="21" t="str">
        <f t="shared" si="775"/>
        <v xml:space="preserve">for entrepreneurs(1,6.25),  </v>
      </c>
      <c r="EW184" s="21" t="str">
        <f t="shared" si="770"/>
        <v xml:space="preserve">for entrepreneurs(6.25), </v>
      </c>
      <c r="EX184" s="21" t="str">
        <f t="shared" ref="EX184" si="1818">IF(EX82="",EX185,$C184&amp;" "&amp;EX82&amp;CHAR(10)&amp;EX185)</f>
        <v xml:space="preserve"> </v>
      </c>
      <c r="EY184" s="21" t="str">
        <f t="shared" si="777"/>
        <v xml:space="preserve">interaction(1,25),  </v>
      </c>
      <c r="EZ184" s="21" t="str">
        <f t="shared" ref="EZ184" si="1819">IF(EZ82="",EZ185,$C184&amp;" "&amp;EZ82&amp;CHAR(10)&amp;EZ185)</f>
        <v xml:space="preserve">interaction 25
 </v>
      </c>
      <c r="FA184" s="21" t="str">
        <f t="shared" si="779"/>
        <v xml:space="preserve">for entrepreneurs(1),  </v>
      </c>
      <c r="FB184" s="21" t="str">
        <f t="shared" si="780"/>
        <v xml:space="preserve">for entrepreneurs(1,6.25),  </v>
      </c>
      <c r="FC184" s="21" t="str">
        <f t="shared" si="770"/>
        <v xml:space="preserve">for entrepreneurs(6.25), </v>
      </c>
      <c r="FD184" s="21" t="str">
        <f t="shared" ref="FD184" si="1820">IF(FD82="",FD185,$C184&amp;" "&amp;FD82&amp;CHAR(10)&amp;FD185)</f>
        <v xml:space="preserve"> </v>
      </c>
      <c r="FE184" s="21" t="str">
        <f t="shared" si="782"/>
        <v xml:space="preserve"> </v>
      </c>
      <c r="FF184" s="21" t="str">
        <f t="shared" ref="FF184" si="1821">IF(FF82="",FF185,$C184&amp;" "&amp;FF82&amp;CHAR(10)&amp;FF185)</f>
        <v xml:space="preserve"> </v>
      </c>
      <c r="FG184" s="21" t="str">
        <f t="shared" si="784"/>
        <v xml:space="preserve">for entrepreneurs(1),  </v>
      </c>
      <c r="FH184" s="21" t="str">
        <f t="shared" si="785"/>
        <v xml:space="preserve">for entrepreneurs(1,6.25),  </v>
      </c>
      <c r="FI184" s="21" t="str">
        <f t="shared" si="770"/>
        <v xml:space="preserve">for entrepreneurs(6.25), </v>
      </c>
      <c r="FJ184" s="21" t="str">
        <f t="shared" ref="FJ184" si="1822">IF(FJ82="",FJ185,$C184&amp;" "&amp;FJ82&amp;CHAR(10)&amp;FJ185)</f>
        <v xml:space="preserve"> </v>
      </c>
      <c r="FK184" s="21" t="str">
        <f t="shared" si="787"/>
        <v xml:space="preserve">plastic processing(1,25), fabric(1,25), safety(1,25), interaction(1,25),  </v>
      </c>
      <c r="FL184" s="21" t="str">
        <f t="shared" ref="FL184" si="1823">IF(FL82="",FL185,$C184&amp;" "&amp;FL82&amp;CHAR(10)&amp;FL185)</f>
        <v xml:space="preserve">plastic processing 25
fabric 25
safety 25
interaction 25
 </v>
      </c>
      <c r="FM184" s="21" t="str">
        <f t="shared" si="789"/>
        <v xml:space="preserve">for entrepreneurs(1),  </v>
      </c>
      <c r="FN184" s="21" t="str">
        <f t="shared" si="790"/>
        <v xml:space="preserve">for entrepreneurs(1,6.25),  </v>
      </c>
      <c r="FO184" s="21" t="str">
        <f t="shared" si="770"/>
        <v xml:space="preserve">for entrepreneurs(6.25), </v>
      </c>
      <c r="FP184" s="21" t="str">
        <f t="shared" ref="FP184" si="1824">IF(FP82="",FP185,$C184&amp;" "&amp;FP82&amp;CHAR(10)&amp;FP185)</f>
        <v xml:space="preserve"> </v>
      </c>
      <c r="FQ184" s="21" t="str">
        <f t="shared" si="792"/>
        <v xml:space="preserve">functions(1,25), interaction(1,25),  </v>
      </c>
      <c r="FR184" s="21" t="str">
        <f t="shared" ref="FR184" si="1825">IF(FR82="",FR185,$C184&amp;" "&amp;FR82&amp;CHAR(10)&amp;FR185)</f>
        <v xml:space="preserve">functions 25
interaction 25
 </v>
      </c>
      <c r="FS184" s="21" t="str">
        <f t="shared" si="794"/>
        <v xml:space="preserve">for entrepreneurs(1),  </v>
      </c>
      <c r="FT184" s="21" t="str">
        <f t="shared" si="795"/>
        <v xml:space="preserve">for entrepreneurs(1,6.25),  </v>
      </c>
      <c r="FU184" s="21" t="str">
        <f t="shared" si="770"/>
        <v xml:space="preserve">for entrepreneurs(6.25), </v>
      </c>
      <c r="FV184" s="21" t="str">
        <f t="shared" ref="FV184" si="1826">IF(FV82="",FV185,$C184&amp;" "&amp;FV82&amp;CHAR(10)&amp;FV185)</f>
        <v xml:space="preserve"> </v>
      </c>
      <c r="FW184" s="21" t="str">
        <f t="shared" si="797"/>
        <v xml:space="preserve">plastic processing(1,25), electronics(1,25), functions(1,25), interaction(1,25),  </v>
      </c>
      <c r="FX184" s="21" t="str">
        <f t="shared" ref="FX184" si="1827">IF(FX82="",FX185,$C184&amp;" "&amp;FX82&amp;CHAR(10)&amp;FX185)</f>
        <v xml:space="preserve">plastic processing 25
electronics 25
functions 25
interaction 25
 </v>
      </c>
      <c r="FY184" s="21" t="str">
        <f t="shared" si="799"/>
        <v xml:space="preserve">for entrepreneurs(1),  </v>
      </c>
      <c r="FZ184" s="21" t="str">
        <f t="shared" si="800"/>
        <v xml:space="preserve">for entrepreneurs(1,6.25),  </v>
      </c>
      <c r="GA184" s="21" t="str">
        <f t="shared" si="770"/>
        <v xml:space="preserve">for entrepreneurs(6.25), </v>
      </c>
      <c r="GB184" s="21" t="str">
        <f t="shared" ref="GB184" si="1828">IF(GB82="",GB185,$C184&amp;" "&amp;GB82&amp;CHAR(10)&amp;GB185)</f>
        <v xml:space="preserve"> </v>
      </c>
      <c r="GC184" s="21" t="str">
        <f t="shared" si="802"/>
        <v xml:space="preserve">electronics(1,50), functions(1,25), safety(1,25),  </v>
      </c>
      <c r="GD184" s="21" t="str">
        <f t="shared" ref="GD184" si="1829">IF(GD82="",GD185,$C184&amp;" "&amp;GD82&amp;CHAR(10)&amp;GD185)</f>
        <v xml:space="preserve">electronics 50
functions 25
safety 25
 </v>
      </c>
      <c r="GE184" s="21" t="str">
        <f t="shared" si="804"/>
        <v xml:space="preserve">for entrepreneurs(1),  </v>
      </c>
      <c r="GF184" s="21" t="str">
        <f t="shared" si="805"/>
        <v xml:space="preserve">plastic processing(1,6.25), interaction(1,6.25), for entrepreneurs(1,6.25),  </v>
      </c>
      <c r="GG184" s="21" t="str">
        <f t="shared" si="770"/>
        <v xml:space="preserve">plastic processing(6.25),interaction(6.25),for entrepreneurs(6.25), </v>
      </c>
      <c r="GH184" s="21" t="str">
        <f t="shared" ref="GH184" si="1830">IF(GH82="",GH185,$C184&amp;" "&amp;GH82&amp;CHAR(10)&amp;GH185)</f>
        <v xml:space="preserve"> </v>
      </c>
      <c r="GI184" s="21" t="str">
        <f t="shared" si="807"/>
        <v xml:space="preserve">functions(1,25), interaction(1,25),  </v>
      </c>
      <c r="GJ184" s="21" t="str">
        <f t="shared" ref="GJ184" si="1831">IF(GJ82="",GJ185,$C184&amp;" "&amp;GJ82&amp;CHAR(10)&amp;GJ185)</f>
        <v xml:space="preserve">functions 25
interaction 25
 </v>
      </c>
      <c r="GK184" s="21" t="str">
        <f t="shared" si="809"/>
        <v xml:space="preserve">for entrepreneurs(1),  </v>
      </c>
      <c r="GL184" s="21" t="str">
        <f t="shared" si="810"/>
        <v xml:space="preserve">for entrepreneurs(1,6.25),  </v>
      </c>
      <c r="GM184" s="21" t="str">
        <f t="shared" si="770"/>
        <v xml:space="preserve">for entrepreneurs(6.25), </v>
      </c>
      <c r="GN184" s="21" t="str">
        <f t="shared" ref="GN184" si="1832">IF(GN82="",GN185,$C184&amp;" "&amp;GN82&amp;CHAR(10)&amp;GN185)</f>
        <v xml:space="preserve"> </v>
      </c>
      <c r="GO184" s="21" t="str">
        <f t="shared" si="812"/>
        <v xml:space="preserve">aesthetics(1,25), functions(1,25), interaction(1,50),  </v>
      </c>
      <c r="GP184" s="21" t="str">
        <f t="shared" ref="GP184" si="1833">IF(GP82="",GP185,$C184&amp;" "&amp;GP82&amp;CHAR(10)&amp;GP185)</f>
        <v xml:space="preserve">aesthetics 25
functions 25
interaction 50
 </v>
      </c>
      <c r="GQ184" s="21" t="str">
        <f t="shared" si="814"/>
        <v xml:space="preserve">for entrepreneurs(1),  </v>
      </c>
      <c r="GR184" s="21" t="str">
        <f t="shared" si="815"/>
        <v xml:space="preserve">for entrepreneurs(1,6.25),  </v>
      </c>
      <c r="GS184" s="21" t="str">
        <f t="shared" si="770"/>
        <v xml:space="preserve">for entrepreneurs(6.25), </v>
      </c>
      <c r="GT184" s="21" t="str">
        <f t="shared" ref="GT184" si="1834">IF(GT82="",GT185,$C184&amp;" "&amp;GT82&amp;CHAR(10)&amp;GT185)</f>
        <v xml:space="preserve"> </v>
      </c>
      <c r="GU184" s="21" t="str">
        <f t="shared" si="817"/>
        <v xml:space="preserve"> </v>
      </c>
      <c r="GV184" s="21" t="str">
        <f t="shared" ref="GV184" si="1835">IF(GV82="",GV185,$C184&amp;" "&amp;GV82&amp;CHAR(10)&amp;GV185)</f>
        <v xml:space="preserve"> </v>
      </c>
      <c r="GW184" s="21" t="str">
        <f t="shared" si="819"/>
        <v xml:space="preserve">electronics(1),  </v>
      </c>
      <c r="GX184" s="21" t="str">
        <f t="shared" si="820"/>
        <v xml:space="preserve"> </v>
      </c>
      <c r="GY184" s="21" t="str">
        <f t="shared" si="770"/>
        <v xml:space="preserve"> </v>
      </c>
      <c r="GZ184" s="21" t="str">
        <f t="shared" ref="GZ184" si="1836">IF(GZ82="",GZ185,$C184&amp;" "&amp;GZ82&amp;CHAR(10)&amp;GZ185)</f>
        <v xml:space="preserve"> </v>
      </c>
      <c r="HA184" s="21" t="str">
        <f t="shared" si="822"/>
        <v xml:space="preserve"> </v>
      </c>
      <c r="HB184" s="21" t="str">
        <f t="shared" ref="HB184" si="1837">IF(HB82="",HB185,$C184&amp;" "&amp;HB82&amp;CHAR(10)&amp;HB185)</f>
        <v xml:space="preserve"> </v>
      </c>
      <c r="HC184" s="21" t="str">
        <f t="shared" si="824"/>
        <v xml:space="preserve">plastic processing(2), electronics(2), aesthetics(2), interaction(2),  </v>
      </c>
      <c r="HD184" s="21" t="str">
        <f t="shared" si="825"/>
        <v xml:space="preserve">start-up with customers(1,6.25), for basic literacy(1,6.25),  </v>
      </c>
      <c r="HE184" s="21" t="str">
        <f t="shared" si="826"/>
        <v xml:space="preserve">start-up with customers(6.25),for basic literacy(6.25), </v>
      </c>
      <c r="HF184" s="21" t="str">
        <f t="shared" ref="HF184" si="1838">IF(HF82="",HF185,$C184&amp;" "&amp;HF82&amp;CHAR(10)&amp;HF185)</f>
        <v xml:space="preserve"> </v>
      </c>
      <c r="HG184" s="21" t="str">
        <f t="shared" si="828"/>
        <v xml:space="preserve"> </v>
      </c>
      <c r="HH184" s="21" t="str">
        <f t="shared" ref="HH184" si="1839">IF(HH82="",HH185,$C184&amp;" "&amp;HH82&amp;CHAR(10)&amp;HH185)</f>
        <v xml:space="preserve"> </v>
      </c>
      <c r="HI184" s="21" t="str">
        <f t="shared" si="830"/>
        <v xml:space="preserve">plastic processing(2), electronics(2), aesthetics(2), functions(2), interaction(2),  </v>
      </c>
      <c r="HJ184" s="21" t="str">
        <f t="shared" si="831"/>
        <v xml:space="preserve">start-up with customers(1,6.25),  </v>
      </c>
      <c r="HK184" s="21" t="str">
        <f t="shared" si="826"/>
        <v xml:space="preserve">start-up with customers(6.25), </v>
      </c>
      <c r="HL184" s="21" t="str">
        <f t="shared" ref="HL184" si="1840">IF(HL82="",HL185,$C184&amp;" "&amp;HL82&amp;CHAR(10)&amp;HL185)</f>
        <v xml:space="preserve"> </v>
      </c>
      <c r="HM184" s="21" t="str">
        <f t="shared" si="833"/>
        <v xml:space="preserve"> </v>
      </c>
      <c r="HN184" s="21" t="str">
        <f t="shared" ref="HN184" si="1841">IF(HN82="",HN185,$C184&amp;" "&amp;HN82&amp;CHAR(10)&amp;HN185)</f>
        <v xml:space="preserve"> </v>
      </c>
      <c r="HO184" s="21" t="str">
        <f t="shared" si="835"/>
        <v xml:space="preserve">plastic processing(3), electronics(3), aesthetics(2), interaction(2),  </v>
      </c>
      <c r="HP184" s="21" t="str">
        <f t="shared" si="836"/>
        <v xml:space="preserve"> </v>
      </c>
      <c r="HQ184" s="47" t="str">
        <f t="shared" si="826"/>
        <v xml:space="preserve"> </v>
      </c>
      <c r="HR184" s="47" t="str">
        <f t="shared" ref="HR184:HW184" si="1842">IF(HR82="",HR185,$C184&amp;"("&amp;HR82&amp;"),"&amp;HR185)</f>
        <v xml:space="preserve">aesthetics(1), </v>
      </c>
      <c r="HS184" s="47" t="str">
        <f t="shared" si="1842"/>
        <v xml:space="preserve"> </v>
      </c>
      <c r="HT184" s="47" t="str">
        <f t="shared" si="1842"/>
        <v xml:space="preserve"> </v>
      </c>
      <c r="HU184" s="47" t="str">
        <f t="shared" si="1842"/>
        <v xml:space="preserve">plastic processing(2),electronics(2),fabric(2),aesthetics(2),interaction(2),start-up with mvp(1), </v>
      </c>
      <c r="HV184" s="47" t="str">
        <f t="shared" si="1842"/>
        <v xml:space="preserve"> </v>
      </c>
      <c r="HW184" s="47" t="str">
        <f t="shared" si="1842"/>
        <v xml:space="preserve"> </v>
      </c>
      <c r="HX184" s="47" t="str">
        <f t="shared" ref="HX184:IU184" si="1843">IF(HX82="",HX185,$C184&amp;"("&amp;HX82&amp;"),"&amp;HX185)</f>
        <v xml:space="preserve">plastic processing(1),electronics(1),aesthetics(1),functions(1),interaction(1), </v>
      </c>
      <c r="HY184" s="47" t="str">
        <f t="shared" si="1843"/>
        <v xml:space="preserve">biz enhancement(1), </v>
      </c>
      <c r="HZ184" s="47" t="str">
        <f t="shared" si="1843"/>
        <v xml:space="preserve">biz enhancement(100), </v>
      </c>
      <c r="IA184" s="47" t="str">
        <f t="shared" si="1843"/>
        <v xml:space="preserve"> </v>
      </c>
      <c r="IB184" s="47" t="str">
        <f t="shared" si="1843"/>
        <v xml:space="preserve">electronics(1),functions(1), </v>
      </c>
      <c r="IC184" s="47" t="str">
        <f t="shared" si="1843"/>
        <v xml:space="preserve">electronics(6.25),functions(6.25), </v>
      </c>
      <c r="ID184" s="47" t="str">
        <f t="shared" si="1843"/>
        <v xml:space="preserve"> </v>
      </c>
      <c r="IE184" s="47" t="str">
        <f t="shared" si="1843"/>
        <v xml:space="preserve"> </v>
      </c>
      <c r="IF184" s="47" t="str">
        <f t="shared" si="1843"/>
        <v xml:space="preserve"> </v>
      </c>
      <c r="IG184" s="47" t="str">
        <f t="shared" si="1843"/>
        <v xml:space="preserve"> </v>
      </c>
      <c r="IH184" s="47" t="str">
        <f t="shared" si="1843"/>
        <v xml:space="preserve"> </v>
      </c>
      <c r="II184" s="47" t="str">
        <f t="shared" si="1843"/>
        <v xml:space="preserve"> </v>
      </c>
      <c r="IJ184" s="47" t="str">
        <f t="shared" si="1843"/>
        <v xml:space="preserve"> </v>
      </c>
      <c r="IK184" s="47" t="str">
        <f t="shared" si="1843"/>
        <v xml:space="preserve">functions(1),safety(1), </v>
      </c>
      <c r="IL184" s="47" t="str">
        <f t="shared" si="1843"/>
        <v xml:space="preserve">functions(25),safety(25), </v>
      </c>
      <c r="IM184" s="47" t="str">
        <f t="shared" si="1843"/>
        <v xml:space="preserve">functions(2),safety(2), </v>
      </c>
      <c r="IN184" s="47" t="str">
        <f t="shared" si="1843"/>
        <v xml:space="preserve">functions(1),safety(1),interaction(1), </v>
      </c>
      <c r="IO184" s="47" t="str">
        <f t="shared" si="1843"/>
        <v xml:space="preserve">functions(6.25),safety(6.25),interaction(6.25), </v>
      </c>
      <c r="IP184" s="57" t="str">
        <f t="shared" si="1843"/>
        <v xml:space="preserve"> </v>
      </c>
      <c r="IQ184" s="47" t="str">
        <f t="shared" si="1843"/>
        <v xml:space="preserve"> </v>
      </c>
      <c r="IR184" s="47" t="str">
        <f t="shared" si="1843"/>
        <v xml:space="preserve"> </v>
      </c>
      <c r="IS184" s="47" t="str">
        <f t="shared" si="1843"/>
        <v xml:space="preserve"> </v>
      </c>
      <c r="IT184" s="47" t="str">
        <f t="shared" si="1843"/>
        <v xml:space="preserve"> </v>
      </c>
      <c r="IU184" s="47" t="str">
        <f t="shared" si="1843"/>
        <v xml:space="preserve"> </v>
      </c>
      <c r="IV184" s="57" t="str">
        <f t="shared" ref="IV184:LG184" si="1844">IF(IV82="",IV185,$C184&amp;"("&amp;IV82&amp;"),"&amp;IV185)</f>
        <v xml:space="preserve"> </v>
      </c>
      <c r="IW184" s="47" t="str">
        <f t="shared" si="1844"/>
        <v xml:space="preserve"> </v>
      </c>
      <c r="IX184" s="47" t="str">
        <f t="shared" si="1844"/>
        <v xml:space="preserve"> </v>
      </c>
      <c r="IY184" s="47" t="str">
        <f t="shared" si="1844"/>
        <v xml:space="preserve"> </v>
      </c>
      <c r="IZ184" s="47" t="str">
        <f t="shared" si="1844"/>
        <v xml:space="preserve"> </v>
      </c>
      <c r="JA184" s="47" t="str">
        <f t="shared" si="1844"/>
        <v xml:space="preserve"> </v>
      </c>
      <c r="JB184" s="47" t="str">
        <f t="shared" si="1844"/>
        <v xml:space="preserve"> </v>
      </c>
      <c r="JC184" s="47" t="str">
        <f t="shared" si="1844"/>
        <v xml:space="preserve"> </v>
      </c>
      <c r="JD184" s="47" t="str">
        <f t="shared" si="1844"/>
        <v xml:space="preserve"> </v>
      </c>
      <c r="JE184" s="47" t="str">
        <f t="shared" si="1844"/>
        <v xml:space="preserve"> </v>
      </c>
      <c r="JF184" s="47" t="str">
        <f t="shared" si="1844"/>
        <v xml:space="preserve">plastic processing(1),electronics(1),fabric(1),aesthetics(1),functions(1),safety(1),interaction(1), </v>
      </c>
      <c r="JG184" s="47" t="str">
        <f t="shared" si="1844"/>
        <v xml:space="preserve">plastic processing(6.25),electronics(6.25),fabric(6.25),aesthetics(6.25),functions(6.25),safety(6.25),interaction(6.25), </v>
      </c>
      <c r="JH184" s="47" t="str">
        <f t="shared" si="1844"/>
        <v xml:space="preserve"> </v>
      </c>
      <c r="JI184" s="47" t="str">
        <f t="shared" si="1844"/>
        <v xml:space="preserve"> </v>
      </c>
      <c r="JJ184" s="47" t="str">
        <f t="shared" si="1844"/>
        <v xml:space="preserve"> </v>
      </c>
      <c r="JK184" s="47" t="str">
        <f t="shared" si="1844"/>
        <v xml:space="preserve">social project(1),social innovation(1),non-profit biz(1),biz project(1),biz enhancement(1),job creation(1),business(1),start-up(1),start-up with mvp(1),start-up with customers(1),for basic literacy(1),for the elites(1),for entrepreneurs(1), </v>
      </c>
      <c r="JL184" s="47" t="str">
        <f t="shared" si="1844"/>
        <v xml:space="preserve"> </v>
      </c>
      <c r="JM184" s="47" t="str">
        <f t="shared" si="1844"/>
        <v xml:space="preserve"> </v>
      </c>
      <c r="JN184" s="47" t="str">
        <f t="shared" si="1844"/>
        <v xml:space="preserve"> </v>
      </c>
      <c r="JO184" s="47" t="str">
        <f t="shared" si="1844"/>
        <v xml:space="preserve"> </v>
      </c>
      <c r="JP184" s="47" t="str">
        <f t="shared" si="1844"/>
        <v xml:space="preserve"> </v>
      </c>
      <c r="JQ184" s="47" t="str">
        <f t="shared" si="1844"/>
        <v xml:space="preserve">electronics(1),aesthetics(1),interaction(1),social project(1),social innovation(1),non-profit biz(1),biz project(1),biz enhancement(1),job creation(1),business(1),start-up(1),start-up with mvp(1),start-up with customers(1),for basic literacy(1),for the elites(1),for entrepreneurs(1), </v>
      </c>
      <c r="JR184" s="47" t="str">
        <f t="shared" si="1844"/>
        <v xml:space="preserve"> </v>
      </c>
      <c r="JS184" s="47" t="str">
        <f t="shared" si="1844"/>
        <v xml:space="preserve"> </v>
      </c>
      <c r="JT184" s="47" t="str">
        <f t="shared" si="1844"/>
        <v xml:space="preserve"> </v>
      </c>
      <c r="JU184" s="47" t="str">
        <f t="shared" si="1844"/>
        <v xml:space="preserve"> </v>
      </c>
      <c r="JV184" s="47" t="str">
        <f t="shared" si="1844"/>
        <v xml:space="preserve"> </v>
      </c>
      <c r="JW184" s="47" t="str">
        <f t="shared" si="1844"/>
        <v xml:space="preserve">social project(2),social innovation(1),non-profit biz(1),biz project(2),biz enhancement(2),job creation(1),business(1),start-up(2),start-up with mvp(1),start-up with customers(1),for basic literacy(2),for the elites(1),for entrepreneurs(1), </v>
      </c>
      <c r="JX184" s="47" t="str">
        <f t="shared" si="1844"/>
        <v xml:space="preserve"> </v>
      </c>
      <c r="JY184" s="47" t="str">
        <f t="shared" si="1844"/>
        <v xml:space="preserve"> </v>
      </c>
      <c r="JZ184" s="47" t="str">
        <f t="shared" si="1844"/>
        <v xml:space="preserve">social project(2), </v>
      </c>
      <c r="KA184" s="47" t="str">
        <f t="shared" si="1844"/>
        <v xml:space="preserve"> </v>
      </c>
      <c r="KB184" s="47" t="str">
        <f t="shared" si="1844"/>
        <v xml:space="preserve"> </v>
      </c>
      <c r="KC184" s="47" t="str">
        <f t="shared" si="1844"/>
        <v xml:space="preserve">electronics(1),aesthetics(1),social project(3),social innovation(1),non-profit biz(1),biz project(2),biz enhancement(2),job creation(1),business(1),start-up(2),start-up with mvp(1),start-up with customers(1),for basic literacy(2),for the elites(1),for entrepreneurs(1), </v>
      </c>
      <c r="KD184" s="47" t="str">
        <f t="shared" si="1844"/>
        <v xml:space="preserve"> </v>
      </c>
      <c r="KE184" s="47" t="str">
        <f t="shared" si="1844"/>
        <v xml:space="preserve"> </v>
      </c>
      <c r="KF184" s="47" t="str">
        <f t="shared" si="1844"/>
        <v xml:space="preserve"> </v>
      </c>
      <c r="KG184" s="47" t="str">
        <f t="shared" si="1844"/>
        <v xml:space="preserve"> </v>
      </c>
      <c r="KH184" s="47" t="str">
        <f t="shared" si="1844"/>
        <v xml:space="preserve"> </v>
      </c>
      <c r="KI184" s="47" t="str">
        <f t="shared" si="1844"/>
        <v xml:space="preserve"> </v>
      </c>
      <c r="KJ184" s="47" t="str">
        <f t="shared" si="1844"/>
        <v xml:space="preserve"> </v>
      </c>
      <c r="KK184" s="47" t="str">
        <f t="shared" si="1844"/>
        <v xml:space="preserve"> </v>
      </c>
      <c r="KL184" s="57" t="str">
        <f t="shared" si="1844"/>
        <v xml:space="preserve"> </v>
      </c>
      <c r="KM184" s="47" t="str">
        <f t="shared" si="1844"/>
        <v xml:space="preserve"> </v>
      </c>
      <c r="KN184" s="47" t="str">
        <f t="shared" si="1844"/>
        <v xml:space="preserve"> </v>
      </c>
      <c r="KO184" s="47" t="str">
        <f t="shared" si="1844"/>
        <v xml:space="preserve"> </v>
      </c>
      <c r="KP184" s="47" t="str">
        <f t="shared" si="1844"/>
        <v xml:space="preserve"> </v>
      </c>
      <c r="KQ184" s="47" t="str">
        <f t="shared" si="1844"/>
        <v xml:space="preserve"> </v>
      </c>
      <c r="KR184" s="57" t="str">
        <f t="shared" si="1844"/>
        <v xml:space="preserve"> </v>
      </c>
      <c r="KS184" s="47" t="str">
        <f t="shared" si="1844"/>
        <v xml:space="preserve"> </v>
      </c>
      <c r="KT184" s="47" t="str">
        <f t="shared" si="1844"/>
        <v xml:space="preserve"> </v>
      </c>
      <c r="KU184" s="47" t="str">
        <f t="shared" si="1844"/>
        <v xml:space="preserve"> </v>
      </c>
      <c r="KV184" s="47" t="str">
        <f t="shared" si="1844"/>
        <v xml:space="preserve"> </v>
      </c>
      <c r="KW184" s="47" t="str">
        <f t="shared" si="1844"/>
        <v xml:space="preserve"> </v>
      </c>
      <c r="KX184" s="57" t="str">
        <f t="shared" si="1844"/>
        <v xml:space="preserve"> </v>
      </c>
      <c r="KY184" s="47" t="str">
        <f t="shared" si="1844"/>
        <v xml:space="preserve"> </v>
      </c>
      <c r="KZ184" s="47" t="str">
        <f t="shared" si="1844"/>
        <v xml:space="preserve"> </v>
      </c>
      <c r="LA184" s="47" t="str">
        <f t="shared" si="1844"/>
        <v xml:space="preserve"> </v>
      </c>
      <c r="LB184" s="47" t="str">
        <f t="shared" si="1844"/>
        <v xml:space="preserve"> </v>
      </c>
      <c r="LC184" s="47" t="str">
        <f t="shared" si="1844"/>
        <v xml:space="preserve"> </v>
      </c>
      <c r="LD184" s="57" t="str">
        <f t="shared" si="1844"/>
        <v xml:space="preserve"> </v>
      </c>
      <c r="LE184" s="47" t="str">
        <f t="shared" si="1844"/>
        <v xml:space="preserve"> </v>
      </c>
      <c r="LF184" s="47" t="str">
        <f t="shared" si="1844"/>
        <v xml:space="preserve"> </v>
      </c>
      <c r="LG184" s="47" t="str">
        <f t="shared" si="1844"/>
        <v xml:space="preserve"> </v>
      </c>
      <c r="LH184" s="47" t="str">
        <f t="shared" ref="LH184:NM184" si="1845">IF(LH82="",LH185,$C184&amp;"("&amp;LH82&amp;"),"&amp;LH185)</f>
        <v xml:space="preserve"> </v>
      </c>
      <c r="LI184" s="47" t="str">
        <f t="shared" si="1845"/>
        <v xml:space="preserve"> </v>
      </c>
      <c r="LJ184" s="57" t="str">
        <f t="shared" si="1845"/>
        <v xml:space="preserve"> </v>
      </c>
      <c r="LK184" s="47" t="str">
        <f t="shared" si="1845"/>
        <v xml:space="preserve"> </v>
      </c>
      <c r="LL184" s="47" t="str">
        <f t="shared" si="1845"/>
        <v xml:space="preserve"> </v>
      </c>
      <c r="LM184" s="47" t="str">
        <f t="shared" si="1845"/>
        <v xml:space="preserve"> </v>
      </c>
      <c r="LN184" s="47" t="str">
        <f t="shared" si="1845"/>
        <v xml:space="preserve"> </v>
      </c>
      <c r="LO184" s="47" t="str">
        <f t="shared" si="1845"/>
        <v xml:space="preserve"> </v>
      </c>
      <c r="LP184" s="57" t="str">
        <f t="shared" si="1845"/>
        <v xml:space="preserve"> </v>
      </c>
      <c r="LQ184" s="47" t="str">
        <f t="shared" si="1845"/>
        <v xml:space="preserve"> </v>
      </c>
      <c r="LR184" s="47" t="str">
        <f t="shared" si="1845"/>
        <v xml:space="preserve"> </v>
      </c>
      <c r="LS184" s="47" t="str">
        <f t="shared" si="1845"/>
        <v xml:space="preserve"> </v>
      </c>
      <c r="LT184" s="47" t="str">
        <f t="shared" si="1845"/>
        <v xml:space="preserve"> </v>
      </c>
      <c r="LU184" s="47" t="str">
        <f t="shared" si="1845"/>
        <v xml:space="preserve"> </v>
      </c>
      <c r="LV184" s="57" t="str">
        <f t="shared" si="1845"/>
        <v xml:space="preserve"> </v>
      </c>
      <c r="LW184" s="47" t="str">
        <f t="shared" si="1845"/>
        <v xml:space="preserve"> </v>
      </c>
      <c r="LX184" s="47" t="str">
        <f t="shared" si="1845"/>
        <v xml:space="preserve"> </v>
      </c>
      <c r="LY184" s="47" t="str">
        <f t="shared" si="1845"/>
        <v xml:space="preserve"> </v>
      </c>
      <c r="LZ184" s="47" t="str">
        <f t="shared" si="1845"/>
        <v xml:space="preserve"> </v>
      </c>
      <c r="MA184" s="47" t="str">
        <f t="shared" si="1845"/>
        <v xml:space="preserve"> </v>
      </c>
      <c r="MB184" s="57" t="str">
        <f t="shared" si="1845"/>
        <v xml:space="preserve"> </v>
      </c>
      <c r="MC184" s="47" t="str">
        <f t="shared" si="1845"/>
        <v xml:space="preserve"> </v>
      </c>
      <c r="MD184" s="47" t="str">
        <f t="shared" si="1845"/>
        <v xml:space="preserve"> </v>
      </c>
      <c r="ME184" s="47" t="str">
        <f t="shared" si="1845"/>
        <v xml:space="preserve"> </v>
      </c>
      <c r="MF184" s="47" t="str">
        <f t="shared" si="1845"/>
        <v xml:space="preserve"> </v>
      </c>
      <c r="MG184" s="47" t="str">
        <f t="shared" si="1845"/>
        <v xml:space="preserve"> </v>
      </c>
      <c r="MH184" s="57" t="str">
        <f t="shared" si="1845"/>
        <v xml:space="preserve"> </v>
      </c>
      <c r="MI184" s="47" t="str">
        <f t="shared" si="1845"/>
        <v xml:space="preserve"> </v>
      </c>
      <c r="MJ184" s="47" t="str">
        <f t="shared" si="1845"/>
        <v xml:space="preserve"> </v>
      </c>
      <c r="MK184" s="47" t="str">
        <f t="shared" si="1845"/>
        <v xml:space="preserve"> </v>
      </c>
      <c r="ML184" s="47" t="str">
        <f t="shared" si="1845"/>
        <v xml:space="preserve"> </v>
      </c>
      <c r="MM184" s="47" t="str">
        <f t="shared" si="1845"/>
        <v xml:space="preserve"> </v>
      </c>
      <c r="MN184" s="57" t="str">
        <f t="shared" si="1845"/>
        <v xml:space="preserve"> </v>
      </c>
      <c r="MO184" s="47" t="str">
        <f t="shared" si="1845"/>
        <v xml:space="preserve"> </v>
      </c>
      <c r="MP184" s="47" t="str">
        <f t="shared" si="1845"/>
        <v xml:space="preserve"> </v>
      </c>
      <c r="MQ184" s="47" t="str">
        <f t="shared" si="1845"/>
        <v xml:space="preserve"> </v>
      </c>
      <c r="MR184" s="47" t="str">
        <f t="shared" si="1845"/>
        <v xml:space="preserve"> </v>
      </c>
      <c r="MS184" s="47" t="str">
        <f t="shared" si="1845"/>
        <v xml:space="preserve"> </v>
      </c>
      <c r="MT184" s="57" t="str">
        <f t="shared" si="1845"/>
        <v xml:space="preserve"> </v>
      </c>
      <c r="MU184" s="47" t="str">
        <f t="shared" si="1845"/>
        <v xml:space="preserve"> </v>
      </c>
      <c r="MV184" s="47" t="str">
        <f t="shared" si="1845"/>
        <v xml:space="preserve"> </v>
      </c>
      <c r="MW184" s="47" t="str">
        <f t="shared" si="1845"/>
        <v xml:space="preserve"> </v>
      </c>
      <c r="MX184" s="47" t="str">
        <f t="shared" si="1845"/>
        <v xml:space="preserve"> </v>
      </c>
      <c r="MY184" s="47" t="str">
        <f t="shared" si="1845"/>
        <v xml:space="preserve"> </v>
      </c>
      <c r="MZ184" s="57" t="str">
        <f t="shared" si="1845"/>
        <v xml:space="preserve"> </v>
      </c>
      <c r="NA184" s="47" t="str">
        <f t="shared" si="1845"/>
        <v xml:space="preserve"> </v>
      </c>
      <c r="NB184" s="47" t="str">
        <f t="shared" si="1845"/>
        <v xml:space="preserve"> </v>
      </c>
      <c r="NC184" s="47" t="str">
        <f t="shared" si="1845"/>
        <v xml:space="preserve"> </v>
      </c>
      <c r="ND184" s="47" t="str">
        <f t="shared" si="1845"/>
        <v xml:space="preserve"> </v>
      </c>
      <c r="NE184" s="47" t="str">
        <f t="shared" si="1845"/>
        <v xml:space="preserve"> </v>
      </c>
      <c r="NF184" s="57" t="str">
        <f t="shared" si="1845"/>
        <v xml:space="preserve"> </v>
      </c>
      <c r="NG184" s="47" t="str">
        <f t="shared" si="1845"/>
        <v xml:space="preserve"> </v>
      </c>
      <c r="NH184" s="47" t="str">
        <f t="shared" si="1845"/>
        <v xml:space="preserve"> </v>
      </c>
      <c r="NI184" s="47" t="str">
        <f t="shared" si="1845"/>
        <v xml:space="preserve"> </v>
      </c>
      <c r="NJ184" s="47" t="str">
        <f t="shared" si="1845"/>
        <v xml:space="preserve"> </v>
      </c>
      <c r="NK184" s="47" t="str">
        <f t="shared" si="1845"/>
        <v xml:space="preserve"> </v>
      </c>
      <c r="NL184" s="57" t="str">
        <f t="shared" si="1845"/>
        <v xml:space="preserve"> </v>
      </c>
      <c r="NM184" s="47" t="str">
        <f t="shared" si="1845"/>
        <v xml:space="preserve"> </v>
      </c>
    </row>
    <row r="185" spans="3:377" ht="15.75" customHeight="1">
      <c r="C185" s="7" t="str">
        <f t="shared" si="841"/>
        <v>electronics</v>
      </c>
      <c r="D185" s="21" t="str">
        <f t="shared" si="651"/>
        <v xml:space="preserve"> </v>
      </c>
      <c r="E185" s="21" t="str">
        <f t="shared" si="842"/>
        <v xml:space="preserve"> </v>
      </c>
      <c r="F185" s="21" t="str">
        <f t="shared" si="651"/>
        <v xml:space="preserve"> </v>
      </c>
      <c r="G185" s="21" t="str">
        <f t="shared" si="843"/>
        <v xml:space="preserve"> </v>
      </c>
      <c r="H185" s="21" t="str">
        <f t="shared" si="844"/>
        <v xml:space="preserve"> </v>
      </c>
      <c r="I185" s="21" t="str">
        <f t="shared" ref="I185" si="1846">IF(I83="",I186,$C185&amp;"("&amp;I83&amp;"),"&amp;I186)</f>
        <v xml:space="preserve"> </v>
      </c>
      <c r="J185" s="21" t="str">
        <f t="shared" ref="J185" si="1847">IF(J83="",J186,$C185&amp;" "&amp;J83&amp;CHAR(10)&amp;J186)</f>
        <v xml:space="preserve">interaction 1
 </v>
      </c>
      <c r="K185" s="21" t="str">
        <f t="shared" si="654"/>
        <v xml:space="preserve"> </v>
      </c>
      <c r="L185" s="21" t="str">
        <f t="shared" ref="L185" si="1848">IF(L83="",L186,$C185&amp;" "&amp;L83&amp;CHAR(10)&amp;L186)</f>
        <v xml:space="preserve"> </v>
      </c>
      <c r="M185" s="21" t="str">
        <f t="shared" si="656"/>
        <v xml:space="preserve">social innovation(1), non-profit biz(1),  </v>
      </c>
      <c r="N185" s="21" t="str">
        <f t="shared" si="657"/>
        <v xml:space="preserve"> </v>
      </c>
      <c r="O185" s="21" t="str">
        <f t="shared" si="658"/>
        <v xml:space="preserve"> </v>
      </c>
      <c r="P185" s="21" t="str">
        <f t="shared" ref="P185" si="1849">IF(P83="",P186,$C185&amp;" "&amp;P83&amp;CHAR(10)&amp;P186)</f>
        <v xml:space="preserve">biz project 1
 </v>
      </c>
      <c r="Q185" s="21" t="str">
        <f t="shared" si="660"/>
        <v xml:space="preserve"> </v>
      </c>
      <c r="R185" s="21" t="str">
        <f t="shared" ref="R185" si="1850">IF(R83="",R186,$C185&amp;" "&amp;R83&amp;CHAR(10)&amp;R186)</f>
        <v xml:space="preserve"> </v>
      </c>
      <c r="S185" s="21" t="str">
        <f t="shared" si="662"/>
        <v xml:space="preserve">biz enhancement(1), business(1), start-up(1),  </v>
      </c>
      <c r="T185" s="21" t="str">
        <f t="shared" si="663"/>
        <v xml:space="preserve"> </v>
      </c>
      <c r="U185" s="21" t="str">
        <f t="shared" si="658"/>
        <v xml:space="preserve"> </v>
      </c>
      <c r="V185" s="21" t="str">
        <f t="shared" ref="V185" si="1851">IF(V83="",V186,$C185&amp;" "&amp;V83&amp;CHAR(10)&amp;V186)</f>
        <v xml:space="preserve"> </v>
      </c>
      <c r="W185" s="21" t="str">
        <f t="shared" si="665"/>
        <v xml:space="preserve"> </v>
      </c>
      <c r="X185" s="21" t="str">
        <f t="shared" ref="X185" si="1852">IF(X83="",X186,$C185&amp;" "&amp;X83&amp;CHAR(10)&amp;X186)</f>
        <v xml:space="preserve"> </v>
      </c>
      <c r="Y185" s="21" t="str">
        <f t="shared" si="667"/>
        <v xml:space="preserve">biz project(1), biz enhancement(1), job creation(1), business(1),  </v>
      </c>
      <c r="Z185" s="21" t="str">
        <f t="shared" si="668"/>
        <v xml:space="preserve"> </v>
      </c>
      <c r="AA185" s="21" t="str">
        <f t="shared" si="658"/>
        <v xml:space="preserve"> </v>
      </c>
      <c r="AB185" s="21" t="str">
        <f t="shared" ref="AB185" si="1853">IF(AB83="",AB186,$C185&amp;" "&amp;AB83&amp;CHAR(10)&amp;AB186)</f>
        <v xml:space="preserve"> </v>
      </c>
      <c r="AC185" s="21" t="str">
        <f t="shared" si="670"/>
        <v xml:space="preserve"> </v>
      </c>
      <c r="AD185" s="21" t="str">
        <f t="shared" ref="AD185" si="1854">IF(AD83="",AD186,$C185&amp;" "&amp;AD83&amp;CHAR(10)&amp;AD186)</f>
        <v xml:space="preserve"> </v>
      </c>
      <c r="AE185" s="21" t="str">
        <f t="shared" si="672"/>
        <v xml:space="preserve">social project(1), social innovation(1), non-profit biz(1),  </v>
      </c>
      <c r="AF185" s="21" t="str">
        <f t="shared" si="673"/>
        <v xml:space="preserve"> </v>
      </c>
      <c r="AG185" s="21" t="str">
        <f t="shared" si="658"/>
        <v xml:space="preserve"> </v>
      </c>
      <c r="AH185" s="21" t="str">
        <f t="shared" ref="AH185" si="1855">IF(AH83="",AH186,$C185&amp;" "&amp;AH83&amp;CHAR(10)&amp;AH186)</f>
        <v xml:space="preserve"> </v>
      </c>
      <c r="AI185" s="21" t="str">
        <f t="shared" si="675"/>
        <v xml:space="preserve"> </v>
      </c>
      <c r="AJ185" s="21" t="str">
        <f t="shared" ref="AJ185" si="1856">IF(AJ83="",AJ186,$C185&amp;" "&amp;AJ83&amp;CHAR(10)&amp;AJ186)</f>
        <v xml:space="preserve"> </v>
      </c>
      <c r="AK185" s="21" t="str">
        <f t="shared" si="677"/>
        <v xml:space="preserve">social project(1), social innovation(1), non-profit biz(1),  </v>
      </c>
      <c r="AL185" s="21" t="str">
        <f t="shared" si="678"/>
        <v xml:space="preserve"> </v>
      </c>
      <c r="AM185" s="21" t="str">
        <f t="shared" si="658"/>
        <v xml:space="preserve"> </v>
      </c>
      <c r="AN185" s="21" t="str">
        <f t="shared" ref="AN185" si="1857">IF(AN83="",AN186,$C185&amp;" "&amp;AN83&amp;CHAR(10)&amp;AN186)</f>
        <v xml:space="preserve"> </v>
      </c>
      <c r="AO185" s="21" t="str">
        <f t="shared" si="680"/>
        <v xml:space="preserve"> </v>
      </c>
      <c r="AP185" s="21" t="str">
        <f t="shared" ref="AP185" si="1858">IF(AP83="",AP186,$C185&amp;" "&amp;AP83&amp;CHAR(10)&amp;AP186)</f>
        <v xml:space="preserve"> </v>
      </c>
      <c r="AQ185" s="21" t="str">
        <f t="shared" si="682"/>
        <v xml:space="preserve">start-up(1), start-up with mvp(1), start-up with customers(1),  </v>
      </c>
      <c r="AR185" s="21" t="str">
        <f t="shared" si="683"/>
        <v xml:space="preserve"> </v>
      </c>
      <c r="AS185" s="21" t="str">
        <f t="shared" si="658"/>
        <v xml:space="preserve"> </v>
      </c>
      <c r="AT185" s="21" t="str">
        <f t="shared" ref="AT185" si="1859">IF(AT83="",AT186,$C185&amp;" "&amp;AT83&amp;CHAR(10)&amp;AT186)</f>
        <v xml:space="preserve">social project 1
 </v>
      </c>
      <c r="AU185" s="21" t="str">
        <f t="shared" si="685"/>
        <v xml:space="preserve"> </v>
      </c>
      <c r="AV185" s="21" t="str">
        <f t="shared" ref="AV185" si="1860">IF(AV83="",AV186,$C185&amp;" "&amp;AV83&amp;CHAR(10)&amp;AV186)</f>
        <v xml:space="preserve"> </v>
      </c>
      <c r="AW185" s="21" t="str">
        <f t="shared" si="687"/>
        <v xml:space="preserve"> </v>
      </c>
      <c r="AX185" s="21" t="str">
        <f t="shared" si="688"/>
        <v xml:space="preserve"> </v>
      </c>
      <c r="AY185" s="21" t="str">
        <f t="shared" si="658"/>
        <v xml:space="preserve"> </v>
      </c>
      <c r="AZ185" s="21" t="str">
        <f t="shared" ref="AZ185" si="1861">IF(AZ83="",AZ186,$C185&amp;" "&amp;AZ83&amp;CHAR(10)&amp;AZ186)</f>
        <v xml:space="preserve"> </v>
      </c>
      <c r="BA185" s="21" t="str">
        <f t="shared" si="690"/>
        <v xml:space="preserve"> </v>
      </c>
      <c r="BB185" s="21" t="str">
        <f t="shared" ref="BB185" si="1862">IF(BB83="",BB186,$C185&amp;" "&amp;BB83&amp;CHAR(10)&amp;BB186)</f>
        <v xml:space="preserve"> </v>
      </c>
      <c r="BC185" s="21" t="str">
        <f t="shared" si="692"/>
        <v xml:space="preserve"> </v>
      </c>
      <c r="BD185" s="21" t="str">
        <f t="shared" si="693"/>
        <v xml:space="preserve"> </v>
      </c>
      <c r="BE185" s="21" t="str">
        <f t="shared" si="658"/>
        <v xml:space="preserve"> </v>
      </c>
      <c r="BF185" s="21" t="str">
        <f t="shared" ref="BF185" si="1863">IF(BF83="",BF186,$C185&amp;" "&amp;BF83&amp;CHAR(10)&amp;BF186)</f>
        <v xml:space="preserve">biz project 1
 </v>
      </c>
      <c r="BG185" s="21" t="str">
        <f t="shared" si="695"/>
        <v xml:space="preserve"> </v>
      </c>
      <c r="BH185" s="21" t="str">
        <f t="shared" ref="BH185" si="1864">IF(BH83="",BH186,$C185&amp;" "&amp;BH83&amp;CHAR(10)&amp;BH186)</f>
        <v xml:space="preserve"> </v>
      </c>
      <c r="BI185" s="21" t="str">
        <f t="shared" si="697"/>
        <v xml:space="preserve"> </v>
      </c>
      <c r="BJ185" s="21" t="str">
        <f t="shared" si="698"/>
        <v xml:space="preserve"> </v>
      </c>
      <c r="BK185" s="21" t="str">
        <f t="shared" si="658"/>
        <v xml:space="preserve"> </v>
      </c>
      <c r="BL185" s="21" t="str">
        <f t="shared" ref="BL185" si="1865">IF(BL83="",BL186,$C185&amp;" "&amp;BL83&amp;CHAR(10)&amp;BL186)</f>
        <v xml:space="preserve">biz enhancement 1
 </v>
      </c>
      <c r="BM185" s="21" t="str">
        <f t="shared" si="700"/>
        <v xml:space="preserve"> </v>
      </c>
      <c r="BN185" s="21" t="str">
        <f t="shared" ref="BN185" si="1866">IF(BN83="",BN186,$C185&amp;" "&amp;BN83&amp;CHAR(10)&amp;BN186)</f>
        <v xml:space="preserve"> </v>
      </c>
      <c r="BO185" s="21" t="str">
        <f t="shared" si="702"/>
        <v xml:space="preserve"> </v>
      </c>
      <c r="BP185" s="21" t="str">
        <f t="shared" si="703"/>
        <v xml:space="preserve"> </v>
      </c>
      <c r="BQ185" s="21" t="str">
        <f t="shared" si="658"/>
        <v xml:space="preserve"> </v>
      </c>
      <c r="BR185" s="21" t="str">
        <f t="shared" ref="BR185" si="1867">IF(BR83="",BR186,$C185&amp;" "&amp;BR83&amp;CHAR(10)&amp;BR186)</f>
        <v xml:space="preserve"> </v>
      </c>
      <c r="BS185" s="21" t="str">
        <f t="shared" si="705"/>
        <v xml:space="preserve"> </v>
      </c>
      <c r="BT185" s="21" t="str">
        <f t="shared" ref="BT185" si="1868">IF(BT83="",BT186,$C185&amp;" "&amp;BT83&amp;CHAR(10)&amp;BT186)</f>
        <v xml:space="preserve"> </v>
      </c>
      <c r="BU185" s="21" t="str">
        <f t="shared" si="707"/>
        <v xml:space="preserve"> </v>
      </c>
      <c r="BV185" s="21" t="str">
        <f t="shared" si="708"/>
        <v xml:space="preserve"> </v>
      </c>
      <c r="BW185" s="21" t="str">
        <f t="shared" si="658"/>
        <v xml:space="preserve"> </v>
      </c>
      <c r="BX185" s="21" t="str">
        <f t="shared" ref="BX185" si="1869">IF(BX83="",BX186,$C185&amp;" "&amp;BX83&amp;CHAR(10)&amp;BX186)</f>
        <v xml:space="preserve"> </v>
      </c>
      <c r="BY185" s="21" t="str">
        <f t="shared" si="710"/>
        <v xml:space="preserve"> </v>
      </c>
      <c r="BZ185" s="21" t="str">
        <f t="shared" ref="BZ185" si="1870">IF(BZ83="",BZ186,$C185&amp;" "&amp;BZ83&amp;CHAR(10)&amp;BZ186)</f>
        <v xml:space="preserve"> </v>
      </c>
      <c r="CA185" s="21" t="str">
        <f t="shared" si="712"/>
        <v xml:space="preserve"> </v>
      </c>
      <c r="CB185" s="21" t="str">
        <f t="shared" si="713"/>
        <v xml:space="preserve"> </v>
      </c>
      <c r="CC185" s="21" t="str">
        <f t="shared" si="714"/>
        <v xml:space="preserve"> </v>
      </c>
      <c r="CD185" s="21" t="str">
        <f t="shared" ref="CD185" si="1871">IF(CD83="",CD186,$C185&amp;" "&amp;CD83&amp;CHAR(10)&amp;CD186)</f>
        <v xml:space="preserve"> </v>
      </c>
      <c r="CE185" s="21" t="str">
        <f t="shared" si="716"/>
        <v xml:space="preserve"> </v>
      </c>
      <c r="CF185" s="21" t="str">
        <f t="shared" ref="CF185" si="1872">IF(CF83="",CF186,$C185&amp;" "&amp;CF83&amp;CHAR(10)&amp;CF186)</f>
        <v xml:space="preserve"> </v>
      </c>
      <c r="CG185" s="21" t="str">
        <f t="shared" si="718"/>
        <v xml:space="preserve">social project(1), biz project(1), for basic literacy(1), for the elites(1), for entrepreneurs(1),  </v>
      </c>
      <c r="CH185" s="21" t="str">
        <f t="shared" si="719"/>
        <v xml:space="preserve"> </v>
      </c>
      <c r="CI185" s="21" t="str">
        <f t="shared" si="714"/>
        <v xml:space="preserve"> </v>
      </c>
      <c r="CJ185" s="21" t="str">
        <f t="shared" ref="CJ185" si="1873">IF(CJ83="",CJ186,$C185&amp;" "&amp;CJ83&amp;CHAR(10)&amp;CJ186)</f>
        <v xml:space="preserve"> </v>
      </c>
      <c r="CK185" s="21" t="str">
        <f t="shared" si="721"/>
        <v xml:space="preserve"> </v>
      </c>
      <c r="CL185" s="21" t="str">
        <f t="shared" ref="CL185" si="1874">IF(CL83="",CL186,$C185&amp;" "&amp;CL83&amp;CHAR(10)&amp;CL186)</f>
        <v xml:space="preserve"> </v>
      </c>
      <c r="CM185" s="21" t="str">
        <f t="shared" si="723"/>
        <v xml:space="preserve"> </v>
      </c>
      <c r="CN185" s="21" t="str">
        <f t="shared" si="724"/>
        <v xml:space="preserve"> </v>
      </c>
      <c r="CO185" s="21" t="str">
        <f t="shared" si="714"/>
        <v xml:space="preserve"> </v>
      </c>
      <c r="CP185" s="21" t="str">
        <f t="shared" ref="CP185" si="1875">IF(CP83="",CP186,$C185&amp;" "&amp;CP83&amp;CHAR(10)&amp;CP186)</f>
        <v xml:space="preserve"> </v>
      </c>
      <c r="CQ185" s="21" t="str">
        <f t="shared" si="726"/>
        <v xml:space="preserve"> </v>
      </c>
      <c r="CR185" s="21" t="str">
        <f t="shared" ref="CR185" si="1876">IF(CR83="",CR186,$C185&amp;" "&amp;CR83&amp;CHAR(10)&amp;CR186)</f>
        <v xml:space="preserve"> </v>
      </c>
      <c r="CS185" s="21" t="str">
        <f t="shared" si="728"/>
        <v xml:space="preserve">electronics(1), fabric(1),  </v>
      </c>
      <c r="CT185" s="21" t="str">
        <f t="shared" si="729"/>
        <v xml:space="preserve"> </v>
      </c>
      <c r="CU185" s="21" t="str">
        <f t="shared" si="714"/>
        <v xml:space="preserve"> </v>
      </c>
      <c r="CV185" s="21" t="str">
        <f t="shared" ref="CV185" si="1877">IF(CV83="",CV186,$C185&amp;" "&amp;CV83&amp;CHAR(10)&amp;CV186)</f>
        <v xml:space="preserve"> </v>
      </c>
      <c r="CW185" s="21" t="str">
        <f t="shared" si="731"/>
        <v xml:space="preserve"> </v>
      </c>
      <c r="CX185" s="21" t="str">
        <f t="shared" ref="CX185" si="1878">IF(CX83="",CX186,$C185&amp;" "&amp;CX83&amp;CHAR(10)&amp;CX186)</f>
        <v xml:space="preserve"> </v>
      </c>
      <c r="CY185" s="21" t="str">
        <f t="shared" si="733"/>
        <v xml:space="preserve"> </v>
      </c>
      <c r="CZ185" s="21" t="str">
        <f t="shared" si="734"/>
        <v xml:space="preserve"> </v>
      </c>
      <c r="DA185" s="21" t="str">
        <f t="shared" si="714"/>
        <v xml:space="preserve"> </v>
      </c>
      <c r="DB185" s="21" t="str">
        <f t="shared" ref="DB185" si="1879">IF(DB83="",DB186,$C185&amp;" "&amp;DB83&amp;CHAR(10)&amp;DB186)</f>
        <v xml:space="preserve"> </v>
      </c>
      <c r="DC185" s="21" t="str">
        <f t="shared" si="736"/>
        <v xml:space="preserve"> </v>
      </c>
      <c r="DD185" s="21" t="str">
        <f t="shared" ref="DD185" si="1880">IF(DD83="",DD186,$C185&amp;" "&amp;DD83&amp;CHAR(10)&amp;DD186)</f>
        <v xml:space="preserve"> </v>
      </c>
      <c r="DE185" s="21" t="str">
        <f t="shared" si="738"/>
        <v xml:space="preserve">electronics(2), fabric(2), aesthetics(2), functions(2), safety(2), interaction(2), biz project(1), biz enhancement(1), job creation(1), business(1), start-up(1), start-up with mvp(1), start-up with customers(1), for entrepreneurs(2),  </v>
      </c>
      <c r="DF185" s="21" t="str">
        <f t="shared" si="739"/>
        <v xml:space="preserve"> </v>
      </c>
      <c r="DG185" s="21" t="str">
        <f t="shared" si="714"/>
        <v xml:space="preserve"> </v>
      </c>
      <c r="DH185" s="21" t="str">
        <f t="shared" ref="DH185" si="1881">IF(DH83="",DH186,$C185&amp;" "&amp;DH83&amp;CHAR(10)&amp;DH186)</f>
        <v xml:space="preserve">social project 1
 </v>
      </c>
      <c r="DI185" s="21" t="str">
        <f t="shared" si="741"/>
        <v xml:space="preserve"> </v>
      </c>
      <c r="DJ185" s="21" t="str">
        <f t="shared" ref="DJ185" si="1882">IF(DJ83="",DJ186,$C185&amp;" "&amp;DJ83&amp;CHAR(10)&amp;DJ186)</f>
        <v xml:space="preserve"> </v>
      </c>
      <c r="DK185" s="21" t="str">
        <f t="shared" si="743"/>
        <v xml:space="preserve">electronics(2), fabric(2), aesthetics(2), functions(2), safety(2), interaction(2), social project(2), social innovation(1), non-profit biz(1),  </v>
      </c>
      <c r="DL185" s="21" t="str">
        <f t="shared" si="744"/>
        <v xml:space="preserve"> </v>
      </c>
      <c r="DM185" s="21" t="str">
        <f t="shared" si="714"/>
        <v xml:space="preserve"> </v>
      </c>
      <c r="DN185" s="21" t="str">
        <f t="shared" ref="DN185" si="1883">IF(DN83="",DN186,$C185&amp;" "&amp;DN83&amp;CHAR(10)&amp;DN186)</f>
        <v xml:space="preserve">biz project 1
 </v>
      </c>
      <c r="DO185" s="21" t="str">
        <f t="shared" si="746"/>
        <v xml:space="preserve"> </v>
      </c>
      <c r="DP185" s="21" t="str">
        <f t="shared" ref="DP185" si="1884">IF(DP83="",DP186,$C185&amp;" "&amp;DP83&amp;CHAR(10)&amp;DP186)</f>
        <v xml:space="preserve"> </v>
      </c>
      <c r="DQ185" s="21" t="str">
        <f t="shared" si="748"/>
        <v xml:space="preserve">electronics(2), fabric(2), aesthetics(2), functions(2), safety(2), interaction(2), biz project(2), biz enhancement(1), job creation(1), business(1), start-up(1), start-up with mvp(1), start-up with customers(1), for entrepreneurs(1),  </v>
      </c>
      <c r="DR185" s="21" t="str">
        <f t="shared" si="749"/>
        <v xml:space="preserve"> </v>
      </c>
      <c r="DS185" s="21" t="str">
        <f t="shared" si="714"/>
        <v xml:space="preserve"> </v>
      </c>
      <c r="DT185" s="21" t="str">
        <f t="shared" ref="DT185" si="1885">IF(DT83="",DT186,$C185&amp;" "&amp;DT83&amp;CHAR(10)&amp;DT186)</f>
        <v xml:space="preserve"> </v>
      </c>
      <c r="DU185" s="21" t="str">
        <f t="shared" si="751"/>
        <v xml:space="preserve"> </v>
      </c>
      <c r="DV185" s="21" t="str">
        <f t="shared" ref="DV185" si="1886">IF(DV83="",DV186,$C185&amp;" "&amp;DV83&amp;CHAR(10)&amp;DV186)</f>
        <v xml:space="preserve"> </v>
      </c>
      <c r="DW185" s="21" t="str">
        <f t="shared" si="753"/>
        <v xml:space="preserve">for basic literacy(1),  </v>
      </c>
      <c r="DX185" s="21" t="str">
        <f t="shared" si="754"/>
        <v xml:space="preserve">for basic literacy(1,6.25),  </v>
      </c>
      <c r="DY185" s="21" t="str">
        <f t="shared" si="714"/>
        <v xml:space="preserve">for basic literacy(6.25), </v>
      </c>
      <c r="DZ185" s="21" t="str">
        <f t="shared" ref="DZ185" si="1887">IF(DZ83="",DZ186,$C185&amp;" "&amp;DZ83&amp;CHAR(10)&amp;DZ186)</f>
        <v xml:space="preserve"> </v>
      </c>
      <c r="EA185" s="21" t="str">
        <f t="shared" si="756"/>
        <v xml:space="preserve"> </v>
      </c>
      <c r="EB185" s="21" t="str">
        <f t="shared" ref="EB185" si="1888">IF(EB83="",EB186,$C185&amp;" "&amp;EB83&amp;CHAR(10)&amp;EB186)</f>
        <v xml:space="preserve"> </v>
      </c>
      <c r="EC185" s="21" t="str">
        <f t="shared" si="758"/>
        <v xml:space="preserve">electronics(2), fabric(2), for basic literacy(1),  </v>
      </c>
      <c r="ED185" s="21" t="str">
        <f t="shared" si="759"/>
        <v xml:space="preserve">for basic literacy(1,6.25),  </v>
      </c>
      <c r="EE185" s="21" t="str">
        <f t="shared" si="714"/>
        <v xml:space="preserve">for basic literacy(6.25), </v>
      </c>
      <c r="EF185" s="21" t="str">
        <f t="shared" ref="EF185" si="1889">IF(EF83="",EF186,$C185&amp;" "&amp;EF83&amp;CHAR(10)&amp;EF186)</f>
        <v xml:space="preserve"> </v>
      </c>
      <c r="EG185" s="21" t="str">
        <f t="shared" si="761"/>
        <v xml:space="preserve">interaction(1,50),  </v>
      </c>
      <c r="EH185" s="21" t="str">
        <f t="shared" ref="EH185" si="1890">IF(EH83="",EH186,$C185&amp;" "&amp;EH83&amp;CHAR(10)&amp;EH186)</f>
        <v xml:space="preserve">interaction 50
 </v>
      </c>
      <c r="EI185" s="21" t="str">
        <f t="shared" si="763"/>
        <v xml:space="preserve">for entrepreneurs(1),  </v>
      </c>
      <c r="EJ185" s="21" t="str">
        <f t="shared" si="764"/>
        <v xml:space="preserve">for entrepreneurs(1,6.25),  </v>
      </c>
      <c r="EK185" s="21" t="str">
        <f t="shared" si="714"/>
        <v xml:space="preserve">for entrepreneurs(6.25), </v>
      </c>
      <c r="EL185" s="21" t="str">
        <f t="shared" ref="EL185" si="1891">IF(EL83="",EL186,$C185&amp;" "&amp;EL83&amp;CHAR(10)&amp;EL186)</f>
        <v xml:space="preserve"> </v>
      </c>
      <c r="EM185" s="21" t="str">
        <f t="shared" si="766"/>
        <v xml:space="preserve"> </v>
      </c>
      <c r="EN185" s="21" t="str">
        <f t="shared" ref="EN185" si="1892">IF(EN83="",EN186,$C185&amp;" "&amp;EN83&amp;CHAR(10)&amp;EN186)</f>
        <v xml:space="preserve"> </v>
      </c>
      <c r="EO185" s="21" t="str">
        <f t="shared" si="768"/>
        <v xml:space="preserve">for entrepreneurs(1),  </v>
      </c>
      <c r="EP185" s="21" t="str">
        <f t="shared" si="769"/>
        <v xml:space="preserve">electronics(1,6.25), for entrepreneurs(1,6.25),  </v>
      </c>
      <c r="EQ185" s="21" t="str">
        <f t="shared" si="770"/>
        <v xml:space="preserve">electronics(6.25),for entrepreneurs(6.25), </v>
      </c>
      <c r="ER185" s="21" t="str">
        <f t="shared" ref="ER185" si="1893">IF(ER83="",ER186,$C185&amp;" "&amp;ER83&amp;CHAR(10)&amp;ER186)</f>
        <v xml:space="preserve"> </v>
      </c>
      <c r="ES185" s="21" t="str">
        <f t="shared" si="772"/>
        <v xml:space="preserve"> </v>
      </c>
      <c r="ET185" s="21" t="str">
        <f t="shared" ref="ET185" si="1894">IF(ET83="",ET186,$C185&amp;" "&amp;ET83&amp;CHAR(10)&amp;ET186)</f>
        <v xml:space="preserve"> </v>
      </c>
      <c r="EU185" s="21" t="str">
        <f t="shared" si="774"/>
        <v xml:space="preserve">for entrepreneurs(1),  </v>
      </c>
      <c r="EV185" s="21" t="str">
        <f t="shared" si="775"/>
        <v xml:space="preserve">for entrepreneurs(1,6.25),  </v>
      </c>
      <c r="EW185" s="21" t="str">
        <f t="shared" si="770"/>
        <v xml:space="preserve">for entrepreneurs(6.25), </v>
      </c>
      <c r="EX185" s="21" t="str">
        <f t="shared" ref="EX185" si="1895">IF(EX83="",EX186,$C185&amp;" "&amp;EX83&amp;CHAR(10)&amp;EX186)</f>
        <v xml:space="preserve"> </v>
      </c>
      <c r="EY185" s="21" t="str">
        <f t="shared" si="777"/>
        <v xml:space="preserve">interaction(1,25),  </v>
      </c>
      <c r="EZ185" s="21" t="str">
        <f t="shared" ref="EZ185" si="1896">IF(EZ83="",EZ186,$C185&amp;" "&amp;EZ83&amp;CHAR(10)&amp;EZ186)</f>
        <v xml:space="preserve">interaction 25
 </v>
      </c>
      <c r="FA185" s="21" t="str">
        <f t="shared" si="779"/>
        <v xml:space="preserve">for entrepreneurs(1),  </v>
      </c>
      <c r="FB185" s="21" t="str">
        <f t="shared" si="780"/>
        <v xml:space="preserve">for entrepreneurs(1,6.25),  </v>
      </c>
      <c r="FC185" s="21" t="str">
        <f t="shared" si="770"/>
        <v xml:space="preserve">for entrepreneurs(6.25), </v>
      </c>
      <c r="FD185" s="21" t="str">
        <f t="shared" ref="FD185" si="1897">IF(FD83="",FD186,$C185&amp;" "&amp;FD83&amp;CHAR(10)&amp;FD186)</f>
        <v xml:space="preserve"> </v>
      </c>
      <c r="FE185" s="21" t="str">
        <f t="shared" si="782"/>
        <v xml:space="preserve"> </v>
      </c>
      <c r="FF185" s="21" t="str">
        <f t="shared" ref="FF185" si="1898">IF(FF83="",FF186,$C185&amp;" "&amp;FF83&amp;CHAR(10)&amp;FF186)</f>
        <v xml:space="preserve"> </v>
      </c>
      <c r="FG185" s="21" t="str">
        <f t="shared" si="784"/>
        <v xml:space="preserve">for entrepreneurs(1),  </v>
      </c>
      <c r="FH185" s="21" t="str">
        <f t="shared" si="785"/>
        <v xml:space="preserve">for entrepreneurs(1,6.25),  </v>
      </c>
      <c r="FI185" s="21" t="str">
        <f t="shared" si="770"/>
        <v xml:space="preserve">for entrepreneurs(6.25), </v>
      </c>
      <c r="FJ185" s="21" t="str">
        <f t="shared" ref="FJ185" si="1899">IF(FJ83="",FJ186,$C185&amp;" "&amp;FJ83&amp;CHAR(10)&amp;FJ186)</f>
        <v xml:space="preserve"> </v>
      </c>
      <c r="FK185" s="21" t="str">
        <f t="shared" si="787"/>
        <v xml:space="preserve">fabric(1,25), safety(1,25), interaction(1,25),  </v>
      </c>
      <c r="FL185" s="21" t="str">
        <f t="shared" ref="FL185" si="1900">IF(FL83="",FL186,$C185&amp;" "&amp;FL83&amp;CHAR(10)&amp;FL186)</f>
        <v xml:space="preserve">fabric 25
safety 25
interaction 25
 </v>
      </c>
      <c r="FM185" s="21" t="str">
        <f t="shared" si="789"/>
        <v xml:space="preserve">for entrepreneurs(1),  </v>
      </c>
      <c r="FN185" s="21" t="str">
        <f t="shared" si="790"/>
        <v xml:space="preserve">for entrepreneurs(1,6.25),  </v>
      </c>
      <c r="FO185" s="21" t="str">
        <f t="shared" si="770"/>
        <v xml:space="preserve">for entrepreneurs(6.25), </v>
      </c>
      <c r="FP185" s="21" t="str">
        <f t="shared" ref="FP185" si="1901">IF(FP83="",FP186,$C185&amp;" "&amp;FP83&amp;CHAR(10)&amp;FP186)</f>
        <v xml:space="preserve"> </v>
      </c>
      <c r="FQ185" s="21" t="str">
        <f t="shared" si="792"/>
        <v xml:space="preserve">functions(1,25), interaction(1,25),  </v>
      </c>
      <c r="FR185" s="21" t="str">
        <f t="shared" ref="FR185" si="1902">IF(FR83="",FR186,$C185&amp;" "&amp;FR83&amp;CHAR(10)&amp;FR186)</f>
        <v xml:space="preserve">functions 25
interaction 25
 </v>
      </c>
      <c r="FS185" s="21" t="str">
        <f t="shared" si="794"/>
        <v xml:space="preserve">for entrepreneurs(1),  </v>
      </c>
      <c r="FT185" s="21" t="str">
        <f t="shared" si="795"/>
        <v xml:space="preserve">for entrepreneurs(1,6.25),  </v>
      </c>
      <c r="FU185" s="21" t="str">
        <f t="shared" si="770"/>
        <v xml:space="preserve">for entrepreneurs(6.25), </v>
      </c>
      <c r="FV185" s="21" t="str">
        <f t="shared" ref="FV185" si="1903">IF(FV83="",FV186,$C185&amp;" "&amp;FV83&amp;CHAR(10)&amp;FV186)</f>
        <v xml:space="preserve"> </v>
      </c>
      <c r="FW185" s="21" t="str">
        <f t="shared" si="797"/>
        <v xml:space="preserve">electronics(1,25), functions(1,25), interaction(1,25),  </v>
      </c>
      <c r="FX185" s="21" t="str">
        <f t="shared" ref="FX185" si="1904">IF(FX83="",FX186,$C185&amp;" "&amp;FX83&amp;CHAR(10)&amp;FX186)</f>
        <v xml:space="preserve">electronics 25
functions 25
interaction 25
 </v>
      </c>
      <c r="FY185" s="21" t="str">
        <f t="shared" si="799"/>
        <v xml:space="preserve">for entrepreneurs(1),  </v>
      </c>
      <c r="FZ185" s="21" t="str">
        <f t="shared" si="800"/>
        <v xml:space="preserve">for entrepreneurs(1,6.25),  </v>
      </c>
      <c r="GA185" s="21" t="str">
        <f t="shared" si="770"/>
        <v xml:space="preserve">for entrepreneurs(6.25), </v>
      </c>
      <c r="GB185" s="21" t="str">
        <f t="shared" ref="GB185" si="1905">IF(GB83="",GB186,$C185&amp;" "&amp;GB83&amp;CHAR(10)&amp;GB186)</f>
        <v xml:space="preserve"> </v>
      </c>
      <c r="GC185" s="21" t="str">
        <f t="shared" si="802"/>
        <v xml:space="preserve">electronics(1,50), functions(1,25), safety(1,25),  </v>
      </c>
      <c r="GD185" s="21" t="str">
        <f t="shared" ref="GD185" si="1906">IF(GD83="",GD186,$C185&amp;" "&amp;GD83&amp;CHAR(10)&amp;GD186)</f>
        <v xml:space="preserve">electronics 50
functions 25
safety 25
 </v>
      </c>
      <c r="GE185" s="21" t="str">
        <f t="shared" si="804"/>
        <v xml:space="preserve">for entrepreneurs(1),  </v>
      </c>
      <c r="GF185" s="21" t="str">
        <f t="shared" si="805"/>
        <v xml:space="preserve">interaction(1,6.25), for entrepreneurs(1,6.25),  </v>
      </c>
      <c r="GG185" s="21" t="str">
        <f t="shared" si="770"/>
        <v xml:space="preserve">interaction(6.25),for entrepreneurs(6.25), </v>
      </c>
      <c r="GH185" s="21" t="str">
        <f t="shared" ref="GH185" si="1907">IF(GH83="",GH186,$C185&amp;" "&amp;GH83&amp;CHAR(10)&amp;GH186)</f>
        <v xml:space="preserve"> </v>
      </c>
      <c r="GI185" s="21" t="str">
        <f t="shared" si="807"/>
        <v xml:space="preserve">functions(1,25), interaction(1,25),  </v>
      </c>
      <c r="GJ185" s="21" t="str">
        <f t="shared" ref="GJ185" si="1908">IF(GJ83="",GJ186,$C185&amp;" "&amp;GJ83&amp;CHAR(10)&amp;GJ186)</f>
        <v xml:space="preserve">functions 25
interaction 25
 </v>
      </c>
      <c r="GK185" s="21" t="str">
        <f t="shared" si="809"/>
        <v xml:space="preserve">for entrepreneurs(1),  </v>
      </c>
      <c r="GL185" s="21" t="str">
        <f t="shared" si="810"/>
        <v xml:space="preserve">for entrepreneurs(1,6.25),  </v>
      </c>
      <c r="GM185" s="21" t="str">
        <f t="shared" si="770"/>
        <v xml:space="preserve">for entrepreneurs(6.25), </v>
      </c>
      <c r="GN185" s="21" t="str">
        <f t="shared" ref="GN185" si="1909">IF(GN83="",GN186,$C185&amp;" "&amp;GN83&amp;CHAR(10)&amp;GN186)</f>
        <v xml:space="preserve"> </v>
      </c>
      <c r="GO185" s="21" t="str">
        <f t="shared" si="812"/>
        <v xml:space="preserve">aesthetics(1,25), functions(1,25), interaction(1,50),  </v>
      </c>
      <c r="GP185" s="21" t="str">
        <f t="shared" ref="GP185" si="1910">IF(GP83="",GP186,$C185&amp;" "&amp;GP83&amp;CHAR(10)&amp;GP186)</f>
        <v xml:space="preserve">aesthetics 25
functions 25
interaction 50
 </v>
      </c>
      <c r="GQ185" s="21" t="str">
        <f t="shared" si="814"/>
        <v xml:space="preserve">for entrepreneurs(1),  </v>
      </c>
      <c r="GR185" s="21" t="str">
        <f t="shared" si="815"/>
        <v xml:space="preserve">for entrepreneurs(1,6.25),  </v>
      </c>
      <c r="GS185" s="21" t="str">
        <f t="shared" si="770"/>
        <v xml:space="preserve">for entrepreneurs(6.25), </v>
      </c>
      <c r="GT185" s="21" t="str">
        <f t="shared" ref="GT185" si="1911">IF(GT83="",GT186,$C185&amp;" "&amp;GT83&amp;CHAR(10)&amp;GT186)</f>
        <v xml:space="preserve"> </v>
      </c>
      <c r="GU185" s="21" t="str">
        <f t="shared" si="817"/>
        <v xml:space="preserve"> </v>
      </c>
      <c r="GV185" s="21" t="str">
        <f t="shared" ref="GV185" si="1912">IF(GV83="",GV186,$C185&amp;" "&amp;GV83&amp;CHAR(10)&amp;GV186)</f>
        <v xml:space="preserve"> </v>
      </c>
      <c r="GW185" s="21" t="str">
        <f t="shared" si="819"/>
        <v xml:space="preserve">electronics(1),  </v>
      </c>
      <c r="GX185" s="21" t="str">
        <f t="shared" si="820"/>
        <v xml:space="preserve"> </v>
      </c>
      <c r="GY185" s="21" t="str">
        <f t="shared" si="770"/>
        <v xml:space="preserve"> </v>
      </c>
      <c r="GZ185" s="21" t="str">
        <f t="shared" ref="GZ185" si="1913">IF(GZ83="",GZ186,$C185&amp;" "&amp;GZ83&amp;CHAR(10)&amp;GZ186)</f>
        <v xml:space="preserve"> </v>
      </c>
      <c r="HA185" s="21" t="str">
        <f t="shared" si="822"/>
        <v xml:space="preserve"> </v>
      </c>
      <c r="HB185" s="21" t="str">
        <f t="shared" ref="HB185" si="1914">IF(HB83="",HB186,$C185&amp;" "&amp;HB83&amp;CHAR(10)&amp;HB186)</f>
        <v xml:space="preserve"> </v>
      </c>
      <c r="HC185" s="21" t="str">
        <f t="shared" si="824"/>
        <v xml:space="preserve">electronics(2), aesthetics(2), interaction(2),  </v>
      </c>
      <c r="HD185" s="21" t="str">
        <f t="shared" si="825"/>
        <v xml:space="preserve">start-up with customers(1,6.25), for basic literacy(1,6.25),  </v>
      </c>
      <c r="HE185" s="21" t="str">
        <f t="shared" si="826"/>
        <v xml:space="preserve">start-up with customers(6.25),for basic literacy(6.25), </v>
      </c>
      <c r="HF185" s="21" t="str">
        <f t="shared" ref="HF185" si="1915">IF(HF83="",HF186,$C185&amp;" "&amp;HF83&amp;CHAR(10)&amp;HF186)</f>
        <v xml:space="preserve"> </v>
      </c>
      <c r="HG185" s="21" t="str">
        <f t="shared" si="828"/>
        <v xml:space="preserve"> </v>
      </c>
      <c r="HH185" s="21" t="str">
        <f t="shared" ref="HH185" si="1916">IF(HH83="",HH186,$C185&amp;" "&amp;HH83&amp;CHAR(10)&amp;HH186)</f>
        <v xml:space="preserve"> </v>
      </c>
      <c r="HI185" s="21" t="str">
        <f t="shared" si="830"/>
        <v xml:space="preserve">electronics(2), aesthetics(2), functions(2), interaction(2),  </v>
      </c>
      <c r="HJ185" s="21" t="str">
        <f t="shared" si="831"/>
        <v xml:space="preserve">start-up with customers(1,6.25),  </v>
      </c>
      <c r="HK185" s="21" t="str">
        <f t="shared" si="826"/>
        <v xml:space="preserve">start-up with customers(6.25), </v>
      </c>
      <c r="HL185" s="21" t="str">
        <f t="shared" ref="HL185" si="1917">IF(HL83="",HL186,$C185&amp;" "&amp;HL83&amp;CHAR(10)&amp;HL186)</f>
        <v xml:space="preserve"> </v>
      </c>
      <c r="HM185" s="21" t="str">
        <f t="shared" si="833"/>
        <v xml:space="preserve"> </v>
      </c>
      <c r="HN185" s="21" t="str">
        <f t="shared" ref="HN185" si="1918">IF(HN83="",HN186,$C185&amp;" "&amp;HN83&amp;CHAR(10)&amp;HN186)</f>
        <v xml:space="preserve"> </v>
      </c>
      <c r="HO185" s="21" t="str">
        <f t="shared" si="835"/>
        <v xml:space="preserve">electronics(3), aesthetics(2), interaction(2),  </v>
      </c>
      <c r="HP185" s="21" t="str">
        <f t="shared" si="836"/>
        <v xml:space="preserve"> </v>
      </c>
      <c r="HQ185" s="47" t="str">
        <f t="shared" si="826"/>
        <v xml:space="preserve"> </v>
      </c>
      <c r="HR185" s="47" t="str">
        <f t="shared" ref="HR185:HW185" si="1919">IF(HR83="",HR186,$C185&amp;"("&amp;HR83&amp;"),"&amp;HR186)</f>
        <v xml:space="preserve">aesthetics(1), </v>
      </c>
      <c r="HS185" s="47" t="str">
        <f t="shared" si="1919"/>
        <v xml:space="preserve"> </v>
      </c>
      <c r="HT185" s="47" t="str">
        <f t="shared" si="1919"/>
        <v xml:space="preserve"> </v>
      </c>
      <c r="HU185" s="47" t="str">
        <f t="shared" si="1919"/>
        <v xml:space="preserve">electronics(2),fabric(2),aesthetics(2),interaction(2),start-up with mvp(1), </v>
      </c>
      <c r="HV185" s="47" t="str">
        <f t="shared" si="1919"/>
        <v xml:space="preserve"> </v>
      </c>
      <c r="HW185" s="47" t="str">
        <f t="shared" si="1919"/>
        <v xml:space="preserve"> </v>
      </c>
      <c r="HX185" s="47" t="str">
        <f t="shared" ref="HX185:IU185" si="1920">IF(HX83="",HX186,$C185&amp;"("&amp;HX83&amp;"),"&amp;HX186)</f>
        <v xml:space="preserve">electronics(1),aesthetics(1),functions(1),interaction(1), </v>
      </c>
      <c r="HY185" s="47" t="str">
        <f t="shared" si="1920"/>
        <v xml:space="preserve">biz enhancement(1), </v>
      </c>
      <c r="HZ185" s="47" t="str">
        <f t="shared" si="1920"/>
        <v xml:space="preserve">biz enhancement(100), </v>
      </c>
      <c r="IA185" s="47" t="str">
        <f t="shared" si="1920"/>
        <v xml:space="preserve"> </v>
      </c>
      <c r="IB185" s="47" t="str">
        <f t="shared" si="1920"/>
        <v xml:space="preserve">electronics(1),functions(1), </v>
      </c>
      <c r="IC185" s="47" t="str">
        <f t="shared" si="1920"/>
        <v xml:space="preserve">electronics(6.25),functions(6.25), </v>
      </c>
      <c r="ID185" s="47" t="str">
        <f t="shared" si="1920"/>
        <v xml:space="preserve"> </v>
      </c>
      <c r="IE185" s="47" t="str">
        <f t="shared" si="1920"/>
        <v xml:space="preserve"> </v>
      </c>
      <c r="IF185" s="47" t="str">
        <f t="shared" si="1920"/>
        <v xml:space="preserve"> </v>
      </c>
      <c r="IG185" s="47" t="str">
        <f t="shared" si="1920"/>
        <v xml:space="preserve"> </v>
      </c>
      <c r="IH185" s="47" t="str">
        <f t="shared" si="1920"/>
        <v xml:space="preserve"> </v>
      </c>
      <c r="II185" s="47" t="str">
        <f t="shared" si="1920"/>
        <v xml:space="preserve"> </v>
      </c>
      <c r="IJ185" s="47" t="str">
        <f t="shared" si="1920"/>
        <v xml:space="preserve"> </v>
      </c>
      <c r="IK185" s="47" t="str">
        <f t="shared" si="1920"/>
        <v xml:space="preserve">functions(1),safety(1), </v>
      </c>
      <c r="IL185" s="47" t="str">
        <f t="shared" si="1920"/>
        <v xml:space="preserve">functions(25),safety(25), </v>
      </c>
      <c r="IM185" s="47" t="str">
        <f t="shared" si="1920"/>
        <v xml:space="preserve">functions(2),safety(2), </v>
      </c>
      <c r="IN185" s="47" t="str">
        <f t="shared" si="1920"/>
        <v xml:space="preserve">functions(1),safety(1),interaction(1), </v>
      </c>
      <c r="IO185" s="47" t="str">
        <f t="shared" si="1920"/>
        <v xml:space="preserve">functions(6.25),safety(6.25),interaction(6.25), </v>
      </c>
      <c r="IP185" s="57" t="str">
        <f t="shared" si="1920"/>
        <v xml:space="preserve"> </v>
      </c>
      <c r="IQ185" s="47" t="str">
        <f t="shared" si="1920"/>
        <v xml:space="preserve"> </v>
      </c>
      <c r="IR185" s="47" t="str">
        <f t="shared" si="1920"/>
        <v xml:space="preserve"> </v>
      </c>
      <c r="IS185" s="47" t="str">
        <f t="shared" si="1920"/>
        <v xml:space="preserve"> </v>
      </c>
      <c r="IT185" s="47" t="str">
        <f t="shared" si="1920"/>
        <v xml:space="preserve"> </v>
      </c>
      <c r="IU185" s="47" t="str">
        <f t="shared" si="1920"/>
        <v xml:space="preserve"> </v>
      </c>
      <c r="IV185" s="57" t="str">
        <f t="shared" ref="IV185:LG185" si="1921">IF(IV83="",IV186,$C185&amp;"("&amp;IV83&amp;"),"&amp;IV186)</f>
        <v xml:space="preserve"> </v>
      </c>
      <c r="IW185" s="47" t="str">
        <f t="shared" si="1921"/>
        <v xml:space="preserve"> </v>
      </c>
      <c r="IX185" s="47" t="str">
        <f t="shared" si="1921"/>
        <v xml:space="preserve"> </v>
      </c>
      <c r="IY185" s="47" t="str">
        <f t="shared" si="1921"/>
        <v xml:space="preserve"> </v>
      </c>
      <c r="IZ185" s="47" t="str">
        <f t="shared" si="1921"/>
        <v xml:space="preserve"> </v>
      </c>
      <c r="JA185" s="47" t="str">
        <f t="shared" si="1921"/>
        <v xml:space="preserve"> </v>
      </c>
      <c r="JB185" s="47" t="str">
        <f t="shared" si="1921"/>
        <v xml:space="preserve"> </v>
      </c>
      <c r="JC185" s="47" t="str">
        <f t="shared" si="1921"/>
        <v xml:space="preserve"> </v>
      </c>
      <c r="JD185" s="47" t="str">
        <f t="shared" si="1921"/>
        <v xml:space="preserve"> </v>
      </c>
      <c r="JE185" s="47" t="str">
        <f t="shared" si="1921"/>
        <v xml:space="preserve"> </v>
      </c>
      <c r="JF185" s="47" t="str">
        <f t="shared" si="1921"/>
        <v xml:space="preserve">electronics(1),fabric(1),aesthetics(1),functions(1),safety(1),interaction(1), </v>
      </c>
      <c r="JG185" s="47" t="str">
        <f t="shared" si="1921"/>
        <v xml:space="preserve">electronics(6.25),fabric(6.25),aesthetics(6.25),functions(6.25),safety(6.25),interaction(6.25), </v>
      </c>
      <c r="JH185" s="47" t="str">
        <f t="shared" si="1921"/>
        <v xml:space="preserve"> </v>
      </c>
      <c r="JI185" s="47" t="str">
        <f t="shared" si="1921"/>
        <v xml:space="preserve"> </v>
      </c>
      <c r="JJ185" s="47" t="str">
        <f t="shared" si="1921"/>
        <v xml:space="preserve"> </v>
      </c>
      <c r="JK185" s="47" t="str">
        <f t="shared" si="1921"/>
        <v xml:space="preserve">social project(1),social innovation(1),non-profit biz(1),biz project(1),biz enhancement(1),job creation(1),business(1),start-up(1),start-up with mvp(1),start-up with customers(1),for basic literacy(1),for the elites(1),for entrepreneurs(1), </v>
      </c>
      <c r="JL185" s="47" t="str">
        <f t="shared" si="1921"/>
        <v xml:space="preserve"> </v>
      </c>
      <c r="JM185" s="47" t="str">
        <f t="shared" si="1921"/>
        <v xml:space="preserve"> </v>
      </c>
      <c r="JN185" s="47" t="str">
        <f t="shared" si="1921"/>
        <v xml:space="preserve"> </v>
      </c>
      <c r="JO185" s="47" t="str">
        <f t="shared" si="1921"/>
        <v xml:space="preserve"> </v>
      </c>
      <c r="JP185" s="47" t="str">
        <f t="shared" si="1921"/>
        <v xml:space="preserve"> </v>
      </c>
      <c r="JQ185" s="47" t="str">
        <f t="shared" si="1921"/>
        <v xml:space="preserve">electronics(1),aesthetics(1),interaction(1),social project(1),social innovation(1),non-profit biz(1),biz project(1),biz enhancement(1),job creation(1),business(1),start-up(1),start-up with mvp(1),start-up with customers(1),for basic literacy(1),for the elites(1),for entrepreneurs(1), </v>
      </c>
      <c r="JR185" s="47" t="str">
        <f t="shared" si="1921"/>
        <v xml:space="preserve"> </v>
      </c>
      <c r="JS185" s="47" t="str">
        <f t="shared" si="1921"/>
        <v xml:space="preserve"> </v>
      </c>
      <c r="JT185" s="47" t="str">
        <f t="shared" si="1921"/>
        <v xml:space="preserve"> </v>
      </c>
      <c r="JU185" s="47" t="str">
        <f t="shared" si="1921"/>
        <v xml:space="preserve"> </v>
      </c>
      <c r="JV185" s="47" t="str">
        <f t="shared" si="1921"/>
        <v xml:space="preserve"> </v>
      </c>
      <c r="JW185" s="47" t="str">
        <f t="shared" si="1921"/>
        <v xml:space="preserve">social project(2),social innovation(1),non-profit biz(1),biz project(2),biz enhancement(2),job creation(1),business(1),start-up(2),start-up with mvp(1),start-up with customers(1),for basic literacy(2),for the elites(1),for entrepreneurs(1), </v>
      </c>
      <c r="JX185" s="47" t="str">
        <f t="shared" si="1921"/>
        <v xml:space="preserve"> </v>
      </c>
      <c r="JY185" s="47" t="str">
        <f t="shared" si="1921"/>
        <v xml:space="preserve"> </v>
      </c>
      <c r="JZ185" s="47" t="str">
        <f t="shared" si="1921"/>
        <v xml:space="preserve">social project(2), </v>
      </c>
      <c r="KA185" s="47" t="str">
        <f t="shared" si="1921"/>
        <v xml:space="preserve"> </v>
      </c>
      <c r="KB185" s="47" t="str">
        <f t="shared" si="1921"/>
        <v xml:space="preserve"> </v>
      </c>
      <c r="KC185" s="47" t="str">
        <f t="shared" si="1921"/>
        <v xml:space="preserve">electronics(1),aesthetics(1),social project(3),social innovation(1),non-profit biz(1),biz project(2),biz enhancement(2),job creation(1),business(1),start-up(2),start-up with mvp(1),start-up with customers(1),for basic literacy(2),for the elites(1),for entrepreneurs(1), </v>
      </c>
      <c r="KD185" s="47" t="str">
        <f t="shared" si="1921"/>
        <v xml:space="preserve"> </v>
      </c>
      <c r="KE185" s="47" t="str">
        <f t="shared" si="1921"/>
        <v xml:space="preserve"> </v>
      </c>
      <c r="KF185" s="47" t="str">
        <f t="shared" si="1921"/>
        <v xml:space="preserve"> </v>
      </c>
      <c r="KG185" s="47" t="str">
        <f t="shared" si="1921"/>
        <v xml:space="preserve"> </v>
      </c>
      <c r="KH185" s="47" t="str">
        <f t="shared" si="1921"/>
        <v xml:space="preserve"> </v>
      </c>
      <c r="KI185" s="47" t="str">
        <f t="shared" si="1921"/>
        <v xml:space="preserve"> </v>
      </c>
      <c r="KJ185" s="47" t="str">
        <f t="shared" si="1921"/>
        <v xml:space="preserve"> </v>
      </c>
      <c r="KK185" s="47" t="str">
        <f t="shared" si="1921"/>
        <v xml:space="preserve"> </v>
      </c>
      <c r="KL185" s="57" t="str">
        <f t="shared" si="1921"/>
        <v xml:space="preserve"> </v>
      </c>
      <c r="KM185" s="47" t="str">
        <f t="shared" si="1921"/>
        <v xml:space="preserve"> </v>
      </c>
      <c r="KN185" s="47" t="str">
        <f t="shared" si="1921"/>
        <v xml:space="preserve"> </v>
      </c>
      <c r="KO185" s="47" t="str">
        <f t="shared" si="1921"/>
        <v xml:space="preserve"> </v>
      </c>
      <c r="KP185" s="47" t="str">
        <f t="shared" si="1921"/>
        <v xml:space="preserve"> </v>
      </c>
      <c r="KQ185" s="47" t="str">
        <f t="shared" si="1921"/>
        <v xml:space="preserve"> </v>
      </c>
      <c r="KR185" s="57" t="str">
        <f t="shared" si="1921"/>
        <v xml:space="preserve"> </v>
      </c>
      <c r="KS185" s="47" t="str">
        <f t="shared" si="1921"/>
        <v xml:space="preserve"> </v>
      </c>
      <c r="KT185" s="47" t="str">
        <f t="shared" si="1921"/>
        <v xml:space="preserve"> </v>
      </c>
      <c r="KU185" s="47" t="str">
        <f t="shared" si="1921"/>
        <v xml:space="preserve"> </v>
      </c>
      <c r="KV185" s="47" t="str">
        <f t="shared" si="1921"/>
        <v xml:space="preserve"> </v>
      </c>
      <c r="KW185" s="47" t="str">
        <f t="shared" si="1921"/>
        <v xml:space="preserve"> </v>
      </c>
      <c r="KX185" s="57" t="str">
        <f t="shared" si="1921"/>
        <v xml:space="preserve"> </v>
      </c>
      <c r="KY185" s="47" t="str">
        <f t="shared" si="1921"/>
        <v xml:space="preserve"> </v>
      </c>
      <c r="KZ185" s="47" t="str">
        <f t="shared" si="1921"/>
        <v xml:space="preserve"> </v>
      </c>
      <c r="LA185" s="47" t="str">
        <f t="shared" si="1921"/>
        <v xml:space="preserve"> </v>
      </c>
      <c r="LB185" s="47" t="str">
        <f t="shared" si="1921"/>
        <v xml:space="preserve"> </v>
      </c>
      <c r="LC185" s="47" t="str">
        <f t="shared" si="1921"/>
        <v xml:space="preserve"> </v>
      </c>
      <c r="LD185" s="57" t="str">
        <f t="shared" si="1921"/>
        <v xml:space="preserve"> </v>
      </c>
      <c r="LE185" s="47" t="str">
        <f t="shared" si="1921"/>
        <v xml:space="preserve"> </v>
      </c>
      <c r="LF185" s="47" t="str">
        <f t="shared" si="1921"/>
        <v xml:space="preserve"> </v>
      </c>
      <c r="LG185" s="47" t="str">
        <f t="shared" si="1921"/>
        <v xml:space="preserve"> </v>
      </c>
      <c r="LH185" s="47" t="str">
        <f t="shared" ref="LH185:NM185" si="1922">IF(LH83="",LH186,$C185&amp;"("&amp;LH83&amp;"),"&amp;LH186)</f>
        <v xml:space="preserve"> </v>
      </c>
      <c r="LI185" s="47" t="str">
        <f t="shared" si="1922"/>
        <v xml:space="preserve"> </v>
      </c>
      <c r="LJ185" s="57" t="str">
        <f t="shared" si="1922"/>
        <v xml:space="preserve"> </v>
      </c>
      <c r="LK185" s="47" t="str">
        <f t="shared" si="1922"/>
        <v xml:space="preserve"> </v>
      </c>
      <c r="LL185" s="47" t="str">
        <f t="shared" si="1922"/>
        <v xml:space="preserve"> </v>
      </c>
      <c r="LM185" s="47" t="str">
        <f t="shared" si="1922"/>
        <v xml:space="preserve"> </v>
      </c>
      <c r="LN185" s="47" t="str">
        <f t="shared" si="1922"/>
        <v xml:space="preserve"> </v>
      </c>
      <c r="LO185" s="47" t="str">
        <f t="shared" si="1922"/>
        <v xml:space="preserve"> </v>
      </c>
      <c r="LP185" s="57" t="str">
        <f t="shared" si="1922"/>
        <v xml:space="preserve"> </v>
      </c>
      <c r="LQ185" s="47" t="str">
        <f t="shared" si="1922"/>
        <v xml:space="preserve"> </v>
      </c>
      <c r="LR185" s="47" t="str">
        <f t="shared" si="1922"/>
        <v xml:space="preserve"> </v>
      </c>
      <c r="LS185" s="47" t="str">
        <f t="shared" si="1922"/>
        <v xml:space="preserve"> </v>
      </c>
      <c r="LT185" s="47" t="str">
        <f t="shared" si="1922"/>
        <v xml:space="preserve"> </v>
      </c>
      <c r="LU185" s="47" t="str">
        <f t="shared" si="1922"/>
        <v xml:space="preserve"> </v>
      </c>
      <c r="LV185" s="57" t="str">
        <f t="shared" si="1922"/>
        <v xml:space="preserve"> </v>
      </c>
      <c r="LW185" s="47" t="str">
        <f t="shared" si="1922"/>
        <v xml:space="preserve"> </v>
      </c>
      <c r="LX185" s="47" t="str">
        <f t="shared" si="1922"/>
        <v xml:space="preserve"> </v>
      </c>
      <c r="LY185" s="47" t="str">
        <f t="shared" si="1922"/>
        <v xml:space="preserve"> </v>
      </c>
      <c r="LZ185" s="47" t="str">
        <f t="shared" si="1922"/>
        <v xml:space="preserve"> </v>
      </c>
      <c r="MA185" s="47" t="str">
        <f t="shared" si="1922"/>
        <v xml:space="preserve"> </v>
      </c>
      <c r="MB185" s="57" t="str">
        <f t="shared" si="1922"/>
        <v xml:space="preserve"> </v>
      </c>
      <c r="MC185" s="47" t="str">
        <f t="shared" si="1922"/>
        <v xml:space="preserve"> </v>
      </c>
      <c r="MD185" s="47" t="str">
        <f t="shared" si="1922"/>
        <v xml:space="preserve"> </v>
      </c>
      <c r="ME185" s="47" t="str">
        <f t="shared" si="1922"/>
        <v xml:space="preserve"> </v>
      </c>
      <c r="MF185" s="47" t="str">
        <f t="shared" si="1922"/>
        <v xml:space="preserve"> </v>
      </c>
      <c r="MG185" s="47" t="str">
        <f t="shared" si="1922"/>
        <v xml:space="preserve"> </v>
      </c>
      <c r="MH185" s="57" t="str">
        <f t="shared" si="1922"/>
        <v xml:space="preserve"> </v>
      </c>
      <c r="MI185" s="47" t="str">
        <f t="shared" si="1922"/>
        <v xml:space="preserve"> </v>
      </c>
      <c r="MJ185" s="47" t="str">
        <f t="shared" si="1922"/>
        <v xml:space="preserve"> </v>
      </c>
      <c r="MK185" s="47" t="str">
        <f t="shared" si="1922"/>
        <v xml:space="preserve"> </v>
      </c>
      <c r="ML185" s="47" t="str">
        <f t="shared" si="1922"/>
        <v xml:space="preserve"> </v>
      </c>
      <c r="MM185" s="47" t="str">
        <f t="shared" si="1922"/>
        <v xml:space="preserve"> </v>
      </c>
      <c r="MN185" s="57" t="str">
        <f t="shared" si="1922"/>
        <v xml:space="preserve"> </v>
      </c>
      <c r="MO185" s="47" t="str">
        <f t="shared" si="1922"/>
        <v xml:space="preserve"> </v>
      </c>
      <c r="MP185" s="47" t="str">
        <f t="shared" si="1922"/>
        <v xml:space="preserve"> </v>
      </c>
      <c r="MQ185" s="47" t="str">
        <f t="shared" si="1922"/>
        <v xml:space="preserve"> </v>
      </c>
      <c r="MR185" s="47" t="str">
        <f t="shared" si="1922"/>
        <v xml:space="preserve"> </v>
      </c>
      <c r="MS185" s="47" t="str">
        <f t="shared" si="1922"/>
        <v xml:space="preserve"> </v>
      </c>
      <c r="MT185" s="57" t="str">
        <f t="shared" si="1922"/>
        <v xml:space="preserve"> </v>
      </c>
      <c r="MU185" s="47" t="str">
        <f t="shared" si="1922"/>
        <v xml:space="preserve"> </v>
      </c>
      <c r="MV185" s="47" t="str">
        <f t="shared" si="1922"/>
        <v xml:space="preserve"> </v>
      </c>
      <c r="MW185" s="47" t="str">
        <f t="shared" si="1922"/>
        <v xml:space="preserve"> </v>
      </c>
      <c r="MX185" s="47" t="str">
        <f t="shared" si="1922"/>
        <v xml:space="preserve"> </v>
      </c>
      <c r="MY185" s="47" t="str">
        <f t="shared" si="1922"/>
        <v xml:space="preserve"> </v>
      </c>
      <c r="MZ185" s="57" t="str">
        <f t="shared" si="1922"/>
        <v xml:space="preserve"> </v>
      </c>
      <c r="NA185" s="47" t="str">
        <f t="shared" si="1922"/>
        <v xml:space="preserve"> </v>
      </c>
      <c r="NB185" s="47" t="str">
        <f t="shared" si="1922"/>
        <v xml:space="preserve"> </v>
      </c>
      <c r="NC185" s="47" t="str">
        <f t="shared" si="1922"/>
        <v xml:space="preserve"> </v>
      </c>
      <c r="ND185" s="47" t="str">
        <f t="shared" si="1922"/>
        <v xml:space="preserve"> </v>
      </c>
      <c r="NE185" s="47" t="str">
        <f t="shared" si="1922"/>
        <v xml:space="preserve"> </v>
      </c>
      <c r="NF185" s="57" t="str">
        <f t="shared" si="1922"/>
        <v xml:space="preserve"> </v>
      </c>
      <c r="NG185" s="47" t="str">
        <f t="shared" si="1922"/>
        <v xml:space="preserve"> </v>
      </c>
      <c r="NH185" s="47" t="str">
        <f t="shared" si="1922"/>
        <v xml:space="preserve"> </v>
      </c>
      <c r="NI185" s="47" t="str">
        <f t="shared" si="1922"/>
        <v xml:space="preserve"> </v>
      </c>
      <c r="NJ185" s="47" t="str">
        <f t="shared" si="1922"/>
        <v xml:space="preserve"> </v>
      </c>
      <c r="NK185" s="47" t="str">
        <f t="shared" si="1922"/>
        <v xml:space="preserve"> </v>
      </c>
      <c r="NL185" s="57" t="str">
        <f t="shared" si="1922"/>
        <v xml:space="preserve"> </v>
      </c>
      <c r="NM185" s="47" t="str">
        <f t="shared" si="1922"/>
        <v xml:space="preserve"> </v>
      </c>
    </row>
    <row r="186" spans="3:377" ht="15.75" customHeight="1">
      <c r="C186" s="7" t="str">
        <f t="shared" si="841"/>
        <v>fabric</v>
      </c>
      <c r="D186" s="21" t="str">
        <f t="shared" si="651"/>
        <v xml:space="preserve"> </v>
      </c>
      <c r="E186" s="21" t="str">
        <f t="shared" si="842"/>
        <v xml:space="preserve"> </v>
      </c>
      <c r="F186" s="21" t="str">
        <f t="shared" si="651"/>
        <v xml:space="preserve"> </v>
      </c>
      <c r="G186" s="21" t="str">
        <f t="shared" si="843"/>
        <v xml:space="preserve"> </v>
      </c>
      <c r="H186" s="21" t="str">
        <f t="shared" si="844"/>
        <v xml:space="preserve"> </v>
      </c>
      <c r="I186" s="21" t="str">
        <f t="shared" ref="I186" si="1923">IF(I84="",I187,$C186&amp;"("&amp;I84&amp;"),"&amp;I187)</f>
        <v xml:space="preserve"> </v>
      </c>
      <c r="J186" s="21" t="str">
        <f t="shared" ref="J186" si="1924">IF(J84="",J187,$C186&amp;" "&amp;J84&amp;CHAR(10)&amp;J187)</f>
        <v xml:space="preserve">interaction 1
 </v>
      </c>
      <c r="K186" s="21" t="str">
        <f t="shared" si="654"/>
        <v xml:space="preserve"> </v>
      </c>
      <c r="L186" s="21" t="str">
        <f t="shared" ref="L186" si="1925">IF(L84="",L187,$C186&amp;" "&amp;L84&amp;CHAR(10)&amp;L187)</f>
        <v xml:space="preserve"> </v>
      </c>
      <c r="M186" s="21" t="str">
        <f t="shared" si="656"/>
        <v xml:space="preserve">social innovation(1), non-profit biz(1),  </v>
      </c>
      <c r="N186" s="21" t="str">
        <f t="shared" si="657"/>
        <v xml:space="preserve"> </v>
      </c>
      <c r="O186" s="21" t="str">
        <f t="shared" si="658"/>
        <v xml:space="preserve"> </v>
      </c>
      <c r="P186" s="21" t="str">
        <f t="shared" ref="P186" si="1926">IF(P84="",P187,$C186&amp;" "&amp;P84&amp;CHAR(10)&amp;P187)</f>
        <v xml:space="preserve">biz project 1
 </v>
      </c>
      <c r="Q186" s="21" t="str">
        <f t="shared" si="660"/>
        <v xml:space="preserve"> </v>
      </c>
      <c r="R186" s="21" t="str">
        <f t="shared" ref="R186" si="1927">IF(R84="",R187,$C186&amp;" "&amp;R84&amp;CHAR(10)&amp;R187)</f>
        <v xml:space="preserve"> </v>
      </c>
      <c r="S186" s="21" t="str">
        <f t="shared" si="662"/>
        <v xml:space="preserve">biz enhancement(1), business(1), start-up(1),  </v>
      </c>
      <c r="T186" s="21" t="str">
        <f t="shared" si="663"/>
        <v xml:space="preserve"> </v>
      </c>
      <c r="U186" s="21" t="str">
        <f t="shared" si="658"/>
        <v xml:space="preserve"> </v>
      </c>
      <c r="V186" s="21" t="str">
        <f t="shared" ref="V186" si="1928">IF(V84="",V187,$C186&amp;" "&amp;V84&amp;CHAR(10)&amp;V187)</f>
        <v xml:space="preserve"> </v>
      </c>
      <c r="W186" s="21" t="str">
        <f t="shared" si="665"/>
        <v xml:space="preserve"> </v>
      </c>
      <c r="X186" s="21" t="str">
        <f t="shared" ref="X186" si="1929">IF(X84="",X187,$C186&amp;" "&amp;X84&amp;CHAR(10)&amp;X187)</f>
        <v xml:space="preserve"> </v>
      </c>
      <c r="Y186" s="21" t="str">
        <f t="shared" si="667"/>
        <v xml:space="preserve">biz project(1), biz enhancement(1), job creation(1), business(1),  </v>
      </c>
      <c r="Z186" s="21" t="str">
        <f t="shared" si="668"/>
        <v xml:space="preserve"> </v>
      </c>
      <c r="AA186" s="21" t="str">
        <f t="shared" si="658"/>
        <v xml:space="preserve"> </v>
      </c>
      <c r="AB186" s="21" t="str">
        <f t="shared" ref="AB186" si="1930">IF(AB84="",AB187,$C186&amp;" "&amp;AB84&amp;CHAR(10)&amp;AB187)</f>
        <v xml:space="preserve"> </v>
      </c>
      <c r="AC186" s="21" t="str">
        <f t="shared" si="670"/>
        <v xml:space="preserve"> </v>
      </c>
      <c r="AD186" s="21" t="str">
        <f t="shared" ref="AD186" si="1931">IF(AD84="",AD187,$C186&amp;" "&amp;AD84&amp;CHAR(10)&amp;AD187)</f>
        <v xml:space="preserve"> </v>
      </c>
      <c r="AE186" s="21" t="str">
        <f t="shared" si="672"/>
        <v xml:space="preserve">social project(1), social innovation(1), non-profit biz(1),  </v>
      </c>
      <c r="AF186" s="21" t="str">
        <f t="shared" si="673"/>
        <v xml:space="preserve"> </v>
      </c>
      <c r="AG186" s="21" t="str">
        <f t="shared" si="658"/>
        <v xml:space="preserve"> </v>
      </c>
      <c r="AH186" s="21" t="str">
        <f t="shared" ref="AH186" si="1932">IF(AH84="",AH187,$C186&amp;" "&amp;AH84&amp;CHAR(10)&amp;AH187)</f>
        <v xml:space="preserve"> </v>
      </c>
      <c r="AI186" s="21" t="str">
        <f t="shared" si="675"/>
        <v xml:space="preserve"> </v>
      </c>
      <c r="AJ186" s="21" t="str">
        <f t="shared" ref="AJ186" si="1933">IF(AJ84="",AJ187,$C186&amp;" "&amp;AJ84&amp;CHAR(10)&amp;AJ187)</f>
        <v xml:space="preserve"> </v>
      </c>
      <c r="AK186" s="21" t="str">
        <f t="shared" si="677"/>
        <v xml:space="preserve">social project(1), social innovation(1), non-profit biz(1),  </v>
      </c>
      <c r="AL186" s="21" t="str">
        <f t="shared" si="678"/>
        <v xml:space="preserve"> </v>
      </c>
      <c r="AM186" s="21" t="str">
        <f t="shared" si="658"/>
        <v xml:space="preserve"> </v>
      </c>
      <c r="AN186" s="21" t="str">
        <f t="shared" ref="AN186" si="1934">IF(AN84="",AN187,$C186&amp;" "&amp;AN84&amp;CHAR(10)&amp;AN187)</f>
        <v xml:space="preserve"> </v>
      </c>
      <c r="AO186" s="21" t="str">
        <f t="shared" si="680"/>
        <v xml:space="preserve"> </v>
      </c>
      <c r="AP186" s="21" t="str">
        <f t="shared" ref="AP186" si="1935">IF(AP84="",AP187,$C186&amp;" "&amp;AP84&amp;CHAR(10)&amp;AP187)</f>
        <v xml:space="preserve"> </v>
      </c>
      <c r="AQ186" s="21" t="str">
        <f t="shared" si="682"/>
        <v xml:space="preserve">start-up(1), start-up with mvp(1), start-up with customers(1),  </v>
      </c>
      <c r="AR186" s="21" t="str">
        <f t="shared" si="683"/>
        <v xml:space="preserve"> </v>
      </c>
      <c r="AS186" s="21" t="str">
        <f t="shared" si="658"/>
        <v xml:space="preserve"> </v>
      </c>
      <c r="AT186" s="21" t="str">
        <f t="shared" ref="AT186" si="1936">IF(AT84="",AT187,$C186&amp;" "&amp;AT84&amp;CHAR(10)&amp;AT187)</f>
        <v xml:space="preserve">social project 1
 </v>
      </c>
      <c r="AU186" s="21" t="str">
        <f t="shared" si="685"/>
        <v xml:space="preserve"> </v>
      </c>
      <c r="AV186" s="21" t="str">
        <f t="shared" ref="AV186" si="1937">IF(AV84="",AV187,$C186&amp;" "&amp;AV84&amp;CHAR(10)&amp;AV187)</f>
        <v xml:space="preserve"> </v>
      </c>
      <c r="AW186" s="21" t="str">
        <f t="shared" si="687"/>
        <v xml:space="preserve"> </v>
      </c>
      <c r="AX186" s="21" t="str">
        <f t="shared" si="688"/>
        <v xml:space="preserve"> </v>
      </c>
      <c r="AY186" s="21" t="str">
        <f t="shared" si="658"/>
        <v xml:space="preserve"> </v>
      </c>
      <c r="AZ186" s="21" t="str">
        <f t="shared" ref="AZ186" si="1938">IF(AZ84="",AZ187,$C186&amp;" "&amp;AZ84&amp;CHAR(10)&amp;AZ187)</f>
        <v xml:space="preserve"> </v>
      </c>
      <c r="BA186" s="21" t="str">
        <f t="shared" si="690"/>
        <v xml:space="preserve"> </v>
      </c>
      <c r="BB186" s="21" t="str">
        <f t="shared" ref="BB186" si="1939">IF(BB84="",BB187,$C186&amp;" "&amp;BB84&amp;CHAR(10)&amp;BB187)</f>
        <v xml:space="preserve"> </v>
      </c>
      <c r="BC186" s="21" t="str">
        <f t="shared" si="692"/>
        <v xml:space="preserve"> </v>
      </c>
      <c r="BD186" s="21" t="str">
        <f t="shared" si="693"/>
        <v xml:space="preserve"> </v>
      </c>
      <c r="BE186" s="21" t="str">
        <f t="shared" si="658"/>
        <v xml:space="preserve"> </v>
      </c>
      <c r="BF186" s="21" t="str">
        <f t="shared" ref="BF186" si="1940">IF(BF84="",BF187,$C186&amp;" "&amp;BF84&amp;CHAR(10)&amp;BF187)</f>
        <v xml:space="preserve">biz project 1
 </v>
      </c>
      <c r="BG186" s="21" t="str">
        <f t="shared" si="695"/>
        <v xml:space="preserve"> </v>
      </c>
      <c r="BH186" s="21" t="str">
        <f t="shared" ref="BH186" si="1941">IF(BH84="",BH187,$C186&amp;" "&amp;BH84&amp;CHAR(10)&amp;BH187)</f>
        <v xml:space="preserve"> </v>
      </c>
      <c r="BI186" s="21" t="str">
        <f t="shared" si="697"/>
        <v xml:space="preserve"> </v>
      </c>
      <c r="BJ186" s="21" t="str">
        <f t="shared" si="698"/>
        <v xml:space="preserve"> </v>
      </c>
      <c r="BK186" s="21" t="str">
        <f t="shared" si="658"/>
        <v xml:space="preserve"> </v>
      </c>
      <c r="BL186" s="21" t="str">
        <f t="shared" ref="BL186" si="1942">IF(BL84="",BL187,$C186&amp;" "&amp;BL84&amp;CHAR(10)&amp;BL187)</f>
        <v xml:space="preserve">biz enhancement 1
 </v>
      </c>
      <c r="BM186" s="21" t="str">
        <f t="shared" si="700"/>
        <v xml:space="preserve"> </v>
      </c>
      <c r="BN186" s="21" t="str">
        <f t="shared" ref="BN186" si="1943">IF(BN84="",BN187,$C186&amp;" "&amp;BN84&amp;CHAR(10)&amp;BN187)</f>
        <v xml:space="preserve"> </v>
      </c>
      <c r="BO186" s="21" t="str">
        <f t="shared" si="702"/>
        <v xml:space="preserve"> </v>
      </c>
      <c r="BP186" s="21" t="str">
        <f t="shared" si="703"/>
        <v xml:space="preserve"> </v>
      </c>
      <c r="BQ186" s="21" t="str">
        <f t="shared" si="658"/>
        <v xml:space="preserve"> </v>
      </c>
      <c r="BR186" s="21" t="str">
        <f t="shared" ref="BR186" si="1944">IF(BR84="",BR187,$C186&amp;" "&amp;BR84&amp;CHAR(10)&amp;BR187)</f>
        <v xml:space="preserve"> </v>
      </c>
      <c r="BS186" s="21" t="str">
        <f t="shared" si="705"/>
        <v xml:space="preserve"> </v>
      </c>
      <c r="BT186" s="21" t="str">
        <f t="shared" ref="BT186" si="1945">IF(BT84="",BT187,$C186&amp;" "&amp;BT84&amp;CHAR(10)&amp;BT187)</f>
        <v xml:space="preserve"> </v>
      </c>
      <c r="BU186" s="21" t="str">
        <f t="shared" si="707"/>
        <v xml:space="preserve"> </v>
      </c>
      <c r="BV186" s="21" t="str">
        <f t="shared" si="708"/>
        <v xml:space="preserve"> </v>
      </c>
      <c r="BW186" s="21" t="str">
        <f t="shared" si="658"/>
        <v xml:space="preserve"> </v>
      </c>
      <c r="BX186" s="21" t="str">
        <f t="shared" ref="BX186" si="1946">IF(BX84="",BX187,$C186&amp;" "&amp;BX84&amp;CHAR(10)&amp;BX187)</f>
        <v xml:space="preserve"> </v>
      </c>
      <c r="BY186" s="21" t="str">
        <f t="shared" si="710"/>
        <v xml:space="preserve"> </v>
      </c>
      <c r="BZ186" s="21" t="str">
        <f t="shared" ref="BZ186" si="1947">IF(BZ84="",BZ187,$C186&amp;" "&amp;BZ84&amp;CHAR(10)&amp;BZ187)</f>
        <v xml:space="preserve"> </v>
      </c>
      <c r="CA186" s="21" t="str">
        <f t="shared" si="712"/>
        <v xml:space="preserve"> </v>
      </c>
      <c r="CB186" s="21" t="str">
        <f t="shared" si="713"/>
        <v xml:space="preserve"> </v>
      </c>
      <c r="CC186" s="21" t="str">
        <f t="shared" si="714"/>
        <v xml:space="preserve"> </v>
      </c>
      <c r="CD186" s="21" t="str">
        <f t="shared" ref="CD186" si="1948">IF(CD84="",CD187,$C186&amp;" "&amp;CD84&amp;CHAR(10)&amp;CD187)</f>
        <v xml:space="preserve"> </v>
      </c>
      <c r="CE186" s="21" t="str">
        <f t="shared" si="716"/>
        <v xml:space="preserve"> </v>
      </c>
      <c r="CF186" s="21" t="str">
        <f t="shared" ref="CF186" si="1949">IF(CF84="",CF187,$C186&amp;" "&amp;CF84&amp;CHAR(10)&amp;CF187)</f>
        <v xml:space="preserve"> </v>
      </c>
      <c r="CG186" s="21" t="str">
        <f t="shared" si="718"/>
        <v xml:space="preserve">social project(1), biz project(1), for basic literacy(1), for the elites(1), for entrepreneurs(1),  </v>
      </c>
      <c r="CH186" s="21" t="str">
        <f t="shared" si="719"/>
        <v xml:space="preserve"> </v>
      </c>
      <c r="CI186" s="21" t="str">
        <f t="shared" si="714"/>
        <v xml:space="preserve"> </v>
      </c>
      <c r="CJ186" s="21" t="str">
        <f t="shared" ref="CJ186" si="1950">IF(CJ84="",CJ187,$C186&amp;" "&amp;CJ84&amp;CHAR(10)&amp;CJ187)</f>
        <v xml:space="preserve"> </v>
      </c>
      <c r="CK186" s="21" t="str">
        <f t="shared" si="721"/>
        <v xml:space="preserve"> </v>
      </c>
      <c r="CL186" s="21" t="str">
        <f t="shared" ref="CL186" si="1951">IF(CL84="",CL187,$C186&amp;" "&amp;CL84&amp;CHAR(10)&amp;CL187)</f>
        <v xml:space="preserve"> </v>
      </c>
      <c r="CM186" s="21" t="str">
        <f t="shared" si="723"/>
        <v xml:space="preserve"> </v>
      </c>
      <c r="CN186" s="21" t="str">
        <f t="shared" si="724"/>
        <v xml:space="preserve"> </v>
      </c>
      <c r="CO186" s="21" t="str">
        <f t="shared" si="714"/>
        <v xml:space="preserve"> </v>
      </c>
      <c r="CP186" s="21" t="str">
        <f t="shared" ref="CP186" si="1952">IF(CP84="",CP187,$C186&amp;" "&amp;CP84&amp;CHAR(10)&amp;CP187)</f>
        <v xml:space="preserve"> </v>
      </c>
      <c r="CQ186" s="21" t="str">
        <f t="shared" si="726"/>
        <v xml:space="preserve"> </v>
      </c>
      <c r="CR186" s="21" t="str">
        <f t="shared" ref="CR186" si="1953">IF(CR84="",CR187,$C186&amp;" "&amp;CR84&amp;CHAR(10)&amp;CR187)</f>
        <v xml:space="preserve"> </v>
      </c>
      <c r="CS186" s="21" t="str">
        <f t="shared" si="728"/>
        <v xml:space="preserve">fabric(1),  </v>
      </c>
      <c r="CT186" s="21" t="str">
        <f t="shared" si="729"/>
        <v xml:space="preserve"> </v>
      </c>
      <c r="CU186" s="21" t="str">
        <f t="shared" si="714"/>
        <v xml:space="preserve"> </v>
      </c>
      <c r="CV186" s="21" t="str">
        <f t="shared" ref="CV186" si="1954">IF(CV84="",CV187,$C186&amp;" "&amp;CV84&amp;CHAR(10)&amp;CV187)</f>
        <v xml:space="preserve"> </v>
      </c>
      <c r="CW186" s="21" t="str">
        <f t="shared" si="731"/>
        <v xml:space="preserve"> </v>
      </c>
      <c r="CX186" s="21" t="str">
        <f t="shared" ref="CX186" si="1955">IF(CX84="",CX187,$C186&amp;" "&amp;CX84&amp;CHAR(10)&amp;CX187)</f>
        <v xml:space="preserve"> </v>
      </c>
      <c r="CY186" s="21" t="str">
        <f t="shared" si="733"/>
        <v xml:space="preserve"> </v>
      </c>
      <c r="CZ186" s="21" t="str">
        <f t="shared" si="734"/>
        <v xml:space="preserve"> </v>
      </c>
      <c r="DA186" s="21" t="str">
        <f t="shared" si="714"/>
        <v xml:space="preserve"> </v>
      </c>
      <c r="DB186" s="21" t="str">
        <f t="shared" ref="DB186" si="1956">IF(DB84="",DB187,$C186&amp;" "&amp;DB84&amp;CHAR(10)&amp;DB187)</f>
        <v xml:space="preserve"> </v>
      </c>
      <c r="DC186" s="21" t="str">
        <f t="shared" si="736"/>
        <v xml:space="preserve"> </v>
      </c>
      <c r="DD186" s="21" t="str">
        <f t="shared" ref="DD186" si="1957">IF(DD84="",DD187,$C186&amp;" "&amp;DD84&amp;CHAR(10)&amp;DD187)</f>
        <v xml:space="preserve"> </v>
      </c>
      <c r="DE186" s="21" t="str">
        <f t="shared" si="738"/>
        <v xml:space="preserve">fabric(2), aesthetics(2), functions(2), safety(2), interaction(2), biz project(1), biz enhancement(1), job creation(1), business(1), start-up(1), start-up with mvp(1), start-up with customers(1), for entrepreneurs(2),  </v>
      </c>
      <c r="DF186" s="21" t="str">
        <f t="shared" si="739"/>
        <v xml:space="preserve"> </v>
      </c>
      <c r="DG186" s="21" t="str">
        <f t="shared" si="714"/>
        <v xml:space="preserve"> </v>
      </c>
      <c r="DH186" s="21" t="str">
        <f t="shared" ref="DH186" si="1958">IF(DH84="",DH187,$C186&amp;" "&amp;DH84&amp;CHAR(10)&amp;DH187)</f>
        <v xml:space="preserve">social project 1
 </v>
      </c>
      <c r="DI186" s="21" t="str">
        <f t="shared" si="741"/>
        <v xml:space="preserve"> </v>
      </c>
      <c r="DJ186" s="21" t="str">
        <f t="shared" ref="DJ186" si="1959">IF(DJ84="",DJ187,$C186&amp;" "&amp;DJ84&amp;CHAR(10)&amp;DJ187)</f>
        <v xml:space="preserve"> </v>
      </c>
      <c r="DK186" s="21" t="str">
        <f t="shared" si="743"/>
        <v xml:space="preserve">fabric(2), aesthetics(2), functions(2), safety(2), interaction(2), social project(2), social innovation(1), non-profit biz(1),  </v>
      </c>
      <c r="DL186" s="21" t="str">
        <f t="shared" si="744"/>
        <v xml:space="preserve"> </v>
      </c>
      <c r="DM186" s="21" t="str">
        <f t="shared" si="714"/>
        <v xml:space="preserve"> </v>
      </c>
      <c r="DN186" s="21" t="str">
        <f t="shared" ref="DN186" si="1960">IF(DN84="",DN187,$C186&amp;" "&amp;DN84&amp;CHAR(10)&amp;DN187)</f>
        <v xml:space="preserve">biz project 1
 </v>
      </c>
      <c r="DO186" s="21" t="str">
        <f t="shared" si="746"/>
        <v xml:space="preserve"> </v>
      </c>
      <c r="DP186" s="21" t="str">
        <f t="shared" ref="DP186" si="1961">IF(DP84="",DP187,$C186&amp;" "&amp;DP84&amp;CHAR(10)&amp;DP187)</f>
        <v xml:space="preserve"> </v>
      </c>
      <c r="DQ186" s="21" t="str">
        <f t="shared" si="748"/>
        <v xml:space="preserve">fabric(2), aesthetics(2), functions(2), safety(2), interaction(2), biz project(2), biz enhancement(1), job creation(1), business(1), start-up(1), start-up with mvp(1), start-up with customers(1), for entrepreneurs(1),  </v>
      </c>
      <c r="DR186" s="21" t="str">
        <f t="shared" si="749"/>
        <v xml:space="preserve"> </v>
      </c>
      <c r="DS186" s="21" t="str">
        <f t="shared" si="714"/>
        <v xml:space="preserve"> </v>
      </c>
      <c r="DT186" s="21" t="str">
        <f t="shared" ref="DT186" si="1962">IF(DT84="",DT187,$C186&amp;" "&amp;DT84&amp;CHAR(10)&amp;DT187)</f>
        <v xml:space="preserve"> </v>
      </c>
      <c r="DU186" s="21" t="str">
        <f t="shared" si="751"/>
        <v xml:space="preserve"> </v>
      </c>
      <c r="DV186" s="21" t="str">
        <f t="shared" ref="DV186" si="1963">IF(DV84="",DV187,$C186&amp;" "&amp;DV84&amp;CHAR(10)&amp;DV187)</f>
        <v xml:space="preserve"> </v>
      </c>
      <c r="DW186" s="21" t="str">
        <f t="shared" si="753"/>
        <v xml:space="preserve">for basic literacy(1),  </v>
      </c>
      <c r="DX186" s="21" t="str">
        <f t="shared" si="754"/>
        <v xml:space="preserve">for basic literacy(1,6.25),  </v>
      </c>
      <c r="DY186" s="21" t="str">
        <f t="shared" si="714"/>
        <v xml:space="preserve">for basic literacy(6.25), </v>
      </c>
      <c r="DZ186" s="21" t="str">
        <f t="shared" ref="DZ186" si="1964">IF(DZ84="",DZ187,$C186&amp;" "&amp;DZ84&amp;CHAR(10)&amp;DZ187)</f>
        <v xml:space="preserve"> </v>
      </c>
      <c r="EA186" s="21" t="str">
        <f t="shared" si="756"/>
        <v xml:space="preserve"> </v>
      </c>
      <c r="EB186" s="21" t="str">
        <f t="shared" ref="EB186" si="1965">IF(EB84="",EB187,$C186&amp;" "&amp;EB84&amp;CHAR(10)&amp;EB187)</f>
        <v xml:space="preserve"> </v>
      </c>
      <c r="EC186" s="21" t="str">
        <f t="shared" si="758"/>
        <v xml:space="preserve">fabric(2), for basic literacy(1),  </v>
      </c>
      <c r="ED186" s="21" t="str">
        <f t="shared" si="759"/>
        <v xml:space="preserve">for basic literacy(1,6.25),  </v>
      </c>
      <c r="EE186" s="21" t="str">
        <f t="shared" si="714"/>
        <v xml:space="preserve">for basic literacy(6.25), </v>
      </c>
      <c r="EF186" s="21" t="str">
        <f t="shared" ref="EF186" si="1966">IF(EF84="",EF187,$C186&amp;" "&amp;EF84&amp;CHAR(10)&amp;EF187)</f>
        <v xml:space="preserve"> </v>
      </c>
      <c r="EG186" s="21" t="str">
        <f t="shared" si="761"/>
        <v xml:space="preserve">interaction(1,50),  </v>
      </c>
      <c r="EH186" s="21" t="str">
        <f t="shared" ref="EH186" si="1967">IF(EH84="",EH187,$C186&amp;" "&amp;EH84&amp;CHAR(10)&amp;EH187)</f>
        <v xml:space="preserve">interaction 50
 </v>
      </c>
      <c r="EI186" s="21" t="str">
        <f t="shared" si="763"/>
        <v xml:space="preserve">for entrepreneurs(1),  </v>
      </c>
      <c r="EJ186" s="21" t="str">
        <f t="shared" si="764"/>
        <v xml:space="preserve">for entrepreneurs(1,6.25),  </v>
      </c>
      <c r="EK186" s="21" t="str">
        <f t="shared" si="714"/>
        <v xml:space="preserve">for entrepreneurs(6.25), </v>
      </c>
      <c r="EL186" s="21" t="str">
        <f t="shared" ref="EL186" si="1968">IF(EL84="",EL187,$C186&amp;" "&amp;EL84&amp;CHAR(10)&amp;EL187)</f>
        <v xml:space="preserve"> </v>
      </c>
      <c r="EM186" s="21" t="str">
        <f t="shared" si="766"/>
        <v xml:space="preserve"> </v>
      </c>
      <c r="EN186" s="21" t="str">
        <f t="shared" ref="EN186" si="1969">IF(EN84="",EN187,$C186&amp;" "&amp;EN84&amp;CHAR(10)&amp;EN187)</f>
        <v xml:space="preserve"> </v>
      </c>
      <c r="EO186" s="21" t="str">
        <f t="shared" si="768"/>
        <v xml:space="preserve">for entrepreneurs(1),  </v>
      </c>
      <c r="EP186" s="21" t="str">
        <f t="shared" si="769"/>
        <v xml:space="preserve">for entrepreneurs(1,6.25),  </v>
      </c>
      <c r="EQ186" s="21" t="str">
        <f t="shared" si="770"/>
        <v xml:space="preserve">for entrepreneurs(6.25), </v>
      </c>
      <c r="ER186" s="21" t="str">
        <f t="shared" ref="ER186" si="1970">IF(ER84="",ER187,$C186&amp;" "&amp;ER84&amp;CHAR(10)&amp;ER187)</f>
        <v xml:space="preserve"> </v>
      </c>
      <c r="ES186" s="21" t="str">
        <f t="shared" si="772"/>
        <v xml:space="preserve"> </v>
      </c>
      <c r="ET186" s="21" t="str">
        <f t="shared" ref="ET186" si="1971">IF(ET84="",ET187,$C186&amp;" "&amp;ET84&amp;CHAR(10)&amp;ET187)</f>
        <v xml:space="preserve"> </v>
      </c>
      <c r="EU186" s="21" t="str">
        <f t="shared" si="774"/>
        <v xml:space="preserve">for entrepreneurs(1),  </v>
      </c>
      <c r="EV186" s="21" t="str">
        <f t="shared" si="775"/>
        <v xml:space="preserve">for entrepreneurs(1,6.25),  </v>
      </c>
      <c r="EW186" s="21" t="str">
        <f t="shared" si="770"/>
        <v xml:space="preserve">for entrepreneurs(6.25), </v>
      </c>
      <c r="EX186" s="21" t="str">
        <f t="shared" ref="EX186" si="1972">IF(EX84="",EX187,$C186&amp;" "&amp;EX84&amp;CHAR(10)&amp;EX187)</f>
        <v xml:space="preserve"> </v>
      </c>
      <c r="EY186" s="21" t="str">
        <f t="shared" si="777"/>
        <v xml:space="preserve">interaction(1,25),  </v>
      </c>
      <c r="EZ186" s="21" t="str">
        <f t="shared" ref="EZ186" si="1973">IF(EZ84="",EZ187,$C186&amp;" "&amp;EZ84&amp;CHAR(10)&amp;EZ187)</f>
        <v xml:space="preserve">interaction 25
 </v>
      </c>
      <c r="FA186" s="21" t="str">
        <f t="shared" si="779"/>
        <v xml:space="preserve">for entrepreneurs(1),  </v>
      </c>
      <c r="FB186" s="21" t="str">
        <f t="shared" si="780"/>
        <v xml:space="preserve">for entrepreneurs(1,6.25),  </v>
      </c>
      <c r="FC186" s="21" t="str">
        <f t="shared" si="770"/>
        <v xml:space="preserve">for entrepreneurs(6.25), </v>
      </c>
      <c r="FD186" s="21" t="str">
        <f t="shared" ref="FD186" si="1974">IF(FD84="",FD187,$C186&amp;" "&amp;FD84&amp;CHAR(10)&amp;FD187)</f>
        <v xml:space="preserve"> </v>
      </c>
      <c r="FE186" s="21" t="str">
        <f t="shared" si="782"/>
        <v xml:space="preserve"> </v>
      </c>
      <c r="FF186" s="21" t="str">
        <f t="shared" ref="FF186" si="1975">IF(FF84="",FF187,$C186&amp;" "&amp;FF84&amp;CHAR(10)&amp;FF187)</f>
        <v xml:space="preserve"> </v>
      </c>
      <c r="FG186" s="21" t="str">
        <f t="shared" si="784"/>
        <v xml:space="preserve">for entrepreneurs(1),  </v>
      </c>
      <c r="FH186" s="21" t="str">
        <f t="shared" si="785"/>
        <v xml:space="preserve">for entrepreneurs(1,6.25),  </v>
      </c>
      <c r="FI186" s="21" t="str">
        <f t="shared" si="770"/>
        <v xml:space="preserve">for entrepreneurs(6.25), </v>
      </c>
      <c r="FJ186" s="21" t="str">
        <f t="shared" ref="FJ186" si="1976">IF(FJ84="",FJ187,$C186&amp;" "&amp;FJ84&amp;CHAR(10)&amp;FJ187)</f>
        <v xml:space="preserve"> </v>
      </c>
      <c r="FK186" s="21" t="str">
        <f t="shared" si="787"/>
        <v xml:space="preserve">fabric(1,25), safety(1,25), interaction(1,25),  </v>
      </c>
      <c r="FL186" s="21" t="str">
        <f t="shared" ref="FL186" si="1977">IF(FL84="",FL187,$C186&amp;" "&amp;FL84&amp;CHAR(10)&amp;FL187)</f>
        <v xml:space="preserve">fabric 25
safety 25
interaction 25
 </v>
      </c>
      <c r="FM186" s="21" t="str">
        <f t="shared" si="789"/>
        <v xml:space="preserve">for entrepreneurs(1),  </v>
      </c>
      <c r="FN186" s="21" t="str">
        <f t="shared" si="790"/>
        <v xml:space="preserve">for entrepreneurs(1,6.25),  </v>
      </c>
      <c r="FO186" s="21" t="str">
        <f t="shared" si="770"/>
        <v xml:space="preserve">for entrepreneurs(6.25), </v>
      </c>
      <c r="FP186" s="21" t="str">
        <f t="shared" ref="FP186" si="1978">IF(FP84="",FP187,$C186&amp;" "&amp;FP84&amp;CHAR(10)&amp;FP187)</f>
        <v xml:space="preserve"> </v>
      </c>
      <c r="FQ186" s="21" t="str">
        <f t="shared" si="792"/>
        <v xml:space="preserve">functions(1,25), interaction(1,25),  </v>
      </c>
      <c r="FR186" s="21" t="str">
        <f t="shared" ref="FR186" si="1979">IF(FR84="",FR187,$C186&amp;" "&amp;FR84&amp;CHAR(10)&amp;FR187)</f>
        <v xml:space="preserve">functions 25
interaction 25
 </v>
      </c>
      <c r="FS186" s="21" t="str">
        <f t="shared" si="794"/>
        <v xml:space="preserve">for entrepreneurs(1),  </v>
      </c>
      <c r="FT186" s="21" t="str">
        <f t="shared" si="795"/>
        <v xml:space="preserve">for entrepreneurs(1,6.25),  </v>
      </c>
      <c r="FU186" s="21" t="str">
        <f t="shared" si="770"/>
        <v xml:space="preserve">for entrepreneurs(6.25), </v>
      </c>
      <c r="FV186" s="21" t="str">
        <f t="shared" ref="FV186" si="1980">IF(FV84="",FV187,$C186&amp;" "&amp;FV84&amp;CHAR(10)&amp;FV187)</f>
        <v xml:space="preserve"> </v>
      </c>
      <c r="FW186" s="21" t="str">
        <f t="shared" si="797"/>
        <v xml:space="preserve">functions(1,25), interaction(1,25),  </v>
      </c>
      <c r="FX186" s="21" t="str">
        <f t="shared" ref="FX186" si="1981">IF(FX84="",FX187,$C186&amp;" "&amp;FX84&amp;CHAR(10)&amp;FX187)</f>
        <v xml:space="preserve">functions 25
interaction 25
 </v>
      </c>
      <c r="FY186" s="21" t="str">
        <f t="shared" si="799"/>
        <v xml:space="preserve">for entrepreneurs(1),  </v>
      </c>
      <c r="FZ186" s="21" t="str">
        <f t="shared" si="800"/>
        <v xml:space="preserve">for entrepreneurs(1,6.25),  </v>
      </c>
      <c r="GA186" s="21" t="str">
        <f t="shared" si="770"/>
        <v xml:space="preserve">for entrepreneurs(6.25), </v>
      </c>
      <c r="GB186" s="21" t="str">
        <f t="shared" ref="GB186" si="1982">IF(GB84="",GB187,$C186&amp;" "&amp;GB84&amp;CHAR(10)&amp;GB187)</f>
        <v xml:space="preserve"> </v>
      </c>
      <c r="GC186" s="21" t="str">
        <f t="shared" si="802"/>
        <v xml:space="preserve">functions(1,25), safety(1,25),  </v>
      </c>
      <c r="GD186" s="21" t="str">
        <f t="shared" ref="GD186" si="1983">IF(GD84="",GD187,$C186&amp;" "&amp;GD84&amp;CHAR(10)&amp;GD187)</f>
        <v xml:space="preserve">functions 25
safety 25
 </v>
      </c>
      <c r="GE186" s="21" t="str">
        <f t="shared" si="804"/>
        <v xml:space="preserve">for entrepreneurs(1),  </v>
      </c>
      <c r="GF186" s="21" t="str">
        <f t="shared" si="805"/>
        <v xml:space="preserve">interaction(1,6.25), for entrepreneurs(1,6.25),  </v>
      </c>
      <c r="GG186" s="21" t="str">
        <f t="shared" si="770"/>
        <v xml:space="preserve">interaction(6.25),for entrepreneurs(6.25), </v>
      </c>
      <c r="GH186" s="21" t="str">
        <f t="shared" ref="GH186" si="1984">IF(GH84="",GH187,$C186&amp;" "&amp;GH84&amp;CHAR(10)&amp;GH187)</f>
        <v xml:space="preserve"> </v>
      </c>
      <c r="GI186" s="21" t="str">
        <f t="shared" si="807"/>
        <v xml:space="preserve">functions(1,25), interaction(1,25),  </v>
      </c>
      <c r="GJ186" s="21" t="str">
        <f t="shared" ref="GJ186" si="1985">IF(GJ84="",GJ187,$C186&amp;" "&amp;GJ84&amp;CHAR(10)&amp;GJ187)</f>
        <v xml:space="preserve">functions 25
interaction 25
 </v>
      </c>
      <c r="GK186" s="21" t="str">
        <f t="shared" si="809"/>
        <v xml:space="preserve">for entrepreneurs(1),  </v>
      </c>
      <c r="GL186" s="21" t="str">
        <f t="shared" si="810"/>
        <v xml:space="preserve">for entrepreneurs(1,6.25),  </v>
      </c>
      <c r="GM186" s="21" t="str">
        <f t="shared" si="770"/>
        <v xml:space="preserve">for entrepreneurs(6.25), </v>
      </c>
      <c r="GN186" s="21" t="str">
        <f t="shared" ref="GN186" si="1986">IF(GN84="",GN187,$C186&amp;" "&amp;GN84&amp;CHAR(10)&amp;GN187)</f>
        <v xml:space="preserve"> </v>
      </c>
      <c r="GO186" s="21" t="str">
        <f t="shared" si="812"/>
        <v xml:space="preserve">aesthetics(1,25), functions(1,25), interaction(1,50),  </v>
      </c>
      <c r="GP186" s="21" t="str">
        <f t="shared" ref="GP186" si="1987">IF(GP84="",GP187,$C186&amp;" "&amp;GP84&amp;CHAR(10)&amp;GP187)</f>
        <v xml:space="preserve">aesthetics 25
functions 25
interaction 50
 </v>
      </c>
      <c r="GQ186" s="21" t="str">
        <f t="shared" si="814"/>
        <v xml:space="preserve">for entrepreneurs(1),  </v>
      </c>
      <c r="GR186" s="21" t="str">
        <f t="shared" si="815"/>
        <v xml:space="preserve">for entrepreneurs(1,6.25),  </v>
      </c>
      <c r="GS186" s="21" t="str">
        <f t="shared" si="770"/>
        <v xml:space="preserve">for entrepreneurs(6.25), </v>
      </c>
      <c r="GT186" s="21" t="str">
        <f t="shared" ref="GT186" si="1988">IF(GT84="",GT187,$C186&amp;" "&amp;GT84&amp;CHAR(10)&amp;GT187)</f>
        <v xml:space="preserve"> </v>
      </c>
      <c r="GU186" s="21" t="str">
        <f t="shared" si="817"/>
        <v xml:space="preserve"> </v>
      </c>
      <c r="GV186" s="21" t="str">
        <f t="shared" ref="GV186" si="1989">IF(GV84="",GV187,$C186&amp;" "&amp;GV84&amp;CHAR(10)&amp;GV187)</f>
        <v xml:space="preserve"> </v>
      </c>
      <c r="GW186" s="21" t="str">
        <f t="shared" si="819"/>
        <v xml:space="preserve"> </v>
      </c>
      <c r="GX186" s="21" t="str">
        <f t="shared" si="820"/>
        <v xml:space="preserve"> </v>
      </c>
      <c r="GY186" s="21" t="str">
        <f t="shared" si="770"/>
        <v xml:space="preserve"> </v>
      </c>
      <c r="GZ186" s="21" t="str">
        <f t="shared" ref="GZ186" si="1990">IF(GZ84="",GZ187,$C186&amp;" "&amp;GZ84&amp;CHAR(10)&amp;GZ187)</f>
        <v xml:space="preserve"> </v>
      </c>
      <c r="HA186" s="21" t="str">
        <f t="shared" si="822"/>
        <v xml:space="preserve"> </v>
      </c>
      <c r="HB186" s="21" t="str">
        <f t="shared" ref="HB186" si="1991">IF(HB84="",HB187,$C186&amp;" "&amp;HB84&amp;CHAR(10)&amp;HB187)</f>
        <v xml:space="preserve"> </v>
      </c>
      <c r="HC186" s="21" t="str">
        <f t="shared" si="824"/>
        <v xml:space="preserve">aesthetics(2), interaction(2),  </v>
      </c>
      <c r="HD186" s="21" t="str">
        <f t="shared" si="825"/>
        <v xml:space="preserve">start-up with customers(1,6.25), for basic literacy(1,6.25),  </v>
      </c>
      <c r="HE186" s="21" t="str">
        <f t="shared" si="826"/>
        <v xml:space="preserve">start-up with customers(6.25),for basic literacy(6.25), </v>
      </c>
      <c r="HF186" s="21" t="str">
        <f t="shared" ref="HF186" si="1992">IF(HF84="",HF187,$C186&amp;" "&amp;HF84&amp;CHAR(10)&amp;HF187)</f>
        <v xml:space="preserve"> </v>
      </c>
      <c r="HG186" s="21" t="str">
        <f t="shared" si="828"/>
        <v xml:space="preserve"> </v>
      </c>
      <c r="HH186" s="21" t="str">
        <f t="shared" ref="HH186" si="1993">IF(HH84="",HH187,$C186&amp;" "&amp;HH84&amp;CHAR(10)&amp;HH187)</f>
        <v xml:space="preserve"> </v>
      </c>
      <c r="HI186" s="21" t="str">
        <f t="shared" si="830"/>
        <v xml:space="preserve">aesthetics(2), functions(2), interaction(2),  </v>
      </c>
      <c r="HJ186" s="21" t="str">
        <f t="shared" si="831"/>
        <v xml:space="preserve">start-up with customers(1,6.25),  </v>
      </c>
      <c r="HK186" s="21" t="str">
        <f t="shared" si="826"/>
        <v xml:space="preserve">start-up with customers(6.25), </v>
      </c>
      <c r="HL186" s="21" t="str">
        <f t="shared" ref="HL186" si="1994">IF(HL84="",HL187,$C186&amp;" "&amp;HL84&amp;CHAR(10)&amp;HL187)</f>
        <v xml:space="preserve"> </v>
      </c>
      <c r="HM186" s="21" t="str">
        <f t="shared" si="833"/>
        <v xml:space="preserve"> </v>
      </c>
      <c r="HN186" s="21" t="str">
        <f t="shared" ref="HN186" si="1995">IF(HN84="",HN187,$C186&amp;" "&amp;HN84&amp;CHAR(10)&amp;HN187)</f>
        <v xml:space="preserve"> </v>
      </c>
      <c r="HO186" s="21" t="str">
        <f t="shared" si="835"/>
        <v xml:space="preserve">aesthetics(2), interaction(2),  </v>
      </c>
      <c r="HP186" s="21" t="str">
        <f t="shared" si="836"/>
        <v xml:space="preserve"> </v>
      </c>
      <c r="HQ186" s="47" t="str">
        <f t="shared" si="826"/>
        <v xml:space="preserve"> </v>
      </c>
      <c r="HR186" s="47" t="str">
        <f t="shared" ref="HR186:HW186" si="1996">IF(HR84="",HR187,$C186&amp;"("&amp;HR84&amp;"),"&amp;HR187)</f>
        <v xml:space="preserve">aesthetics(1), </v>
      </c>
      <c r="HS186" s="47" t="str">
        <f t="shared" si="1996"/>
        <v xml:space="preserve"> </v>
      </c>
      <c r="HT186" s="47" t="str">
        <f t="shared" si="1996"/>
        <v xml:space="preserve"> </v>
      </c>
      <c r="HU186" s="47" t="str">
        <f t="shared" si="1996"/>
        <v xml:space="preserve">fabric(2),aesthetics(2),interaction(2),start-up with mvp(1), </v>
      </c>
      <c r="HV186" s="47" t="str">
        <f t="shared" si="1996"/>
        <v xml:space="preserve"> </v>
      </c>
      <c r="HW186" s="47" t="str">
        <f t="shared" si="1996"/>
        <v xml:space="preserve"> </v>
      </c>
      <c r="HX186" s="47" t="str">
        <f t="shared" ref="HX186:IU186" si="1997">IF(HX84="",HX187,$C186&amp;"("&amp;HX84&amp;"),"&amp;HX187)</f>
        <v xml:space="preserve">aesthetics(1),functions(1),interaction(1), </v>
      </c>
      <c r="HY186" s="47" t="str">
        <f t="shared" si="1997"/>
        <v xml:space="preserve">biz enhancement(1), </v>
      </c>
      <c r="HZ186" s="47" t="str">
        <f t="shared" si="1997"/>
        <v xml:space="preserve">biz enhancement(100), </v>
      </c>
      <c r="IA186" s="47" t="str">
        <f t="shared" si="1997"/>
        <v xml:space="preserve"> </v>
      </c>
      <c r="IB186" s="47" t="str">
        <f t="shared" si="1997"/>
        <v xml:space="preserve">functions(1), </v>
      </c>
      <c r="IC186" s="47" t="str">
        <f t="shared" si="1997"/>
        <v xml:space="preserve">functions(6.25), </v>
      </c>
      <c r="ID186" s="47" t="str">
        <f t="shared" si="1997"/>
        <v xml:space="preserve"> </v>
      </c>
      <c r="IE186" s="47" t="str">
        <f t="shared" si="1997"/>
        <v xml:space="preserve"> </v>
      </c>
      <c r="IF186" s="47" t="str">
        <f t="shared" si="1997"/>
        <v xml:space="preserve"> </v>
      </c>
      <c r="IG186" s="47" t="str">
        <f t="shared" si="1997"/>
        <v xml:space="preserve"> </v>
      </c>
      <c r="IH186" s="47" t="str">
        <f t="shared" si="1997"/>
        <v xml:space="preserve"> </v>
      </c>
      <c r="II186" s="47" t="str">
        <f t="shared" si="1997"/>
        <v xml:space="preserve"> </v>
      </c>
      <c r="IJ186" s="47" t="str">
        <f t="shared" si="1997"/>
        <v xml:space="preserve"> </v>
      </c>
      <c r="IK186" s="47" t="str">
        <f t="shared" si="1997"/>
        <v xml:space="preserve">functions(1),safety(1), </v>
      </c>
      <c r="IL186" s="47" t="str">
        <f t="shared" si="1997"/>
        <v xml:space="preserve">functions(25),safety(25), </v>
      </c>
      <c r="IM186" s="47" t="str">
        <f t="shared" si="1997"/>
        <v xml:space="preserve">functions(2),safety(2), </v>
      </c>
      <c r="IN186" s="47" t="str">
        <f t="shared" si="1997"/>
        <v xml:space="preserve">functions(1),safety(1),interaction(1), </v>
      </c>
      <c r="IO186" s="47" t="str">
        <f t="shared" si="1997"/>
        <v xml:space="preserve">functions(6.25),safety(6.25),interaction(6.25), </v>
      </c>
      <c r="IP186" s="57" t="str">
        <f t="shared" si="1997"/>
        <v xml:space="preserve"> </v>
      </c>
      <c r="IQ186" s="47" t="str">
        <f t="shared" si="1997"/>
        <v xml:space="preserve"> </v>
      </c>
      <c r="IR186" s="47" t="str">
        <f t="shared" si="1997"/>
        <v xml:space="preserve"> </v>
      </c>
      <c r="IS186" s="47" t="str">
        <f t="shared" si="1997"/>
        <v xml:space="preserve"> </v>
      </c>
      <c r="IT186" s="47" t="str">
        <f t="shared" si="1997"/>
        <v xml:space="preserve"> </v>
      </c>
      <c r="IU186" s="47" t="str">
        <f t="shared" si="1997"/>
        <v xml:space="preserve"> </v>
      </c>
      <c r="IV186" s="57" t="str">
        <f t="shared" ref="IV186:LG186" si="1998">IF(IV84="",IV187,$C186&amp;"("&amp;IV84&amp;"),"&amp;IV187)</f>
        <v xml:space="preserve"> </v>
      </c>
      <c r="IW186" s="47" t="str">
        <f t="shared" si="1998"/>
        <v xml:space="preserve"> </v>
      </c>
      <c r="IX186" s="47" t="str">
        <f t="shared" si="1998"/>
        <v xml:space="preserve"> </v>
      </c>
      <c r="IY186" s="47" t="str">
        <f t="shared" si="1998"/>
        <v xml:space="preserve"> </v>
      </c>
      <c r="IZ186" s="47" t="str">
        <f t="shared" si="1998"/>
        <v xml:space="preserve"> </v>
      </c>
      <c r="JA186" s="47" t="str">
        <f t="shared" si="1998"/>
        <v xml:space="preserve"> </v>
      </c>
      <c r="JB186" s="47" t="str">
        <f t="shared" si="1998"/>
        <v xml:space="preserve"> </v>
      </c>
      <c r="JC186" s="47" t="str">
        <f t="shared" si="1998"/>
        <v xml:space="preserve"> </v>
      </c>
      <c r="JD186" s="47" t="str">
        <f t="shared" si="1998"/>
        <v xml:space="preserve"> </v>
      </c>
      <c r="JE186" s="47" t="str">
        <f t="shared" si="1998"/>
        <v xml:space="preserve"> </v>
      </c>
      <c r="JF186" s="47" t="str">
        <f t="shared" si="1998"/>
        <v xml:space="preserve">fabric(1),aesthetics(1),functions(1),safety(1),interaction(1), </v>
      </c>
      <c r="JG186" s="47" t="str">
        <f t="shared" si="1998"/>
        <v xml:space="preserve">fabric(6.25),aesthetics(6.25),functions(6.25),safety(6.25),interaction(6.25), </v>
      </c>
      <c r="JH186" s="47" t="str">
        <f t="shared" si="1998"/>
        <v xml:space="preserve"> </v>
      </c>
      <c r="JI186" s="47" t="str">
        <f t="shared" si="1998"/>
        <v xml:space="preserve"> </v>
      </c>
      <c r="JJ186" s="47" t="str">
        <f t="shared" si="1998"/>
        <v xml:space="preserve"> </v>
      </c>
      <c r="JK186" s="47" t="str">
        <f t="shared" si="1998"/>
        <v xml:space="preserve">social project(1),social innovation(1),non-profit biz(1),biz project(1),biz enhancement(1),job creation(1),business(1),start-up(1),start-up with mvp(1),start-up with customers(1),for basic literacy(1),for the elites(1),for entrepreneurs(1), </v>
      </c>
      <c r="JL186" s="47" t="str">
        <f t="shared" si="1998"/>
        <v xml:space="preserve"> </v>
      </c>
      <c r="JM186" s="47" t="str">
        <f t="shared" si="1998"/>
        <v xml:space="preserve"> </v>
      </c>
      <c r="JN186" s="47" t="str">
        <f t="shared" si="1998"/>
        <v xml:space="preserve"> </v>
      </c>
      <c r="JO186" s="47" t="str">
        <f t="shared" si="1998"/>
        <v xml:space="preserve"> </v>
      </c>
      <c r="JP186" s="47" t="str">
        <f t="shared" si="1998"/>
        <v xml:space="preserve"> </v>
      </c>
      <c r="JQ186" s="47" t="str">
        <f t="shared" si="1998"/>
        <v xml:space="preserve">aesthetics(1),interaction(1),social project(1),social innovation(1),non-profit biz(1),biz project(1),biz enhancement(1),job creation(1),business(1),start-up(1),start-up with mvp(1),start-up with customers(1),for basic literacy(1),for the elites(1),for entrepreneurs(1), </v>
      </c>
      <c r="JR186" s="47" t="str">
        <f t="shared" si="1998"/>
        <v xml:space="preserve"> </v>
      </c>
      <c r="JS186" s="47" t="str">
        <f t="shared" si="1998"/>
        <v xml:space="preserve"> </v>
      </c>
      <c r="JT186" s="47" t="str">
        <f t="shared" si="1998"/>
        <v xml:space="preserve"> </v>
      </c>
      <c r="JU186" s="47" t="str">
        <f t="shared" si="1998"/>
        <v xml:space="preserve"> </v>
      </c>
      <c r="JV186" s="47" t="str">
        <f t="shared" si="1998"/>
        <v xml:space="preserve"> </v>
      </c>
      <c r="JW186" s="47" t="str">
        <f t="shared" si="1998"/>
        <v xml:space="preserve">social project(2),social innovation(1),non-profit biz(1),biz project(2),biz enhancement(2),job creation(1),business(1),start-up(2),start-up with mvp(1),start-up with customers(1),for basic literacy(2),for the elites(1),for entrepreneurs(1), </v>
      </c>
      <c r="JX186" s="47" t="str">
        <f t="shared" si="1998"/>
        <v xml:space="preserve"> </v>
      </c>
      <c r="JY186" s="47" t="str">
        <f t="shared" si="1998"/>
        <v xml:space="preserve"> </v>
      </c>
      <c r="JZ186" s="47" t="str">
        <f t="shared" si="1998"/>
        <v xml:space="preserve">social project(2), </v>
      </c>
      <c r="KA186" s="47" t="str">
        <f t="shared" si="1998"/>
        <v xml:space="preserve"> </v>
      </c>
      <c r="KB186" s="47" t="str">
        <f t="shared" si="1998"/>
        <v xml:space="preserve"> </v>
      </c>
      <c r="KC186" s="47" t="str">
        <f t="shared" si="1998"/>
        <v xml:space="preserve">aesthetics(1),social project(3),social innovation(1),non-profit biz(1),biz project(2),biz enhancement(2),job creation(1),business(1),start-up(2),start-up with mvp(1),start-up with customers(1),for basic literacy(2),for the elites(1),for entrepreneurs(1), </v>
      </c>
      <c r="KD186" s="47" t="str">
        <f t="shared" si="1998"/>
        <v xml:space="preserve"> </v>
      </c>
      <c r="KE186" s="47" t="str">
        <f t="shared" si="1998"/>
        <v xml:space="preserve"> </v>
      </c>
      <c r="KF186" s="47" t="str">
        <f t="shared" si="1998"/>
        <v xml:space="preserve"> </v>
      </c>
      <c r="KG186" s="47" t="str">
        <f t="shared" si="1998"/>
        <v xml:space="preserve"> </v>
      </c>
      <c r="KH186" s="47" t="str">
        <f t="shared" si="1998"/>
        <v xml:space="preserve"> </v>
      </c>
      <c r="KI186" s="47" t="str">
        <f t="shared" si="1998"/>
        <v xml:space="preserve"> </v>
      </c>
      <c r="KJ186" s="47" t="str">
        <f t="shared" si="1998"/>
        <v xml:space="preserve"> </v>
      </c>
      <c r="KK186" s="47" t="str">
        <f t="shared" si="1998"/>
        <v xml:space="preserve"> </v>
      </c>
      <c r="KL186" s="57" t="str">
        <f t="shared" si="1998"/>
        <v xml:space="preserve"> </v>
      </c>
      <c r="KM186" s="47" t="str">
        <f t="shared" si="1998"/>
        <v xml:space="preserve"> </v>
      </c>
      <c r="KN186" s="47" t="str">
        <f t="shared" si="1998"/>
        <v xml:space="preserve"> </v>
      </c>
      <c r="KO186" s="47" t="str">
        <f t="shared" si="1998"/>
        <v xml:space="preserve"> </v>
      </c>
      <c r="KP186" s="47" t="str">
        <f t="shared" si="1998"/>
        <v xml:space="preserve"> </v>
      </c>
      <c r="KQ186" s="47" t="str">
        <f t="shared" si="1998"/>
        <v xml:space="preserve"> </v>
      </c>
      <c r="KR186" s="57" t="str">
        <f t="shared" si="1998"/>
        <v xml:space="preserve"> </v>
      </c>
      <c r="KS186" s="47" t="str">
        <f t="shared" si="1998"/>
        <v xml:space="preserve"> </v>
      </c>
      <c r="KT186" s="47" t="str">
        <f t="shared" si="1998"/>
        <v xml:space="preserve"> </v>
      </c>
      <c r="KU186" s="47" t="str">
        <f t="shared" si="1998"/>
        <v xml:space="preserve"> </v>
      </c>
      <c r="KV186" s="47" t="str">
        <f t="shared" si="1998"/>
        <v xml:space="preserve"> </v>
      </c>
      <c r="KW186" s="47" t="str">
        <f t="shared" si="1998"/>
        <v xml:space="preserve"> </v>
      </c>
      <c r="KX186" s="57" t="str">
        <f t="shared" si="1998"/>
        <v xml:space="preserve"> </v>
      </c>
      <c r="KY186" s="47" t="str">
        <f t="shared" si="1998"/>
        <v xml:space="preserve"> </v>
      </c>
      <c r="KZ186" s="47" t="str">
        <f t="shared" si="1998"/>
        <v xml:space="preserve"> </v>
      </c>
      <c r="LA186" s="47" t="str">
        <f t="shared" si="1998"/>
        <v xml:space="preserve"> </v>
      </c>
      <c r="LB186" s="47" t="str">
        <f t="shared" si="1998"/>
        <v xml:space="preserve"> </v>
      </c>
      <c r="LC186" s="47" t="str">
        <f t="shared" si="1998"/>
        <v xml:space="preserve"> </v>
      </c>
      <c r="LD186" s="57" t="str">
        <f t="shared" si="1998"/>
        <v xml:space="preserve"> </v>
      </c>
      <c r="LE186" s="47" t="str">
        <f t="shared" si="1998"/>
        <v xml:space="preserve"> </v>
      </c>
      <c r="LF186" s="47" t="str">
        <f t="shared" si="1998"/>
        <v xml:space="preserve"> </v>
      </c>
      <c r="LG186" s="47" t="str">
        <f t="shared" si="1998"/>
        <v xml:space="preserve"> </v>
      </c>
      <c r="LH186" s="47" t="str">
        <f t="shared" ref="LH186:NM186" si="1999">IF(LH84="",LH187,$C186&amp;"("&amp;LH84&amp;"),"&amp;LH187)</f>
        <v xml:space="preserve"> </v>
      </c>
      <c r="LI186" s="47" t="str">
        <f t="shared" si="1999"/>
        <v xml:space="preserve"> </v>
      </c>
      <c r="LJ186" s="57" t="str">
        <f t="shared" si="1999"/>
        <v xml:space="preserve"> </v>
      </c>
      <c r="LK186" s="47" t="str">
        <f t="shared" si="1999"/>
        <v xml:space="preserve"> </v>
      </c>
      <c r="LL186" s="47" t="str">
        <f t="shared" si="1999"/>
        <v xml:space="preserve"> </v>
      </c>
      <c r="LM186" s="47" t="str">
        <f t="shared" si="1999"/>
        <v xml:space="preserve"> </v>
      </c>
      <c r="LN186" s="47" t="str">
        <f t="shared" si="1999"/>
        <v xml:space="preserve"> </v>
      </c>
      <c r="LO186" s="47" t="str">
        <f t="shared" si="1999"/>
        <v xml:space="preserve"> </v>
      </c>
      <c r="LP186" s="57" t="str">
        <f t="shared" si="1999"/>
        <v xml:space="preserve"> </v>
      </c>
      <c r="LQ186" s="47" t="str">
        <f t="shared" si="1999"/>
        <v xml:space="preserve"> </v>
      </c>
      <c r="LR186" s="47" t="str">
        <f t="shared" si="1999"/>
        <v xml:space="preserve"> </v>
      </c>
      <c r="LS186" s="47" t="str">
        <f t="shared" si="1999"/>
        <v xml:space="preserve"> </v>
      </c>
      <c r="LT186" s="47" t="str">
        <f t="shared" si="1999"/>
        <v xml:space="preserve"> </v>
      </c>
      <c r="LU186" s="47" t="str">
        <f t="shared" si="1999"/>
        <v xml:space="preserve"> </v>
      </c>
      <c r="LV186" s="57" t="str">
        <f t="shared" si="1999"/>
        <v xml:space="preserve"> </v>
      </c>
      <c r="LW186" s="47" t="str">
        <f t="shared" si="1999"/>
        <v xml:space="preserve"> </v>
      </c>
      <c r="LX186" s="47" t="str">
        <f t="shared" si="1999"/>
        <v xml:space="preserve"> </v>
      </c>
      <c r="LY186" s="47" t="str">
        <f t="shared" si="1999"/>
        <v xml:space="preserve"> </v>
      </c>
      <c r="LZ186" s="47" t="str">
        <f t="shared" si="1999"/>
        <v xml:space="preserve"> </v>
      </c>
      <c r="MA186" s="47" t="str">
        <f t="shared" si="1999"/>
        <v xml:space="preserve"> </v>
      </c>
      <c r="MB186" s="57" t="str">
        <f t="shared" si="1999"/>
        <v xml:space="preserve"> </v>
      </c>
      <c r="MC186" s="47" t="str">
        <f t="shared" si="1999"/>
        <v xml:space="preserve"> </v>
      </c>
      <c r="MD186" s="47" t="str">
        <f t="shared" si="1999"/>
        <v xml:space="preserve"> </v>
      </c>
      <c r="ME186" s="47" t="str">
        <f t="shared" si="1999"/>
        <v xml:space="preserve"> </v>
      </c>
      <c r="MF186" s="47" t="str">
        <f t="shared" si="1999"/>
        <v xml:space="preserve"> </v>
      </c>
      <c r="MG186" s="47" t="str">
        <f t="shared" si="1999"/>
        <v xml:space="preserve"> </v>
      </c>
      <c r="MH186" s="57" t="str">
        <f t="shared" si="1999"/>
        <v xml:space="preserve"> </v>
      </c>
      <c r="MI186" s="47" t="str">
        <f t="shared" si="1999"/>
        <v xml:space="preserve"> </v>
      </c>
      <c r="MJ186" s="47" t="str">
        <f t="shared" si="1999"/>
        <v xml:space="preserve"> </v>
      </c>
      <c r="MK186" s="47" t="str">
        <f t="shared" si="1999"/>
        <v xml:space="preserve"> </v>
      </c>
      <c r="ML186" s="47" t="str">
        <f t="shared" si="1999"/>
        <v xml:space="preserve"> </v>
      </c>
      <c r="MM186" s="47" t="str">
        <f t="shared" si="1999"/>
        <v xml:space="preserve"> </v>
      </c>
      <c r="MN186" s="57" t="str">
        <f t="shared" si="1999"/>
        <v xml:space="preserve"> </v>
      </c>
      <c r="MO186" s="47" t="str">
        <f t="shared" si="1999"/>
        <v xml:space="preserve"> </v>
      </c>
      <c r="MP186" s="47" t="str">
        <f t="shared" si="1999"/>
        <v xml:space="preserve"> </v>
      </c>
      <c r="MQ186" s="47" t="str">
        <f t="shared" si="1999"/>
        <v xml:space="preserve"> </v>
      </c>
      <c r="MR186" s="47" t="str">
        <f t="shared" si="1999"/>
        <v xml:space="preserve"> </v>
      </c>
      <c r="MS186" s="47" t="str">
        <f t="shared" si="1999"/>
        <v xml:space="preserve"> </v>
      </c>
      <c r="MT186" s="57" t="str">
        <f t="shared" si="1999"/>
        <v xml:space="preserve"> </v>
      </c>
      <c r="MU186" s="47" t="str">
        <f t="shared" si="1999"/>
        <v xml:space="preserve"> </v>
      </c>
      <c r="MV186" s="47" t="str">
        <f t="shared" si="1999"/>
        <v xml:space="preserve"> </v>
      </c>
      <c r="MW186" s="47" t="str">
        <f t="shared" si="1999"/>
        <v xml:space="preserve"> </v>
      </c>
      <c r="MX186" s="47" t="str">
        <f t="shared" si="1999"/>
        <v xml:space="preserve"> </v>
      </c>
      <c r="MY186" s="47" t="str">
        <f t="shared" si="1999"/>
        <v xml:space="preserve"> </v>
      </c>
      <c r="MZ186" s="57" t="str">
        <f t="shared" si="1999"/>
        <v xml:space="preserve"> </v>
      </c>
      <c r="NA186" s="47" t="str">
        <f t="shared" si="1999"/>
        <v xml:space="preserve"> </v>
      </c>
      <c r="NB186" s="47" t="str">
        <f t="shared" si="1999"/>
        <v xml:space="preserve"> </v>
      </c>
      <c r="NC186" s="47" t="str">
        <f t="shared" si="1999"/>
        <v xml:space="preserve"> </v>
      </c>
      <c r="ND186" s="47" t="str">
        <f t="shared" si="1999"/>
        <v xml:space="preserve"> </v>
      </c>
      <c r="NE186" s="47" t="str">
        <f t="shared" si="1999"/>
        <v xml:space="preserve"> </v>
      </c>
      <c r="NF186" s="57" t="str">
        <f t="shared" si="1999"/>
        <v xml:space="preserve"> </v>
      </c>
      <c r="NG186" s="47" t="str">
        <f t="shared" si="1999"/>
        <v xml:space="preserve"> </v>
      </c>
      <c r="NH186" s="47" t="str">
        <f t="shared" si="1999"/>
        <v xml:space="preserve"> </v>
      </c>
      <c r="NI186" s="47" t="str">
        <f t="shared" si="1999"/>
        <v xml:space="preserve"> </v>
      </c>
      <c r="NJ186" s="47" t="str">
        <f t="shared" si="1999"/>
        <v xml:space="preserve"> </v>
      </c>
      <c r="NK186" s="47" t="str">
        <f t="shared" si="1999"/>
        <v xml:space="preserve"> </v>
      </c>
      <c r="NL186" s="57" t="str">
        <f t="shared" si="1999"/>
        <v xml:space="preserve"> </v>
      </c>
      <c r="NM186" s="47" t="str">
        <f t="shared" si="1999"/>
        <v xml:space="preserve"> </v>
      </c>
    </row>
    <row r="187" spans="3:377" ht="15.75" customHeight="1">
      <c r="C187" s="7" t="str">
        <f t="shared" si="841"/>
        <v>aesthetics</v>
      </c>
      <c r="D187" s="21" t="str">
        <f t="shared" ref="D187:F202" si="2000">IF(D85="",D188,$C187&amp;" "&amp;D85&amp;CHAR(10)&amp;D188)</f>
        <v xml:space="preserve"> </v>
      </c>
      <c r="E187" s="21" t="str">
        <f t="shared" si="842"/>
        <v xml:space="preserve"> </v>
      </c>
      <c r="F187" s="21" t="str">
        <f t="shared" si="2000"/>
        <v xml:space="preserve"> </v>
      </c>
      <c r="G187" s="21" t="str">
        <f t="shared" si="843"/>
        <v xml:space="preserve"> </v>
      </c>
      <c r="H187" s="21" t="str">
        <f t="shared" si="844"/>
        <v xml:space="preserve"> </v>
      </c>
      <c r="I187" s="21" t="str">
        <f t="shared" ref="I187" si="2001">IF(I85="",I188,$C187&amp;"("&amp;I85&amp;"),"&amp;I188)</f>
        <v xml:space="preserve"> </v>
      </c>
      <c r="J187" s="21" t="str">
        <f t="shared" ref="J187" si="2002">IF(J85="",J188,$C187&amp;" "&amp;J85&amp;CHAR(10)&amp;J188)</f>
        <v xml:space="preserve">interaction 1
 </v>
      </c>
      <c r="K187" s="21" t="str">
        <f t="shared" si="654"/>
        <v xml:space="preserve"> </v>
      </c>
      <c r="L187" s="21" t="str">
        <f t="shared" ref="L187" si="2003">IF(L85="",L188,$C187&amp;" "&amp;L85&amp;CHAR(10)&amp;L188)</f>
        <v xml:space="preserve"> </v>
      </c>
      <c r="M187" s="21" t="str">
        <f t="shared" si="656"/>
        <v xml:space="preserve">social innovation(1), non-profit biz(1),  </v>
      </c>
      <c r="N187" s="21" t="str">
        <f t="shared" si="657"/>
        <v xml:space="preserve"> </v>
      </c>
      <c r="O187" s="21" t="str">
        <f t="shared" ref="O187:BW202" si="2004">IF(O85="",O188,$C187&amp;"("&amp;O85&amp;"),"&amp;O188)</f>
        <v xml:space="preserve"> </v>
      </c>
      <c r="P187" s="21" t="str">
        <f t="shared" ref="P187" si="2005">IF(P85="",P188,$C187&amp;" "&amp;P85&amp;CHAR(10)&amp;P188)</f>
        <v xml:space="preserve">biz project 1
 </v>
      </c>
      <c r="Q187" s="21" t="str">
        <f t="shared" si="660"/>
        <v xml:space="preserve"> </v>
      </c>
      <c r="R187" s="21" t="str">
        <f t="shared" ref="R187" si="2006">IF(R85="",R188,$C187&amp;" "&amp;R85&amp;CHAR(10)&amp;R188)</f>
        <v xml:space="preserve"> </v>
      </c>
      <c r="S187" s="21" t="str">
        <f t="shared" si="662"/>
        <v xml:space="preserve">biz enhancement(1), business(1), start-up(1),  </v>
      </c>
      <c r="T187" s="21" t="str">
        <f t="shared" si="663"/>
        <v xml:space="preserve"> </v>
      </c>
      <c r="U187" s="21" t="str">
        <f t="shared" si="2004"/>
        <v xml:space="preserve"> </v>
      </c>
      <c r="V187" s="21" t="str">
        <f t="shared" ref="V187" si="2007">IF(V85="",V188,$C187&amp;" "&amp;V85&amp;CHAR(10)&amp;V188)</f>
        <v xml:space="preserve"> </v>
      </c>
      <c r="W187" s="21" t="str">
        <f t="shared" si="665"/>
        <v xml:space="preserve"> </v>
      </c>
      <c r="X187" s="21" t="str">
        <f t="shared" ref="X187" si="2008">IF(X85="",X188,$C187&amp;" "&amp;X85&amp;CHAR(10)&amp;X188)</f>
        <v xml:space="preserve"> </v>
      </c>
      <c r="Y187" s="21" t="str">
        <f t="shared" si="667"/>
        <v xml:space="preserve">biz project(1), biz enhancement(1), job creation(1), business(1),  </v>
      </c>
      <c r="Z187" s="21" t="str">
        <f t="shared" si="668"/>
        <v xml:space="preserve"> </v>
      </c>
      <c r="AA187" s="21" t="str">
        <f t="shared" si="2004"/>
        <v xml:space="preserve"> </v>
      </c>
      <c r="AB187" s="21" t="str">
        <f t="shared" ref="AB187" si="2009">IF(AB85="",AB188,$C187&amp;" "&amp;AB85&amp;CHAR(10)&amp;AB188)</f>
        <v xml:space="preserve"> </v>
      </c>
      <c r="AC187" s="21" t="str">
        <f t="shared" si="670"/>
        <v xml:space="preserve"> </v>
      </c>
      <c r="AD187" s="21" t="str">
        <f t="shared" ref="AD187" si="2010">IF(AD85="",AD188,$C187&amp;" "&amp;AD85&amp;CHAR(10)&amp;AD188)</f>
        <v xml:space="preserve"> </v>
      </c>
      <c r="AE187" s="21" t="str">
        <f t="shared" si="672"/>
        <v xml:space="preserve">social project(1), social innovation(1), non-profit biz(1),  </v>
      </c>
      <c r="AF187" s="21" t="str">
        <f t="shared" si="673"/>
        <v xml:space="preserve"> </v>
      </c>
      <c r="AG187" s="21" t="str">
        <f t="shared" si="2004"/>
        <v xml:space="preserve"> </v>
      </c>
      <c r="AH187" s="21" t="str">
        <f t="shared" ref="AH187" si="2011">IF(AH85="",AH188,$C187&amp;" "&amp;AH85&amp;CHAR(10)&amp;AH188)</f>
        <v xml:space="preserve"> </v>
      </c>
      <c r="AI187" s="21" t="str">
        <f t="shared" si="675"/>
        <v xml:space="preserve"> </v>
      </c>
      <c r="AJ187" s="21" t="str">
        <f t="shared" ref="AJ187" si="2012">IF(AJ85="",AJ188,$C187&amp;" "&amp;AJ85&amp;CHAR(10)&amp;AJ188)</f>
        <v xml:space="preserve"> </v>
      </c>
      <c r="AK187" s="21" t="str">
        <f t="shared" si="677"/>
        <v xml:space="preserve">social project(1), social innovation(1), non-profit biz(1),  </v>
      </c>
      <c r="AL187" s="21" t="str">
        <f t="shared" si="678"/>
        <v xml:space="preserve"> </v>
      </c>
      <c r="AM187" s="21" t="str">
        <f t="shared" si="2004"/>
        <v xml:space="preserve"> </v>
      </c>
      <c r="AN187" s="21" t="str">
        <f t="shared" ref="AN187" si="2013">IF(AN85="",AN188,$C187&amp;" "&amp;AN85&amp;CHAR(10)&amp;AN188)</f>
        <v xml:space="preserve"> </v>
      </c>
      <c r="AO187" s="21" t="str">
        <f t="shared" si="680"/>
        <v xml:space="preserve"> </v>
      </c>
      <c r="AP187" s="21" t="str">
        <f t="shared" ref="AP187" si="2014">IF(AP85="",AP188,$C187&amp;" "&amp;AP85&amp;CHAR(10)&amp;AP188)</f>
        <v xml:space="preserve"> </v>
      </c>
      <c r="AQ187" s="21" t="str">
        <f t="shared" si="682"/>
        <v xml:space="preserve">start-up(1), start-up with mvp(1), start-up with customers(1),  </v>
      </c>
      <c r="AR187" s="21" t="str">
        <f t="shared" si="683"/>
        <v xml:space="preserve"> </v>
      </c>
      <c r="AS187" s="21" t="str">
        <f t="shared" si="2004"/>
        <v xml:space="preserve"> </v>
      </c>
      <c r="AT187" s="21" t="str">
        <f t="shared" ref="AT187" si="2015">IF(AT85="",AT188,$C187&amp;" "&amp;AT85&amp;CHAR(10)&amp;AT188)</f>
        <v xml:space="preserve">social project 1
 </v>
      </c>
      <c r="AU187" s="21" t="str">
        <f t="shared" si="685"/>
        <v xml:space="preserve"> </v>
      </c>
      <c r="AV187" s="21" t="str">
        <f t="shared" ref="AV187" si="2016">IF(AV85="",AV188,$C187&amp;" "&amp;AV85&amp;CHAR(10)&amp;AV188)</f>
        <v xml:space="preserve"> </v>
      </c>
      <c r="AW187" s="21" t="str">
        <f t="shared" si="687"/>
        <v xml:space="preserve"> </v>
      </c>
      <c r="AX187" s="21" t="str">
        <f t="shared" si="688"/>
        <v xml:space="preserve"> </v>
      </c>
      <c r="AY187" s="21" t="str">
        <f t="shared" si="2004"/>
        <v xml:space="preserve"> </v>
      </c>
      <c r="AZ187" s="21" t="str">
        <f t="shared" ref="AZ187" si="2017">IF(AZ85="",AZ188,$C187&amp;" "&amp;AZ85&amp;CHAR(10)&amp;AZ188)</f>
        <v xml:space="preserve"> </v>
      </c>
      <c r="BA187" s="21" t="str">
        <f t="shared" si="690"/>
        <v xml:space="preserve"> </v>
      </c>
      <c r="BB187" s="21" t="str">
        <f t="shared" ref="BB187" si="2018">IF(BB85="",BB188,$C187&amp;" "&amp;BB85&amp;CHAR(10)&amp;BB188)</f>
        <v xml:space="preserve"> </v>
      </c>
      <c r="BC187" s="21" t="str">
        <f t="shared" si="692"/>
        <v xml:space="preserve"> </v>
      </c>
      <c r="BD187" s="21" t="str">
        <f t="shared" si="693"/>
        <v xml:space="preserve"> </v>
      </c>
      <c r="BE187" s="21" t="str">
        <f t="shared" si="2004"/>
        <v xml:space="preserve"> </v>
      </c>
      <c r="BF187" s="21" t="str">
        <f t="shared" ref="BF187" si="2019">IF(BF85="",BF188,$C187&amp;" "&amp;BF85&amp;CHAR(10)&amp;BF188)</f>
        <v xml:space="preserve">biz project 1
 </v>
      </c>
      <c r="BG187" s="21" t="str">
        <f t="shared" si="695"/>
        <v xml:space="preserve"> </v>
      </c>
      <c r="BH187" s="21" t="str">
        <f t="shared" ref="BH187" si="2020">IF(BH85="",BH188,$C187&amp;" "&amp;BH85&amp;CHAR(10)&amp;BH188)</f>
        <v xml:space="preserve"> </v>
      </c>
      <c r="BI187" s="21" t="str">
        <f t="shared" si="697"/>
        <v xml:space="preserve"> </v>
      </c>
      <c r="BJ187" s="21" t="str">
        <f t="shared" si="698"/>
        <v xml:space="preserve"> </v>
      </c>
      <c r="BK187" s="21" t="str">
        <f t="shared" si="2004"/>
        <v xml:space="preserve"> </v>
      </c>
      <c r="BL187" s="21" t="str">
        <f t="shared" ref="BL187" si="2021">IF(BL85="",BL188,$C187&amp;" "&amp;BL85&amp;CHAR(10)&amp;BL188)</f>
        <v xml:space="preserve">biz enhancement 1
 </v>
      </c>
      <c r="BM187" s="21" t="str">
        <f t="shared" si="700"/>
        <v xml:space="preserve"> </v>
      </c>
      <c r="BN187" s="21" t="str">
        <f t="shared" ref="BN187" si="2022">IF(BN85="",BN188,$C187&amp;" "&amp;BN85&amp;CHAR(10)&amp;BN188)</f>
        <v xml:space="preserve"> </v>
      </c>
      <c r="BO187" s="21" t="str">
        <f t="shared" si="702"/>
        <v xml:space="preserve"> </v>
      </c>
      <c r="BP187" s="21" t="str">
        <f t="shared" si="703"/>
        <v xml:space="preserve"> </v>
      </c>
      <c r="BQ187" s="21" t="str">
        <f t="shared" si="2004"/>
        <v xml:space="preserve"> </v>
      </c>
      <c r="BR187" s="21" t="str">
        <f t="shared" ref="BR187" si="2023">IF(BR85="",BR188,$C187&amp;" "&amp;BR85&amp;CHAR(10)&amp;BR188)</f>
        <v xml:space="preserve"> </v>
      </c>
      <c r="BS187" s="21" t="str">
        <f t="shared" si="705"/>
        <v xml:space="preserve"> </v>
      </c>
      <c r="BT187" s="21" t="str">
        <f t="shared" ref="BT187" si="2024">IF(BT85="",BT188,$C187&amp;" "&amp;BT85&amp;CHAR(10)&amp;BT188)</f>
        <v xml:space="preserve"> </v>
      </c>
      <c r="BU187" s="21" t="str">
        <f t="shared" si="707"/>
        <v xml:space="preserve"> </v>
      </c>
      <c r="BV187" s="21" t="str">
        <f t="shared" si="708"/>
        <v xml:space="preserve"> </v>
      </c>
      <c r="BW187" s="21" t="str">
        <f t="shared" si="2004"/>
        <v xml:space="preserve"> </v>
      </c>
      <c r="BX187" s="21" t="str">
        <f t="shared" ref="BX187" si="2025">IF(BX85="",BX188,$C187&amp;" "&amp;BX85&amp;CHAR(10)&amp;BX188)</f>
        <v xml:space="preserve"> </v>
      </c>
      <c r="BY187" s="21" t="str">
        <f t="shared" si="710"/>
        <v xml:space="preserve"> </v>
      </c>
      <c r="BZ187" s="21" t="str">
        <f t="shared" ref="BZ187" si="2026">IF(BZ85="",BZ188,$C187&amp;" "&amp;BZ85&amp;CHAR(10)&amp;BZ188)</f>
        <v xml:space="preserve"> </v>
      </c>
      <c r="CA187" s="21" t="str">
        <f t="shared" si="712"/>
        <v xml:space="preserve"> </v>
      </c>
      <c r="CB187" s="21" t="str">
        <f t="shared" si="713"/>
        <v xml:space="preserve"> </v>
      </c>
      <c r="CC187" s="21" t="str">
        <f t="shared" ref="CC187:EK202" si="2027">IF(CC85="",CC188,$C187&amp;"("&amp;CC85&amp;"),"&amp;CC188)</f>
        <v xml:space="preserve"> </v>
      </c>
      <c r="CD187" s="21" t="str">
        <f t="shared" ref="CD187" si="2028">IF(CD85="",CD188,$C187&amp;" "&amp;CD85&amp;CHAR(10)&amp;CD188)</f>
        <v xml:space="preserve"> </v>
      </c>
      <c r="CE187" s="21" t="str">
        <f t="shared" si="716"/>
        <v xml:space="preserve"> </v>
      </c>
      <c r="CF187" s="21" t="str">
        <f t="shared" ref="CF187" si="2029">IF(CF85="",CF188,$C187&amp;" "&amp;CF85&amp;CHAR(10)&amp;CF188)</f>
        <v xml:space="preserve"> </v>
      </c>
      <c r="CG187" s="21" t="str">
        <f t="shared" si="718"/>
        <v xml:space="preserve">social project(1), biz project(1), for basic literacy(1), for the elites(1), for entrepreneurs(1),  </v>
      </c>
      <c r="CH187" s="21" t="str">
        <f t="shared" si="719"/>
        <v xml:space="preserve"> </v>
      </c>
      <c r="CI187" s="21" t="str">
        <f t="shared" si="2027"/>
        <v xml:space="preserve"> </v>
      </c>
      <c r="CJ187" s="21" t="str">
        <f t="shared" ref="CJ187" si="2030">IF(CJ85="",CJ188,$C187&amp;" "&amp;CJ85&amp;CHAR(10)&amp;CJ188)</f>
        <v xml:space="preserve"> </v>
      </c>
      <c r="CK187" s="21" t="str">
        <f t="shared" si="721"/>
        <v xml:space="preserve"> </v>
      </c>
      <c r="CL187" s="21" t="str">
        <f t="shared" ref="CL187" si="2031">IF(CL85="",CL188,$C187&amp;" "&amp;CL85&amp;CHAR(10)&amp;CL188)</f>
        <v xml:space="preserve"> </v>
      </c>
      <c r="CM187" s="21" t="str">
        <f t="shared" si="723"/>
        <v xml:space="preserve"> </v>
      </c>
      <c r="CN187" s="21" t="str">
        <f t="shared" si="724"/>
        <v xml:space="preserve"> </v>
      </c>
      <c r="CO187" s="21" t="str">
        <f t="shared" si="2027"/>
        <v xml:space="preserve"> </v>
      </c>
      <c r="CP187" s="21" t="str">
        <f t="shared" ref="CP187" si="2032">IF(CP85="",CP188,$C187&amp;" "&amp;CP85&amp;CHAR(10)&amp;CP188)</f>
        <v xml:space="preserve"> </v>
      </c>
      <c r="CQ187" s="21" t="str">
        <f t="shared" si="726"/>
        <v xml:space="preserve"> </v>
      </c>
      <c r="CR187" s="21" t="str">
        <f t="shared" ref="CR187" si="2033">IF(CR85="",CR188,$C187&amp;" "&amp;CR85&amp;CHAR(10)&amp;CR188)</f>
        <v xml:space="preserve"> </v>
      </c>
      <c r="CS187" s="21" t="str">
        <f t="shared" si="728"/>
        <v xml:space="preserve"> </v>
      </c>
      <c r="CT187" s="21" t="str">
        <f t="shared" si="729"/>
        <v xml:space="preserve"> </v>
      </c>
      <c r="CU187" s="21" t="str">
        <f t="shared" si="2027"/>
        <v xml:space="preserve"> </v>
      </c>
      <c r="CV187" s="21" t="str">
        <f t="shared" ref="CV187" si="2034">IF(CV85="",CV188,$C187&amp;" "&amp;CV85&amp;CHAR(10)&amp;CV188)</f>
        <v xml:space="preserve"> </v>
      </c>
      <c r="CW187" s="21" t="str">
        <f t="shared" si="731"/>
        <v xml:space="preserve"> </v>
      </c>
      <c r="CX187" s="21" t="str">
        <f t="shared" ref="CX187" si="2035">IF(CX85="",CX188,$C187&amp;" "&amp;CX85&amp;CHAR(10)&amp;CX188)</f>
        <v xml:space="preserve"> </v>
      </c>
      <c r="CY187" s="21" t="str">
        <f t="shared" si="733"/>
        <v xml:space="preserve"> </v>
      </c>
      <c r="CZ187" s="21" t="str">
        <f t="shared" si="734"/>
        <v xml:space="preserve"> </v>
      </c>
      <c r="DA187" s="21" t="str">
        <f t="shared" si="2027"/>
        <v xml:space="preserve"> </v>
      </c>
      <c r="DB187" s="21" t="str">
        <f t="shared" ref="DB187" si="2036">IF(DB85="",DB188,$C187&amp;" "&amp;DB85&amp;CHAR(10)&amp;DB188)</f>
        <v xml:space="preserve"> </v>
      </c>
      <c r="DC187" s="21" t="str">
        <f t="shared" si="736"/>
        <v xml:space="preserve"> </v>
      </c>
      <c r="DD187" s="21" t="str">
        <f t="shared" ref="DD187" si="2037">IF(DD85="",DD188,$C187&amp;" "&amp;DD85&amp;CHAR(10)&amp;DD188)</f>
        <v xml:space="preserve"> </v>
      </c>
      <c r="DE187" s="21" t="str">
        <f t="shared" si="738"/>
        <v xml:space="preserve">aesthetics(2), functions(2), safety(2), interaction(2), biz project(1), biz enhancement(1), job creation(1), business(1), start-up(1), start-up with mvp(1), start-up with customers(1), for entrepreneurs(2),  </v>
      </c>
      <c r="DF187" s="21" t="str">
        <f t="shared" si="739"/>
        <v xml:space="preserve"> </v>
      </c>
      <c r="DG187" s="21" t="str">
        <f t="shared" si="2027"/>
        <v xml:space="preserve"> </v>
      </c>
      <c r="DH187" s="21" t="str">
        <f t="shared" ref="DH187" si="2038">IF(DH85="",DH188,$C187&amp;" "&amp;DH85&amp;CHAR(10)&amp;DH188)</f>
        <v xml:space="preserve">social project 1
 </v>
      </c>
      <c r="DI187" s="21" t="str">
        <f t="shared" si="741"/>
        <v xml:space="preserve"> </v>
      </c>
      <c r="DJ187" s="21" t="str">
        <f t="shared" ref="DJ187" si="2039">IF(DJ85="",DJ188,$C187&amp;" "&amp;DJ85&amp;CHAR(10)&amp;DJ188)</f>
        <v xml:space="preserve"> </v>
      </c>
      <c r="DK187" s="21" t="str">
        <f t="shared" si="743"/>
        <v xml:space="preserve">aesthetics(2), functions(2), safety(2), interaction(2), social project(2), social innovation(1), non-profit biz(1),  </v>
      </c>
      <c r="DL187" s="21" t="str">
        <f t="shared" si="744"/>
        <v xml:space="preserve"> </v>
      </c>
      <c r="DM187" s="21" t="str">
        <f t="shared" si="2027"/>
        <v xml:space="preserve"> </v>
      </c>
      <c r="DN187" s="21" t="str">
        <f t="shared" ref="DN187" si="2040">IF(DN85="",DN188,$C187&amp;" "&amp;DN85&amp;CHAR(10)&amp;DN188)</f>
        <v xml:space="preserve">biz project 1
 </v>
      </c>
      <c r="DO187" s="21" t="str">
        <f t="shared" si="746"/>
        <v xml:space="preserve"> </v>
      </c>
      <c r="DP187" s="21" t="str">
        <f t="shared" ref="DP187" si="2041">IF(DP85="",DP188,$C187&amp;" "&amp;DP85&amp;CHAR(10)&amp;DP188)</f>
        <v xml:space="preserve"> </v>
      </c>
      <c r="DQ187" s="21" t="str">
        <f t="shared" si="748"/>
        <v xml:space="preserve">aesthetics(2), functions(2), safety(2), interaction(2), biz project(2), biz enhancement(1), job creation(1), business(1), start-up(1), start-up with mvp(1), start-up with customers(1), for entrepreneurs(1),  </v>
      </c>
      <c r="DR187" s="21" t="str">
        <f t="shared" si="749"/>
        <v xml:space="preserve"> </v>
      </c>
      <c r="DS187" s="21" t="str">
        <f t="shared" si="2027"/>
        <v xml:space="preserve"> </v>
      </c>
      <c r="DT187" s="21" t="str">
        <f t="shared" ref="DT187" si="2042">IF(DT85="",DT188,$C187&amp;" "&amp;DT85&amp;CHAR(10)&amp;DT188)</f>
        <v xml:space="preserve"> </v>
      </c>
      <c r="DU187" s="21" t="str">
        <f t="shared" si="751"/>
        <v xml:space="preserve"> </v>
      </c>
      <c r="DV187" s="21" t="str">
        <f t="shared" ref="DV187" si="2043">IF(DV85="",DV188,$C187&amp;" "&amp;DV85&amp;CHAR(10)&amp;DV188)</f>
        <v xml:space="preserve"> </v>
      </c>
      <c r="DW187" s="21" t="str">
        <f t="shared" si="753"/>
        <v xml:space="preserve">for basic literacy(1),  </v>
      </c>
      <c r="DX187" s="21" t="str">
        <f t="shared" si="754"/>
        <v xml:space="preserve">for basic literacy(1,6.25),  </v>
      </c>
      <c r="DY187" s="21" t="str">
        <f t="shared" si="2027"/>
        <v xml:space="preserve">for basic literacy(6.25), </v>
      </c>
      <c r="DZ187" s="21" t="str">
        <f t="shared" ref="DZ187" si="2044">IF(DZ85="",DZ188,$C187&amp;" "&amp;DZ85&amp;CHAR(10)&amp;DZ188)</f>
        <v xml:space="preserve"> </v>
      </c>
      <c r="EA187" s="21" t="str">
        <f t="shared" si="756"/>
        <v xml:space="preserve"> </v>
      </c>
      <c r="EB187" s="21" t="str">
        <f t="shared" ref="EB187" si="2045">IF(EB85="",EB188,$C187&amp;" "&amp;EB85&amp;CHAR(10)&amp;EB188)</f>
        <v xml:space="preserve"> </v>
      </c>
      <c r="EC187" s="21" t="str">
        <f t="shared" si="758"/>
        <v xml:space="preserve">for basic literacy(1),  </v>
      </c>
      <c r="ED187" s="21" t="str">
        <f t="shared" si="759"/>
        <v xml:space="preserve">for basic literacy(1,6.25),  </v>
      </c>
      <c r="EE187" s="21" t="str">
        <f t="shared" si="2027"/>
        <v xml:space="preserve">for basic literacy(6.25), </v>
      </c>
      <c r="EF187" s="21" t="str">
        <f t="shared" ref="EF187" si="2046">IF(EF85="",EF188,$C187&amp;" "&amp;EF85&amp;CHAR(10)&amp;EF188)</f>
        <v xml:space="preserve"> </v>
      </c>
      <c r="EG187" s="21" t="str">
        <f t="shared" si="761"/>
        <v xml:space="preserve">interaction(1,50),  </v>
      </c>
      <c r="EH187" s="21" t="str">
        <f t="shared" ref="EH187" si="2047">IF(EH85="",EH188,$C187&amp;" "&amp;EH85&amp;CHAR(10)&amp;EH188)</f>
        <v xml:space="preserve">interaction 50
 </v>
      </c>
      <c r="EI187" s="21" t="str">
        <f t="shared" si="763"/>
        <v xml:space="preserve">for entrepreneurs(1),  </v>
      </c>
      <c r="EJ187" s="21" t="str">
        <f t="shared" si="764"/>
        <v xml:space="preserve">for entrepreneurs(1,6.25),  </v>
      </c>
      <c r="EK187" s="21" t="str">
        <f t="shared" si="2027"/>
        <v xml:space="preserve">for entrepreneurs(6.25), </v>
      </c>
      <c r="EL187" s="21" t="str">
        <f t="shared" ref="EL187" si="2048">IF(EL85="",EL188,$C187&amp;" "&amp;EL85&amp;CHAR(10)&amp;EL188)</f>
        <v xml:space="preserve"> </v>
      </c>
      <c r="EM187" s="21" t="str">
        <f t="shared" si="766"/>
        <v xml:space="preserve"> </v>
      </c>
      <c r="EN187" s="21" t="str">
        <f t="shared" ref="EN187" si="2049">IF(EN85="",EN188,$C187&amp;" "&amp;EN85&amp;CHAR(10)&amp;EN188)</f>
        <v xml:space="preserve"> </v>
      </c>
      <c r="EO187" s="21" t="str">
        <f t="shared" si="768"/>
        <v xml:space="preserve">for entrepreneurs(1),  </v>
      </c>
      <c r="EP187" s="21" t="str">
        <f t="shared" si="769"/>
        <v xml:space="preserve">for entrepreneurs(1,6.25),  </v>
      </c>
      <c r="EQ187" s="21" t="str">
        <f t="shared" ref="EQ187:GY202" si="2050">IF(EQ85="",EQ188,$C187&amp;"("&amp;EQ85&amp;"),"&amp;EQ188)</f>
        <v xml:space="preserve">for entrepreneurs(6.25), </v>
      </c>
      <c r="ER187" s="21" t="str">
        <f t="shared" ref="ER187" si="2051">IF(ER85="",ER188,$C187&amp;" "&amp;ER85&amp;CHAR(10)&amp;ER188)</f>
        <v xml:space="preserve"> </v>
      </c>
      <c r="ES187" s="21" t="str">
        <f t="shared" si="772"/>
        <v xml:space="preserve"> </v>
      </c>
      <c r="ET187" s="21" t="str">
        <f t="shared" ref="ET187" si="2052">IF(ET85="",ET188,$C187&amp;" "&amp;ET85&amp;CHAR(10)&amp;ET188)</f>
        <v xml:space="preserve"> </v>
      </c>
      <c r="EU187" s="21" t="str">
        <f t="shared" si="774"/>
        <v xml:space="preserve">for entrepreneurs(1),  </v>
      </c>
      <c r="EV187" s="21" t="str">
        <f t="shared" si="775"/>
        <v xml:space="preserve">for entrepreneurs(1,6.25),  </v>
      </c>
      <c r="EW187" s="21" t="str">
        <f t="shared" si="2050"/>
        <v xml:space="preserve">for entrepreneurs(6.25), </v>
      </c>
      <c r="EX187" s="21" t="str">
        <f t="shared" ref="EX187" si="2053">IF(EX85="",EX188,$C187&amp;" "&amp;EX85&amp;CHAR(10)&amp;EX188)</f>
        <v xml:space="preserve"> </v>
      </c>
      <c r="EY187" s="21" t="str">
        <f t="shared" si="777"/>
        <v xml:space="preserve">interaction(1,25),  </v>
      </c>
      <c r="EZ187" s="21" t="str">
        <f t="shared" ref="EZ187" si="2054">IF(EZ85="",EZ188,$C187&amp;" "&amp;EZ85&amp;CHAR(10)&amp;EZ188)</f>
        <v xml:space="preserve">interaction 25
 </v>
      </c>
      <c r="FA187" s="21" t="str">
        <f t="shared" si="779"/>
        <v xml:space="preserve">for entrepreneurs(1),  </v>
      </c>
      <c r="FB187" s="21" t="str">
        <f t="shared" si="780"/>
        <v xml:space="preserve">for entrepreneurs(1,6.25),  </v>
      </c>
      <c r="FC187" s="21" t="str">
        <f t="shared" si="2050"/>
        <v xml:space="preserve">for entrepreneurs(6.25), </v>
      </c>
      <c r="FD187" s="21" t="str">
        <f t="shared" ref="FD187" si="2055">IF(FD85="",FD188,$C187&amp;" "&amp;FD85&amp;CHAR(10)&amp;FD188)</f>
        <v xml:space="preserve"> </v>
      </c>
      <c r="FE187" s="21" t="str">
        <f t="shared" si="782"/>
        <v xml:space="preserve"> </v>
      </c>
      <c r="FF187" s="21" t="str">
        <f t="shared" ref="FF187" si="2056">IF(FF85="",FF188,$C187&amp;" "&amp;FF85&amp;CHAR(10)&amp;FF188)</f>
        <v xml:space="preserve"> </v>
      </c>
      <c r="FG187" s="21" t="str">
        <f t="shared" si="784"/>
        <v xml:space="preserve">for entrepreneurs(1),  </v>
      </c>
      <c r="FH187" s="21" t="str">
        <f t="shared" si="785"/>
        <v xml:space="preserve">for entrepreneurs(1,6.25),  </v>
      </c>
      <c r="FI187" s="21" t="str">
        <f t="shared" si="2050"/>
        <v xml:space="preserve">for entrepreneurs(6.25), </v>
      </c>
      <c r="FJ187" s="21" t="str">
        <f t="shared" ref="FJ187" si="2057">IF(FJ85="",FJ188,$C187&amp;" "&amp;FJ85&amp;CHAR(10)&amp;FJ188)</f>
        <v xml:space="preserve"> </v>
      </c>
      <c r="FK187" s="21" t="str">
        <f t="shared" si="787"/>
        <v xml:space="preserve">safety(1,25), interaction(1,25),  </v>
      </c>
      <c r="FL187" s="21" t="str">
        <f t="shared" ref="FL187" si="2058">IF(FL85="",FL188,$C187&amp;" "&amp;FL85&amp;CHAR(10)&amp;FL188)</f>
        <v xml:space="preserve">safety 25
interaction 25
 </v>
      </c>
      <c r="FM187" s="21" t="str">
        <f t="shared" si="789"/>
        <v xml:space="preserve">for entrepreneurs(1),  </v>
      </c>
      <c r="FN187" s="21" t="str">
        <f t="shared" si="790"/>
        <v xml:space="preserve">for entrepreneurs(1,6.25),  </v>
      </c>
      <c r="FO187" s="21" t="str">
        <f t="shared" si="2050"/>
        <v xml:space="preserve">for entrepreneurs(6.25), </v>
      </c>
      <c r="FP187" s="21" t="str">
        <f t="shared" ref="FP187" si="2059">IF(FP85="",FP188,$C187&amp;" "&amp;FP85&amp;CHAR(10)&amp;FP188)</f>
        <v xml:space="preserve"> </v>
      </c>
      <c r="FQ187" s="21" t="str">
        <f t="shared" si="792"/>
        <v xml:space="preserve">functions(1,25), interaction(1,25),  </v>
      </c>
      <c r="FR187" s="21" t="str">
        <f t="shared" ref="FR187" si="2060">IF(FR85="",FR188,$C187&amp;" "&amp;FR85&amp;CHAR(10)&amp;FR188)</f>
        <v xml:space="preserve">functions 25
interaction 25
 </v>
      </c>
      <c r="FS187" s="21" t="str">
        <f t="shared" si="794"/>
        <v xml:space="preserve">for entrepreneurs(1),  </v>
      </c>
      <c r="FT187" s="21" t="str">
        <f t="shared" si="795"/>
        <v xml:space="preserve">for entrepreneurs(1,6.25),  </v>
      </c>
      <c r="FU187" s="21" t="str">
        <f t="shared" si="2050"/>
        <v xml:space="preserve">for entrepreneurs(6.25), </v>
      </c>
      <c r="FV187" s="21" t="str">
        <f t="shared" ref="FV187" si="2061">IF(FV85="",FV188,$C187&amp;" "&amp;FV85&amp;CHAR(10)&amp;FV188)</f>
        <v xml:space="preserve"> </v>
      </c>
      <c r="FW187" s="21" t="str">
        <f t="shared" si="797"/>
        <v xml:space="preserve">functions(1,25), interaction(1,25),  </v>
      </c>
      <c r="FX187" s="21" t="str">
        <f t="shared" ref="FX187" si="2062">IF(FX85="",FX188,$C187&amp;" "&amp;FX85&amp;CHAR(10)&amp;FX188)</f>
        <v xml:space="preserve">functions 25
interaction 25
 </v>
      </c>
      <c r="FY187" s="21" t="str">
        <f t="shared" si="799"/>
        <v xml:space="preserve">for entrepreneurs(1),  </v>
      </c>
      <c r="FZ187" s="21" t="str">
        <f t="shared" si="800"/>
        <v xml:space="preserve">for entrepreneurs(1,6.25),  </v>
      </c>
      <c r="GA187" s="21" t="str">
        <f t="shared" si="2050"/>
        <v xml:space="preserve">for entrepreneurs(6.25), </v>
      </c>
      <c r="GB187" s="21" t="str">
        <f t="shared" ref="GB187" si="2063">IF(GB85="",GB188,$C187&amp;" "&amp;GB85&amp;CHAR(10)&amp;GB188)</f>
        <v xml:space="preserve"> </v>
      </c>
      <c r="GC187" s="21" t="str">
        <f t="shared" si="802"/>
        <v xml:space="preserve">functions(1,25), safety(1,25),  </v>
      </c>
      <c r="GD187" s="21" t="str">
        <f t="shared" ref="GD187" si="2064">IF(GD85="",GD188,$C187&amp;" "&amp;GD85&amp;CHAR(10)&amp;GD188)</f>
        <v xml:space="preserve">functions 25
safety 25
 </v>
      </c>
      <c r="GE187" s="21" t="str">
        <f t="shared" si="804"/>
        <v xml:space="preserve">for entrepreneurs(1),  </v>
      </c>
      <c r="GF187" s="21" t="str">
        <f t="shared" si="805"/>
        <v xml:space="preserve">interaction(1,6.25), for entrepreneurs(1,6.25),  </v>
      </c>
      <c r="GG187" s="21" t="str">
        <f t="shared" si="2050"/>
        <v xml:space="preserve">interaction(6.25),for entrepreneurs(6.25), </v>
      </c>
      <c r="GH187" s="21" t="str">
        <f t="shared" ref="GH187" si="2065">IF(GH85="",GH188,$C187&amp;" "&amp;GH85&amp;CHAR(10)&amp;GH188)</f>
        <v xml:space="preserve"> </v>
      </c>
      <c r="GI187" s="21" t="str">
        <f t="shared" si="807"/>
        <v xml:space="preserve">functions(1,25), interaction(1,25),  </v>
      </c>
      <c r="GJ187" s="21" t="str">
        <f t="shared" ref="GJ187" si="2066">IF(GJ85="",GJ188,$C187&amp;" "&amp;GJ85&amp;CHAR(10)&amp;GJ188)</f>
        <v xml:space="preserve">functions 25
interaction 25
 </v>
      </c>
      <c r="GK187" s="21" t="str">
        <f t="shared" si="809"/>
        <v xml:space="preserve">for entrepreneurs(1),  </v>
      </c>
      <c r="GL187" s="21" t="str">
        <f t="shared" si="810"/>
        <v xml:space="preserve">for entrepreneurs(1,6.25),  </v>
      </c>
      <c r="GM187" s="21" t="str">
        <f t="shared" si="2050"/>
        <v xml:space="preserve">for entrepreneurs(6.25), </v>
      </c>
      <c r="GN187" s="21" t="str">
        <f t="shared" ref="GN187" si="2067">IF(GN85="",GN188,$C187&amp;" "&amp;GN85&amp;CHAR(10)&amp;GN188)</f>
        <v xml:space="preserve"> </v>
      </c>
      <c r="GO187" s="21" t="str">
        <f t="shared" si="812"/>
        <v xml:space="preserve">aesthetics(1,25), functions(1,25), interaction(1,50),  </v>
      </c>
      <c r="GP187" s="21" t="str">
        <f t="shared" ref="GP187" si="2068">IF(GP85="",GP188,$C187&amp;" "&amp;GP85&amp;CHAR(10)&amp;GP188)</f>
        <v xml:space="preserve">aesthetics 25
functions 25
interaction 50
 </v>
      </c>
      <c r="GQ187" s="21" t="str">
        <f t="shared" si="814"/>
        <v xml:space="preserve">for entrepreneurs(1),  </v>
      </c>
      <c r="GR187" s="21" t="str">
        <f t="shared" si="815"/>
        <v xml:space="preserve">for entrepreneurs(1,6.25),  </v>
      </c>
      <c r="GS187" s="21" t="str">
        <f t="shared" si="2050"/>
        <v xml:space="preserve">for entrepreneurs(6.25), </v>
      </c>
      <c r="GT187" s="21" t="str">
        <f t="shared" ref="GT187" si="2069">IF(GT85="",GT188,$C187&amp;" "&amp;GT85&amp;CHAR(10)&amp;GT188)</f>
        <v xml:space="preserve"> </v>
      </c>
      <c r="GU187" s="21" t="str">
        <f t="shared" si="817"/>
        <v xml:space="preserve"> </v>
      </c>
      <c r="GV187" s="21" t="str">
        <f t="shared" ref="GV187" si="2070">IF(GV85="",GV188,$C187&amp;" "&amp;GV85&amp;CHAR(10)&amp;GV188)</f>
        <v xml:space="preserve"> </v>
      </c>
      <c r="GW187" s="21" t="str">
        <f t="shared" si="819"/>
        <v xml:space="preserve"> </v>
      </c>
      <c r="GX187" s="21" t="str">
        <f t="shared" si="820"/>
        <v xml:space="preserve"> </v>
      </c>
      <c r="GY187" s="21" t="str">
        <f t="shared" si="2050"/>
        <v xml:space="preserve"> </v>
      </c>
      <c r="GZ187" s="21" t="str">
        <f t="shared" ref="GZ187" si="2071">IF(GZ85="",GZ188,$C187&amp;" "&amp;GZ85&amp;CHAR(10)&amp;GZ188)</f>
        <v xml:space="preserve"> </v>
      </c>
      <c r="HA187" s="21" t="str">
        <f t="shared" si="822"/>
        <v xml:space="preserve"> </v>
      </c>
      <c r="HB187" s="21" t="str">
        <f t="shared" ref="HB187" si="2072">IF(HB85="",HB188,$C187&amp;" "&amp;HB85&amp;CHAR(10)&amp;HB188)</f>
        <v xml:space="preserve"> </v>
      </c>
      <c r="HC187" s="21" t="str">
        <f t="shared" si="824"/>
        <v xml:space="preserve">aesthetics(2), interaction(2),  </v>
      </c>
      <c r="HD187" s="21" t="str">
        <f t="shared" si="825"/>
        <v xml:space="preserve">start-up with customers(1,6.25), for basic literacy(1,6.25),  </v>
      </c>
      <c r="HE187" s="21" t="str">
        <f t="shared" ref="HE187:HQ202" si="2073">IF(HE85="",HE188,$C187&amp;"("&amp;HE85&amp;"),"&amp;HE188)</f>
        <v xml:space="preserve">start-up with customers(6.25),for basic literacy(6.25), </v>
      </c>
      <c r="HF187" s="21" t="str">
        <f t="shared" ref="HF187" si="2074">IF(HF85="",HF188,$C187&amp;" "&amp;HF85&amp;CHAR(10)&amp;HF188)</f>
        <v xml:space="preserve"> </v>
      </c>
      <c r="HG187" s="21" t="str">
        <f t="shared" si="828"/>
        <v xml:space="preserve"> </v>
      </c>
      <c r="HH187" s="21" t="str">
        <f t="shared" ref="HH187" si="2075">IF(HH85="",HH188,$C187&amp;" "&amp;HH85&amp;CHAR(10)&amp;HH188)</f>
        <v xml:space="preserve"> </v>
      </c>
      <c r="HI187" s="21" t="str">
        <f t="shared" si="830"/>
        <v xml:space="preserve">aesthetics(2), functions(2), interaction(2),  </v>
      </c>
      <c r="HJ187" s="21" t="str">
        <f t="shared" si="831"/>
        <v xml:space="preserve">start-up with customers(1,6.25),  </v>
      </c>
      <c r="HK187" s="21" t="str">
        <f t="shared" si="2073"/>
        <v xml:space="preserve">start-up with customers(6.25), </v>
      </c>
      <c r="HL187" s="21" t="str">
        <f t="shared" ref="HL187" si="2076">IF(HL85="",HL188,$C187&amp;" "&amp;HL85&amp;CHAR(10)&amp;HL188)</f>
        <v xml:space="preserve"> </v>
      </c>
      <c r="HM187" s="21" t="str">
        <f t="shared" si="833"/>
        <v xml:space="preserve"> </v>
      </c>
      <c r="HN187" s="21" t="str">
        <f t="shared" ref="HN187" si="2077">IF(HN85="",HN188,$C187&amp;" "&amp;HN85&amp;CHAR(10)&amp;HN188)</f>
        <v xml:space="preserve"> </v>
      </c>
      <c r="HO187" s="21" t="str">
        <f t="shared" si="835"/>
        <v xml:space="preserve">aesthetics(2), interaction(2),  </v>
      </c>
      <c r="HP187" s="21" t="str">
        <f t="shared" si="836"/>
        <v xml:space="preserve"> </v>
      </c>
      <c r="HQ187" s="47" t="str">
        <f t="shared" si="2073"/>
        <v xml:space="preserve"> </v>
      </c>
      <c r="HR187" s="47" t="str">
        <f t="shared" ref="HR187:HW187" si="2078">IF(HR85="",HR188,$C187&amp;"("&amp;HR85&amp;"),"&amp;HR188)</f>
        <v xml:space="preserve">aesthetics(1), </v>
      </c>
      <c r="HS187" s="47" t="str">
        <f t="shared" si="2078"/>
        <v xml:space="preserve"> </v>
      </c>
      <c r="HT187" s="47" t="str">
        <f t="shared" si="2078"/>
        <v xml:space="preserve"> </v>
      </c>
      <c r="HU187" s="47" t="str">
        <f t="shared" si="2078"/>
        <v xml:space="preserve">aesthetics(2),interaction(2),start-up with mvp(1), </v>
      </c>
      <c r="HV187" s="47" t="str">
        <f t="shared" si="2078"/>
        <v xml:space="preserve"> </v>
      </c>
      <c r="HW187" s="47" t="str">
        <f t="shared" si="2078"/>
        <v xml:space="preserve"> </v>
      </c>
      <c r="HX187" s="47" t="str">
        <f t="shared" ref="HX187:IU187" si="2079">IF(HX85="",HX188,$C187&amp;"("&amp;HX85&amp;"),"&amp;HX188)</f>
        <v xml:space="preserve">aesthetics(1),functions(1),interaction(1), </v>
      </c>
      <c r="HY187" s="47" t="str">
        <f t="shared" si="2079"/>
        <v xml:space="preserve">biz enhancement(1), </v>
      </c>
      <c r="HZ187" s="47" t="str">
        <f t="shared" si="2079"/>
        <v xml:space="preserve">biz enhancement(100), </v>
      </c>
      <c r="IA187" s="47" t="str">
        <f t="shared" si="2079"/>
        <v xml:space="preserve"> </v>
      </c>
      <c r="IB187" s="47" t="str">
        <f t="shared" si="2079"/>
        <v xml:space="preserve">functions(1), </v>
      </c>
      <c r="IC187" s="47" t="str">
        <f t="shared" si="2079"/>
        <v xml:space="preserve">functions(6.25), </v>
      </c>
      <c r="ID187" s="47" t="str">
        <f t="shared" si="2079"/>
        <v xml:space="preserve"> </v>
      </c>
      <c r="IE187" s="47" t="str">
        <f t="shared" si="2079"/>
        <v xml:space="preserve"> </v>
      </c>
      <c r="IF187" s="47" t="str">
        <f t="shared" si="2079"/>
        <v xml:space="preserve"> </v>
      </c>
      <c r="IG187" s="47" t="str">
        <f t="shared" si="2079"/>
        <v xml:space="preserve"> </v>
      </c>
      <c r="IH187" s="47" t="str">
        <f t="shared" si="2079"/>
        <v xml:space="preserve"> </v>
      </c>
      <c r="II187" s="47" t="str">
        <f t="shared" si="2079"/>
        <v xml:space="preserve"> </v>
      </c>
      <c r="IJ187" s="47" t="str">
        <f t="shared" si="2079"/>
        <v xml:space="preserve"> </v>
      </c>
      <c r="IK187" s="47" t="str">
        <f t="shared" si="2079"/>
        <v xml:space="preserve">functions(1),safety(1), </v>
      </c>
      <c r="IL187" s="47" t="str">
        <f t="shared" si="2079"/>
        <v xml:space="preserve">functions(25),safety(25), </v>
      </c>
      <c r="IM187" s="47" t="str">
        <f t="shared" si="2079"/>
        <v xml:space="preserve">functions(2),safety(2), </v>
      </c>
      <c r="IN187" s="47" t="str">
        <f t="shared" si="2079"/>
        <v xml:space="preserve">functions(1),safety(1),interaction(1), </v>
      </c>
      <c r="IO187" s="47" t="str">
        <f t="shared" si="2079"/>
        <v xml:space="preserve">functions(6.25),safety(6.25),interaction(6.25), </v>
      </c>
      <c r="IP187" s="57" t="str">
        <f t="shared" si="2079"/>
        <v xml:space="preserve"> </v>
      </c>
      <c r="IQ187" s="47" t="str">
        <f t="shared" si="2079"/>
        <v xml:space="preserve"> </v>
      </c>
      <c r="IR187" s="47" t="str">
        <f t="shared" si="2079"/>
        <v xml:space="preserve"> </v>
      </c>
      <c r="IS187" s="47" t="str">
        <f t="shared" si="2079"/>
        <v xml:space="preserve"> </v>
      </c>
      <c r="IT187" s="47" t="str">
        <f t="shared" si="2079"/>
        <v xml:space="preserve"> </v>
      </c>
      <c r="IU187" s="47" t="str">
        <f t="shared" si="2079"/>
        <v xml:space="preserve"> </v>
      </c>
      <c r="IV187" s="57" t="str">
        <f t="shared" ref="IV187:LG187" si="2080">IF(IV85="",IV188,$C187&amp;"("&amp;IV85&amp;"),"&amp;IV188)</f>
        <v xml:space="preserve"> </v>
      </c>
      <c r="IW187" s="47" t="str">
        <f t="shared" si="2080"/>
        <v xml:space="preserve"> </v>
      </c>
      <c r="IX187" s="47" t="str">
        <f t="shared" si="2080"/>
        <v xml:space="preserve"> </v>
      </c>
      <c r="IY187" s="47" t="str">
        <f t="shared" si="2080"/>
        <v xml:space="preserve"> </v>
      </c>
      <c r="IZ187" s="47" t="str">
        <f t="shared" si="2080"/>
        <v xml:space="preserve"> </v>
      </c>
      <c r="JA187" s="47" t="str">
        <f t="shared" si="2080"/>
        <v xml:space="preserve"> </v>
      </c>
      <c r="JB187" s="47" t="str">
        <f t="shared" si="2080"/>
        <v xml:space="preserve"> </v>
      </c>
      <c r="JC187" s="47" t="str">
        <f t="shared" si="2080"/>
        <v xml:space="preserve"> </v>
      </c>
      <c r="JD187" s="47" t="str">
        <f t="shared" si="2080"/>
        <v xml:space="preserve"> </v>
      </c>
      <c r="JE187" s="47" t="str">
        <f t="shared" si="2080"/>
        <v xml:space="preserve"> </v>
      </c>
      <c r="JF187" s="47" t="str">
        <f t="shared" si="2080"/>
        <v xml:space="preserve">aesthetics(1),functions(1),safety(1),interaction(1), </v>
      </c>
      <c r="JG187" s="47" t="str">
        <f t="shared" si="2080"/>
        <v xml:space="preserve">aesthetics(6.25),functions(6.25),safety(6.25),interaction(6.25), </v>
      </c>
      <c r="JH187" s="47" t="str">
        <f t="shared" si="2080"/>
        <v xml:space="preserve"> </v>
      </c>
      <c r="JI187" s="47" t="str">
        <f t="shared" si="2080"/>
        <v xml:space="preserve"> </v>
      </c>
      <c r="JJ187" s="47" t="str">
        <f t="shared" si="2080"/>
        <v xml:space="preserve"> </v>
      </c>
      <c r="JK187" s="47" t="str">
        <f t="shared" si="2080"/>
        <v xml:space="preserve">social project(1),social innovation(1),non-profit biz(1),biz project(1),biz enhancement(1),job creation(1),business(1),start-up(1),start-up with mvp(1),start-up with customers(1),for basic literacy(1),for the elites(1),for entrepreneurs(1), </v>
      </c>
      <c r="JL187" s="47" t="str">
        <f t="shared" si="2080"/>
        <v xml:space="preserve"> </v>
      </c>
      <c r="JM187" s="47" t="str">
        <f t="shared" si="2080"/>
        <v xml:space="preserve"> </v>
      </c>
      <c r="JN187" s="47" t="str">
        <f t="shared" si="2080"/>
        <v xml:space="preserve"> </v>
      </c>
      <c r="JO187" s="47" t="str">
        <f t="shared" si="2080"/>
        <v xml:space="preserve"> </v>
      </c>
      <c r="JP187" s="47" t="str">
        <f t="shared" si="2080"/>
        <v xml:space="preserve"> </v>
      </c>
      <c r="JQ187" s="47" t="str">
        <f t="shared" si="2080"/>
        <v xml:space="preserve">aesthetics(1),interaction(1),social project(1),social innovation(1),non-profit biz(1),biz project(1),biz enhancement(1),job creation(1),business(1),start-up(1),start-up with mvp(1),start-up with customers(1),for basic literacy(1),for the elites(1),for entrepreneurs(1), </v>
      </c>
      <c r="JR187" s="47" t="str">
        <f t="shared" si="2080"/>
        <v xml:space="preserve"> </v>
      </c>
      <c r="JS187" s="47" t="str">
        <f t="shared" si="2080"/>
        <v xml:space="preserve"> </v>
      </c>
      <c r="JT187" s="47" t="str">
        <f t="shared" si="2080"/>
        <v xml:space="preserve"> </v>
      </c>
      <c r="JU187" s="47" t="str">
        <f t="shared" si="2080"/>
        <v xml:space="preserve"> </v>
      </c>
      <c r="JV187" s="47" t="str">
        <f t="shared" si="2080"/>
        <v xml:space="preserve"> </v>
      </c>
      <c r="JW187" s="47" t="str">
        <f t="shared" si="2080"/>
        <v xml:space="preserve">social project(2),social innovation(1),non-profit biz(1),biz project(2),biz enhancement(2),job creation(1),business(1),start-up(2),start-up with mvp(1),start-up with customers(1),for basic literacy(2),for the elites(1),for entrepreneurs(1), </v>
      </c>
      <c r="JX187" s="47" t="str">
        <f t="shared" si="2080"/>
        <v xml:space="preserve"> </v>
      </c>
      <c r="JY187" s="47" t="str">
        <f t="shared" si="2080"/>
        <v xml:space="preserve"> </v>
      </c>
      <c r="JZ187" s="47" t="str">
        <f t="shared" si="2080"/>
        <v xml:space="preserve">social project(2), </v>
      </c>
      <c r="KA187" s="47" t="str">
        <f t="shared" si="2080"/>
        <v xml:space="preserve"> </v>
      </c>
      <c r="KB187" s="47" t="str">
        <f t="shared" si="2080"/>
        <v xml:space="preserve"> </v>
      </c>
      <c r="KC187" s="47" t="str">
        <f t="shared" si="2080"/>
        <v xml:space="preserve">aesthetics(1),social project(3),social innovation(1),non-profit biz(1),biz project(2),biz enhancement(2),job creation(1),business(1),start-up(2),start-up with mvp(1),start-up with customers(1),for basic literacy(2),for the elites(1),for entrepreneurs(1), </v>
      </c>
      <c r="KD187" s="47" t="str">
        <f t="shared" si="2080"/>
        <v xml:space="preserve"> </v>
      </c>
      <c r="KE187" s="47" t="str">
        <f t="shared" si="2080"/>
        <v xml:space="preserve"> </v>
      </c>
      <c r="KF187" s="47" t="str">
        <f t="shared" si="2080"/>
        <v xml:space="preserve"> </v>
      </c>
      <c r="KG187" s="47" t="str">
        <f t="shared" si="2080"/>
        <v xml:space="preserve"> </v>
      </c>
      <c r="KH187" s="47" t="str">
        <f t="shared" si="2080"/>
        <v xml:space="preserve"> </v>
      </c>
      <c r="KI187" s="47" t="str">
        <f t="shared" si="2080"/>
        <v xml:space="preserve"> </v>
      </c>
      <c r="KJ187" s="47" t="str">
        <f t="shared" si="2080"/>
        <v xml:space="preserve"> </v>
      </c>
      <c r="KK187" s="47" t="str">
        <f t="shared" si="2080"/>
        <v xml:space="preserve"> </v>
      </c>
      <c r="KL187" s="57" t="str">
        <f t="shared" si="2080"/>
        <v xml:space="preserve"> </v>
      </c>
      <c r="KM187" s="47" t="str">
        <f t="shared" si="2080"/>
        <v xml:space="preserve"> </v>
      </c>
      <c r="KN187" s="47" t="str">
        <f t="shared" si="2080"/>
        <v xml:space="preserve"> </v>
      </c>
      <c r="KO187" s="47" t="str">
        <f t="shared" si="2080"/>
        <v xml:space="preserve"> </v>
      </c>
      <c r="KP187" s="47" t="str">
        <f t="shared" si="2080"/>
        <v xml:space="preserve"> </v>
      </c>
      <c r="KQ187" s="47" t="str">
        <f t="shared" si="2080"/>
        <v xml:space="preserve"> </v>
      </c>
      <c r="KR187" s="57" t="str">
        <f t="shared" si="2080"/>
        <v xml:space="preserve"> </v>
      </c>
      <c r="KS187" s="47" t="str">
        <f t="shared" si="2080"/>
        <v xml:space="preserve"> </v>
      </c>
      <c r="KT187" s="47" t="str">
        <f t="shared" si="2080"/>
        <v xml:space="preserve"> </v>
      </c>
      <c r="KU187" s="47" t="str">
        <f t="shared" si="2080"/>
        <v xml:space="preserve"> </v>
      </c>
      <c r="KV187" s="47" t="str">
        <f t="shared" si="2080"/>
        <v xml:space="preserve"> </v>
      </c>
      <c r="KW187" s="47" t="str">
        <f t="shared" si="2080"/>
        <v xml:space="preserve"> </v>
      </c>
      <c r="KX187" s="57" t="str">
        <f t="shared" si="2080"/>
        <v xml:space="preserve"> </v>
      </c>
      <c r="KY187" s="47" t="str">
        <f t="shared" si="2080"/>
        <v xml:space="preserve"> </v>
      </c>
      <c r="KZ187" s="47" t="str">
        <f t="shared" si="2080"/>
        <v xml:space="preserve"> </v>
      </c>
      <c r="LA187" s="47" t="str">
        <f t="shared" si="2080"/>
        <v xml:space="preserve"> </v>
      </c>
      <c r="LB187" s="47" t="str">
        <f t="shared" si="2080"/>
        <v xml:space="preserve"> </v>
      </c>
      <c r="LC187" s="47" t="str">
        <f t="shared" si="2080"/>
        <v xml:space="preserve"> </v>
      </c>
      <c r="LD187" s="57" t="str">
        <f t="shared" si="2080"/>
        <v xml:space="preserve"> </v>
      </c>
      <c r="LE187" s="47" t="str">
        <f t="shared" si="2080"/>
        <v xml:space="preserve"> </v>
      </c>
      <c r="LF187" s="47" t="str">
        <f t="shared" si="2080"/>
        <v xml:space="preserve"> </v>
      </c>
      <c r="LG187" s="47" t="str">
        <f t="shared" si="2080"/>
        <v xml:space="preserve"> </v>
      </c>
      <c r="LH187" s="47" t="str">
        <f t="shared" ref="LH187:NM187" si="2081">IF(LH85="",LH188,$C187&amp;"("&amp;LH85&amp;"),"&amp;LH188)</f>
        <v xml:space="preserve"> </v>
      </c>
      <c r="LI187" s="47" t="str">
        <f t="shared" si="2081"/>
        <v xml:space="preserve"> </v>
      </c>
      <c r="LJ187" s="57" t="str">
        <f t="shared" si="2081"/>
        <v xml:space="preserve"> </v>
      </c>
      <c r="LK187" s="47" t="str">
        <f t="shared" si="2081"/>
        <v xml:space="preserve"> </v>
      </c>
      <c r="LL187" s="47" t="str">
        <f t="shared" si="2081"/>
        <v xml:space="preserve"> </v>
      </c>
      <c r="LM187" s="47" t="str">
        <f t="shared" si="2081"/>
        <v xml:space="preserve"> </v>
      </c>
      <c r="LN187" s="47" t="str">
        <f t="shared" si="2081"/>
        <v xml:space="preserve"> </v>
      </c>
      <c r="LO187" s="47" t="str">
        <f t="shared" si="2081"/>
        <v xml:space="preserve"> </v>
      </c>
      <c r="LP187" s="57" t="str">
        <f t="shared" si="2081"/>
        <v xml:space="preserve"> </v>
      </c>
      <c r="LQ187" s="47" t="str">
        <f t="shared" si="2081"/>
        <v xml:space="preserve"> </v>
      </c>
      <c r="LR187" s="47" t="str">
        <f t="shared" si="2081"/>
        <v xml:space="preserve"> </v>
      </c>
      <c r="LS187" s="47" t="str">
        <f t="shared" si="2081"/>
        <v xml:space="preserve"> </v>
      </c>
      <c r="LT187" s="47" t="str">
        <f t="shared" si="2081"/>
        <v xml:space="preserve"> </v>
      </c>
      <c r="LU187" s="47" t="str">
        <f t="shared" si="2081"/>
        <v xml:space="preserve"> </v>
      </c>
      <c r="LV187" s="57" t="str">
        <f t="shared" si="2081"/>
        <v xml:space="preserve"> </v>
      </c>
      <c r="LW187" s="47" t="str">
        <f t="shared" si="2081"/>
        <v xml:space="preserve"> </v>
      </c>
      <c r="LX187" s="47" t="str">
        <f t="shared" si="2081"/>
        <v xml:space="preserve"> </v>
      </c>
      <c r="LY187" s="47" t="str">
        <f t="shared" si="2081"/>
        <v xml:space="preserve"> </v>
      </c>
      <c r="LZ187" s="47" t="str">
        <f t="shared" si="2081"/>
        <v xml:space="preserve"> </v>
      </c>
      <c r="MA187" s="47" t="str">
        <f t="shared" si="2081"/>
        <v xml:space="preserve"> </v>
      </c>
      <c r="MB187" s="57" t="str">
        <f t="shared" si="2081"/>
        <v xml:space="preserve"> </v>
      </c>
      <c r="MC187" s="47" t="str">
        <f t="shared" si="2081"/>
        <v xml:space="preserve"> </v>
      </c>
      <c r="MD187" s="47" t="str">
        <f t="shared" si="2081"/>
        <v xml:space="preserve"> </v>
      </c>
      <c r="ME187" s="47" t="str">
        <f t="shared" si="2081"/>
        <v xml:space="preserve"> </v>
      </c>
      <c r="MF187" s="47" t="str">
        <f t="shared" si="2081"/>
        <v xml:space="preserve"> </v>
      </c>
      <c r="MG187" s="47" t="str">
        <f t="shared" si="2081"/>
        <v xml:space="preserve"> </v>
      </c>
      <c r="MH187" s="57" t="str">
        <f t="shared" si="2081"/>
        <v xml:space="preserve"> </v>
      </c>
      <c r="MI187" s="47" t="str">
        <f t="shared" si="2081"/>
        <v xml:space="preserve"> </v>
      </c>
      <c r="MJ187" s="47" t="str">
        <f t="shared" si="2081"/>
        <v xml:space="preserve"> </v>
      </c>
      <c r="MK187" s="47" t="str">
        <f t="shared" si="2081"/>
        <v xml:space="preserve"> </v>
      </c>
      <c r="ML187" s="47" t="str">
        <f t="shared" si="2081"/>
        <v xml:space="preserve"> </v>
      </c>
      <c r="MM187" s="47" t="str">
        <f t="shared" si="2081"/>
        <v xml:space="preserve"> </v>
      </c>
      <c r="MN187" s="57" t="str">
        <f t="shared" si="2081"/>
        <v xml:space="preserve"> </v>
      </c>
      <c r="MO187" s="47" t="str">
        <f t="shared" si="2081"/>
        <v xml:space="preserve"> </v>
      </c>
      <c r="MP187" s="47" t="str">
        <f t="shared" si="2081"/>
        <v xml:space="preserve"> </v>
      </c>
      <c r="MQ187" s="47" t="str">
        <f t="shared" si="2081"/>
        <v xml:space="preserve"> </v>
      </c>
      <c r="MR187" s="47" t="str">
        <f t="shared" si="2081"/>
        <v xml:space="preserve"> </v>
      </c>
      <c r="MS187" s="47" t="str">
        <f t="shared" si="2081"/>
        <v xml:space="preserve"> </v>
      </c>
      <c r="MT187" s="57" t="str">
        <f t="shared" si="2081"/>
        <v xml:space="preserve"> </v>
      </c>
      <c r="MU187" s="47" t="str">
        <f t="shared" si="2081"/>
        <v xml:space="preserve"> </v>
      </c>
      <c r="MV187" s="47" t="str">
        <f t="shared" si="2081"/>
        <v xml:space="preserve"> </v>
      </c>
      <c r="MW187" s="47" t="str">
        <f t="shared" si="2081"/>
        <v xml:space="preserve"> </v>
      </c>
      <c r="MX187" s="47" t="str">
        <f t="shared" si="2081"/>
        <v xml:space="preserve"> </v>
      </c>
      <c r="MY187" s="47" t="str">
        <f t="shared" si="2081"/>
        <v xml:space="preserve"> </v>
      </c>
      <c r="MZ187" s="57" t="str">
        <f t="shared" si="2081"/>
        <v xml:space="preserve"> </v>
      </c>
      <c r="NA187" s="47" t="str">
        <f t="shared" si="2081"/>
        <v xml:space="preserve"> </v>
      </c>
      <c r="NB187" s="47" t="str">
        <f t="shared" si="2081"/>
        <v xml:space="preserve"> </v>
      </c>
      <c r="NC187" s="47" t="str">
        <f t="shared" si="2081"/>
        <v xml:space="preserve"> </v>
      </c>
      <c r="ND187" s="47" t="str">
        <f t="shared" si="2081"/>
        <v xml:space="preserve"> </v>
      </c>
      <c r="NE187" s="47" t="str">
        <f t="shared" si="2081"/>
        <v xml:space="preserve"> </v>
      </c>
      <c r="NF187" s="57" t="str">
        <f t="shared" si="2081"/>
        <v xml:space="preserve"> </v>
      </c>
      <c r="NG187" s="47" t="str">
        <f t="shared" si="2081"/>
        <v xml:space="preserve"> </v>
      </c>
      <c r="NH187" s="47" t="str">
        <f t="shared" si="2081"/>
        <v xml:space="preserve"> </v>
      </c>
      <c r="NI187" s="47" t="str">
        <f t="shared" si="2081"/>
        <v xml:space="preserve"> </v>
      </c>
      <c r="NJ187" s="47" t="str">
        <f t="shared" si="2081"/>
        <v xml:space="preserve"> </v>
      </c>
      <c r="NK187" s="47" t="str">
        <f t="shared" si="2081"/>
        <v xml:space="preserve"> </v>
      </c>
      <c r="NL187" s="57" t="str">
        <f t="shared" si="2081"/>
        <v xml:space="preserve"> </v>
      </c>
      <c r="NM187" s="47" t="str">
        <f t="shared" si="2081"/>
        <v xml:space="preserve"> </v>
      </c>
    </row>
    <row r="188" spans="3:377" ht="15.75" customHeight="1">
      <c r="C188" s="7" t="str">
        <f t="shared" si="841"/>
        <v>functions</v>
      </c>
      <c r="D188" s="21" t="str">
        <f t="shared" si="2000"/>
        <v xml:space="preserve"> </v>
      </c>
      <c r="E188" s="21" t="str">
        <f t="shared" si="842"/>
        <v xml:space="preserve"> </v>
      </c>
      <c r="F188" s="21" t="str">
        <f t="shared" si="2000"/>
        <v xml:space="preserve"> </v>
      </c>
      <c r="G188" s="21" t="str">
        <f t="shared" si="843"/>
        <v xml:space="preserve"> </v>
      </c>
      <c r="H188" s="21" t="str">
        <f t="shared" si="844"/>
        <v xml:space="preserve"> </v>
      </c>
      <c r="I188" s="21" t="str">
        <f t="shared" ref="I188" si="2082">IF(I86="",I189,$C188&amp;"("&amp;I86&amp;"),"&amp;I189)</f>
        <v xml:space="preserve"> </v>
      </c>
      <c r="J188" s="21" t="str">
        <f t="shared" ref="J188" si="2083">IF(J86="",J189,$C188&amp;" "&amp;J86&amp;CHAR(10)&amp;J189)</f>
        <v xml:space="preserve">interaction 1
 </v>
      </c>
      <c r="K188" s="21" t="str">
        <f t="shared" si="654"/>
        <v xml:space="preserve"> </v>
      </c>
      <c r="L188" s="21" t="str">
        <f t="shared" ref="L188" si="2084">IF(L86="",L189,$C188&amp;" "&amp;L86&amp;CHAR(10)&amp;L189)</f>
        <v xml:space="preserve"> </v>
      </c>
      <c r="M188" s="21" t="str">
        <f t="shared" si="656"/>
        <v xml:space="preserve">social innovation(1), non-profit biz(1),  </v>
      </c>
      <c r="N188" s="21" t="str">
        <f t="shared" si="657"/>
        <v xml:space="preserve"> </v>
      </c>
      <c r="O188" s="21" t="str">
        <f t="shared" si="2004"/>
        <v xml:space="preserve"> </v>
      </c>
      <c r="P188" s="21" t="str">
        <f t="shared" ref="P188" si="2085">IF(P86="",P189,$C188&amp;" "&amp;P86&amp;CHAR(10)&amp;P189)</f>
        <v xml:space="preserve">biz project 1
 </v>
      </c>
      <c r="Q188" s="21" t="str">
        <f t="shared" si="660"/>
        <v xml:space="preserve"> </v>
      </c>
      <c r="R188" s="21" t="str">
        <f t="shared" ref="R188" si="2086">IF(R86="",R189,$C188&amp;" "&amp;R86&amp;CHAR(10)&amp;R189)</f>
        <v xml:space="preserve"> </v>
      </c>
      <c r="S188" s="21" t="str">
        <f t="shared" si="662"/>
        <v xml:space="preserve">biz enhancement(1), business(1), start-up(1),  </v>
      </c>
      <c r="T188" s="21" t="str">
        <f t="shared" si="663"/>
        <v xml:space="preserve"> </v>
      </c>
      <c r="U188" s="21" t="str">
        <f t="shared" si="2004"/>
        <v xml:space="preserve"> </v>
      </c>
      <c r="V188" s="21" t="str">
        <f t="shared" ref="V188" si="2087">IF(V86="",V189,$C188&amp;" "&amp;V86&amp;CHAR(10)&amp;V189)</f>
        <v xml:space="preserve"> </v>
      </c>
      <c r="W188" s="21" t="str">
        <f t="shared" si="665"/>
        <v xml:space="preserve"> </v>
      </c>
      <c r="X188" s="21" t="str">
        <f t="shared" ref="X188" si="2088">IF(X86="",X189,$C188&amp;" "&amp;X86&amp;CHAR(10)&amp;X189)</f>
        <v xml:space="preserve"> </v>
      </c>
      <c r="Y188" s="21" t="str">
        <f t="shared" si="667"/>
        <v xml:space="preserve">biz project(1), biz enhancement(1), job creation(1), business(1),  </v>
      </c>
      <c r="Z188" s="21" t="str">
        <f t="shared" si="668"/>
        <v xml:space="preserve"> </v>
      </c>
      <c r="AA188" s="21" t="str">
        <f t="shared" si="2004"/>
        <v xml:space="preserve"> </v>
      </c>
      <c r="AB188" s="21" t="str">
        <f t="shared" ref="AB188" si="2089">IF(AB86="",AB189,$C188&amp;" "&amp;AB86&amp;CHAR(10)&amp;AB189)</f>
        <v xml:space="preserve"> </v>
      </c>
      <c r="AC188" s="21" t="str">
        <f t="shared" si="670"/>
        <v xml:space="preserve"> </v>
      </c>
      <c r="AD188" s="21" t="str">
        <f t="shared" ref="AD188" si="2090">IF(AD86="",AD189,$C188&amp;" "&amp;AD86&amp;CHAR(10)&amp;AD189)</f>
        <v xml:space="preserve"> </v>
      </c>
      <c r="AE188" s="21" t="str">
        <f t="shared" si="672"/>
        <v xml:space="preserve">social project(1), social innovation(1), non-profit biz(1),  </v>
      </c>
      <c r="AF188" s="21" t="str">
        <f t="shared" si="673"/>
        <v xml:space="preserve"> </v>
      </c>
      <c r="AG188" s="21" t="str">
        <f t="shared" si="2004"/>
        <v xml:space="preserve"> </v>
      </c>
      <c r="AH188" s="21" t="str">
        <f t="shared" ref="AH188" si="2091">IF(AH86="",AH189,$C188&amp;" "&amp;AH86&amp;CHAR(10)&amp;AH189)</f>
        <v xml:space="preserve"> </v>
      </c>
      <c r="AI188" s="21" t="str">
        <f t="shared" si="675"/>
        <v xml:space="preserve"> </v>
      </c>
      <c r="AJ188" s="21" t="str">
        <f t="shared" ref="AJ188" si="2092">IF(AJ86="",AJ189,$C188&amp;" "&amp;AJ86&amp;CHAR(10)&amp;AJ189)</f>
        <v xml:space="preserve"> </v>
      </c>
      <c r="AK188" s="21" t="str">
        <f t="shared" si="677"/>
        <v xml:space="preserve">social project(1), social innovation(1), non-profit biz(1),  </v>
      </c>
      <c r="AL188" s="21" t="str">
        <f t="shared" si="678"/>
        <v xml:space="preserve"> </v>
      </c>
      <c r="AM188" s="21" t="str">
        <f t="shared" si="2004"/>
        <v xml:space="preserve"> </v>
      </c>
      <c r="AN188" s="21" t="str">
        <f t="shared" ref="AN188" si="2093">IF(AN86="",AN189,$C188&amp;" "&amp;AN86&amp;CHAR(10)&amp;AN189)</f>
        <v xml:space="preserve"> </v>
      </c>
      <c r="AO188" s="21" t="str">
        <f t="shared" si="680"/>
        <v xml:space="preserve"> </v>
      </c>
      <c r="AP188" s="21" t="str">
        <f t="shared" ref="AP188" si="2094">IF(AP86="",AP189,$C188&amp;" "&amp;AP86&amp;CHAR(10)&amp;AP189)</f>
        <v xml:space="preserve"> </v>
      </c>
      <c r="AQ188" s="21" t="str">
        <f t="shared" si="682"/>
        <v xml:space="preserve">start-up(1), start-up with mvp(1), start-up with customers(1),  </v>
      </c>
      <c r="AR188" s="21" t="str">
        <f t="shared" si="683"/>
        <v xml:space="preserve"> </v>
      </c>
      <c r="AS188" s="21" t="str">
        <f t="shared" si="2004"/>
        <v xml:space="preserve"> </v>
      </c>
      <c r="AT188" s="21" t="str">
        <f t="shared" ref="AT188" si="2095">IF(AT86="",AT189,$C188&amp;" "&amp;AT86&amp;CHAR(10)&amp;AT189)</f>
        <v xml:space="preserve">social project 1
 </v>
      </c>
      <c r="AU188" s="21" t="str">
        <f t="shared" si="685"/>
        <v xml:space="preserve"> </v>
      </c>
      <c r="AV188" s="21" t="str">
        <f t="shared" ref="AV188" si="2096">IF(AV86="",AV189,$C188&amp;" "&amp;AV86&amp;CHAR(10)&amp;AV189)</f>
        <v xml:space="preserve"> </v>
      </c>
      <c r="AW188" s="21" t="str">
        <f t="shared" si="687"/>
        <v xml:space="preserve"> </v>
      </c>
      <c r="AX188" s="21" t="str">
        <f t="shared" si="688"/>
        <v xml:space="preserve"> </v>
      </c>
      <c r="AY188" s="21" t="str">
        <f t="shared" si="2004"/>
        <v xml:space="preserve"> </v>
      </c>
      <c r="AZ188" s="21" t="str">
        <f t="shared" ref="AZ188" si="2097">IF(AZ86="",AZ189,$C188&amp;" "&amp;AZ86&amp;CHAR(10)&amp;AZ189)</f>
        <v xml:space="preserve"> </v>
      </c>
      <c r="BA188" s="21" t="str">
        <f t="shared" si="690"/>
        <v xml:space="preserve"> </v>
      </c>
      <c r="BB188" s="21" t="str">
        <f t="shared" ref="BB188" si="2098">IF(BB86="",BB189,$C188&amp;" "&amp;BB86&amp;CHAR(10)&amp;BB189)</f>
        <v xml:space="preserve"> </v>
      </c>
      <c r="BC188" s="21" t="str">
        <f t="shared" si="692"/>
        <v xml:space="preserve"> </v>
      </c>
      <c r="BD188" s="21" t="str">
        <f t="shared" si="693"/>
        <v xml:space="preserve"> </v>
      </c>
      <c r="BE188" s="21" t="str">
        <f t="shared" si="2004"/>
        <v xml:space="preserve"> </v>
      </c>
      <c r="BF188" s="21" t="str">
        <f t="shared" ref="BF188" si="2099">IF(BF86="",BF189,$C188&amp;" "&amp;BF86&amp;CHAR(10)&amp;BF189)</f>
        <v xml:space="preserve">biz project 1
 </v>
      </c>
      <c r="BG188" s="21" t="str">
        <f t="shared" si="695"/>
        <v xml:space="preserve"> </v>
      </c>
      <c r="BH188" s="21" t="str">
        <f t="shared" ref="BH188" si="2100">IF(BH86="",BH189,$C188&amp;" "&amp;BH86&amp;CHAR(10)&amp;BH189)</f>
        <v xml:space="preserve"> </v>
      </c>
      <c r="BI188" s="21" t="str">
        <f t="shared" si="697"/>
        <v xml:space="preserve"> </v>
      </c>
      <c r="BJ188" s="21" t="str">
        <f t="shared" si="698"/>
        <v xml:space="preserve"> </v>
      </c>
      <c r="BK188" s="21" t="str">
        <f t="shared" si="2004"/>
        <v xml:space="preserve"> </v>
      </c>
      <c r="BL188" s="21" t="str">
        <f t="shared" ref="BL188" si="2101">IF(BL86="",BL189,$C188&amp;" "&amp;BL86&amp;CHAR(10)&amp;BL189)</f>
        <v xml:space="preserve">biz enhancement 1
 </v>
      </c>
      <c r="BM188" s="21" t="str">
        <f t="shared" si="700"/>
        <v xml:space="preserve"> </v>
      </c>
      <c r="BN188" s="21" t="str">
        <f t="shared" ref="BN188" si="2102">IF(BN86="",BN189,$C188&amp;" "&amp;BN86&amp;CHAR(10)&amp;BN189)</f>
        <v xml:space="preserve"> </v>
      </c>
      <c r="BO188" s="21" t="str">
        <f t="shared" si="702"/>
        <v xml:space="preserve"> </v>
      </c>
      <c r="BP188" s="21" t="str">
        <f t="shared" si="703"/>
        <v xml:space="preserve"> </v>
      </c>
      <c r="BQ188" s="21" t="str">
        <f t="shared" si="2004"/>
        <v xml:space="preserve"> </v>
      </c>
      <c r="BR188" s="21" t="str">
        <f t="shared" ref="BR188" si="2103">IF(BR86="",BR189,$C188&amp;" "&amp;BR86&amp;CHAR(10)&amp;BR189)</f>
        <v xml:space="preserve"> </v>
      </c>
      <c r="BS188" s="21" t="str">
        <f t="shared" si="705"/>
        <v xml:space="preserve"> </v>
      </c>
      <c r="BT188" s="21" t="str">
        <f t="shared" ref="BT188" si="2104">IF(BT86="",BT189,$C188&amp;" "&amp;BT86&amp;CHAR(10)&amp;BT189)</f>
        <v xml:space="preserve"> </v>
      </c>
      <c r="BU188" s="21" t="str">
        <f t="shared" si="707"/>
        <v xml:space="preserve"> </v>
      </c>
      <c r="BV188" s="21" t="str">
        <f t="shared" si="708"/>
        <v xml:space="preserve"> </v>
      </c>
      <c r="BW188" s="21" t="str">
        <f t="shared" si="2004"/>
        <v xml:space="preserve"> </v>
      </c>
      <c r="BX188" s="21" t="str">
        <f t="shared" ref="BX188" si="2105">IF(BX86="",BX189,$C188&amp;" "&amp;BX86&amp;CHAR(10)&amp;BX189)</f>
        <v xml:space="preserve"> </v>
      </c>
      <c r="BY188" s="21" t="str">
        <f t="shared" si="710"/>
        <v xml:space="preserve"> </v>
      </c>
      <c r="BZ188" s="21" t="str">
        <f t="shared" ref="BZ188" si="2106">IF(BZ86="",BZ189,$C188&amp;" "&amp;BZ86&amp;CHAR(10)&amp;BZ189)</f>
        <v xml:space="preserve"> </v>
      </c>
      <c r="CA188" s="21" t="str">
        <f t="shared" si="712"/>
        <v xml:space="preserve"> </v>
      </c>
      <c r="CB188" s="21" t="str">
        <f t="shared" si="713"/>
        <v xml:space="preserve"> </v>
      </c>
      <c r="CC188" s="21" t="str">
        <f t="shared" si="2027"/>
        <v xml:space="preserve"> </v>
      </c>
      <c r="CD188" s="21" t="str">
        <f t="shared" ref="CD188" si="2107">IF(CD86="",CD189,$C188&amp;" "&amp;CD86&amp;CHAR(10)&amp;CD189)</f>
        <v xml:space="preserve"> </v>
      </c>
      <c r="CE188" s="21" t="str">
        <f t="shared" si="716"/>
        <v xml:space="preserve"> </v>
      </c>
      <c r="CF188" s="21" t="str">
        <f t="shared" ref="CF188" si="2108">IF(CF86="",CF189,$C188&amp;" "&amp;CF86&amp;CHAR(10)&amp;CF189)</f>
        <v xml:space="preserve"> </v>
      </c>
      <c r="CG188" s="21" t="str">
        <f t="shared" si="718"/>
        <v xml:space="preserve">social project(1), biz project(1), for basic literacy(1), for the elites(1), for entrepreneurs(1),  </v>
      </c>
      <c r="CH188" s="21" t="str">
        <f t="shared" si="719"/>
        <v xml:space="preserve"> </v>
      </c>
      <c r="CI188" s="21" t="str">
        <f t="shared" si="2027"/>
        <v xml:space="preserve"> </v>
      </c>
      <c r="CJ188" s="21" t="str">
        <f t="shared" ref="CJ188" si="2109">IF(CJ86="",CJ189,$C188&amp;" "&amp;CJ86&amp;CHAR(10)&amp;CJ189)</f>
        <v xml:space="preserve"> </v>
      </c>
      <c r="CK188" s="21" t="str">
        <f t="shared" si="721"/>
        <v xml:space="preserve"> </v>
      </c>
      <c r="CL188" s="21" t="str">
        <f t="shared" ref="CL188" si="2110">IF(CL86="",CL189,$C188&amp;" "&amp;CL86&amp;CHAR(10)&amp;CL189)</f>
        <v xml:space="preserve"> </v>
      </c>
      <c r="CM188" s="21" t="str">
        <f t="shared" si="723"/>
        <v xml:space="preserve"> </v>
      </c>
      <c r="CN188" s="21" t="str">
        <f t="shared" si="724"/>
        <v xml:space="preserve"> </v>
      </c>
      <c r="CO188" s="21" t="str">
        <f t="shared" si="2027"/>
        <v xml:space="preserve"> </v>
      </c>
      <c r="CP188" s="21" t="str">
        <f t="shared" ref="CP188" si="2111">IF(CP86="",CP189,$C188&amp;" "&amp;CP86&amp;CHAR(10)&amp;CP189)</f>
        <v xml:space="preserve"> </v>
      </c>
      <c r="CQ188" s="21" t="str">
        <f t="shared" si="726"/>
        <v xml:space="preserve"> </v>
      </c>
      <c r="CR188" s="21" t="str">
        <f t="shared" ref="CR188" si="2112">IF(CR86="",CR189,$C188&amp;" "&amp;CR86&amp;CHAR(10)&amp;CR189)</f>
        <v xml:space="preserve"> </v>
      </c>
      <c r="CS188" s="21" t="str">
        <f t="shared" si="728"/>
        <v xml:space="preserve"> </v>
      </c>
      <c r="CT188" s="21" t="str">
        <f t="shared" si="729"/>
        <v xml:space="preserve"> </v>
      </c>
      <c r="CU188" s="21" t="str">
        <f t="shared" si="2027"/>
        <v xml:space="preserve"> </v>
      </c>
      <c r="CV188" s="21" t="str">
        <f t="shared" ref="CV188" si="2113">IF(CV86="",CV189,$C188&amp;" "&amp;CV86&amp;CHAR(10)&amp;CV189)</f>
        <v xml:space="preserve"> </v>
      </c>
      <c r="CW188" s="21" t="str">
        <f t="shared" si="731"/>
        <v xml:space="preserve"> </v>
      </c>
      <c r="CX188" s="21" t="str">
        <f t="shared" ref="CX188" si="2114">IF(CX86="",CX189,$C188&amp;" "&amp;CX86&amp;CHAR(10)&amp;CX189)</f>
        <v xml:space="preserve"> </v>
      </c>
      <c r="CY188" s="21" t="str">
        <f t="shared" si="733"/>
        <v xml:space="preserve"> </v>
      </c>
      <c r="CZ188" s="21" t="str">
        <f t="shared" si="734"/>
        <v xml:space="preserve"> </v>
      </c>
      <c r="DA188" s="21" t="str">
        <f t="shared" si="2027"/>
        <v xml:space="preserve"> </v>
      </c>
      <c r="DB188" s="21" t="str">
        <f t="shared" ref="DB188" si="2115">IF(DB86="",DB189,$C188&amp;" "&amp;DB86&amp;CHAR(10)&amp;DB189)</f>
        <v xml:space="preserve"> </v>
      </c>
      <c r="DC188" s="21" t="str">
        <f t="shared" si="736"/>
        <v xml:space="preserve"> </v>
      </c>
      <c r="DD188" s="21" t="str">
        <f t="shared" ref="DD188" si="2116">IF(DD86="",DD189,$C188&amp;" "&amp;DD86&amp;CHAR(10)&amp;DD189)</f>
        <v xml:space="preserve"> </v>
      </c>
      <c r="DE188" s="21" t="str">
        <f t="shared" si="738"/>
        <v xml:space="preserve">functions(2), safety(2), interaction(2), biz project(1), biz enhancement(1), job creation(1), business(1), start-up(1), start-up with mvp(1), start-up with customers(1), for entrepreneurs(2),  </v>
      </c>
      <c r="DF188" s="21" t="str">
        <f t="shared" si="739"/>
        <v xml:space="preserve"> </v>
      </c>
      <c r="DG188" s="21" t="str">
        <f t="shared" si="2027"/>
        <v xml:space="preserve"> </v>
      </c>
      <c r="DH188" s="21" t="str">
        <f t="shared" ref="DH188" si="2117">IF(DH86="",DH189,$C188&amp;" "&amp;DH86&amp;CHAR(10)&amp;DH189)</f>
        <v xml:space="preserve">social project 1
 </v>
      </c>
      <c r="DI188" s="21" t="str">
        <f t="shared" si="741"/>
        <v xml:space="preserve"> </v>
      </c>
      <c r="DJ188" s="21" t="str">
        <f t="shared" ref="DJ188" si="2118">IF(DJ86="",DJ189,$C188&amp;" "&amp;DJ86&amp;CHAR(10)&amp;DJ189)</f>
        <v xml:space="preserve"> </v>
      </c>
      <c r="DK188" s="21" t="str">
        <f t="shared" si="743"/>
        <v xml:space="preserve">functions(2), safety(2), interaction(2), social project(2), social innovation(1), non-profit biz(1),  </v>
      </c>
      <c r="DL188" s="21" t="str">
        <f t="shared" si="744"/>
        <v xml:space="preserve"> </v>
      </c>
      <c r="DM188" s="21" t="str">
        <f t="shared" si="2027"/>
        <v xml:space="preserve"> </v>
      </c>
      <c r="DN188" s="21" t="str">
        <f t="shared" ref="DN188" si="2119">IF(DN86="",DN189,$C188&amp;" "&amp;DN86&amp;CHAR(10)&amp;DN189)</f>
        <v xml:space="preserve">biz project 1
 </v>
      </c>
      <c r="DO188" s="21" t="str">
        <f t="shared" si="746"/>
        <v xml:space="preserve"> </v>
      </c>
      <c r="DP188" s="21" t="str">
        <f t="shared" ref="DP188" si="2120">IF(DP86="",DP189,$C188&amp;" "&amp;DP86&amp;CHAR(10)&amp;DP189)</f>
        <v xml:space="preserve"> </v>
      </c>
      <c r="DQ188" s="21" t="str">
        <f t="shared" si="748"/>
        <v xml:space="preserve">functions(2), safety(2), interaction(2), biz project(2), biz enhancement(1), job creation(1), business(1), start-up(1), start-up with mvp(1), start-up with customers(1), for entrepreneurs(1),  </v>
      </c>
      <c r="DR188" s="21" t="str">
        <f t="shared" si="749"/>
        <v xml:space="preserve"> </v>
      </c>
      <c r="DS188" s="21" t="str">
        <f t="shared" si="2027"/>
        <v xml:space="preserve"> </v>
      </c>
      <c r="DT188" s="21" t="str">
        <f t="shared" ref="DT188" si="2121">IF(DT86="",DT189,$C188&amp;" "&amp;DT86&amp;CHAR(10)&amp;DT189)</f>
        <v xml:space="preserve"> </v>
      </c>
      <c r="DU188" s="21" t="str">
        <f t="shared" si="751"/>
        <v xml:space="preserve"> </v>
      </c>
      <c r="DV188" s="21" t="str">
        <f t="shared" ref="DV188" si="2122">IF(DV86="",DV189,$C188&amp;" "&amp;DV86&amp;CHAR(10)&amp;DV189)</f>
        <v xml:space="preserve"> </v>
      </c>
      <c r="DW188" s="21" t="str">
        <f t="shared" si="753"/>
        <v xml:space="preserve">for basic literacy(1),  </v>
      </c>
      <c r="DX188" s="21" t="str">
        <f t="shared" si="754"/>
        <v xml:space="preserve">for basic literacy(1,6.25),  </v>
      </c>
      <c r="DY188" s="21" t="str">
        <f t="shared" si="2027"/>
        <v xml:space="preserve">for basic literacy(6.25), </v>
      </c>
      <c r="DZ188" s="21" t="str">
        <f t="shared" ref="DZ188" si="2123">IF(DZ86="",DZ189,$C188&amp;" "&amp;DZ86&amp;CHAR(10)&amp;DZ189)</f>
        <v xml:space="preserve"> </v>
      </c>
      <c r="EA188" s="21" t="str">
        <f t="shared" si="756"/>
        <v xml:space="preserve"> </v>
      </c>
      <c r="EB188" s="21" t="str">
        <f t="shared" ref="EB188" si="2124">IF(EB86="",EB189,$C188&amp;" "&amp;EB86&amp;CHAR(10)&amp;EB189)</f>
        <v xml:space="preserve"> </v>
      </c>
      <c r="EC188" s="21" t="str">
        <f t="shared" si="758"/>
        <v xml:space="preserve">for basic literacy(1),  </v>
      </c>
      <c r="ED188" s="21" t="str">
        <f t="shared" si="759"/>
        <v xml:space="preserve">for basic literacy(1,6.25),  </v>
      </c>
      <c r="EE188" s="21" t="str">
        <f t="shared" si="2027"/>
        <v xml:space="preserve">for basic literacy(6.25), </v>
      </c>
      <c r="EF188" s="21" t="str">
        <f t="shared" ref="EF188" si="2125">IF(EF86="",EF189,$C188&amp;" "&amp;EF86&amp;CHAR(10)&amp;EF189)</f>
        <v xml:space="preserve"> </v>
      </c>
      <c r="EG188" s="21" t="str">
        <f t="shared" si="761"/>
        <v xml:space="preserve">interaction(1,50),  </v>
      </c>
      <c r="EH188" s="21" t="str">
        <f t="shared" ref="EH188" si="2126">IF(EH86="",EH189,$C188&amp;" "&amp;EH86&amp;CHAR(10)&amp;EH189)</f>
        <v xml:space="preserve">interaction 50
 </v>
      </c>
      <c r="EI188" s="21" t="str">
        <f t="shared" si="763"/>
        <v xml:space="preserve">for entrepreneurs(1),  </v>
      </c>
      <c r="EJ188" s="21" t="str">
        <f t="shared" si="764"/>
        <v xml:space="preserve">for entrepreneurs(1,6.25),  </v>
      </c>
      <c r="EK188" s="21" t="str">
        <f t="shared" si="2027"/>
        <v xml:space="preserve">for entrepreneurs(6.25), </v>
      </c>
      <c r="EL188" s="21" t="str">
        <f t="shared" ref="EL188" si="2127">IF(EL86="",EL189,$C188&amp;" "&amp;EL86&amp;CHAR(10)&amp;EL189)</f>
        <v xml:space="preserve"> </v>
      </c>
      <c r="EM188" s="21" t="str">
        <f t="shared" si="766"/>
        <v xml:space="preserve"> </v>
      </c>
      <c r="EN188" s="21" t="str">
        <f t="shared" ref="EN188" si="2128">IF(EN86="",EN189,$C188&amp;" "&amp;EN86&amp;CHAR(10)&amp;EN189)</f>
        <v xml:space="preserve"> </v>
      </c>
      <c r="EO188" s="21" t="str">
        <f t="shared" si="768"/>
        <v xml:space="preserve">for entrepreneurs(1),  </v>
      </c>
      <c r="EP188" s="21" t="str">
        <f t="shared" si="769"/>
        <v xml:space="preserve">for entrepreneurs(1,6.25),  </v>
      </c>
      <c r="EQ188" s="21" t="str">
        <f t="shared" si="2050"/>
        <v xml:space="preserve">for entrepreneurs(6.25), </v>
      </c>
      <c r="ER188" s="21" t="str">
        <f t="shared" ref="ER188" si="2129">IF(ER86="",ER189,$C188&amp;" "&amp;ER86&amp;CHAR(10)&amp;ER189)</f>
        <v xml:space="preserve"> </v>
      </c>
      <c r="ES188" s="21" t="str">
        <f t="shared" si="772"/>
        <v xml:space="preserve"> </v>
      </c>
      <c r="ET188" s="21" t="str">
        <f t="shared" ref="ET188" si="2130">IF(ET86="",ET189,$C188&amp;" "&amp;ET86&amp;CHAR(10)&amp;ET189)</f>
        <v xml:space="preserve"> </v>
      </c>
      <c r="EU188" s="21" t="str">
        <f t="shared" si="774"/>
        <v xml:space="preserve">for entrepreneurs(1),  </v>
      </c>
      <c r="EV188" s="21" t="str">
        <f t="shared" si="775"/>
        <v xml:space="preserve">for entrepreneurs(1,6.25),  </v>
      </c>
      <c r="EW188" s="21" t="str">
        <f t="shared" si="2050"/>
        <v xml:space="preserve">for entrepreneurs(6.25), </v>
      </c>
      <c r="EX188" s="21" t="str">
        <f t="shared" ref="EX188" si="2131">IF(EX86="",EX189,$C188&amp;" "&amp;EX86&amp;CHAR(10)&amp;EX189)</f>
        <v xml:space="preserve"> </v>
      </c>
      <c r="EY188" s="21" t="str">
        <f t="shared" si="777"/>
        <v xml:space="preserve">interaction(1,25),  </v>
      </c>
      <c r="EZ188" s="21" t="str">
        <f t="shared" ref="EZ188" si="2132">IF(EZ86="",EZ189,$C188&amp;" "&amp;EZ86&amp;CHAR(10)&amp;EZ189)</f>
        <v xml:space="preserve">interaction 25
 </v>
      </c>
      <c r="FA188" s="21" t="str">
        <f t="shared" si="779"/>
        <v xml:space="preserve">for entrepreneurs(1),  </v>
      </c>
      <c r="FB188" s="21" t="str">
        <f t="shared" si="780"/>
        <v xml:space="preserve">for entrepreneurs(1,6.25),  </v>
      </c>
      <c r="FC188" s="21" t="str">
        <f t="shared" si="2050"/>
        <v xml:space="preserve">for entrepreneurs(6.25), </v>
      </c>
      <c r="FD188" s="21" t="str">
        <f t="shared" ref="FD188" si="2133">IF(FD86="",FD189,$C188&amp;" "&amp;FD86&amp;CHAR(10)&amp;FD189)</f>
        <v xml:space="preserve"> </v>
      </c>
      <c r="FE188" s="21" t="str">
        <f t="shared" si="782"/>
        <v xml:space="preserve"> </v>
      </c>
      <c r="FF188" s="21" t="str">
        <f t="shared" ref="FF188" si="2134">IF(FF86="",FF189,$C188&amp;" "&amp;FF86&amp;CHAR(10)&amp;FF189)</f>
        <v xml:space="preserve"> </v>
      </c>
      <c r="FG188" s="21" t="str">
        <f t="shared" si="784"/>
        <v xml:space="preserve">for entrepreneurs(1),  </v>
      </c>
      <c r="FH188" s="21" t="str">
        <f t="shared" si="785"/>
        <v xml:space="preserve">for entrepreneurs(1,6.25),  </v>
      </c>
      <c r="FI188" s="21" t="str">
        <f t="shared" si="2050"/>
        <v xml:space="preserve">for entrepreneurs(6.25), </v>
      </c>
      <c r="FJ188" s="21" t="str">
        <f t="shared" ref="FJ188" si="2135">IF(FJ86="",FJ189,$C188&amp;" "&amp;FJ86&amp;CHAR(10)&amp;FJ189)</f>
        <v xml:space="preserve"> </v>
      </c>
      <c r="FK188" s="21" t="str">
        <f t="shared" si="787"/>
        <v xml:space="preserve">safety(1,25), interaction(1,25),  </v>
      </c>
      <c r="FL188" s="21" t="str">
        <f t="shared" ref="FL188" si="2136">IF(FL86="",FL189,$C188&amp;" "&amp;FL86&amp;CHAR(10)&amp;FL189)</f>
        <v xml:space="preserve">safety 25
interaction 25
 </v>
      </c>
      <c r="FM188" s="21" t="str">
        <f t="shared" si="789"/>
        <v xml:space="preserve">for entrepreneurs(1),  </v>
      </c>
      <c r="FN188" s="21" t="str">
        <f t="shared" si="790"/>
        <v xml:space="preserve">for entrepreneurs(1,6.25),  </v>
      </c>
      <c r="FO188" s="21" t="str">
        <f t="shared" si="2050"/>
        <v xml:space="preserve">for entrepreneurs(6.25), </v>
      </c>
      <c r="FP188" s="21" t="str">
        <f t="shared" ref="FP188" si="2137">IF(FP86="",FP189,$C188&amp;" "&amp;FP86&amp;CHAR(10)&amp;FP189)</f>
        <v xml:space="preserve"> </v>
      </c>
      <c r="FQ188" s="21" t="str">
        <f t="shared" si="792"/>
        <v xml:space="preserve">functions(1,25), interaction(1,25),  </v>
      </c>
      <c r="FR188" s="21" t="str">
        <f t="shared" ref="FR188" si="2138">IF(FR86="",FR189,$C188&amp;" "&amp;FR86&amp;CHAR(10)&amp;FR189)</f>
        <v xml:space="preserve">functions 25
interaction 25
 </v>
      </c>
      <c r="FS188" s="21" t="str">
        <f t="shared" si="794"/>
        <v xml:space="preserve">for entrepreneurs(1),  </v>
      </c>
      <c r="FT188" s="21" t="str">
        <f t="shared" si="795"/>
        <v xml:space="preserve">for entrepreneurs(1,6.25),  </v>
      </c>
      <c r="FU188" s="21" t="str">
        <f t="shared" si="2050"/>
        <v xml:space="preserve">for entrepreneurs(6.25), </v>
      </c>
      <c r="FV188" s="21" t="str">
        <f t="shared" ref="FV188" si="2139">IF(FV86="",FV189,$C188&amp;" "&amp;FV86&amp;CHAR(10)&amp;FV189)</f>
        <v xml:space="preserve"> </v>
      </c>
      <c r="FW188" s="21" t="str">
        <f t="shared" si="797"/>
        <v xml:space="preserve">functions(1,25), interaction(1,25),  </v>
      </c>
      <c r="FX188" s="21" t="str">
        <f t="shared" ref="FX188" si="2140">IF(FX86="",FX189,$C188&amp;" "&amp;FX86&amp;CHAR(10)&amp;FX189)</f>
        <v xml:space="preserve">functions 25
interaction 25
 </v>
      </c>
      <c r="FY188" s="21" t="str">
        <f t="shared" si="799"/>
        <v xml:space="preserve">for entrepreneurs(1),  </v>
      </c>
      <c r="FZ188" s="21" t="str">
        <f t="shared" si="800"/>
        <v xml:space="preserve">for entrepreneurs(1,6.25),  </v>
      </c>
      <c r="GA188" s="21" t="str">
        <f t="shared" si="2050"/>
        <v xml:space="preserve">for entrepreneurs(6.25), </v>
      </c>
      <c r="GB188" s="21" t="str">
        <f t="shared" ref="GB188" si="2141">IF(GB86="",GB189,$C188&amp;" "&amp;GB86&amp;CHAR(10)&amp;GB189)</f>
        <v xml:space="preserve"> </v>
      </c>
      <c r="GC188" s="21" t="str">
        <f t="shared" si="802"/>
        <v xml:space="preserve">functions(1,25), safety(1,25),  </v>
      </c>
      <c r="GD188" s="21" t="str">
        <f t="shared" ref="GD188" si="2142">IF(GD86="",GD189,$C188&amp;" "&amp;GD86&amp;CHAR(10)&amp;GD189)</f>
        <v xml:space="preserve">functions 25
safety 25
 </v>
      </c>
      <c r="GE188" s="21" t="str">
        <f t="shared" si="804"/>
        <v xml:space="preserve">for entrepreneurs(1),  </v>
      </c>
      <c r="GF188" s="21" t="str">
        <f t="shared" si="805"/>
        <v xml:space="preserve">interaction(1,6.25), for entrepreneurs(1,6.25),  </v>
      </c>
      <c r="GG188" s="21" t="str">
        <f t="shared" si="2050"/>
        <v xml:space="preserve">interaction(6.25),for entrepreneurs(6.25), </v>
      </c>
      <c r="GH188" s="21" t="str">
        <f t="shared" ref="GH188" si="2143">IF(GH86="",GH189,$C188&amp;" "&amp;GH86&amp;CHAR(10)&amp;GH189)</f>
        <v xml:space="preserve"> </v>
      </c>
      <c r="GI188" s="21" t="str">
        <f t="shared" si="807"/>
        <v xml:space="preserve">functions(1,25), interaction(1,25),  </v>
      </c>
      <c r="GJ188" s="21" t="str">
        <f t="shared" ref="GJ188" si="2144">IF(GJ86="",GJ189,$C188&amp;" "&amp;GJ86&amp;CHAR(10)&amp;GJ189)</f>
        <v xml:space="preserve">functions 25
interaction 25
 </v>
      </c>
      <c r="GK188" s="21" t="str">
        <f t="shared" si="809"/>
        <v xml:space="preserve">for entrepreneurs(1),  </v>
      </c>
      <c r="GL188" s="21" t="str">
        <f t="shared" si="810"/>
        <v xml:space="preserve">for entrepreneurs(1,6.25),  </v>
      </c>
      <c r="GM188" s="21" t="str">
        <f t="shared" si="2050"/>
        <v xml:space="preserve">for entrepreneurs(6.25), </v>
      </c>
      <c r="GN188" s="21" t="str">
        <f t="shared" ref="GN188" si="2145">IF(GN86="",GN189,$C188&amp;" "&amp;GN86&amp;CHAR(10)&amp;GN189)</f>
        <v xml:space="preserve"> </v>
      </c>
      <c r="GO188" s="21" t="str">
        <f t="shared" si="812"/>
        <v xml:space="preserve">functions(1,25), interaction(1,50),  </v>
      </c>
      <c r="GP188" s="21" t="str">
        <f t="shared" ref="GP188" si="2146">IF(GP86="",GP189,$C188&amp;" "&amp;GP86&amp;CHAR(10)&amp;GP189)</f>
        <v xml:space="preserve">functions 25
interaction 50
 </v>
      </c>
      <c r="GQ188" s="21" t="str">
        <f t="shared" si="814"/>
        <v xml:space="preserve">for entrepreneurs(1),  </v>
      </c>
      <c r="GR188" s="21" t="str">
        <f t="shared" si="815"/>
        <v xml:space="preserve">for entrepreneurs(1,6.25),  </v>
      </c>
      <c r="GS188" s="21" t="str">
        <f t="shared" si="2050"/>
        <v xml:space="preserve">for entrepreneurs(6.25), </v>
      </c>
      <c r="GT188" s="21" t="str">
        <f t="shared" ref="GT188" si="2147">IF(GT86="",GT189,$C188&amp;" "&amp;GT86&amp;CHAR(10)&amp;GT189)</f>
        <v xml:space="preserve"> </v>
      </c>
      <c r="GU188" s="21" t="str">
        <f t="shared" si="817"/>
        <v xml:space="preserve"> </v>
      </c>
      <c r="GV188" s="21" t="str">
        <f t="shared" ref="GV188" si="2148">IF(GV86="",GV189,$C188&amp;" "&amp;GV86&amp;CHAR(10)&amp;GV189)</f>
        <v xml:space="preserve"> </v>
      </c>
      <c r="GW188" s="21" t="str">
        <f t="shared" si="819"/>
        <v xml:space="preserve"> </v>
      </c>
      <c r="GX188" s="21" t="str">
        <f t="shared" si="820"/>
        <v xml:space="preserve"> </v>
      </c>
      <c r="GY188" s="21" t="str">
        <f t="shared" si="2050"/>
        <v xml:space="preserve"> </v>
      </c>
      <c r="GZ188" s="21" t="str">
        <f t="shared" ref="GZ188" si="2149">IF(GZ86="",GZ189,$C188&amp;" "&amp;GZ86&amp;CHAR(10)&amp;GZ189)</f>
        <v xml:space="preserve"> </v>
      </c>
      <c r="HA188" s="21" t="str">
        <f t="shared" si="822"/>
        <v xml:space="preserve"> </v>
      </c>
      <c r="HB188" s="21" t="str">
        <f t="shared" ref="HB188" si="2150">IF(HB86="",HB189,$C188&amp;" "&amp;HB86&amp;CHAR(10)&amp;HB189)</f>
        <v xml:space="preserve"> </v>
      </c>
      <c r="HC188" s="21" t="str">
        <f t="shared" si="824"/>
        <v xml:space="preserve">interaction(2),  </v>
      </c>
      <c r="HD188" s="21" t="str">
        <f t="shared" si="825"/>
        <v xml:space="preserve">start-up with customers(1,6.25), for basic literacy(1,6.25),  </v>
      </c>
      <c r="HE188" s="21" t="str">
        <f t="shared" si="2073"/>
        <v xml:space="preserve">start-up with customers(6.25),for basic literacy(6.25), </v>
      </c>
      <c r="HF188" s="21" t="str">
        <f t="shared" ref="HF188" si="2151">IF(HF86="",HF189,$C188&amp;" "&amp;HF86&amp;CHAR(10)&amp;HF189)</f>
        <v xml:space="preserve"> </v>
      </c>
      <c r="HG188" s="21" t="str">
        <f t="shared" si="828"/>
        <v xml:space="preserve"> </v>
      </c>
      <c r="HH188" s="21" t="str">
        <f t="shared" ref="HH188" si="2152">IF(HH86="",HH189,$C188&amp;" "&amp;HH86&amp;CHAR(10)&amp;HH189)</f>
        <v xml:space="preserve"> </v>
      </c>
      <c r="HI188" s="21" t="str">
        <f t="shared" si="830"/>
        <v xml:space="preserve">functions(2), interaction(2),  </v>
      </c>
      <c r="HJ188" s="21" t="str">
        <f t="shared" si="831"/>
        <v xml:space="preserve">start-up with customers(1,6.25),  </v>
      </c>
      <c r="HK188" s="21" t="str">
        <f t="shared" si="2073"/>
        <v xml:space="preserve">start-up with customers(6.25), </v>
      </c>
      <c r="HL188" s="21" t="str">
        <f t="shared" ref="HL188" si="2153">IF(HL86="",HL189,$C188&amp;" "&amp;HL86&amp;CHAR(10)&amp;HL189)</f>
        <v xml:space="preserve"> </v>
      </c>
      <c r="HM188" s="21" t="str">
        <f t="shared" si="833"/>
        <v xml:space="preserve"> </v>
      </c>
      <c r="HN188" s="21" t="str">
        <f t="shared" ref="HN188" si="2154">IF(HN86="",HN189,$C188&amp;" "&amp;HN86&amp;CHAR(10)&amp;HN189)</f>
        <v xml:space="preserve"> </v>
      </c>
      <c r="HO188" s="21" t="str">
        <f t="shared" si="835"/>
        <v xml:space="preserve">interaction(2),  </v>
      </c>
      <c r="HP188" s="21" t="str">
        <f t="shared" si="836"/>
        <v xml:space="preserve"> </v>
      </c>
      <c r="HQ188" s="47" t="str">
        <f t="shared" si="2073"/>
        <v xml:space="preserve"> </v>
      </c>
      <c r="HR188" s="47" t="str">
        <f t="shared" ref="HR188:HW188" si="2155">IF(HR86="",HR189,$C188&amp;"("&amp;HR86&amp;"),"&amp;HR189)</f>
        <v xml:space="preserve"> </v>
      </c>
      <c r="HS188" s="47" t="str">
        <f t="shared" si="2155"/>
        <v xml:space="preserve"> </v>
      </c>
      <c r="HT188" s="47" t="str">
        <f t="shared" si="2155"/>
        <v xml:space="preserve"> </v>
      </c>
      <c r="HU188" s="47" t="str">
        <f t="shared" si="2155"/>
        <v xml:space="preserve">interaction(2),start-up with mvp(1), </v>
      </c>
      <c r="HV188" s="47" t="str">
        <f t="shared" si="2155"/>
        <v xml:space="preserve"> </v>
      </c>
      <c r="HW188" s="47" t="str">
        <f t="shared" si="2155"/>
        <v xml:space="preserve"> </v>
      </c>
      <c r="HX188" s="47" t="str">
        <f t="shared" ref="HX188:IU188" si="2156">IF(HX86="",HX189,$C188&amp;"("&amp;HX86&amp;"),"&amp;HX189)</f>
        <v xml:space="preserve">functions(1),interaction(1), </v>
      </c>
      <c r="HY188" s="47" t="str">
        <f t="shared" si="2156"/>
        <v xml:space="preserve">biz enhancement(1), </v>
      </c>
      <c r="HZ188" s="47" t="str">
        <f t="shared" si="2156"/>
        <v xml:space="preserve">biz enhancement(100), </v>
      </c>
      <c r="IA188" s="47" t="str">
        <f t="shared" si="2156"/>
        <v xml:space="preserve"> </v>
      </c>
      <c r="IB188" s="47" t="str">
        <f t="shared" si="2156"/>
        <v xml:space="preserve">functions(1), </v>
      </c>
      <c r="IC188" s="47" t="str">
        <f t="shared" si="2156"/>
        <v xml:space="preserve">functions(6.25), </v>
      </c>
      <c r="ID188" s="47" t="str">
        <f t="shared" si="2156"/>
        <v xml:space="preserve"> </v>
      </c>
      <c r="IE188" s="47" t="str">
        <f t="shared" si="2156"/>
        <v xml:space="preserve"> </v>
      </c>
      <c r="IF188" s="47" t="str">
        <f t="shared" si="2156"/>
        <v xml:space="preserve"> </v>
      </c>
      <c r="IG188" s="47" t="str">
        <f t="shared" si="2156"/>
        <v xml:space="preserve"> </v>
      </c>
      <c r="IH188" s="47" t="str">
        <f t="shared" si="2156"/>
        <v xml:space="preserve"> </v>
      </c>
      <c r="II188" s="47" t="str">
        <f t="shared" si="2156"/>
        <v xml:space="preserve"> </v>
      </c>
      <c r="IJ188" s="47" t="str">
        <f t="shared" si="2156"/>
        <v xml:space="preserve"> </v>
      </c>
      <c r="IK188" s="47" t="str">
        <f t="shared" si="2156"/>
        <v xml:space="preserve">functions(1),safety(1), </v>
      </c>
      <c r="IL188" s="47" t="str">
        <f t="shared" si="2156"/>
        <v xml:space="preserve">functions(25),safety(25), </v>
      </c>
      <c r="IM188" s="47" t="str">
        <f t="shared" si="2156"/>
        <v xml:space="preserve">functions(2),safety(2), </v>
      </c>
      <c r="IN188" s="47" t="str">
        <f t="shared" si="2156"/>
        <v xml:space="preserve">functions(1),safety(1),interaction(1), </v>
      </c>
      <c r="IO188" s="47" t="str">
        <f t="shared" si="2156"/>
        <v xml:space="preserve">functions(6.25),safety(6.25),interaction(6.25), </v>
      </c>
      <c r="IP188" s="57" t="str">
        <f t="shared" si="2156"/>
        <v xml:space="preserve"> </v>
      </c>
      <c r="IQ188" s="47" t="str">
        <f t="shared" si="2156"/>
        <v xml:space="preserve"> </v>
      </c>
      <c r="IR188" s="47" t="str">
        <f t="shared" si="2156"/>
        <v xml:space="preserve"> </v>
      </c>
      <c r="IS188" s="47" t="str">
        <f t="shared" si="2156"/>
        <v xml:space="preserve"> </v>
      </c>
      <c r="IT188" s="47" t="str">
        <f t="shared" si="2156"/>
        <v xml:space="preserve"> </v>
      </c>
      <c r="IU188" s="47" t="str">
        <f t="shared" si="2156"/>
        <v xml:space="preserve"> </v>
      </c>
      <c r="IV188" s="57" t="str">
        <f t="shared" ref="IV188:LG188" si="2157">IF(IV86="",IV189,$C188&amp;"("&amp;IV86&amp;"),"&amp;IV189)</f>
        <v xml:space="preserve"> </v>
      </c>
      <c r="IW188" s="47" t="str">
        <f t="shared" si="2157"/>
        <v xml:space="preserve"> </v>
      </c>
      <c r="IX188" s="47" t="str">
        <f t="shared" si="2157"/>
        <v xml:space="preserve"> </v>
      </c>
      <c r="IY188" s="47" t="str">
        <f t="shared" si="2157"/>
        <v xml:space="preserve"> </v>
      </c>
      <c r="IZ188" s="47" t="str">
        <f t="shared" si="2157"/>
        <v xml:space="preserve"> </v>
      </c>
      <c r="JA188" s="47" t="str">
        <f t="shared" si="2157"/>
        <v xml:space="preserve"> </v>
      </c>
      <c r="JB188" s="47" t="str">
        <f t="shared" si="2157"/>
        <v xml:space="preserve"> </v>
      </c>
      <c r="JC188" s="47" t="str">
        <f t="shared" si="2157"/>
        <v xml:space="preserve"> </v>
      </c>
      <c r="JD188" s="47" t="str">
        <f t="shared" si="2157"/>
        <v xml:space="preserve"> </v>
      </c>
      <c r="JE188" s="47" t="str">
        <f t="shared" si="2157"/>
        <v xml:space="preserve"> </v>
      </c>
      <c r="JF188" s="47" t="str">
        <f t="shared" si="2157"/>
        <v xml:space="preserve">functions(1),safety(1),interaction(1), </v>
      </c>
      <c r="JG188" s="47" t="str">
        <f t="shared" si="2157"/>
        <v xml:space="preserve">functions(6.25),safety(6.25),interaction(6.25), </v>
      </c>
      <c r="JH188" s="47" t="str">
        <f t="shared" si="2157"/>
        <v xml:space="preserve"> </v>
      </c>
      <c r="JI188" s="47" t="str">
        <f t="shared" si="2157"/>
        <v xml:space="preserve"> </v>
      </c>
      <c r="JJ188" s="47" t="str">
        <f t="shared" si="2157"/>
        <v xml:space="preserve"> </v>
      </c>
      <c r="JK188" s="47" t="str">
        <f t="shared" si="2157"/>
        <v xml:space="preserve">social project(1),social innovation(1),non-profit biz(1),biz project(1),biz enhancement(1),job creation(1),business(1),start-up(1),start-up with mvp(1),start-up with customers(1),for basic literacy(1),for the elites(1),for entrepreneurs(1), </v>
      </c>
      <c r="JL188" s="47" t="str">
        <f t="shared" si="2157"/>
        <v xml:space="preserve"> </v>
      </c>
      <c r="JM188" s="47" t="str">
        <f t="shared" si="2157"/>
        <v xml:space="preserve"> </v>
      </c>
      <c r="JN188" s="47" t="str">
        <f t="shared" si="2157"/>
        <v xml:space="preserve"> </v>
      </c>
      <c r="JO188" s="47" t="str">
        <f t="shared" si="2157"/>
        <v xml:space="preserve"> </v>
      </c>
      <c r="JP188" s="47" t="str">
        <f t="shared" si="2157"/>
        <v xml:space="preserve"> </v>
      </c>
      <c r="JQ188" s="47" t="str">
        <f t="shared" si="2157"/>
        <v xml:space="preserve">interaction(1),social project(1),social innovation(1),non-profit biz(1),biz project(1),biz enhancement(1),job creation(1),business(1),start-up(1),start-up with mvp(1),start-up with customers(1),for basic literacy(1),for the elites(1),for entrepreneurs(1), </v>
      </c>
      <c r="JR188" s="47" t="str">
        <f t="shared" si="2157"/>
        <v xml:space="preserve"> </v>
      </c>
      <c r="JS188" s="47" t="str">
        <f t="shared" si="2157"/>
        <v xml:space="preserve"> </v>
      </c>
      <c r="JT188" s="47" t="str">
        <f t="shared" si="2157"/>
        <v xml:space="preserve"> </v>
      </c>
      <c r="JU188" s="47" t="str">
        <f t="shared" si="2157"/>
        <v xml:space="preserve"> </v>
      </c>
      <c r="JV188" s="47" t="str">
        <f t="shared" si="2157"/>
        <v xml:space="preserve"> </v>
      </c>
      <c r="JW188" s="47" t="str">
        <f t="shared" si="2157"/>
        <v xml:space="preserve">social project(2),social innovation(1),non-profit biz(1),biz project(2),biz enhancement(2),job creation(1),business(1),start-up(2),start-up with mvp(1),start-up with customers(1),for basic literacy(2),for the elites(1),for entrepreneurs(1), </v>
      </c>
      <c r="JX188" s="47" t="str">
        <f t="shared" si="2157"/>
        <v xml:space="preserve"> </v>
      </c>
      <c r="JY188" s="47" t="str">
        <f t="shared" si="2157"/>
        <v xml:space="preserve"> </v>
      </c>
      <c r="JZ188" s="47" t="str">
        <f t="shared" si="2157"/>
        <v xml:space="preserve">social project(2), </v>
      </c>
      <c r="KA188" s="47" t="str">
        <f t="shared" si="2157"/>
        <v xml:space="preserve"> </v>
      </c>
      <c r="KB188" s="47" t="str">
        <f t="shared" si="2157"/>
        <v xml:space="preserve"> </v>
      </c>
      <c r="KC188" s="47" t="str">
        <f t="shared" si="2157"/>
        <v xml:space="preserve">social project(3),social innovation(1),non-profit biz(1),biz project(2),biz enhancement(2),job creation(1),business(1),start-up(2),start-up with mvp(1),start-up with customers(1),for basic literacy(2),for the elites(1),for entrepreneurs(1), </v>
      </c>
      <c r="KD188" s="47" t="str">
        <f t="shared" si="2157"/>
        <v xml:space="preserve"> </v>
      </c>
      <c r="KE188" s="47" t="str">
        <f t="shared" si="2157"/>
        <v xml:space="preserve"> </v>
      </c>
      <c r="KF188" s="47" t="str">
        <f t="shared" si="2157"/>
        <v xml:space="preserve"> </v>
      </c>
      <c r="KG188" s="47" t="str">
        <f t="shared" si="2157"/>
        <v xml:space="preserve"> </v>
      </c>
      <c r="KH188" s="47" t="str">
        <f t="shared" si="2157"/>
        <v xml:space="preserve"> </v>
      </c>
      <c r="KI188" s="47" t="str">
        <f t="shared" si="2157"/>
        <v xml:space="preserve"> </v>
      </c>
      <c r="KJ188" s="47" t="str">
        <f t="shared" si="2157"/>
        <v xml:space="preserve"> </v>
      </c>
      <c r="KK188" s="47" t="str">
        <f t="shared" si="2157"/>
        <v xml:space="preserve"> </v>
      </c>
      <c r="KL188" s="57" t="str">
        <f t="shared" si="2157"/>
        <v xml:space="preserve"> </v>
      </c>
      <c r="KM188" s="47" t="str">
        <f t="shared" si="2157"/>
        <v xml:space="preserve"> </v>
      </c>
      <c r="KN188" s="47" t="str">
        <f t="shared" si="2157"/>
        <v xml:space="preserve"> </v>
      </c>
      <c r="KO188" s="47" t="str">
        <f t="shared" si="2157"/>
        <v xml:space="preserve"> </v>
      </c>
      <c r="KP188" s="47" t="str">
        <f t="shared" si="2157"/>
        <v xml:space="preserve"> </v>
      </c>
      <c r="KQ188" s="47" t="str">
        <f t="shared" si="2157"/>
        <v xml:space="preserve"> </v>
      </c>
      <c r="KR188" s="57" t="str">
        <f t="shared" si="2157"/>
        <v xml:space="preserve"> </v>
      </c>
      <c r="KS188" s="47" t="str">
        <f t="shared" si="2157"/>
        <v xml:space="preserve"> </v>
      </c>
      <c r="KT188" s="47" t="str">
        <f t="shared" si="2157"/>
        <v xml:space="preserve"> </v>
      </c>
      <c r="KU188" s="47" t="str">
        <f t="shared" si="2157"/>
        <v xml:space="preserve"> </v>
      </c>
      <c r="KV188" s="47" t="str">
        <f t="shared" si="2157"/>
        <v xml:space="preserve"> </v>
      </c>
      <c r="KW188" s="47" t="str">
        <f t="shared" si="2157"/>
        <v xml:space="preserve"> </v>
      </c>
      <c r="KX188" s="57" t="str">
        <f t="shared" si="2157"/>
        <v xml:space="preserve"> </v>
      </c>
      <c r="KY188" s="47" t="str">
        <f t="shared" si="2157"/>
        <v xml:space="preserve"> </v>
      </c>
      <c r="KZ188" s="47" t="str">
        <f t="shared" si="2157"/>
        <v xml:space="preserve"> </v>
      </c>
      <c r="LA188" s="47" t="str">
        <f t="shared" si="2157"/>
        <v xml:space="preserve"> </v>
      </c>
      <c r="LB188" s="47" t="str">
        <f t="shared" si="2157"/>
        <v xml:space="preserve"> </v>
      </c>
      <c r="LC188" s="47" t="str">
        <f t="shared" si="2157"/>
        <v xml:space="preserve"> </v>
      </c>
      <c r="LD188" s="57" t="str">
        <f t="shared" si="2157"/>
        <v xml:space="preserve"> </v>
      </c>
      <c r="LE188" s="47" t="str">
        <f t="shared" si="2157"/>
        <v xml:space="preserve"> </v>
      </c>
      <c r="LF188" s="47" t="str">
        <f t="shared" si="2157"/>
        <v xml:space="preserve"> </v>
      </c>
      <c r="LG188" s="47" t="str">
        <f t="shared" si="2157"/>
        <v xml:space="preserve"> </v>
      </c>
      <c r="LH188" s="47" t="str">
        <f t="shared" ref="LH188:NM188" si="2158">IF(LH86="",LH189,$C188&amp;"("&amp;LH86&amp;"),"&amp;LH189)</f>
        <v xml:space="preserve"> </v>
      </c>
      <c r="LI188" s="47" t="str">
        <f t="shared" si="2158"/>
        <v xml:space="preserve"> </v>
      </c>
      <c r="LJ188" s="57" t="str">
        <f t="shared" si="2158"/>
        <v xml:space="preserve"> </v>
      </c>
      <c r="LK188" s="47" t="str">
        <f t="shared" si="2158"/>
        <v xml:space="preserve"> </v>
      </c>
      <c r="LL188" s="47" t="str">
        <f t="shared" si="2158"/>
        <v xml:space="preserve"> </v>
      </c>
      <c r="LM188" s="47" t="str">
        <f t="shared" si="2158"/>
        <v xml:space="preserve"> </v>
      </c>
      <c r="LN188" s="47" t="str">
        <f t="shared" si="2158"/>
        <v xml:space="preserve"> </v>
      </c>
      <c r="LO188" s="47" t="str">
        <f t="shared" si="2158"/>
        <v xml:space="preserve"> </v>
      </c>
      <c r="LP188" s="57" t="str">
        <f t="shared" si="2158"/>
        <v xml:space="preserve"> </v>
      </c>
      <c r="LQ188" s="47" t="str">
        <f t="shared" si="2158"/>
        <v xml:space="preserve"> </v>
      </c>
      <c r="LR188" s="47" t="str">
        <f t="shared" si="2158"/>
        <v xml:space="preserve"> </v>
      </c>
      <c r="LS188" s="47" t="str">
        <f t="shared" si="2158"/>
        <v xml:space="preserve"> </v>
      </c>
      <c r="LT188" s="47" t="str">
        <f t="shared" si="2158"/>
        <v xml:space="preserve"> </v>
      </c>
      <c r="LU188" s="47" t="str">
        <f t="shared" si="2158"/>
        <v xml:space="preserve"> </v>
      </c>
      <c r="LV188" s="57" t="str">
        <f t="shared" si="2158"/>
        <v xml:space="preserve"> </v>
      </c>
      <c r="LW188" s="47" t="str">
        <f t="shared" si="2158"/>
        <v xml:space="preserve"> </v>
      </c>
      <c r="LX188" s="47" t="str">
        <f t="shared" si="2158"/>
        <v xml:space="preserve"> </v>
      </c>
      <c r="LY188" s="47" t="str">
        <f t="shared" si="2158"/>
        <v xml:space="preserve"> </v>
      </c>
      <c r="LZ188" s="47" t="str">
        <f t="shared" si="2158"/>
        <v xml:space="preserve"> </v>
      </c>
      <c r="MA188" s="47" t="str">
        <f t="shared" si="2158"/>
        <v xml:space="preserve"> </v>
      </c>
      <c r="MB188" s="57" t="str">
        <f t="shared" si="2158"/>
        <v xml:space="preserve"> </v>
      </c>
      <c r="MC188" s="47" t="str">
        <f t="shared" si="2158"/>
        <v xml:space="preserve"> </v>
      </c>
      <c r="MD188" s="47" t="str">
        <f t="shared" si="2158"/>
        <v xml:space="preserve"> </v>
      </c>
      <c r="ME188" s="47" t="str">
        <f t="shared" si="2158"/>
        <v xml:space="preserve"> </v>
      </c>
      <c r="MF188" s="47" t="str">
        <f t="shared" si="2158"/>
        <v xml:space="preserve"> </v>
      </c>
      <c r="MG188" s="47" t="str">
        <f t="shared" si="2158"/>
        <v xml:space="preserve"> </v>
      </c>
      <c r="MH188" s="57" t="str">
        <f t="shared" si="2158"/>
        <v xml:space="preserve"> </v>
      </c>
      <c r="MI188" s="47" t="str">
        <f t="shared" si="2158"/>
        <v xml:space="preserve"> </v>
      </c>
      <c r="MJ188" s="47" t="str">
        <f t="shared" si="2158"/>
        <v xml:space="preserve"> </v>
      </c>
      <c r="MK188" s="47" t="str">
        <f t="shared" si="2158"/>
        <v xml:space="preserve"> </v>
      </c>
      <c r="ML188" s="47" t="str">
        <f t="shared" si="2158"/>
        <v xml:space="preserve"> </v>
      </c>
      <c r="MM188" s="47" t="str">
        <f t="shared" si="2158"/>
        <v xml:space="preserve"> </v>
      </c>
      <c r="MN188" s="57" t="str">
        <f t="shared" si="2158"/>
        <v xml:space="preserve"> </v>
      </c>
      <c r="MO188" s="47" t="str">
        <f t="shared" si="2158"/>
        <v xml:space="preserve"> </v>
      </c>
      <c r="MP188" s="47" t="str">
        <f t="shared" si="2158"/>
        <v xml:space="preserve"> </v>
      </c>
      <c r="MQ188" s="47" t="str">
        <f t="shared" si="2158"/>
        <v xml:space="preserve"> </v>
      </c>
      <c r="MR188" s="47" t="str">
        <f t="shared" si="2158"/>
        <v xml:space="preserve"> </v>
      </c>
      <c r="MS188" s="47" t="str">
        <f t="shared" si="2158"/>
        <v xml:space="preserve"> </v>
      </c>
      <c r="MT188" s="57" t="str">
        <f t="shared" si="2158"/>
        <v xml:space="preserve"> </v>
      </c>
      <c r="MU188" s="47" t="str">
        <f t="shared" si="2158"/>
        <v xml:space="preserve"> </v>
      </c>
      <c r="MV188" s="47" t="str">
        <f t="shared" si="2158"/>
        <v xml:space="preserve"> </v>
      </c>
      <c r="MW188" s="47" t="str">
        <f t="shared" si="2158"/>
        <v xml:space="preserve"> </v>
      </c>
      <c r="MX188" s="47" t="str">
        <f t="shared" si="2158"/>
        <v xml:space="preserve"> </v>
      </c>
      <c r="MY188" s="47" t="str">
        <f t="shared" si="2158"/>
        <v xml:space="preserve"> </v>
      </c>
      <c r="MZ188" s="57" t="str">
        <f t="shared" si="2158"/>
        <v xml:space="preserve"> </v>
      </c>
      <c r="NA188" s="47" t="str">
        <f t="shared" si="2158"/>
        <v xml:space="preserve"> </v>
      </c>
      <c r="NB188" s="47" t="str">
        <f t="shared" si="2158"/>
        <v xml:space="preserve"> </v>
      </c>
      <c r="NC188" s="47" t="str">
        <f t="shared" si="2158"/>
        <v xml:space="preserve"> </v>
      </c>
      <c r="ND188" s="47" t="str">
        <f t="shared" si="2158"/>
        <v xml:space="preserve"> </v>
      </c>
      <c r="NE188" s="47" t="str">
        <f t="shared" si="2158"/>
        <v xml:space="preserve"> </v>
      </c>
      <c r="NF188" s="57" t="str">
        <f t="shared" si="2158"/>
        <v xml:space="preserve"> </v>
      </c>
      <c r="NG188" s="47" t="str">
        <f t="shared" si="2158"/>
        <v xml:space="preserve"> </v>
      </c>
      <c r="NH188" s="47" t="str">
        <f t="shared" si="2158"/>
        <v xml:space="preserve"> </v>
      </c>
      <c r="NI188" s="47" t="str">
        <f t="shared" si="2158"/>
        <v xml:space="preserve"> </v>
      </c>
      <c r="NJ188" s="47" t="str">
        <f t="shared" si="2158"/>
        <v xml:space="preserve"> </v>
      </c>
      <c r="NK188" s="47" t="str">
        <f t="shared" si="2158"/>
        <v xml:space="preserve"> </v>
      </c>
      <c r="NL188" s="57" t="str">
        <f t="shared" si="2158"/>
        <v xml:space="preserve"> </v>
      </c>
      <c r="NM188" s="47" t="str">
        <f t="shared" si="2158"/>
        <v xml:space="preserve"> </v>
      </c>
    </row>
    <row r="189" spans="3:377" ht="15.75" customHeight="1">
      <c r="C189" s="7" t="str">
        <f t="shared" si="841"/>
        <v>safety</v>
      </c>
      <c r="D189" s="21" t="str">
        <f t="shared" si="2000"/>
        <v xml:space="preserve"> </v>
      </c>
      <c r="E189" s="21" t="str">
        <f t="shared" si="842"/>
        <v xml:space="preserve"> </v>
      </c>
      <c r="F189" s="21" t="str">
        <f t="shared" si="2000"/>
        <v xml:space="preserve"> </v>
      </c>
      <c r="G189" s="21" t="str">
        <f t="shared" si="843"/>
        <v xml:space="preserve"> </v>
      </c>
      <c r="H189" s="21" t="str">
        <f t="shared" si="844"/>
        <v xml:space="preserve"> </v>
      </c>
      <c r="I189" s="21" t="str">
        <f t="shared" ref="I189" si="2159">IF(I87="",I190,$C189&amp;"("&amp;I87&amp;"),"&amp;I190)</f>
        <v xml:space="preserve"> </v>
      </c>
      <c r="J189" s="21" t="str">
        <f t="shared" ref="J189" si="2160">IF(J87="",J190,$C189&amp;" "&amp;J87&amp;CHAR(10)&amp;J190)</f>
        <v xml:space="preserve">interaction 1
 </v>
      </c>
      <c r="K189" s="21" t="str">
        <f t="shared" si="654"/>
        <v xml:space="preserve"> </v>
      </c>
      <c r="L189" s="21" t="str">
        <f t="shared" ref="L189" si="2161">IF(L87="",L190,$C189&amp;" "&amp;L87&amp;CHAR(10)&amp;L190)</f>
        <v xml:space="preserve"> </v>
      </c>
      <c r="M189" s="21" t="str">
        <f t="shared" si="656"/>
        <v xml:space="preserve">social innovation(1), non-profit biz(1),  </v>
      </c>
      <c r="N189" s="21" t="str">
        <f t="shared" si="657"/>
        <v xml:space="preserve"> </v>
      </c>
      <c r="O189" s="21" t="str">
        <f t="shared" si="2004"/>
        <v xml:space="preserve"> </v>
      </c>
      <c r="P189" s="21" t="str">
        <f t="shared" ref="P189" si="2162">IF(P87="",P190,$C189&amp;" "&amp;P87&amp;CHAR(10)&amp;P190)</f>
        <v xml:space="preserve">biz project 1
 </v>
      </c>
      <c r="Q189" s="21" t="str">
        <f t="shared" si="660"/>
        <v xml:space="preserve"> </v>
      </c>
      <c r="R189" s="21" t="str">
        <f t="shared" ref="R189" si="2163">IF(R87="",R190,$C189&amp;" "&amp;R87&amp;CHAR(10)&amp;R190)</f>
        <v xml:space="preserve"> </v>
      </c>
      <c r="S189" s="21" t="str">
        <f t="shared" si="662"/>
        <v xml:space="preserve">biz enhancement(1), business(1), start-up(1),  </v>
      </c>
      <c r="T189" s="21" t="str">
        <f t="shared" si="663"/>
        <v xml:space="preserve"> </v>
      </c>
      <c r="U189" s="21" t="str">
        <f t="shared" si="2004"/>
        <v xml:space="preserve"> </v>
      </c>
      <c r="V189" s="21" t="str">
        <f t="shared" ref="V189" si="2164">IF(V87="",V190,$C189&amp;" "&amp;V87&amp;CHAR(10)&amp;V190)</f>
        <v xml:space="preserve"> </v>
      </c>
      <c r="W189" s="21" t="str">
        <f t="shared" si="665"/>
        <v xml:space="preserve"> </v>
      </c>
      <c r="X189" s="21" t="str">
        <f t="shared" ref="X189" si="2165">IF(X87="",X190,$C189&amp;" "&amp;X87&amp;CHAR(10)&amp;X190)</f>
        <v xml:space="preserve"> </v>
      </c>
      <c r="Y189" s="21" t="str">
        <f t="shared" si="667"/>
        <v xml:space="preserve">biz project(1), biz enhancement(1), job creation(1), business(1),  </v>
      </c>
      <c r="Z189" s="21" t="str">
        <f t="shared" si="668"/>
        <v xml:space="preserve"> </v>
      </c>
      <c r="AA189" s="21" t="str">
        <f t="shared" si="2004"/>
        <v xml:space="preserve"> </v>
      </c>
      <c r="AB189" s="21" t="str">
        <f t="shared" ref="AB189" si="2166">IF(AB87="",AB190,$C189&amp;" "&amp;AB87&amp;CHAR(10)&amp;AB190)</f>
        <v xml:space="preserve"> </v>
      </c>
      <c r="AC189" s="21" t="str">
        <f t="shared" si="670"/>
        <v xml:space="preserve"> </v>
      </c>
      <c r="AD189" s="21" t="str">
        <f t="shared" ref="AD189" si="2167">IF(AD87="",AD190,$C189&amp;" "&amp;AD87&amp;CHAR(10)&amp;AD190)</f>
        <v xml:space="preserve"> </v>
      </c>
      <c r="AE189" s="21" t="str">
        <f t="shared" si="672"/>
        <v xml:space="preserve">social project(1), social innovation(1), non-profit biz(1),  </v>
      </c>
      <c r="AF189" s="21" t="str">
        <f t="shared" si="673"/>
        <v xml:space="preserve"> </v>
      </c>
      <c r="AG189" s="21" t="str">
        <f t="shared" si="2004"/>
        <v xml:space="preserve"> </v>
      </c>
      <c r="AH189" s="21" t="str">
        <f t="shared" ref="AH189" si="2168">IF(AH87="",AH190,$C189&amp;" "&amp;AH87&amp;CHAR(10)&amp;AH190)</f>
        <v xml:space="preserve"> </v>
      </c>
      <c r="AI189" s="21" t="str">
        <f t="shared" si="675"/>
        <v xml:space="preserve"> </v>
      </c>
      <c r="AJ189" s="21" t="str">
        <f t="shared" ref="AJ189" si="2169">IF(AJ87="",AJ190,$C189&amp;" "&amp;AJ87&amp;CHAR(10)&amp;AJ190)</f>
        <v xml:space="preserve"> </v>
      </c>
      <c r="AK189" s="21" t="str">
        <f t="shared" si="677"/>
        <v xml:space="preserve">social project(1), social innovation(1), non-profit biz(1),  </v>
      </c>
      <c r="AL189" s="21" t="str">
        <f t="shared" si="678"/>
        <v xml:space="preserve"> </v>
      </c>
      <c r="AM189" s="21" t="str">
        <f t="shared" si="2004"/>
        <v xml:space="preserve"> </v>
      </c>
      <c r="AN189" s="21" t="str">
        <f t="shared" ref="AN189" si="2170">IF(AN87="",AN190,$C189&amp;" "&amp;AN87&amp;CHAR(10)&amp;AN190)</f>
        <v xml:space="preserve"> </v>
      </c>
      <c r="AO189" s="21" t="str">
        <f t="shared" si="680"/>
        <v xml:space="preserve"> </v>
      </c>
      <c r="AP189" s="21" t="str">
        <f t="shared" ref="AP189" si="2171">IF(AP87="",AP190,$C189&amp;" "&amp;AP87&amp;CHAR(10)&amp;AP190)</f>
        <v xml:space="preserve"> </v>
      </c>
      <c r="AQ189" s="21" t="str">
        <f t="shared" si="682"/>
        <v xml:space="preserve">start-up(1), start-up with mvp(1), start-up with customers(1),  </v>
      </c>
      <c r="AR189" s="21" t="str">
        <f t="shared" si="683"/>
        <v xml:space="preserve"> </v>
      </c>
      <c r="AS189" s="21" t="str">
        <f t="shared" si="2004"/>
        <v xml:space="preserve"> </v>
      </c>
      <c r="AT189" s="21" t="str">
        <f t="shared" ref="AT189" si="2172">IF(AT87="",AT190,$C189&amp;" "&amp;AT87&amp;CHAR(10)&amp;AT190)</f>
        <v xml:space="preserve">social project 1
 </v>
      </c>
      <c r="AU189" s="21" t="str">
        <f t="shared" si="685"/>
        <v xml:space="preserve"> </v>
      </c>
      <c r="AV189" s="21" t="str">
        <f t="shared" ref="AV189" si="2173">IF(AV87="",AV190,$C189&amp;" "&amp;AV87&amp;CHAR(10)&amp;AV190)</f>
        <v xml:space="preserve"> </v>
      </c>
      <c r="AW189" s="21" t="str">
        <f t="shared" si="687"/>
        <v xml:space="preserve"> </v>
      </c>
      <c r="AX189" s="21" t="str">
        <f t="shared" si="688"/>
        <v xml:space="preserve"> </v>
      </c>
      <c r="AY189" s="21" t="str">
        <f t="shared" si="2004"/>
        <v xml:space="preserve"> </v>
      </c>
      <c r="AZ189" s="21" t="str">
        <f t="shared" ref="AZ189" si="2174">IF(AZ87="",AZ190,$C189&amp;" "&amp;AZ87&amp;CHAR(10)&amp;AZ190)</f>
        <v xml:space="preserve"> </v>
      </c>
      <c r="BA189" s="21" t="str">
        <f t="shared" si="690"/>
        <v xml:space="preserve"> </v>
      </c>
      <c r="BB189" s="21" t="str">
        <f t="shared" ref="BB189" si="2175">IF(BB87="",BB190,$C189&amp;" "&amp;BB87&amp;CHAR(10)&amp;BB190)</f>
        <v xml:space="preserve"> </v>
      </c>
      <c r="BC189" s="21" t="str">
        <f t="shared" si="692"/>
        <v xml:space="preserve"> </v>
      </c>
      <c r="BD189" s="21" t="str">
        <f t="shared" si="693"/>
        <v xml:space="preserve"> </v>
      </c>
      <c r="BE189" s="21" t="str">
        <f t="shared" si="2004"/>
        <v xml:space="preserve"> </v>
      </c>
      <c r="BF189" s="21" t="str">
        <f t="shared" ref="BF189" si="2176">IF(BF87="",BF190,$C189&amp;" "&amp;BF87&amp;CHAR(10)&amp;BF190)</f>
        <v xml:space="preserve">biz project 1
 </v>
      </c>
      <c r="BG189" s="21" t="str">
        <f t="shared" si="695"/>
        <v xml:space="preserve"> </v>
      </c>
      <c r="BH189" s="21" t="str">
        <f t="shared" ref="BH189" si="2177">IF(BH87="",BH190,$C189&amp;" "&amp;BH87&amp;CHAR(10)&amp;BH190)</f>
        <v xml:space="preserve"> </v>
      </c>
      <c r="BI189" s="21" t="str">
        <f t="shared" si="697"/>
        <v xml:space="preserve"> </v>
      </c>
      <c r="BJ189" s="21" t="str">
        <f t="shared" si="698"/>
        <v xml:space="preserve"> </v>
      </c>
      <c r="BK189" s="21" t="str">
        <f t="shared" si="2004"/>
        <v xml:space="preserve"> </v>
      </c>
      <c r="BL189" s="21" t="str">
        <f t="shared" ref="BL189" si="2178">IF(BL87="",BL190,$C189&amp;" "&amp;BL87&amp;CHAR(10)&amp;BL190)</f>
        <v xml:space="preserve">biz enhancement 1
 </v>
      </c>
      <c r="BM189" s="21" t="str">
        <f t="shared" si="700"/>
        <v xml:space="preserve"> </v>
      </c>
      <c r="BN189" s="21" t="str">
        <f t="shared" ref="BN189" si="2179">IF(BN87="",BN190,$C189&amp;" "&amp;BN87&amp;CHAR(10)&amp;BN190)</f>
        <v xml:space="preserve"> </v>
      </c>
      <c r="BO189" s="21" t="str">
        <f t="shared" si="702"/>
        <v xml:space="preserve"> </v>
      </c>
      <c r="BP189" s="21" t="str">
        <f t="shared" si="703"/>
        <v xml:space="preserve"> </v>
      </c>
      <c r="BQ189" s="21" t="str">
        <f t="shared" si="2004"/>
        <v xml:space="preserve"> </v>
      </c>
      <c r="BR189" s="21" t="str">
        <f t="shared" ref="BR189" si="2180">IF(BR87="",BR190,$C189&amp;" "&amp;BR87&amp;CHAR(10)&amp;BR190)</f>
        <v xml:space="preserve"> </v>
      </c>
      <c r="BS189" s="21" t="str">
        <f t="shared" si="705"/>
        <v xml:space="preserve"> </v>
      </c>
      <c r="BT189" s="21" t="str">
        <f t="shared" ref="BT189" si="2181">IF(BT87="",BT190,$C189&amp;" "&amp;BT87&amp;CHAR(10)&amp;BT190)</f>
        <v xml:space="preserve"> </v>
      </c>
      <c r="BU189" s="21" t="str">
        <f t="shared" si="707"/>
        <v xml:space="preserve"> </v>
      </c>
      <c r="BV189" s="21" t="str">
        <f t="shared" si="708"/>
        <v xml:space="preserve"> </v>
      </c>
      <c r="BW189" s="21" t="str">
        <f t="shared" si="2004"/>
        <v xml:space="preserve"> </v>
      </c>
      <c r="BX189" s="21" t="str">
        <f t="shared" ref="BX189" si="2182">IF(BX87="",BX190,$C189&amp;" "&amp;BX87&amp;CHAR(10)&amp;BX190)</f>
        <v xml:space="preserve"> </v>
      </c>
      <c r="BY189" s="21" t="str">
        <f t="shared" si="710"/>
        <v xml:space="preserve"> </v>
      </c>
      <c r="BZ189" s="21" t="str">
        <f t="shared" ref="BZ189" si="2183">IF(BZ87="",BZ190,$C189&amp;" "&amp;BZ87&amp;CHAR(10)&amp;BZ190)</f>
        <v xml:space="preserve"> </v>
      </c>
      <c r="CA189" s="21" t="str">
        <f t="shared" si="712"/>
        <v xml:space="preserve"> </v>
      </c>
      <c r="CB189" s="21" t="str">
        <f t="shared" si="713"/>
        <v xml:space="preserve"> </v>
      </c>
      <c r="CC189" s="21" t="str">
        <f t="shared" si="2027"/>
        <v xml:space="preserve"> </v>
      </c>
      <c r="CD189" s="21" t="str">
        <f t="shared" ref="CD189" si="2184">IF(CD87="",CD190,$C189&amp;" "&amp;CD87&amp;CHAR(10)&amp;CD190)</f>
        <v xml:space="preserve"> </v>
      </c>
      <c r="CE189" s="21" t="str">
        <f t="shared" si="716"/>
        <v xml:space="preserve"> </v>
      </c>
      <c r="CF189" s="21" t="str">
        <f t="shared" ref="CF189" si="2185">IF(CF87="",CF190,$C189&amp;" "&amp;CF87&amp;CHAR(10)&amp;CF190)</f>
        <v xml:space="preserve"> </v>
      </c>
      <c r="CG189" s="21" t="str">
        <f t="shared" si="718"/>
        <v xml:space="preserve">social project(1), biz project(1), for basic literacy(1), for the elites(1), for entrepreneurs(1),  </v>
      </c>
      <c r="CH189" s="21" t="str">
        <f t="shared" si="719"/>
        <v xml:space="preserve"> </v>
      </c>
      <c r="CI189" s="21" t="str">
        <f t="shared" si="2027"/>
        <v xml:space="preserve"> </v>
      </c>
      <c r="CJ189" s="21" t="str">
        <f t="shared" ref="CJ189" si="2186">IF(CJ87="",CJ190,$C189&amp;" "&amp;CJ87&amp;CHAR(10)&amp;CJ190)</f>
        <v xml:space="preserve"> </v>
      </c>
      <c r="CK189" s="21" t="str">
        <f t="shared" si="721"/>
        <v xml:space="preserve"> </v>
      </c>
      <c r="CL189" s="21" t="str">
        <f t="shared" ref="CL189" si="2187">IF(CL87="",CL190,$C189&amp;" "&amp;CL87&amp;CHAR(10)&amp;CL190)</f>
        <v xml:space="preserve"> </v>
      </c>
      <c r="CM189" s="21" t="str">
        <f t="shared" si="723"/>
        <v xml:space="preserve"> </v>
      </c>
      <c r="CN189" s="21" t="str">
        <f t="shared" si="724"/>
        <v xml:space="preserve"> </v>
      </c>
      <c r="CO189" s="21" t="str">
        <f t="shared" si="2027"/>
        <v xml:space="preserve"> </v>
      </c>
      <c r="CP189" s="21" t="str">
        <f t="shared" ref="CP189" si="2188">IF(CP87="",CP190,$C189&amp;" "&amp;CP87&amp;CHAR(10)&amp;CP190)</f>
        <v xml:space="preserve"> </v>
      </c>
      <c r="CQ189" s="21" t="str">
        <f t="shared" si="726"/>
        <v xml:space="preserve"> </v>
      </c>
      <c r="CR189" s="21" t="str">
        <f t="shared" ref="CR189" si="2189">IF(CR87="",CR190,$C189&amp;" "&amp;CR87&amp;CHAR(10)&amp;CR190)</f>
        <v xml:space="preserve"> </v>
      </c>
      <c r="CS189" s="21" t="str">
        <f t="shared" si="728"/>
        <v xml:space="preserve"> </v>
      </c>
      <c r="CT189" s="21" t="str">
        <f t="shared" si="729"/>
        <v xml:space="preserve"> </v>
      </c>
      <c r="CU189" s="21" t="str">
        <f t="shared" si="2027"/>
        <v xml:space="preserve"> </v>
      </c>
      <c r="CV189" s="21" t="str">
        <f t="shared" ref="CV189" si="2190">IF(CV87="",CV190,$C189&amp;" "&amp;CV87&amp;CHAR(10)&amp;CV190)</f>
        <v xml:space="preserve"> </v>
      </c>
      <c r="CW189" s="21" t="str">
        <f t="shared" si="731"/>
        <v xml:space="preserve"> </v>
      </c>
      <c r="CX189" s="21" t="str">
        <f t="shared" ref="CX189" si="2191">IF(CX87="",CX190,$C189&amp;" "&amp;CX87&amp;CHAR(10)&amp;CX190)</f>
        <v xml:space="preserve"> </v>
      </c>
      <c r="CY189" s="21" t="str">
        <f t="shared" si="733"/>
        <v xml:space="preserve"> </v>
      </c>
      <c r="CZ189" s="21" t="str">
        <f t="shared" si="734"/>
        <v xml:space="preserve"> </v>
      </c>
      <c r="DA189" s="21" t="str">
        <f t="shared" si="2027"/>
        <v xml:space="preserve"> </v>
      </c>
      <c r="DB189" s="21" t="str">
        <f t="shared" ref="DB189" si="2192">IF(DB87="",DB190,$C189&amp;" "&amp;DB87&amp;CHAR(10)&amp;DB190)</f>
        <v xml:space="preserve"> </v>
      </c>
      <c r="DC189" s="21" t="str">
        <f t="shared" si="736"/>
        <v xml:space="preserve"> </v>
      </c>
      <c r="DD189" s="21" t="str">
        <f t="shared" ref="DD189" si="2193">IF(DD87="",DD190,$C189&amp;" "&amp;DD87&amp;CHAR(10)&amp;DD190)</f>
        <v xml:space="preserve"> </v>
      </c>
      <c r="DE189" s="21" t="str">
        <f t="shared" si="738"/>
        <v xml:space="preserve">safety(2), interaction(2), biz project(1), biz enhancement(1), job creation(1), business(1), start-up(1), start-up with mvp(1), start-up with customers(1), for entrepreneurs(2),  </v>
      </c>
      <c r="DF189" s="21" t="str">
        <f t="shared" si="739"/>
        <v xml:space="preserve"> </v>
      </c>
      <c r="DG189" s="21" t="str">
        <f t="shared" si="2027"/>
        <v xml:space="preserve"> </v>
      </c>
      <c r="DH189" s="21" t="str">
        <f t="shared" ref="DH189" si="2194">IF(DH87="",DH190,$C189&amp;" "&amp;DH87&amp;CHAR(10)&amp;DH190)</f>
        <v xml:space="preserve">social project 1
 </v>
      </c>
      <c r="DI189" s="21" t="str">
        <f t="shared" si="741"/>
        <v xml:space="preserve"> </v>
      </c>
      <c r="DJ189" s="21" t="str">
        <f t="shared" ref="DJ189" si="2195">IF(DJ87="",DJ190,$C189&amp;" "&amp;DJ87&amp;CHAR(10)&amp;DJ190)</f>
        <v xml:space="preserve"> </v>
      </c>
      <c r="DK189" s="21" t="str">
        <f t="shared" si="743"/>
        <v xml:space="preserve">safety(2), interaction(2), social project(2), social innovation(1), non-profit biz(1),  </v>
      </c>
      <c r="DL189" s="21" t="str">
        <f t="shared" si="744"/>
        <v xml:space="preserve"> </v>
      </c>
      <c r="DM189" s="21" t="str">
        <f t="shared" si="2027"/>
        <v xml:space="preserve"> </v>
      </c>
      <c r="DN189" s="21" t="str">
        <f t="shared" ref="DN189" si="2196">IF(DN87="",DN190,$C189&amp;" "&amp;DN87&amp;CHAR(10)&amp;DN190)</f>
        <v xml:space="preserve">biz project 1
 </v>
      </c>
      <c r="DO189" s="21" t="str">
        <f t="shared" si="746"/>
        <v xml:space="preserve"> </v>
      </c>
      <c r="DP189" s="21" t="str">
        <f t="shared" ref="DP189" si="2197">IF(DP87="",DP190,$C189&amp;" "&amp;DP87&amp;CHAR(10)&amp;DP190)</f>
        <v xml:space="preserve"> </v>
      </c>
      <c r="DQ189" s="21" t="str">
        <f t="shared" si="748"/>
        <v xml:space="preserve">safety(2), interaction(2), biz project(2), biz enhancement(1), job creation(1), business(1), start-up(1), start-up with mvp(1), start-up with customers(1), for entrepreneurs(1),  </v>
      </c>
      <c r="DR189" s="21" t="str">
        <f t="shared" si="749"/>
        <v xml:space="preserve"> </v>
      </c>
      <c r="DS189" s="21" t="str">
        <f t="shared" si="2027"/>
        <v xml:space="preserve"> </v>
      </c>
      <c r="DT189" s="21" t="str">
        <f t="shared" ref="DT189" si="2198">IF(DT87="",DT190,$C189&amp;" "&amp;DT87&amp;CHAR(10)&amp;DT190)</f>
        <v xml:space="preserve"> </v>
      </c>
      <c r="DU189" s="21" t="str">
        <f t="shared" si="751"/>
        <v xml:space="preserve"> </v>
      </c>
      <c r="DV189" s="21" t="str">
        <f t="shared" ref="DV189" si="2199">IF(DV87="",DV190,$C189&amp;" "&amp;DV87&amp;CHAR(10)&amp;DV190)</f>
        <v xml:space="preserve"> </v>
      </c>
      <c r="DW189" s="21" t="str">
        <f t="shared" si="753"/>
        <v xml:space="preserve">for basic literacy(1),  </v>
      </c>
      <c r="DX189" s="21" t="str">
        <f t="shared" si="754"/>
        <v xml:space="preserve">for basic literacy(1,6.25),  </v>
      </c>
      <c r="DY189" s="21" t="str">
        <f t="shared" si="2027"/>
        <v xml:space="preserve">for basic literacy(6.25), </v>
      </c>
      <c r="DZ189" s="21" t="str">
        <f t="shared" ref="DZ189" si="2200">IF(DZ87="",DZ190,$C189&amp;" "&amp;DZ87&amp;CHAR(10)&amp;DZ190)</f>
        <v xml:space="preserve"> </v>
      </c>
      <c r="EA189" s="21" t="str">
        <f t="shared" si="756"/>
        <v xml:space="preserve"> </v>
      </c>
      <c r="EB189" s="21" t="str">
        <f t="shared" ref="EB189" si="2201">IF(EB87="",EB190,$C189&amp;" "&amp;EB87&amp;CHAR(10)&amp;EB190)</f>
        <v xml:space="preserve"> </v>
      </c>
      <c r="EC189" s="21" t="str">
        <f t="shared" si="758"/>
        <v xml:space="preserve">for basic literacy(1),  </v>
      </c>
      <c r="ED189" s="21" t="str">
        <f t="shared" si="759"/>
        <v xml:space="preserve">for basic literacy(1,6.25),  </v>
      </c>
      <c r="EE189" s="21" t="str">
        <f t="shared" si="2027"/>
        <v xml:space="preserve">for basic literacy(6.25), </v>
      </c>
      <c r="EF189" s="21" t="str">
        <f t="shared" ref="EF189" si="2202">IF(EF87="",EF190,$C189&amp;" "&amp;EF87&amp;CHAR(10)&amp;EF190)</f>
        <v xml:space="preserve"> </v>
      </c>
      <c r="EG189" s="21" t="str">
        <f t="shared" si="761"/>
        <v xml:space="preserve">interaction(1,50),  </v>
      </c>
      <c r="EH189" s="21" t="str">
        <f t="shared" ref="EH189" si="2203">IF(EH87="",EH190,$C189&amp;" "&amp;EH87&amp;CHAR(10)&amp;EH190)</f>
        <v xml:space="preserve">interaction 50
 </v>
      </c>
      <c r="EI189" s="21" t="str">
        <f t="shared" si="763"/>
        <v xml:space="preserve">for entrepreneurs(1),  </v>
      </c>
      <c r="EJ189" s="21" t="str">
        <f t="shared" si="764"/>
        <v xml:space="preserve">for entrepreneurs(1,6.25),  </v>
      </c>
      <c r="EK189" s="21" t="str">
        <f t="shared" si="2027"/>
        <v xml:space="preserve">for entrepreneurs(6.25), </v>
      </c>
      <c r="EL189" s="21" t="str">
        <f t="shared" ref="EL189" si="2204">IF(EL87="",EL190,$C189&amp;" "&amp;EL87&amp;CHAR(10)&amp;EL190)</f>
        <v xml:space="preserve"> </v>
      </c>
      <c r="EM189" s="21" t="str">
        <f t="shared" si="766"/>
        <v xml:space="preserve"> </v>
      </c>
      <c r="EN189" s="21" t="str">
        <f t="shared" ref="EN189" si="2205">IF(EN87="",EN190,$C189&amp;" "&amp;EN87&amp;CHAR(10)&amp;EN190)</f>
        <v xml:space="preserve"> </v>
      </c>
      <c r="EO189" s="21" t="str">
        <f t="shared" si="768"/>
        <v xml:space="preserve">for entrepreneurs(1),  </v>
      </c>
      <c r="EP189" s="21" t="str">
        <f t="shared" si="769"/>
        <v xml:space="preserve">for entrepreneurs(1,6.25),  </v>
      </c>
      <c r="EQ189" s="21" t="str">
        <f t="shared" si="2050"/>
        <v xml:space="preserve">for entrepreneurs(6.25), </v>
      </c>
      <c r="ER189" s="21" t="str">
        <f t="shared" ref="ER189" si="2206">IF(ER87="",ER190,$C189&amp;" "&amp;ER87&amp;CHAR(10)&amp;ER190)</f>
        <v xml:space="preserve"> </v>
      </c>
      <c r="ES189" s="21" t="str">
        <f t="shared" si="772"/>
        <v xml:space="preserve"> </v>
      </c>
      <c r="ET189" s="21" t="str">
        <f t="shared" ref="ET189" si="2207">IF(ET87="",ET190,$C189&amp;" "&amp;ET87&amp;CHAR(10)&amp;ET190)</f>
        <v xml:space="preserve"> </v>
      </c>
      <c r="EU189" s="21" t="str">
        <f t="shared" si="774"/>
        <v xml:space="preserve">for entrepreneurs(1),  </v>
      </c>
      <c r="EV189" s="21" t="str">
        <f t="shared" si="775"/>
        <v xml:space="preserve">for entrepreneurs(1,6.25),  </v>
      </c>
      <c r="EW189" s="21" t="str">
        <f t="shared" si="2050"/>
        <v xml:space="preserve">for entrepreneurs(6.25), </v>
      </c>
      <c r="EX189" s="21" t="str">
        <f t="shared" ref="EX189" si="2208">IF(EX87="",EX190,$C189&amp;" "&amp;EX87&amp;CHAR(10)&amp;EX190)</f>
        <v xml:space="preserve"> </v>
      </c>
      <c r="EY189" s="21" t="str">
        <f t="shared" si="777"/>
        <v xml:space="preserve">interaction(1,25),  </v>
      </c>
      <c r="EZ189" s="21" t="str">
        <f t="shared" ref="EZ189" si="2209">IF(EZ87="",EZ190,$C189&amp;" "&amp;EZ87&amp;CHAR(10)&amp;EZ190)</f>
        <v xml:space="preserve">interaction 25
 </v>
      </c>
      <c r="FA189" s="21" t="str">
        <f t="shared" si="779"/>
        <v xml:space="preserve">for entrepreneurs(1),  </v>
      </c>
      <c r="FB189" s="21" t="str">
        <f t="shared" si="780"/>
        <v xml:space="preserve">for entrepreneurs(1,6.25),  </v>
      </c>
      <c r="FC189" s="21" t="str">
        <f t="shared" si="2050"/>
        <v xml:space="preserve">for entrepreneurs(6.25), </v>
      </c>
      <c r="FD189" s="21" t="str">
        <f t="shared" ref="FD189" si="2210">IF(FD87="",FD190,$C189&amp;" "&amp;FD87&amp;CHAR(10)&amp;FD190)</f>
        <v xml:space="preserve"> </v>
      </c>
      <c r="FE189" s="21" t="str">
        <f t="shared" si="782"/>
        <v xml:space="preserve"> </v>
      </c>
      <c r="FF189" s="21" t="str">
        <f t="shared" ref="FF189" si="2211">IF(FF87="",FF190,$C189&amp;" "&amp;FF87&amp;CHAR(10)&amp;FF190)</f>
        <v xml:space="preserve"> </v>
      </c>
      <c r="FG189" s="21" t="str">
        <f t="shared" si="784"/>
        <v xml:space="preserve">for entrepreneurs(1),  </v>
      </c>
      <c r="FH189" s="21" t="str">
        <f t="shared" si="785"/>
        <v xml:space="preserve">for entrepreneurs(1,6.25),  </v>
      </c>
      <c r="FI189" s="21" t="str">
        <f t="shared" si="2050"/>
        <v xml:space="preserve">for entrepreneurs(6.25), </v>
      </c>
      <c r="FJ189" s="21" t="str">
        <f t="shared" ref="FJ189" si="2212">IF(FJ87="",FJ190,$C189&amp;" "&amp;FJ87&amp;CHAR(10)&amp;FJ190)</f>
        <v xml:space="preserve"> </v>
      </c>
      <c r="FK189" s="21" t="str">
        <f t="shared" si="787"/>
        <v xml:space="preserve">safety(1,25), interaction(1,25),  </v>
      </c>
      <c r="FL189" s="21" t="str">
        <f t="shared" ref="FL189" si="2213">IF(FL87="",FL190,$C189&amp;" "&amp;FL87&amp;CHAR(10)&amp;FL190)</f>
        <v xml:space="preserve">safety 25
interaction 25
 </v>
      </c>
      <c r="FM189" s="21" t="str">
        <f t="shared" si="789"/>
        <v xml:space="preserve">for entrepreneurs(1),  </v>
      </c>
      <c r="FN189" s="21" t="str">
        <f t="shared" si="790"/>
        <v xml:space="preserve">for entrepreneurs(1,6.25),  </v>
      </c>
      <c r="FO189" s="21" t="str">
        <f t="shared" si="2050"/>
        <v xml:space="preserve">for entrepreneurs(6.25), </v>
      </c>
      <c r="FP189" s="21" t="str">
        <f t="shared" ref="FP189" si="2214">IF(FP87="",FP190,$C189&amp;" "&amp;FP87&amp;CHAR(10)&amp;FP190)</f>
        <v xml:space="preserve"> </v>
      </c>
      <c r="FQ189" s="21" t="str">
        <f t="shared" si="792"/>
        <v xml:space="preserve">interaction(1,25),  </v>
      </c>
      <c r="FR189" s="21" t="str">
        <f t="shared" ref="FR189" si="2215">IF(FR87="",FR190,$C189&amp;" "&amp;FR87&amp;CHAR(10)&amp;FR190)</f>
        <v xml:space="preserve">interaction 25
 </v>
      </c>
      <c r="FS189" s="21" t="str">
        <f t="shared" si="794"/>
        <v xml:space="preserve">for entrepreneurs(1),  </v>
      </c>
      <c r="FT189" s="21" t="str">
        <f t="shared" si="795"/>
        <v xml:space="preserve">for entrepreneurs(1,6.25),  </v>
      </c>
      <c r="FU189" s="21" t="str">
        <f t="shared" si="2050"/>
        <v xml:space="preserve">for entrepreneurs(6.25), </v>
      </c>
      <c r="FV189" s="21" t="str">
        <f t="shared" ref="FV189" si="2216">IF(FV87="",FV190,$C189&amp;" "&amp;FV87&amp;CHAR(10)&amp;FV190)</f>
        <v xml:space="preserve"> </v>
      </c>
      <c r="FW189" s="21" t="str">
        <f t="shared" si="797"/>
        <v xml:space="preserve">interaction(1,25),  </v>
      </c>
      <c r="FX189" s="21" t="str">
        <f t="shared" ref="FX189" si="2217">IF(FX87="",FX190,$C189&amp;" "&amp;FX87&amp;CHAR(10)&amp;FX190)</f>
        <v xml:space="preserve">interaction 25
 </v>
      </c>
      <c r="FY189" s="21" t="str">
        <f t="shared" si="799"/>
        <v xml:space="preserve">for entrepreneurs(1),  </v>
      </c>
      <c r="FZ189" s="21" t="str">
        <f t="shared" si="800"/>
        <v xml:space="preserve">for entrepreneurs(1,6.25),  </v>
      </c>
      <c r="GA189" s="21" t="str">
        <f t="shared" si="2050"/>
        <v xml:space="preserve">for entrepreneurs(6.25), </v>
      </c>
      <c r="GB189" s="21" t="str">
        <f t="shared" ref="GB189" si="2218">IF(GB87="",GB190,$C189&amp;" "&amp;GB87&amp;CHAR(10)&amp;GB190)</f>
        <v xml:space="preserve"> </v>
      </c>
      <c r="GC189" s="21" t="str">
        <f t="shared" si="802"/>
        <v xml:space="preserve">safety(1,25),  </v>
      </c>
      <c r="GD189" s="21" t="str">
        <f t="shared" ref="GD189" si="2219">IF(GD87="",GD190,$C189&amp;" "&amp;GD87&amp;CHAR(10)&amp;GD190)</f>
        <v xml:space="preserve">safety 25
 </v>
      </c>
      <c r="GE189" s="21" t="str">
        <f t="shared" si="804"/>
        <v xml:space="preserve">for entrepreneurs(1),  </v>
      </c>
      <c r="GF189" s="21" t="str">
        <f t="shared" si="805"/>
        <v xml:space="preserve">interaction(1,6.25), for entrepreneurs(1,6.25),  </v>
      </c>
      <c r="GG189" s="21" t="str">
        <f t="shared" si="2050"/>
        <v xml:space="preserve">interaction(6.25),for entrepreneurs(6.25), </v>
      </c>
      <c r="GH189" s="21" t="str">
        <f t="shared" ref="GH189" si="2220">IF(GH87="",GH190,$C189&amp;" "&amp;GH87&amp;CHAR(10)&amp;GH190)</f>
        <v xml:space="preserve"> </v>
      </c>
      <c r="GI189" s="21" t="str">
        <f t="shared" si="807"/>
        <v xml:space="preserve">interaction(1,25),  </v>
      </c>
      <c r="GJ189" s="21" t="str">
        <f t="shared" ref="GJ189" si="2221">IF(GJ87="",GJ190,$C189&amp;" "&amp;GJ87&amp;CHAR(10)&amp;GJ190)</f>
        <v xml:space="preserve">interaction 25
 </v>
      </c>
      <c r="GK189" s="21" t="str">
        <f t="shared" si="809"/>
        <v xml:space="preserve">for entrepreneurs(1),  </v>
      </c>
      <c r="GL189" s="21" t="str">
        <f t="shared" si="810"/>
        <v xml:space="preserve">for entrepreneurs(1,6.25),  </v>
      </c>
      <c r="GM189" s="21" t="str">
        <f t="shared" si="2050"/>
        <v xml:space="preserve">for entrepreneurs(6.25), </v>
      </c>
      <c r="GN189" s="21" t="str">
        <f t="shared" ref="GN189" si="2222">IF(GN87="",GN190,$C189&amp;" "&amp;GN87&amp;CHAR(10)&amp;GN190)</f>
        <v xml:space="preserve"> </v>
      </c>
      <c r="GO189" s="21" t="str">
        <f t="shared" si="812"/>
        <v xml:space="preserve">interaction(1,50),  </v>
      </c>
      <c r="GP189" s="21" t="str">
        <f t="shared" ref="GP189" si="2223">IF(GP87="",GP190,$C189&amp;" "&amp;GP87&amp;CHAR(10)&amp;GP190)</f>
        <v xml:space="preserve">interaction 50
 </v>
      </c>
      <c r="GQ189" s="21" t="str">
        <f t="shared" si="814"/>
        <v xml:space="preserve">for entrepreneurs(1),  </v>
      </c>
      <c r="GR189" s="21" t="str">
        <f t="shared" si="815"/>
        <v xml:space="preserve">for entrepreneurs(1,6.25),  </v>
      </c>
      <c r="GS189" s="21" t="str">
        <f t="shared" si="2050"/>
        <v xml:space="preserve">for entrepreneurs(6.25), </v>
      </c>
      <c r="GT189" s="21" t="str">
        <f t="shared" ref="GT189" si="2224">IF(GT87="",GT190,$C189&amp;" "&amp;GT87&amp;CHAR(10)&amp;GT190)</f>
        <v xml:space="preserve"> </v>
      </c>
      <c r="GU189" s="21" t="str">
        <f t="shared" si="817"/>
        <v xml:space="preserve"> </v>
      </c>
      <c r="GV189" s="21" t="str">
        <f t="shared" ref="GV189" si="2225">IF(GV87="",GV190,$C189&amp;" "&amp;GV87&amp;CHAR(10)&amp;GV190)</f>
        <v xml:space="preserve"> </v>
      </c>
      <c r="GW189" s="21" t="str">
        <f t="shared" si="819"/>
        <v xml:space="preserve"> </v>
      </c>
      <c r="GX189" s="21" t="str">
        <f t="shared" si="820"/>
        <v xml:space="preserve"> </v>
      </c>
      <c r="GY189" s="21" t="str">
        <f t="shared" si="2050"/>
        <v xml:space="preserve"> </v>
      </c>
      <c r="GZ189" s="21" t="str">
        <f t="shared" ref="GZ189" si="2226">IF(GZ87="",GZ190,$C189&amp;" "&amp;GZ87&amp;CHAR(10)&amp;GZ190)</f>
        <v xml:space="preserve"> </v>
      </c>
      <c r="HA189" s="21" t="str">
        <f t="shared" si="822"/>
        <v xml:space="preserve"> </v>
      </c>
      <c r="HB189" s="21" t="str">
        <f t="shared" ref="HB189" si="2227">IF(HB87="",HB190,$C189&amp;" "&amp;HB87&amp;CHAR(10)&amp;HB190)</f>
        <v xml:space="preserve"> </v>
      </c>
      <c r="HC189" s="21" t="str">
        <f t="shared" si="824"/>
        <v xml:space="preserve">interaction(2),  </v>
      </c>
      <c r="HD189" s="21" t="str">
        <f t="shared" si="825"/>
        <v xml:space="preserve">start-up with customers(1,6.25), for basic literacy(1,6.25),  </v>
      </c>
      <c r="HE189" s="21" t="str">
        <f t="shared" si="2073"/>
        <v xml:space="preserve">start-up with customers(6.25),for basic literacy(6.25), </v>
      </c>
      <c r="HF189" s="21" t="str">
        <f t="shared" ref="HF189" si="2228">IF(HF87="",HF190,$C189&amp;" "&amp;HF87&amp;CHAR(10)&amp;HF190)</f>
        <v xml:space="preserve"> </v>
      </c>
      <c r="HG189" s="21" t="str">
        <f t="shared" si="828"/>
        <v xml:space="preserve"> </v>
      </c>
      <c r="HH189" s="21" t="str">
        <f t="shared" ref="HH189" si="2229">IF(HH87="",HH190,$C189&amp;" "&amp;HH87&amp;CHAR(10)&amp;HH190)</f>
        <v xml:space="preserve"> </v>
      </c>
      <c r="HI189" s="21" t="str">
        <f t="shared" si="830"/>
        <v xml:space="preserve">interaction(2),  </v>
      </c>
      <c r="HJ189" s="21" t="str">
        <f t="shared" si="831"/>
        <v xml:space="preserve">start-up with customers(1,6.25),  </v>
      </c>
      <c r="HK189" s="21" t="str">
        <f t="shared" si="2073"/>
        <v xml:space="preserve">start-up with customers(6.25), </v>
      </c>
      <c r="HL189" s="21" t="str">
        <f t="shared" ref="HL189" si="2230">IF(HL87="",HL190,$C189&amp;" "&amp;HL87&amp;CHAR(10)&amp;HL190)</f>
        <v xml:space="preserve"> </v>
      </c>
      <c r="HM189" s="21" t="str">
        <f t="shared" si="833"/>
        <v xml:space="preserve"> </v>
      </c>
      <c r="HN189" s="21" t="str">
        <f t="shared" ref="HN189" si="2231">IF(HN87="",HN190,$C189&amp;" "&amp;HN87&amp;CHAR(10)&amp;HN190)</f>
        <v xml:space="preserve"> </v>
      </c>
      <c r="HO189" s="21" t="str">
        <f t="shared" si="835"/>
        <v xml:space="preserve">interaction(2),  </v>
      </c>
      <c r="HP189" s="21" t="str">
        <f t="shared" si="836"/>
        <v xml:space="preserve"> </v>
      </c>
      <c r="HQ189" s="47" t="str">
        <f t="shared" si="2073"/>
        <v xml:space="preserve"> </v>
      </c>
      <c r="HR189" s="47" t="str">
        <f t="shared" ref="HR189:HW189" si="2232">IF(HR87="",HR190,$C189&amp;"("&amp;HR87&amp;"),"&amp;HR190)</f>
        <v xml:space="preserve"> </v>
      </c>
      <c r="HS189" s="47" t="str">
        <f t="shared" si="2232"/>
        <v xml:space="preserve"> </v>
      </c>
      <c r="HT189" s="47" t="str">
        <f t="shared" si="2232"/>
        <v xml:space="preserve"> </v>
      </c>
      <c r="HU189" s="47" t="str">
        <f t="shared" si="2232"/>
        <v xml:space="preserve">interaction(2),start-up with mvp(1), </v>
      </c>
      <c r="HV189" s="47" t="str">
        <f t="shared" si="2232"/>
        <v xml:space="preserve"> </v>
      </c>
      <c r="HW189" s="47" t="str">
        <f t="shared" si="2232"/>
        <v xml:space="preserve"> </v>
      </c>
      <c r="HX189" s="47" t="str">
        <f t="shared" ref="HX189:IU189" si="2233">IF(HX87="",HX190,$C189&amp;"("&amp;HX87&amp;"),"&amp;HX190)</f>
        <v xml:space="preserve">interaction(1), </v>
      </c>
      <c r="HY189" s="47" t="str">
        <f t="shared" si="2233"/>
        <v xml:space="preserve">biz enhancement(1), </v>
      </c>
      <c r="HZ189" s="47" t="str">
        <f t="shared" si="2233"/>
        <v xml:space="preserve">biz enhancement(100), </v>
      </c>
      <c r="IA189" s="47" t="str">
        <f t="shared" si="2233"/>
        <v xml:space="preserve"> </v>
      </c>
      <c r="IB189" s="47" t="str">
        <f t="shared" si="2233"/>
        <v xml:space="preserve"> </v>
      </c>
      <c r="IC189" s="47" t="str">
        <f t="shared" si="2233"/>
        <v xml:space="preserve"> </v>
      </c>
      <c r="ID189" s="47" t="str">
        <f t="shared" si="2233"/>
        <v xml:space="preserve"> </v>
      </c>
      <c r="IE189" s="47" t="str">
        <f t="shared" si="2233"/>
        <v xml:space="preserve"> </v>
      </c>
      <c r="IF189" s="47" t="str">
        <f t="shared" si="2233"/>
        <v xml:space="preserve"> </v>
      </c>
      <c r="IG189" s="47" t="str">
        <f t="shared" si="2233"/>
        <v xml:space="preserve"> </v>
      </c>
      <c r="IH189" s="47" t="str">
        <f t="shared" si="2233"/>
        <v xml:space="preserve"> </v>
      </c>
      <c r="II189" s="47" t="str">
        <f t="shared" si="2233"/>
        <v xml:space="preserve"> </v>
      </c>
      <c r="IJ189" s="47" t="str">
        <f t="shared" si="2233"/>
        <v xml:space="preserve"> </v>
      </c>
      <c r="IK189" s="47" t="str">
        <f t="shared" si="2233"/>
        <v xml:space="preserve">safety(1), </v>
      </c>
      <c r="IL189" s="47" t="str">
        <f t="shared" si="2233"/>
        <v xml:space="preserve">safety(25), </v>
      </c>
      <c r="IM189" s="47" t="str">
        <f t="shared" si="2233"/>
        <v xml:space="preserve">safety(2), </v>
      </c>
      <c r="IN189" s="47" t="str">
        <f t="shared" si="2233"/>
        <v xml:space="preserve">safety(1),interaction(1), </v>
      </c>
      <c r="IO189" s="47" t="str">
        <f t="shared" si="2233"/>
        <v xml:space="preserve">safety(6.25),interaction(6.25), </v>
      </c>
      <c r="IP189" s="57" t="str">
        <f t="shared" si="2233"/>
        <v xml:space="preserve"> </v>
      </c>
      <c r="IQ189" s="47" t="str">
        <f t="shared" si="2233"/>
        <v xml:space="preserve"> </v>
      </c>
      <c r="IR189" s="47" t="str">
        <f t="shared" si="2233"/>
        <v xml:space="preserve"> </v>
      </c>
      <c r="IS189" s="47" t="str">
        <f t="shared" si="2233"/>
        <v xml:space="preserve"> </v>
      </c>
      <c r="IT189" s="47" t="str">
        <f t="shared" si="2233"/>
        <v xml:space="preserve"> </v>
      </c>
      <c r="IU189" s="47" t="str">
        <f t="shared" si="2233"/>
        <v xml:space="preserve"> </v>
      </c>
      <c r="IV189" s="57" t="str">
        <f t="shared" ref="IV189:LG189" si="2234">IF(IV87="",IV190,$C189&amp;"("&amp;IV87&amp;"),"&amp;IV190)</f>
        <v xml:space="preserve"> </v>
      </c>
      <c r="IW189" s="47" t="str">
        <f t="shared" si="2234"/>
        <v xml:space="preserve"> </v>
      </c>
      <c r="IX189" s="47" t="str">
        <f t="shared" si="2234"/>
        <v xml:space="preserve"> </v>
      </c>
      <c r="IY189" s="47" t="str">
        <f t="shared" si="2234"/>
        <v xml:space="preserve"> </v>
      </c>
      <c r="IZ189" s="47" t="str">
        <f t="shared" si="2234"/>
        <v xml:space="preserve"> </v>
      </c>
      <c r="JA189" s="47" t="str">
        <f t="shared" si="2234"/>
        <v xml:space="preserve"> </v>
      </c>
      <c r="JB189" s="47" t="str">
        <f t="shared" si="2234"/>
        <v xml:space="preserve"> </v>
      </c>
      <c r="JC189" s="47" t="str">
        <f t="shared" si="2234"/>
        <v xml:space="preserve"> </v>
      </c>
      <c r="JD189" s="47" t="str">
        <f t="shared" si="2234"/>
        <v xml:space="preserve"> </v>
      </c>
      <c r="JE189" s="47" t="str">
        <f t="shared" si="2234"/>
        <v xml:space="preserve"> </v>
      </c>
      <c r="JF189" s="47" t="str">
        <f t="shared" si="2234"/>
        <v xml:space="preserve">safety(1),interaction(1), </v>
      </c>
      <c r="JG189" s="47" t="str">
        <f t="shared" si="2234"/>
        <v xml:space="preserve">safety(6.25),interaction(6.25), </v>
      </c>
      <c r="JH189" s="47" t="str">
        <f t="shared" si="2234"/>
        <v xml:space="preserve"> </v>
      </c>
      <c r="JI189" s="47" t="str">
        <f t="shared" si="2234"/>
        <v xml:space="preserve"> </v>
      </c>
      <c r="JJ189" s="47" t="str">
        <f t="shared" si="2234"/>
        <v xml:space="preserve"> </v>
      </c>
      <c r="JK189" s="47" t="str">
        <f t="shared" si="2234"/>
        <v xml:space="preserve">social project(1),social innovation(1),non-profit biz(1),biz project(1),biz enhancement(1),job creation(1),business(1),start-up(1),start-up with mvp(1),start-up with customers(1),for basic literacy(1),for the elites(1),for entrepreneurs(1), </v>
      </c>
      <c r="JL189" s="47" t="str">
        <f t="shared" si="2234"/>
        <v xml:space="preserve"> </v>
      </c>
      <c r="JM189" s="47" t="str">
        <f t="shared" si="2234"/>
        <v xml:space="preserve"> </v>
      </c>
      <c r="JN189" s="47" t="str">
        <f t="shared" si="2234"/>
        <v xml:space="preserve"> </v>
      </c>
      <c r="JO189" s="47" t="str">
        <f t="shared" si="2234"/>
        <v xml:space="preserve"> </v>
      </c>
      <c r="JP189" s="47" t="str">
        <f t="shared" si="2234"/>
        <v xml:space="preserve"> </v>
      </c>
      <c r="JQ189" s="47" t="str">
        <f t="shared" si="2234"/>
        <v xml:space="preserve">interaction(1),social project(1),social innovation(1),non-profit biz(1),biz project(1),biz enhancement(1),job creation(1),business(1),start-up(1),start-up with mvp(1),start-up with customers(1),for basic literacy(1),for the elites(1),for entrepreneurs(1), </v>
      </c>
      <c r="JR189" s="47" t="str">
        <f t="shared" si="2234"/>
        <v xml:space="preserve"> </v>
      </c>
      <c r="JS189" s="47" t="str">
        <f t="shared" si="2234"/>
        <v xml:space="preserve"> </v>
      </c>
      <c r="JT189" s="47" t="str">
        <f t="shared" si="2234"/>
        <v xml:space="preserve"> </v>
      </c>
      <c r="JU189" s="47" t="str">
        <f t="shared" si="2234"/>
        <v xml:space="preserve"> </v>
      </c>
      <c r="JV189" s="47" t="str">
        <f t="shared" si="2234"/>
        <v xml:space="preserve"> </v>
      </c>
      <c r="JW189" s="47" t="str">
        <f t="shared" si="2234"/>
        <v xml:space="preserve">social project(2),social innovation(1),non-profit biz(1),biz project(2),biz enhancement(2),job creation(1),business(1),start-up(2),start-up with mvp(1),start-up with customers(1),for basic literacy(2),for the elites(1),for entrepreneurs(1), </v>
      </c>
      <c r="JX189" s="47" t="str">
        <f t="shared" si="2234"/>
        <v xml:space="preserve"> </v>
      </c>
      <c r="JY189" s="47" t="str">
        <f t="shared" si="2234"/>
        <v xml:space="preserve"> </v>
      </c>
      <c r="JZ189" s="47" t="str">
        <f t="shared" si="2234"/>
        <v xml:space="preserve">social project(2), </v>
      </c>
      <c r="KA189" s="47" t="str">
        <f t="shared" si="2234"/>
        <v xml:space="preserve"> </v>
      </c>
      <c r="KB189" s="47" t="str">
        <f t="shared" si="2234"/>
        <v xml:space="preserve"> </v>
      </c>
      <c r="KC189" s="47" t="str">
        <f t="shared" si="2234"/>
        <v xml:space="preserve">social project(3),social innovation(1),non-profit biz(1),biz project(2),biz enhancement(2),job creation(1),business(1),start-up(2),start-up with mvp(1),start-up with customers(1),for basic literacy(2),for the elites(1),for entrepreneurs(1), </v>
      </c>
      <c r="KD189" s="47" t="str">
        <f t="shared" si="2234"/>
        <v xml:space="preserve"> </v>
      </c>
      <c r="KE189" s="47" t="str">
        <f t="shared" si="2234"/>
        <v xml:space="preserve"> </v>
      </c>
      <c r="KF189" s="47" t="str">
        <f t="shared" si="2234"/>
        <v xml:space="preserve"> </v>
      </c>
      <c r="KG189" s="47" t="str">
        <f t="shared" si="2234"/>
        <v xml:space="preserve"> </v>
      </c>
      <c r="KH189" s="47" t="str">
        <f t="shared" si="2234"/>
        <v xml:space="preserve"> </v>
      </c>
      <c r="KI189" s="47" t="str">
        <f t="shared" si="2234"/>
        <v xml:space="preserve"> </v>
      </c>
      <c r="KJ189" s="47" t="str">
        <f t="shared" si="2234"/>
        <v xml:space="preserve"> </v>
      </c>
      <c r="KK189" s="47" t="str">
        <f t="shared" si="2234"/>
        <v xml:space="preserve"> </v>
      </c>
      <c r="KL189" s="57" t="str">
        <f t="shared" si="2234"/>
        <v xml:space="preserve"> </v>
      </c>
      <c r="KM189" s="47" t="str">
        <f t="shared" si="2234"/>
        <v xml:space="preserve"> </v>
      </c>
      <c r="KN189" s="47" t="str">
        <f t="shared" si="2234"/>
        <v xml:space="preserve"> </v>
      </c>
      <c r="KO189" s="47" t="str">
        <f t="shared" si="2234"/>
        <v xml:space="preserve"> </v>
      </c>
      <c r="KP189" s="47" t="str">
        <f t="shared" si="2234"/>
        <v xml:space="preserve"> </v>
      </c>
      <c r="KQ189" s="47" t="str">
        <f t="shared" si="2234"/>
        <v xml:space="preserve"> </v>
      </c>
      <c r="KR189" s="57" t="str">
        <f t="shared" si="2234"/>
        <v xml:space="preserve"> </v>
      </c>
      <c r="KS189" s="47" t="str">
        <f t="shared" si="2234"/>
        <v xml:space="preserve"> </v>
      </c>
      <c r="KT189" s="47" t="str">
        <f t="shared" si="2234"/>
        <v xml:space="preserve"> </v>
      </c>
      <c r="KU189" s="47" t="str">
        <f t="shared" si="2234"/>
        <v xml:space="preserve"> </v>
      </c>
      <c r="KV189" s="47" t="str">
        <f t="shared" si="2234"/>
        <v xml:space="preserve"> </v>
      </c>
      <c r="KW189" s="47" t="str">
        <f t="shared" si="2234"/>
        <v xml:space="preserve"> </v>
      </c>
      <c r="KX189" s="57" t="str">
        <f t="shared" si="2234"/>
        <v xml:space="preserve"> </v>
      </c>
      <c r="KY189" s="47" t="str">
        <f t="shared" si="2234"/>
        <v xml:space="preserve"> </v>
      </c>
      <c r="KZ189" s="47" t="str">
        <f t="shared" si="2234"/>
        <v xml:space="preserve"> </v>
      </c>
      <c r="LA189" s="47" t="str">
        <f t="shared" si="2234"/>
        <v xml:space="preserve"> </v>
      </c>
      <c r="LB189" s="47" t="str">
        <f t="shared" si="2234"/>
        <v xml:space="preserve"> </v>
      </c>
      <c r="LC189" s="47" t="str">
        <f t="shared" si="2234"/>
        <v xml:space="preserve"> </v>
      </c>
      <c r="LD189" s="57" t="str">
        <f t="shared" si="2234"/>
        <v xml:space="preserve"> </v>
      </c>
      <c r="LE189" s="47" t="str">
        <f t="shared" si="2234"/>
        <v xml:space="preserve"> </v>
      </c>
      <c r="LF189" s="47" t="str">
        <f t="shared" si="2234"/>
        <v xml:space="preserve"> </v>
      </c>
      <c r="LG189" s="47" t="str">
        <f t="shared" si="2234"/>
        <v xml:space="preserve"> </v>
      </c>
      <c r="LH189" s="47" t="str">
        <f t="shared" ref="LH189:NM189" si="2235">IF(LH87="",LH190,$C189&amp;"("&amp;LH87&amp;"),"&amp;LH190)</f>
        <v xml:space="preserve"> </v>
      </c>
      <c r="LI189" s="47" t="str">
        <f t="shared" si="2235"/>
        <v xml:space="preserve"> </v>
      </c>
      <c r="LJ189" s="57" t="str">
        <f t="shared" si="2235"/>
        <v xml:space="preserve"> </v>
      </c>
      <c r="LK189" s="47" t="str">
        <f t="shared" si="2235"/>
        <v xml:space="preserve"> </v>
      </c>
      <c r="LL189" s="47" t="str">
        <f t="shared" si="2235"/>
        <v xml:space="preserve"> </v>
      </c>
      <c r="LM189" s="47" t="str">
        <f t="shared" si="2235"/>
        <v xml:space="preserve"> </v>
      </c>
      <c r="LN189" s="47" t="str">
        <f t="shared" si="2235"/>
        <v xml:space="preserve"> </v>
      </c>
      <c r="LO189" s="47" t="str">
        <f t="shared" si="2235"/>
        <v xml:space="preserve"> </v>
      </c>
      <c r="LP189" s="57" t="str">
        <f t="shared" si="2235"/>
        <v xml:space="preserve"> </v>
      </c>
      <c r="LQ189" s="47" t="str">
        <f t="shared" si="2235"/>
        <v xml:space="preserve"> </v>
      </c>
      <c r="LR189" s="47" t="str">
        <f t="shared" si="2235"/>
        <v xml:space="preserve"> </v>
      </c>
      <c r="LS189" s="47" t="str">
        <f t="shared" si="2235"/>
        <v xml:space="preserve"> </v>
      </c>
      <c r="LT189" s="47" t="str">
        <f t="shared" si="2235"/>
        <v xml:space="preserve"> </v>
      </c>
      <c r="LU189" s="47" t="str">
        <f t="shared" si="2235"/>
        <v xml:space="preserve"> </v>
      </c>
      <c r="LV189" s="57" t="str">
        <f t="shared" si="2235"/>
        <v xml:space="preserve"> </v>
      </c>
      <c r="LW189" s="47" t="str">
        <f t="shared" si="2235"/>
        <v xml:space="preserve"> </v>
      </c>
      <c r="LX189" s="47" t="str">
        <f t="shared" si="2235"/>
        <v xml:space="preserve"> </v>
      </c>
      <c r="LY189" s="47" t="str">
        <f t="shared" si="2235"/>
        <v xml:space="preserve"> </v>
      </c>
      <c r="LZ189" s="47" t="str">
        <f t="shared" si="2235"/>
        <v xml:space="preserve"> </v>
      </c>
      <c r="MA189" s="47" t="str">
        <f t="shared" si="2235"/>
        <v xml:space="preserve"> </v>
      </c>
      <c r="MB189" s="57" t="str">
        <f t="shared" si="2235"/>
        <v xml:space="preserve"> </v>
      </c>
      <c r="MC189" s="47" t="str">
        <f t="shared" si="2235"/>
        <v xml:space="preserve"> </v>
      </c>
      <c r="MD189" s="47" t="str">
        <f t="shared" si="2235"/>
        <v xml:space="preserve"> </v>
      </c>
      <c r="ME189" s="47" t="str">
        <f t="shared" si="2235"/>
        <v xml:space="preserve"> </v>
      </c>
      <c r="MF189" s="47" t="str">
        <f t="shared" si="2235"/>
        <v xml:space="preserve"> </v>
      </c>
      <c r="MG189" s="47" t="str">
        <f t="shared" si="2235"/>
        <v xml:space="preserve"> </v>
      </c>
      <c r="MH189" s="57" t="str">
        <f t="shared" si="2235"/>
        <v xml:space="preserve"> </v>
      </c>
      <c r="MI189" s="47" t="str">
        <f t="shared" si="2235"/>
        <v xml:space="preserve"> </v>
      </c>
      <c r="MJ189" s="47" t="str">
        <f t="shared" si="2235"/>
        <v xml:space="preserve"> </v>
      </c>
      <c r="MK189" s="47" t="str">
        <f t="shared" si="2235"/>
        <v xml:space="preserve"> </v>
      </c>
      <c r="ML189" s="47" t="str">
        <f t="shared" si="2235"/>
        <v xml:space="preserve"> </v>
      </c>
      <c r="MM189" s="47" t="str">
        <f t="shared" si="2235"/>
        <v xml:space="preserve"> </v>
      </c>
      <c r="MN189" s="57" t="str">
        <f t="shared" si="2235"/>
        <v xml:space="preserve"> </v>
      </c>
      <c r="MO189" s="47" t="str">
        <f t="shared" si="2235"/>
        <v xml:space="preserve"> </v>
      </c>
      <c r="MP189" s="47" t="str">
        <f t="shared" si="2235"/>
        <v xml:space="preserve"> </v>
      </c>
      <c r="MQ189" s="47" t="str">
        <f t="shared" si="2235"/>
        <v xml:space="preserve"> </v>
      </c>
      <c r="MR189" s="47" t="str">
        <f t="shared" si="2235"/>
        <v xml:space="preserve"> </v>
      </c>
      <c r="MS189" s="47" t="str">
        <f t="shared" si="2235"/>
        <v xml:space="preserve"> </v>
      </c>
      <c r="MT189" s="57" t="str">
        <f t="shared" si="2235"/>
        <v xml:space="preserve"> </v>
      </c>
      <c r="MU189" s="47" t="str">
        <f t="shared" si="2235"/>
        <v xml:space="preserve"> </v>
      </c>
      <c r="MV189" s="47" t="str">
        <f t="shared" si="2235"/>
        <v xml:space="preserve"> </v>
      </c>
      <c r="MW189" s="47" t="str">
        <f t="shared" si="2235"/>
        <v xml:space="preserve"> </v>
      </c>
      <c r="MX189" s="47" t="str">
        <f t="shared" si="2235"/>
        <v xml:space="preserve"> </v>
      </c>
      <c r="MY189" s="47" t="str">
        <f t="shared" si="2235"/>
        <v xml:space="preserve"> </v>
      </c>
      <c r="MZ189" s="57" t="str">
        <f t="shared" si="2235"/>
        <v xml:space="preserve"> </v>
      </c>
      <c r="NA189" s="47" t="str">
        <f t="shared" si="2235"/>
        <v xml:space="preserve"> </v>
      </c>
      <c r="NB189" s="47" t="str">
        <f t="shared" si="2235"/>
        <v xml:space="preserve"> </v>
      </c>
      <c r="NC189" s="47" t="str">
        <f t="shared" si="2235"/>
        <v xml:space="preserve"> </v>
      </c>
      <c r="ND189" s="47" t="str">
        <f t="shared" si="2235"/>
        <v xml:space="preserve"> </v>
      </c>
      <c r="NE189" s="47" t="str">
        <f t="shared" si="2235"/>
        <v xml:space="preserve"> </v>
      </c>
      <c r="NF189" s="57" t="str">
        <f t="shared" si="2235"/>
        <v xml:space="preserve"> </v>
      </c>
      <c r="NG189" s="47" t="str">
        <f t="shared" si="2235"/>
        <v xml:space="preserve"> </v>
      </c>
      <c r="NH189" s="47" t="str">
        <f t="shared" si="2235"/>
        <v xml:space="preserve"> </v>
      </c>
      <c r="NI189" s="47" t="str">
        <f t="shared" si="2235"/>
        <v xml:space="preserve"> </v>
      </c>
      <c r="NJ189" s="47" t="str">
        <f t="shared" si="2235"/>
        <v xml:space="preserve"> </v>
      </c>
      <c r="NK189" s="47" t="str">
        <f t="shared" si="2235"/>
        <v xml:space="preserve"> </v>
      </c>
      <c r="NL189" s="57" t="str">
        <f t="shared" si="2235"/>
        <v xml:space="preserve"> </v>
      </c>
      <c r="NM189" s="47" t="str">
        <f t="shared" si="2235"/>
        <v xml:space="preserve"> </v>
      </c>
    </row>
    <row r="190" spans="3:377" ht="15.75" customHeight="1">
      <c r="C190" s="7" t="str">
        <f t="shared" si="841"/>
        <v>interaction</v>
      </c>
      <c r="D190" s="21" t="str">
        <f t="shared" si="2000"/>
        <v xml:space="preserve"> </v>
      </c>
      <c r="E190" s="21" t="str">
        <f t="shared" si="842"/>
        <v xml:space="preserve"> </v>
      </c>
      <c r="F190" s="21" t="str">
        <f t="shared" si="2000"/>
        <v xml:space="preserve"> </v>
      </c>
      <c r="G190" s="21" t="str">
        <f t="shared" si="843"/>
        <v xml:space="preserve"> </v>
      </c>
      <c r="H190" s="21" t="str">
        <f t="shared" si="844"/>
        <v xml:space="preserve"> </v>
      </c>
      <c r="I190" s="21" t="str">
        <f t="shared" ref="I190" si="2236">IF(I88="",I191,$C190&amp;"("&amp;I88&amp;"),"&amp;I191)</f>
        <v xml:space="preserve"> </v>
      </c>
      <c r="J190" s="21" t="str">
        <f t="shared" ref="J190" si="2237">IF(J88="",J191,$C190&amp;" "&amp;J88&amp;CHAR(10)&amp;J191)</f>
        <v xml:space="preserve">interaction 1
 </v>
      </c>
      <c r="K190" s="21" t="str">
        <f t="shared" si="654"/>
        <v xml:space="preserve"> </v>
      </c>
      <c r="L190" s="21" t="str">
        <f t="shared" ref="L190" si="2238">IF(L88="",L191,$C190&amp;" "&amp;L88&amp;CHAR(10)&amp;L191)</f>
        <v xml:space="preserve"> </v>
      </c>
      <c r="M190" s="21" t="str">
        <f t="shared" si="656"/>
        <v xml:space="preserve">social innovation(1), non-profit biz(1),  </v>
      </c>
      <c r="N190" s="21" t="str">
        <f t="shared" si="657"/>
        <v xml:space="preserve"> </v>
      </c>
      <c r="O190" s="21" t="str">
        <f t="shared" si="2004"/>
        <v xml:space="preserve"> </v>
      </c>
      <c r="P190" s="21" t="str">
        <f t="shared" ref="P190" si="2239">IF(P88="",P191,$C190&amp;" "&amp;P88&amp;CHAR(10)&amp;P191)</f>
        <v xml:space="preserve">biz project 1
 </v>
      </c>
      <c r="Q190" s="21" t="str">
        <f t="shared" si="660"/>
        <v xml:space="preserve"> </v>
      </c>
      <c r="R190" s="21" t="str">
        <f t="shared" ref="R190" si="2240">IF(R88="",R191,$C190&amp;" "&amp;R88&amp;CHAR(10)&amp;R191)</f>
        <v xml:space="preserve"> </v>
      </c>
      <c r="S190" s="21" t="str">
        <f t="shared" si="662"/>
        <v xml:space="preserve">biz enhancement(1), business(1), start-up(1),  </v>
      </c>
      <c r="T190" s="21" t="str">
        <f t="shared" si="663"/>
        <v xml:space="preserve"> </v>
      </c>
      <c r="U190" s="21" t="str">
        <f t="shared" si="2004"/>
        <v xml:space="preserve"> </v>
      </c>
      <c r="V190" s="21" t="str">
        <f t="shared" ref="V190" si="2241">IF(V88="",V191,$C190&amp;" "&amp;V88&amp;CHAR(10)&amp;V191)</f>
        <v xml:space="preserve"> </v>
      </c>
      <c r="W190" s="21" t="str">
        <f t="shared" si="665"/>
        <v xml:space="preserve"> </v>
      </c>
      <c r="X190" s="21" t="str">
        <f t="shared" ref="X190" si="2242">IF(X88="",X191,$C190&amp;" "&amp;X88&amp;CHAR(10)&amp;X191)</f>
        <v xml:space="preserve"> </v>
      </c>
      <c r="Y190" s="21" t="str">
        <f t="shared" si="667"/>
        <v xml:space="preserve">biz project(1), biz enhancement(1), job creation(1), business(1),  </v>
      </c>
      <c r="Z190" s="21" t="str">
        <f t="shared" si="668"/>
        <v xml:space="preserve"> </v>
      </c>
      <c r="AA190" s="21" t="str">
        <f t="shared" si="2004"/>
        <v xml:space="preserve"> </v>
      </c>
      <c r="AB190" s="21" t="str">
        <f t="shared" ref="AB190" si="2243">IF(AB88="",AB191,$C190&amp;" "&amp;AB88&amp;CHAR(10)&amp;AB191)</f>
        <v xml:space="preserve"> </v>
      </c>
      <c r="AC190" s="21" t="str">
        <f t="shared" si="670"/>
        <v xml:space="preserve"> </v>
      </c>
      <c r="AD190" s="21" t="str">
        <f t="shared" ref="AD190" si="2244">IF(AD88="",AD191,$C190&amp;" "&amp;AD88&amp;CHAR(10)&amp;AD191)</f>
        <v xml:space="preserve"> </v>
      </c>
      <c r="AE190" s="21" t="str">
        <f t="shared" si="672"/>
        <v xml:space="preserve">social project(1), social innovation(1), non-profit biz(1),  </v>
      </c>
      <c r="AF190" s="21" t="str">
        <f t="shared" si="673"/>
        <v xml:space="preserve"> </v>
      </c>
      <c r="AG190" s="21" t="str">
        <f t="shared" si="2004"/>
        <v xml:space="preserve"> </v>
      </c>
      <c r="AH190" s="21" t="str">
        <f t="shared" ref="AH190" si="2245">IF(AH88="",AH191,$C190&amp;" "&amp;AH88&amp;CHAR(10)&amp;AH191)</f>
        <v xml:space="preserve"> </v>
      </c>
      <c r="AI190" s="21" t="str">
        <f t="shared" si="675"/>
        <v xml:space="preserve"> </v>
      </c>
      <c r="AJ190" s="21" t="str">
        <f t="shared" ref="AJ190" si="2246">IF(AJ88="",AJ191,$C190&amp;" "&amp;AJ88&amp;CHAR(10)&amp;AJ191)</f>
        <v xml:space="preserve"> </v>
      </c>
      <c r="AK190" s="21" t="str">
        <f t="shared" si="677"/>
        <v xml:space="preserve">social project(1), social innovation(1), non-profit biz(1),  </v>
      </c>
      <c r="AL190" s="21" t="str">
        <f t="shared" si="678"/>
        <v xml:space="preserve"> </v>
      </c>
      <c r="AM190" s="21" t="str">
        <f t="shared" si="2004"/>
        <v xml:space="preserve"> </v>
      </c>
      <c r="AN190" s="21" t="str">
        <f t="shared" ref="AN190" si="2247">IF(AN88="",AN191,$C190&amp;" "&amp;AN88&amp;CHAR(10)&amp;AN191)</f>
        <v xml:space="preserve"> </v>
      </c>
      <c r="AO190" s="21" t="str">
        <f t="shared" si="680"/>
        <v xml:space="preserve"> </v>
      </c>
      <c r="AP190" s="21" t="str">
        <f t="shared" ref="AP190" si="2248">IF(AP88="",AP191,$C190&amp;" "&amp;AP88&amp;CHAR(10)&amp;AP191)</f>
        <v xml:space="preserve"> </v>
      </c>
      <c r="AQ190" s="21" t="str">
        <f t="shared" si="682"/>
        <v xml:space="preserve">start-up(1), start-up with mvp(1), start-up with customers(1),  </v>
      </c>
      <c r="AR190" s="21" t="str">
        <f t="shared" si="683"/>
        <v xml:space="preserve"> </v>
      </c>
      <c r="AS190" s="21" t="str">
        <f t="shared" si="2004"/>
        <v xml:space="preserve"> </v>
      </c>
      <c r="AT190" s="21" t="str">
        <f t="shared" ref="AT190" si="2249">IF(AT88="",AT191,$C190&amp;" "&amp;AT88&amp;CHAR(10)&amp;AT191)</f>
        <v xml:space="preserve">social project 1
 </v>
      </c>
      <c r="AU190" s="21" t="str">
        <f t="shared" si="685"/>
        <v xml:space="preserve"> </v>
      </c>
      <c r="AV190" s="21" t="str">
        <f t="shared" ref="AV190" si="2250">IF(AV88="",AV191,$C190&amp;" "&amp;AV88&amp;CHAR(10)&amp;AV191)</f>
        <v xml:space="preserve"> </v>
      </c>
      <c r="AW190" s="21" t="str">
        <f t="shared" si="687"/>
        <v xml:space="preserve"> </v>
      </c>
      <c r="AX190" s="21" t="str">
        <f t="shared" si="688"/>
        <v xml:space="preserve"> </v>
      </c>
      <c r="AY190" s="21" t="str">
        <f t="shared" si="2004"/>
        <v xml:space="preserve"> </v>
      </c>
      <c r="AZ190" s="21" t="str">
        <f t="shared" ref="AZ190" si="2251">IF(AZ88="",AZ191,$C190&amp;" "&amp;AZ88&amp;CHAR(10)&amp;AZ191)</f>
        <v xml:space="preserve"> </v>
      </c>
      <c r="BA190" s="21" t="str">
        <f t="shared" si="690"/>
        <v xml:space="preserve"> </v>
      </c>
      <c r="BB190" s="21" t="str">
        <f t="shared" ref="BB190" si="2252">IF(BB88="",BB191,$C190&amp;" "&amp;BB88&amp;CHAR(10)&amp;BB191)</f>
        <v xml:space="preserve"> </v>
      </c>
      <c r="BC190" s="21" t="str">
        <f t="shared" si="692"/>
        <v xml:space="preserve"> </v>
      </c>
      <c r="BD190" s="21" t="str">
        <f t="shared" si="693"/>
        <v xml:space="preserve"> </v>
      </c>
      <c r="BE190" s="21" t="str">
        <f t="shared" si="2004"/>
        <v xml:space="preserve"> </v>
      </c>
      <c r="BF190" s="21" t="str">
        <f t="shared" ref="BF190" si="2253">IF(BF88="",BF191,$C190&amp;" "&amp;BF88&amp;CHAR(10)&amp;BF191)</f>
        <v xml:space="preserve">biz project 1
 </v>
      </c>
      <c r="BG190" s="21" t="str">
        <f t="shared" si="695"/>
        <v xml:space="preserve"> </v>
      </c>
      <c r="BH190" s="21" t="str">
        <f t="shared" ref="BH190" si="2254">IF(BH88="",BH191,$C190&amp;" "&amp;BH88&amp;CHAR(10)&amp;BH191)</f>
        <v xml:space="preserve"> </v>
      </c>
      <c r="BI190" s="21" t="str">
        <f t="shared" si="697"/>
        <v xml:space="preserve"> </v>
      </c>
      <c r="BJ190" s="21" t="str">
        <f t="shared" si="698"/>
        <v xml:space="preserve"> </v>
      </c>
      <c r="BK190" s="21" t="str">
        <f t="shared" si="2004"/>
        <v xml:space="preserve"> </v>
      </c>
      <c r="BL190" s="21" t="str">
        <f t="shared" ref="BL190" si="2255">IF(BL88="",BL191,$C190&amp;" "&amp;BL88&amp;CHAR(10)&amp;BL191)</f>
        <v xml:space="preserve">biz enhancement 1
 </v>
      </c>
      <c r="BM190" s="21" t="str">
        <f t="shared" si="700"/>
        <v xml:space="preserve"> </v>
      </c>
      <c r="BN190" s="21" t="str">
        <f t="shared" ref="BN190" si="2256">IF(BN88="",BN191,$C190&amp;" "&amp;BN88&amp;CHAR(10)&amp;BN191)</f>
        <v xml:space="preserve"> </v>
      </c>
      <c r="BO190" s="21" t="str">
        <f t="shared" si="702"/>
        <v xml:space="preserve"> </v>
      </c>
      <c r="BP190" s="21" t="str">
        <f t="shared" si="703"/>
        <v xml:space="preserve"> </v>
      </c>
      <c r="BQ190" s="21" t="str">
        <f t="shared" si="2004"/>
        <v xml:space="preserve"> </v>
      </c>
      <c r="BR190" s="21" t="str">
        <f t="shared" ref="BR190" si="2257">IF(BR88="",BR191,$C190&amp;" "&amp;BR88&amp;CHAR(10)&amp;BR191)</f>
        <v xml:space="preserve"> </v>
      </c>
      <c r="BS190" s="21" t="str">
        <f t="shared" si="705"/>
        <v xml:space="preserve"> </v>
      </c>
      <c r="BT190" s="21" t="str">
        <f t="shared" ref="BT190" si="2258">IF(BT88="",BT191,$C190&amp;" "&amp;BT88&amp;CHAR(10)&amp;BT191)</f>
        <v xml:space="preserve"> </v>
      </c>
      <c r="BU190" s="21" t="str">
        <f t="shared" si="707"/>
        <v xml:space="preserve"> </v>
      </c>
      <c r="BV190" s="21" t="str">
        <f t="shared" si="708"/>
        <v xml:space="preserve"> </v>
      </c>
      <c r="BW190" s="21" t="str">
        <f t="shared" si="2004"/>
        <v xml:space="preserve"> </v>
      </c>
      <c r="BX190" s="21" t="str">
        <f t="shared" ref="BX190" si="2259">IF(BX88="",BX191,$C190&amp;" "&amp;BX88&amp;CHAR(10)&amp;BX191)</f>
        <v xml:space="preserve"> </v>
      </c>
      <c r="BY190" s="21" t="str">
        <f t="shared" si="710"/>
        <v xml:space="preserve"> </v>
      </c>
      <c r="BZ190" s="21" t="str">
        <f t="shared" ref="BZ190" si="2260">IF(BZ88="",BZ191,$C190&amp;" "&amp;BZ88&amp;CHAR(10)&amp;BZ191)</f>
        <v xml:space="preserve"> </v>
      </c>
      <c r="CA190" s="21" t="str">
        <f t="shared" si="712"/>
        <v xml:space="preserve"> </v>
      </c>
      <c r="CB190" s="21" t="str">
        <f t="shared" si="713"/>
        <v xml:space="preserve"> </v>
      </c>
      <c r="CC190" s="21" t="str">
        <f t="shared" si="2027"/>
        <v xml:space="preserve"> </v>
      </c>
      <c r="CD190" s="21" t="str">
        <f t="shared" ref="CD190" si="2261">IF(CD88="",CD191,$C190&amp;" "&amp;CD88&amp;CHAR(10)&amp;CD191)</f>
        <v xml:space="preserve"> </v>
      </c>
      <c r="CE190" s="21" t="str">
        <f t="shared" si="716"/>
        <v xml:space="preserve"> </v>
      </c>
      <c r="CF190" s="21" t="str">
        <f t="shared" ref="CF190" si="2262">IF(CF88="",CF191,$C190&amp;" "&amp;CF88&amp;CHAR(10)&amp;CF191)</f>
        <v xml:space="preserve"> </v>
      </c>
      <c r="CG190" s="21" t="str">
        <f t="shared" si="718"/>
        <v xml:space="preserve">social project(1), biz project(1), for basic literacy(1), for the elites(1), for entrepreneurs(1),  </v>
      </c>
      <c r="CH190" s="21" t="str">
        <f t="shared" si="719"/>
        <v xml:space="preserve"> </v>
      </c>
      <c r="CI190" s="21" t="str">
        <f t="shared" si="2027"/>
        <v xml:space="preserve"> </v>
      </c>
      <c r="CJ190" s="21" t="str">
        <f t="shared" ref="CJ190" si="2263">IF(CJ88="",CJ191,$C190&amp;" "&amp;CJ88&amp;CHAR(10)&amp;CJ191)</f>
        <v xml:space="preserve"> </v>
      </c>
      <c r="CK190" s="21" t="str">
        <f t="shared" si="721"/>
        <v xml:space="preserve"> </v>
      </c>
      <c r="CL190" s="21" t="str">
        <f t="shared" ref="CL190" si="2264">IF(CL88="",CL191,$C190&amp;" "&amp;CL88&amp;CHAR(10)&amp;CL191)</f>
        <v xml:space="preserve"> </v>
      </c>
      <c r="CM190" s="21" t="str">
        <f t="shared" si="723"/>
        <v xml:space="preserve"> </v>
      </c>
      <c r="CN190" s="21" t="str">
        <f t="shared" si="724"/>
        <v xml:space="preserve"> </v>
      </c>
      <c r="CO190" s="21" t="str">
        <f t="shared" si="2027"/>
        <v xml:space="preserve"> </v>
      </c>
      <c r="CP190" s="21" t="str">
        <f t="shared" ref="CP190" si="2265">IF(CP88="",CP191,$C190&amp;" "&amp;CP88&amp;CHAR(10)&amp;CP191)</f>
        <v xml:space="preserve"> </v>
      </c>
      <c r="CQ190" s="21" t="str">
        <f t="shared" si="726"/>
        <v xml:space="preserve"> </v>
      </c>
      <c r="CR190" s="21" t="str">
        <f t="shared" ref="CR190" si="2266">IF(CR88="",CR191,$C190&amp;" "&amp;CR88&amp;CHAR(10)&amp;CR191)</f>
        <v xml:space="preserve"> </v>
      </c>
      <c r="CS190" s="21" t="str">
        <f t="shared" si="728"/>
        <v xml:space="preserve"> </v>
      </c>
      <c r="CT190" s="21" t="str">
        <f t="shared" si="729"/>
        <v xml:space="preserve"> </v>
      </c>
      <c r="CU190" s="21" t="str">
        <f t="shared" si="2027"/>
        <v xml:space="preserve"> </v>
      </c>
      <c r="CV190" s="21" t="str">
        <f t="shared" ref="CV190" si="2267">IF(CV88="",CV191,$C190&amp;" "&amp;CV88&amp;CHAR(10)&amp;CV191)</f>
        <v xml:space="preserve"> </v>
      </c>
      <c r="CW190" s="21" t="str">
        <f t="shared" si="731"/>
        <v xml:space="preserve"> </v>
      </c>
      <c r="CX190" s="21" t="str">
        <f t="shared" ref="CX190" si="2268">IF(CX88="",CX191,$C190&amp;" "&amp;CX88&amp;CHAR(10)&amp;CX191)</f>
        <v xml:space="preserve"> </v>
      </c>
      <c r="CY190" s="21" t="str">
        <f t="shared" si="733"/>
        <v xml:space="preserve"> </v>
      </c>
      <c r="CZ190" s="21" t="str">
        <f t="shared" si="734"/>
        <v xml:space="preserve"> </v>
      </c>
      <c r="DA190" s="21" t="str">
        <f t="shared" si="2027"/>
        <v xml:space="preserve"> </v>
      </c>
      <c r="DB190" s="21" t="str">
        <f t="shared" ref="DB190" si="2269">IF(DB88="",DB191,$C190&amp;" "&amp;DB88&amp;CHAR(10)&amp;DB191)</f>
        <v xml:space="preserve"> </v>
      </c>
      <c r="DC190" s="21" t="str">
        <f t="shared" si="736"/>
        <v xml:space="preserve"> </v>
      </c>
      <c r="DD190" s="21" t="str">
        <f t="shared" ref="DD190" si="2270">IF(DD88="",DD191,$C190&amp;" "&amp;DD88&amp;CHAR(10)&amp;DD191)</f>
        <v xml:space="preserve"> </v>
      </c>
      <c r="DE190" s="21" t="str">
        <f t="shared" si="738"/>
        <v xml:space="preserve">interaction(2), biz project(1), biz enhancement(1), job creation(1), business(1), start-up(1), start-up with mvp(1), start-up with customers(1), for entrepreneurs(2),  </v>
      </c>
      <c r="DF190" s="21" t="str">
        <f t="shared" si="739"/>
        <v xml:space="preserve"> </v>
      </c>
      <c r="DG190" s="21" t="str">
        <f t="shared" si="2027"/>
        <v xml:space="preserve"> </v>
      </c>
      <c r="DH190" s="21" t="str">
        <f t="shared" ref="DH190" si="2271">IF(DH88="",DH191,$C190&amp;" "&amp;DH88&amp;CHAR(10)&amp;DH191)</f>
        <v xml:space="preserve">social project 1
 </v>
      </c>
      <c r="DI190" s="21" t="str">
        <f t="shared" si="741"/>
        <v xml:space="preserve"> </v>
      </c>
      <c r="DJ190" s="21" t="str">
        <f t="shared" ref="DJ190" si="2272">IF(DJ88="",DJ191,$C190&amp;" "&amp;DJ88&amp;CHAR(10)&amp;DJ191)</f>
        <v xml:space="preserve"> </v>
      </c>
      <c r="DK190" s="21" t="str">
        <f t="shared" si="743"/>
        <v xml:space="preserve">interaction(2), social project(2), social innovation(1), non-profit biz(1),  </v>
      </c>
      <c r="DL190" s="21" t="str">
        <f t="shared" si="744"/>
        <v xml:space="preserve"> </v>
      </c>
      <c r="DM190" s="21" t="str">
        <f t="shared" si="2027"/>
        <v xml:space="preserve"> </v>
      </c>
      <c r="DN190" s="21" t="str">
        <f t="shared" ref="DN190" si="2273">IF(DN88="",DN191,$C190&amp;" "&amp;DN88&amp;CHAR(10)&amp;DN191)</f>
        <v xml:space="preserve">biz project 1
 </v>
      </c>
      <c r="DO190" s="21" t="str">
        <f t="shared" si="746"/>
        <v xml:space="preserve"> </v>
      </c>
      <c r="DP190" s="21" t="str">
        <f t="shared" ref="DP190" si="2274">IF(DP88="",DP191,$C190&amp;" "&amp;DP88&amp;CHAR(10)&amp;DP191)</f>
        <v xml:space="preserve"> </v>
      </c>
      <c r="DQ190" s="21" t="str">
        <f t="shared" si="748"/>
        <v xml:space="preserve">interaction(2), biz project(2), biz enhancement(1), job creation(1), business(1), start-up(1), start-up with mvp(1), start-up with customers(1), for entrepreneurs(1),  </v>
      </c>
      <c r="DR190" s="21" t="str">
        <f t="shared" si="749"/>
        <v xml:space="preserve"> </v>
      </c>
      <c r="DS190" s="21" t="str">
        <f t="shared" si="2027"/>
        <v xml:space="preserve"> </v>
      </c>
      <c r="DT190" s="21" t="str">
        <f t="shared" ref="DT190" si="2275">IF(DT88="",DT191,$C190&amp;" "&amp;DT88&amp;CHAR(10)&amp;DT191)</f>
        <v xml:space="preserve"> </v>
      </c>
      <c r="DU190" s="21" t="str">
        <f t="shared" si="751"/>
        <v xml:space="preserve"> </v>
      </c>
      <c r="DV190" s="21" t="str">
        <f t="shared" ref="DV190" si="2276">IF(DV88="",DV191,$C190&amp;" "&amp;DV88&amp;CHAR(10)&amp;DV191)</f>
        <v xml:space="preserve"> </v>
      </c>
      <c r="DW190" s="21" t="str">
        <f t="shared" si="753"/>
        <v xml:space="preserve">for basic literacy(1),  </v>
      </c>
      <c r="DX190" s="21" t="str">
        <f t="shared" si="754"/>
        <v xml:space="preserve">for basic literacy(1,6.25),  </v>
      </c>
      <c r="DY190" s="21" t="str">
        <f t="shared" si="2027"/>
        <v xml:space="preserve">for basic literacy(6.25), </v>
      </c>
      <c r="DZ190" s="21" t="str">
        <f t="shared" ref="DZ190" si="2277">IF(DZ88="",DZ191,$C190&amp;" "&amp;DZ88&amp;CHAR(10)&amp;DZ191)</f>
        <v xml:space="preserve"> </v>
      </c>
      <c r="EA190" s="21" t="str">
        <f t="shared" si="756"/>
        <v xml:space="preserve"> </v>
      </c>
      <c r="EB190" s="21" t="str">
        <f t="shared" ref="EB190" si="2278">IF(EB88="",EB191,$C190&amp;" "&amp;EB88&amp;CHAR(10)&amp;EB191)</f>
        <v xml:space="preserve"> </v>
      </c>
      <c r="EC190" s="21" t="str">
        <f t="shared" si="758"/>
        <v xml:space="preserve">for basic literacy(1),  </v>
      </c>
      <c r="ED190" s="21" t="str">
        <f t="shared" si="759"/>
        <v xml:space="preserve">for basic literacy(1,6.25),  </v>
      </c>
      <c r="EE190" s="21" t="str">
        <f t="shared" si="2027"/>
        <v xml:space="preserve">for basic literacy(6.25), </v>
      </c>
      <c r="EF190" s="21" t="str">
        <f t="shared" ref="EF190" si="2279">IF(EF88="",EF191,$C190&amp;" "&amp;EF88&amp;CHAR(10)&amp;EF191)</f>
        <v xml:space="preserve"> </v>
      </c>
      <c r="EG190" s="21" t="str">
        <f t="shared" si="761"/>
        <v xml:space="preserve">interaction(1,50),  </v>
      </c>
      <c r="EH190" s="21" t="str">
        <f t="shared" ref="EH190" si="2280">IF(EH88="",EH191,$C190&amp;" "&amp;EH88&amp;CHAR(10)&amp;EH191)</f>
        <v xml:space="preserve">interaction 50
 </v>
      </c>
      <c r="EI190" s="21" t="str">
        <f t="shared" si="763"/>
        <v xml:space="preserve">for entrepreneurs(1),  </v>
      </c>
      <c r="EJ190" s="21" t="str">
        <f t="shared" si="764"/>
        <v xml:space="preserve">for entrepreneurs(1,6.25),  </v>
      </c>
      <c r="EK190" s="21" t="str">
        <f t="shared" si="2027"/>
        <v xml:space="preserve">for entrepreneurs(6.25), </v>
      </c>
      <c r="EL190" s="21" t="str">
        <f t="shared" ref="EL190" si="2281">IF(EL88="",EL191,$C190&amp;" "&amp;EL88&amp;CHAR(10)&amp;EL191)</f>
        <v xml:space="preserve"> </v>
      </c>
      <c r="EM190" s="21" t="str">
        <f t="shared" si="766"/>
        <v xml:space="preserve"> </v>
      </c>
      <c r="EN190" s="21" t="str">
        <f t="shared" ref="EN190" si="2282">IF(EN88="",EN191,$C190&amp;" "&amp;EN88&amp;CHAR(10)&amp;EN191)</f>
        <v xml:space="preserve"> </v>
      </c>
      <c r="EO190" s="21" t="str">
        <f t="shared" si="768"/>
        <v xml:space="preserve">for entrepreneurs(1),  </v>
      </c>
      <c r="EP190" s="21" t="str">
        <f t="shared" si="769"/>
        <v xml:space="preserve">for entrepreneurs(1,6.25),  </v>
      </c>
      <c r="EQ190" s="21" t="str">
        <f t="shared" si="2050"/>
        <v xml:space="preserve">for entrepreneurs(6.25), </v>
      </c>
      <c r="ER190" s="21" t="str">
        <f t="shared" ref="ER190" si="2283">IF(ER88="",ER191,$C190&amp;" "&amp;ER88&amp;CHAR(10)&amp;ER191)</f>
        <v xml:space="preserve"> </v>
      </c>
      <c r="ES190" s="21" t="str">
        <f t="shared" si="772"/>
        <v xml:space="preserve"> </v>
      </c>
      <c r="ET190" s="21" t="str">
        <f t="shared" ref="ET190" si="2284">IF(ET88="",ET191,$C190&amp;" "&amp;ET88&amp;CHAR(10)&amp;ET191)</f>
        <v xml:space="preserve"> </v>
      </c>
      <c r="EU190" s="21" t="str">
        <f t="shared" si="774"/>
        <v xml:space="preserve">for entrepreneurs(1),  </v>
      </c>
      <c r="EV190" s="21" t="str">
        <f t="shared" si="775"/>
        <v xml:space="preserve">for entrepreneurs(1,6.25),  </v>
      </c>
      <c r="EW190" s="21" t="str">
        <f t="shared" si="2050"/>
        <v xml:space="preserve">for entrepreneurs(6.25), </v>
      </c>
      <c r="EX190" s="21" t="str">
        <f t="shared" ref="EX190" si="2285">IF(EX88="",EX191,$C190&amp;" "&amp;EX88&amp;CHAR(10)&amp;EX191)</f>
        <v xml:space="preserve"> </v>
      </c>
      <c r="EY190" s="21" t="str">
        <f t="shared" si="777"/>
        <v xml:space="preserve">interaction(1,25),  </v>
      </c>
      <c r="EZ190" s="21" t="str">
        <f t="shared" ref="EZ190" si="2286">IF(EZ88="",EZ191,$C190&amp;" "&amp;EZ88&amp;CHAR(10)&amp;EZ191)</f>
        <v xml:space="preserve">interaction 25
 </v>
      </c>
      <c r="FA190" s="21" t="str">
        <f t="shared" si="779"/>
        <v xml:space="preserve">for entrepreneurs(1),  </v>
      </c>
      <c r="FB190" s="21" t="str">
        <f t="shared" si="780"/>
        <v xml:space="preserve">for entrepreneurs(1,6.25),  </v>
      </c>
      <c r="FC190" s="21" t="str">
        <f t="shared" si="2050"/>
        <v xml:space="preserve">for entrepreneurs(6.25), </v>
      </c>
      <c r="FD190" s="21" t="str">
        <f t="shared" ref="FD190" si="2287">IF(FD88="",FD191,$C190&amp;" "&amp;FD88&amp;CHAR(10)&amp;FD191)</f>
        <v xml:space="preserve"> </v>
      </c>
      <c r="FE190" s="21" t="str">
        <f t="shared" si="782"/>
        <v xml:space="preserve"> </v>
      </c>
      <c r="FF190" s="21" t="str">
        <f t="shared" ref="FF190" si="2288">IF(FF88="",FF191,$C190&amp;" "&amp;FF88&amp;CHAR(10)&amp;FF191)</f>
        <v xml:space="preserve"> </v>
      </c>
      <c r="FG190" s="21" t="str">
        <f t="shared" si="784"/>
        <v xml:space="preserve">for entrepreneurs(1),  </v>
      </c>
      <c r="FH190" s="21" t="str">
        <f t="shared" si="785"/>
        <v xml:space="preserve">for entrepreneurs(1,6.25),  </v>
      </c>
      <c r="FI190" s="21" t="str">
        <f t="shared" si="2050"/>
        <v xml:space="preserve">for entrepreneurs(6.25), </v>
      </c>
      <c r="FJ190" s="21" t="str">
        <f t="shared" ref="FJ190" si="2289">IF(FJ88="",FJ191,$C190&amp;" "&amp;FJ88&amp;CHAR(10)&amp;FJ191)</f>
        <v xml:space="preserve"> </v>
      </c>
      <c r="FK190" s="21" t="str">
        <f t="shared" si="787"/>
        <v xml:space="preserve">interaction(1,25),  </v>
      </c>
      <c r="FL190" s="21" t="str">
        <f t="shared" ref="FL190" si="2290">IF(FL88="",FL191,$C190&amp;" "&amp;FL88&amp;CHAR(10)&amp;FL191)</f>
        <v xml:space="preserve">interaction 25
 </v>
      </c>
      <c r="FM190" s="21" t="str">
        <f t="shared" si="789"/>
        <v xml:space="preserve">for entrepreneurs(1),  </v>
      </c>
      <c r="FN190" s="21" t="str">
        <f t="shared" si="790"/>
        <v xml:space="preserve">for entrepreneurs(1,6.25),  </v>
      </c>
      <c r="FO190" s="21" t="str">
        <f t="shared" si="2050"/>
        <v xml:space="preserve">for entrepreneurs(6.25), </v>
      </c>
      <c r="FP190" s="21" t="str">
        <f t="shared" ref="FP190" si="2291">IF(FP88="",FP191,$C190&amp;" "&amp;FP88&amp;CHAR(10)&amp;FP191)</f>
        <v xml:space="preserve"> </v>
      </c>
      <c r="FQ190" s="21" t="str">
        <f t="shared" si="792"/>
        <v xml:space="preserve">interaction(1,25),  </v>
      </c>
      <c r="FR190" s="21" t="str">
        <f t="shared" ref="FR190" si="2292">IF(FR88="",FR191,$C190&amp;" "&amp;FR88&amp;CHAR(10)&amp;FR191)</f>
        <v xml:space="preserve">interaction 25
 </v>
      </c>
      <c r="FS190" s="21" t="str">
        <f t="shared" si="794"/>
        <v xml:space="preserve">for entrepreneurs(1),  </v>
      </c>
      <c r="FT190" s="21" t="str">
        <f t="shared" si="795"/>
        <v xml:space="preserve">for entrepreneurs(1,6.25),  </v>
      </c>
      <c r="FU190" s="21" t="str">
        <f t="shared" si="2050"/>
        <v xml:space="preserve">for entrepreneurs(6.25), </v>
      </c>
      <c r="FV190" s="21" t="str">
        <f t="shared" ref="FV190" si="2293">IF(FV88="",FV191,$C190&amp;" "&amp;FV88&amp;CHAR(10)&amp;FV191)</f>
        <v xml:space="preserve"> </v>
      </c>
      <c r="FW190" s="21" t="str">
        <f t="shared" si="797"/>
        <v xml:space="preserve">interaction(1,25),  </v>
      </c>
      <c r="FX190" s="21" t="str">
        <f t="shared" ref="FX190" si="2294">IF(FX88="",FX191,$C190&amp;" "&amp;FX88&amp;CHAR(10)&amp;FX191)</f>
        <v xml:space="preserve">interaction 25
 </v>
      </c>
      <c r="FY190" s="21" t="str">
        <f t="shared" si="799"/>
        <v xml:space="preserve">for entrepreneurs(1),  </v>
      </c>
      <c r="FZ190" s="21" t="str">
        <f t="shared" si="800"/>
        <v xml:space="preserve">for entrepreneurs(1,6.25),  </v>
      </c>
      <c r="GA190" s="21" t="str">
        <f t="shared" si="2050"/>
        <v xml:space="preserve">for entrepreneurs(6.25), </v>
      </c>
      <c r="GB190" s="21" t="str">
        <f t="shared" ref="GB190" si="2295">IF(GB88="",GB191,$C190&amp;" "&amp;GB88&amp;CHAR(10)&amp;GB191)</f>
        <v xml:space="preserve"> </v>
      </c>
      <c r="GC190" s="21" t="str">
        <f t="shared" si="802"/>
        <v xml:space="preserve"> </v>
      </c>
      <c r="GD190" s="21" t="str">
        <f t="shared" ref="GD190" si="2296">IF(GD88="",GD191,$C190&amp;" "&amp;GD88&amp;CHAR(10)&amp;GD191)</f>
        <v xml:space="preserve"> </v>
      </c>
      <c r="GE190" s="21" t="str">
        <f t="shared" si="804"/>
        <v xml:space="preserve">for entrepreneurs(1),  </v>
      </c>
      <c r="GF190" s="21" t="str">
        <f t="shared" si="805"/>
        <v xml:space="preserve">interaction(1,6.25), for entrepreneurs(1,6.25),  </v>
      </c>
      <c r="GG190" s="21" t="str">
        <f t="shared" si="2050"/>
        <v xml:space="preserve">interaction(6.25),for entrepreneurs(6.25), </v>
      </c>
      <c r="GH190" s="21" t="str">
        <f t="shared" ref="GH190" si="2297">IF(GH88="",GH191,$C190&amp;" "&amp;GH88&amp;CHAR(10)&amp;GH191)</f>
        <v xml:space="preserve"> </v>
      </c>
      <c r="GI190" s="21" t="str">
        <f t="shared" si="807"/>
        <v xml:space="preserve">interaction(1,25),  </v>
      </c>
      <c r="GJ190" s="21" t="str">
        <f t="shared" ref="GJ190" si="2298">IF(GJ88="",GJ191,$C190&amp;" "&amp;GJ88&amp;CHAR(10)&amp;GJ191)</f>
        <v xml:space="preserve">interaction 25
 </v>
      </c>
      <c r="GK190" s="21" t="str">
        <f t="shared" si="809"/>
        <v xml:space="preserve">for entrepreneurs(1),  </v>
      </c>
      <c r="GL190" s="21" t="str">
        <f t="shared" si="810"/>
        <v xml:space="preserve">for entrepreneurs(1,6.25),  </v>
      </c>
      <c r="GM190" s="21" t="str">
        <f t="shared" si="2050"/>
        <v xml:space="preserve">for entrepreneurs(6.25), </v>
      </c>
      <c r="GN190" s="21" t="str">
        <f t="shared" ref="GN190" si="2299">IF(GN88="",GN191,$C190&amp;" "&amp;GN88&amp;CHAR(10)&amp;GN191)</f>
        <v xml:space="preserve"> </v>
      </c>
      <c r="GO190" s="21" t="str">
        <f t="shared" si="812"/>
        <v xml:space="preserve">interaction(1,50),  </v>
      </c>
      <c r="GP190" s="21" t="str">
        <f t="shared" ref="GP190" si="2300">IF(GP88="",GP191,$C190&amp;" "&amp;GP88&amp;CHAR(10)&amp;GP191)</f>
        <v xml:space="preserve">interaction 50
 </v>
      </c>
      <c r="GQ190" s="21" t="str">
        <f t="shared" si="814"/>
        <v xml:space="preserve">for entrepreneurs(1),  </v>
      </c>
      <c r="GR190" s="21" t="str">
        <f t="shared" si="815"/>
        <v xml:space="preserve">for entrepreneurs(1,6.25),  </v>
      </c>
      <c r="GS190" s="21" t="str">
        <f t="shared" si="2050"/>
        <v xml:space="preserve">for entrepreneurs(6.25), </v>
      </c>
      <c r="GT190" s="21" t="str">
        <f t="shared" ref="GT190" si="2301">IF(GT88="",GT191,$C190&amp;" "&amp;GT88&amp;CHAR(10)&amp;GT191)</f>
        <v xml:space="preserve"> </v>
      </c>
      <c r="GU190" s="21" t="str">
        <f t="shared" si="817"/>
        <v xml:space="preserve"> </v>
      </c>
      <c r="GV190" s="21" t="str">
        <f t="shared" ref="GV190" si="2302">IF(GV88="",GV191,$C190&amp;" "&amp;GV88&amp;CHAR(10)&amp;GV191)</f>
        <v xml:space="preserve"> </v>
      </c>
      <c r="GW190" s="21" t="str">
        <f t="shared" si="819"/>
        <v xml:space="preserve"> </v>
      </c>
      <c r="GX190" s="21" t="str">
        <f t="shared" si="820"/>
        <v xml:space="preserve"> </v>
      </c>
      <c r="GY190" s="21" t="str">
        <f t="shared" si="2050"/>
        <v xml:space="preserve"> </v>
      </c>
      <c r="GZ190" s="21" t="str">
        <f t="shared" ref="GZ190" si="2303">IF(GZ88="",GZ191,$C190&amp;" "&amp;GZ88&amp;CHAR(10)&amp;GZ191)</f>
        <v xml:space="preserve"> </v>
      </c>
      <c r="HA190" s="21" t="str">
        <f t="shared" si="822"/>
        <v xml:space="preserve"> </v>
      </c>
      <c r="HB190" s="21" t="str">
        <f t="shared" ref="HB190" si="2304">IF(HB88="",HB191,$C190&amp;" "&amp;HB88&amp;CHAR(10)&amp;HB191)</f>
        <v xml:space="preserve"> </v>
      </c>
      <c r="HC190" s="21" t="str">
        <f t="shared" si="824"/>
        <v xml:space="preserve">interaction(2),  </v>
      </c>
      <c r="HD190" s="21" t="str">
        <f t="shared" si="825"/>
        <v xml:space="preserve">start-up with customers(1,6.25), for basic literacy(1,6.25),  </v>
      </c>
      <c r="HE190" s="21" t="str">
        <f t="shared" si="2073"/>
        <v xml:space="preserve">start-up with customers(6.25),for basic literacy(6.25), </v>
      </c>
      <c r="HF190" s="21" t="str">
        <f t="shared" ref="HF190" si="2305">IF(HF88="",HF191,$C190&amp;" "&amp;HF88&amp;CHAR(10)&amp;HF191)</f>
        <v xml:space="preserve"> </v>
      </c>
      <c r="HG190" s="21" t="str">
        <f t="shared" si="828"/>
        <v xml:space="preserve"> </v>
      </c>
      <c r="HH190" s="21" t="str">
        <f t="shared" ref="HH190" si="2306">IF(HH88="",HH191,$C190&amp;" "&amp;HH88&amp;CHAR(10)&amp;HH191)</f>
        <v xml:space="preserve"> </v>
      </c>
      <c r="HI190" s="21" t="str">
        <f t="shared" si="830"/>
        <v xml:space="preserve">interaction(2),  </v>
      </c>
      <c r="HJ190" s="21" t="str">
        <f t="shared" si="831"/>
        <v xml:space="preserve">start-up with customers(1,6.25),  </v>
      </c>
      <c r="HK190" s="21" t="str">
        <f t="shared" si="2073"/>
        <v xml:space="preserve">start-up with customers(6.25), </v>
      </c>
      <c r="HL190" s="21" t="str">
        <f t="shared" ref="HL190" si="2307">IF(HL88="",HL191,$C190&amp;" "&amp;HL88&amp;CHAR(10)&amp;HL191)</f>
        <v xml:space="preserve"> </v>
      </c>
      <c r="HM190" s="21" t="str">
        <f t="shared" si="833"/>
        <v xml:space="preserve"> </v>
      </c>
      <c r="HN190" s="21" t="str">
        <f t="shared" ref="HN190" si="2308">IF(HN88="",HN191,$C190&amp;" "&amp;HN88&amp;CHAR(10)&amp;HN191)</f>
        <v xml:space="preserve"> </v>
      </c>
      <c r="HO190" s="21" t="str">
        <f t="shared" si="835"/>
        <v xml:space="preserve">interaction(2),  </v>
      </c>
      <c r="HP190" s="21" t="str">
        <f t="shared" si="836"/>
        <v xml:space="preserve"> </v>
      </c>
      <c r="HQ190" s="47" t="str">
        <f t="shared" si="2073"/>
        <v xml:space="preserve"> </v>
      </c>
      <c r="HR190" s="47" t="str">
        <f t="shared" ref="HR190:HW190" si="2309">IF(HR88="",HR191,$C190&amp;"("&amp;HR88&amp;"),"&amp;HR191)</f>
        <v xml:space="preserve"> </v>
      </c>
      <c r="HS190" s="47" t="str">
        <f t="shared" si="2309"/>
        <v xml:space="preserve"> </v>
      </c>
      <c r="HT190" s="47" t="str">
        <f t="shared" si="2309"/>
        <v xml:space="preserve"> </v>
      </c>
      <c r="HU190" s="47" t="str">
        <f t="shared" si="2309"/>
        <v xml:space="preserve">interaction(2),start-up with mvp(1), </v>
      </c>
      <c r="HV190" s="47" t="str">
        <f t="shared" si="2309"/>
        <v xml:space="preserve"> </v>
      </c>
      <c r="HW190" s="47" t="str">
        <f t="shared" si="2309"/>
        <v xml:space="preserve"> </v>
      </c>
      <c r="HX190" s="47" t="str">
        <f t="shared" ref="HX190:IU190" si="2310">IF(HX88="",HX191,$C190&amp;"("&amp;HX88&amp;"),"&amp;HX191)</f>
        <v xml:space="preserve">interaction(1), </v>
      </c>
      <c r="HY190" s="47" t="str">
        <f t="shared" si="2310"/>
        <v xml:space="preserve">biz enhancement(1), </v>
      </c>
      <c r="HZ190" s="47" t="str">
        <f t="shared" si="2310"/>
        <v xml:space="preserve">biz enhancement(100), </v>
      </c>
      <c r="IA190" s="47" t="str">
        <f t="shared" si="2310"/>
        <v xml:space="preserve"> </v>
      </c>
      <c r="IB190" s="47" t="str">
        <f t="shared" si="2310"/>
        <v xml:space="preserve"> </v>
      </c>
      <c r="IC190" s="47" t="str">
        <f t="shared" si="2310"/>
        <v xml:space="preserve"> </v>
      </c>
      <c r="ID190" s="47" t="str">
        <f t="shared" si="2310"/>
        <v xml:space="preserve"> </v>
      </c>
      <c r="IE190" s="47" t="str">
        <f t="shared" si="2310"/>
        <v xml:space="preserve"> </v>
      </c>
      <c r="IF190" s="47" t="str">
        <f t="shared" si="2310"/>
        <v xml:space="preserve"> </v>
      </c>
      <c r="IG190" s="47" t="str">
        <f t="shared" si="2310"/>
        <v xml:space="preserve"> </v>
      </c>
      <c r="IH190" s="47" t="str">
        <f t="shared" si="2310"/>
        <v xml:space="preserve"> </v>
      </c>
      <c r="II190" s="47" t="str">
        <f t="shared" si="2310"/>
        <v xml:space="preserve"> </v>
      </c>
      <c r="IJ190" s="47" t="str">
        <f t="shared" si="2310"/>
        <v xml:space="preserve"> </v>
      </c>
      <c r="IK190" s="47" t="str">
        <f t="shared" si="2310"/>
        <v xml:space="preserve"> </v>
      </c>
      <c r="IL190" s="47" t="str">
        <f t="shared" si="2310"/>
        <v xml:space="preserve"> </v>
      </c>
      <c r="IM190" s="47" t="str">
        <f t="shared" si="2310"/>
        <v xml:space="preserve"> </v>
      </c>
      <c r="IN190" s="47" t="str">
        <f t="shared" si="2310"/>
        <v xml:space="preserve">interaction(1), </v>
      </c>
      <c r="IO190" s="47" t="str">
        <f t="shared" si="2310"/>
        <v xml:space="preserve">interaction(6.25), </v>
      </c>
      <c r="IP190" s="57" t="str">
        <f t="shared" si="2310"/>
        <v xml:space="preserve"> </v>
      </c>
      <c r="IQ190" s="47" t="str">
        <f t="shared" si="2310"/>
        <v xml:space="preserve"> </v>
      </c>
      <c r="IR190" s="47" t="str">
        <f t="shared" si="2310"/>
        <v xml:space="preserve"> </v>
      </c>
      <c r="IS190" s="47" t="str">
        <f t="shared" si="2310"/>
        <v xml:space="preserve"> </v>
      </c>
      <c r="IT190" s="47" t="str">
        <f t="shared" si="2310"/>
        <v xml:space="preserve"> </v>
      </c>
      <c r="IU190" s="47" t="str">
        <f t="shared" si="2310"/>
        <v xml:space="preserve"> </v>
      </c>
      <c r="IV190" s="57" t="str">
        <f t="shared" ref="IV190:LG190" si="2311">IF(IV88="",IV191,$C190&amp;"("&amp;IV88&amp;"),"&amp;IV191)</f>
        <v xml:space="preserve"> </v>
      </c>
      <c r="IW190" s="47" t="str">
        <f t="shared" si="2311"/>
        <v xml:space="preserve"> </v>
      </c>
      <c r="IX190" s="47" t="str">
        <f t="shared" si="2311"/>
        <v xml:space="preserve"> </v>
      </c>
      <c r="IY190" s="47" t="str">
        <f t="shared" si="2311"/>
        <v xml:space="preserve"> </v>
      </c>
      <c r="IZ190" s="47" t="str">
        <f t="shared" si="2311"/>
        <v xml:space="preserve"> </v>
      </c>
      <c r="JA190" s="47" t="str">
        <f t="shared" si="2311"/>
        <v xml:space="preserve"> </v>
      </c>
      <c r="JB190" s="47" t="str">
        <f t="shared" si="2311"/>
        <v xml:space="preserve"> </v>
      </c>
      <c r="JC190" s="47" t="str">
        <f t="shared" si="2311"/>
        <v xml:space="preserve"> </v>
      </c>
      <c r="JD190" s="47" t="str">
        <f t="shared" si="2311"/>
        <v xml:space="preserve"> </v>
      </c>
      <c r="JE190" s="47" t="str">
        <f t="shared" si="2311"/>
        <v xml:space="preserve"> </v>
      </c>
      <c r="JF190" s="47" t="str">
        <f t="shared" si="2311"/>
        <v xml:space="preserve">interaction(1), </v>
      </c>
      <c r="JG190" s="47" t="str">
        <f t="shared" si="2311"/>
        <v xml:space="preserve">interaction(6.25), </v>
      </c>
      <c r="JH190" s="47" t="str">
        <f t="shared" si="2311"/>
        <v xml:space="preserve"> </v>
      </c>
      <c r="JI190" s="47" t="str">
        <f t="shared" si="2311"/>
        <v xml:space="preserve"> </v>
      </c>
      <c r="JJ190" s="47" t="str">
        <f t="shared" si="2311"/>
        <v xml:space="preserve"> </v>
      </c>
      <c r="JK190" s="47" t="str">
        <f t="shared" si="2311"/>
        <v xml:space="preserve">social project(1),social innovation(1),non-profit biz(1),biz project(1),biz enhancement(1),job creation(1),business(1),start-up(1),start-up with mvp(1),start-up with customers(1),for basic literacy(1),for the elites(1),for entrepreneurs(1), </v>
      </c>
      <c r="JL190" s="47" t="str">
        <f t="shared" si="2311"/>
        <v xml:space="preserve"> </v>
      </c>
      <c r="JM190" s="47" t="str">
        <f t="shared" si="2311"/>
        <v xml:space="preserve"> </v>
      </c>
      <c r="JN190" s="47" t="str">
        <f t="shared" si="2311"/>
        <v xml:space="preserve"> </v>
      </c>
      <c r="JO190" s="47" t="str">
        <f t="shared" si="2311"/>
        <v xml:space="preserve"> </v>
      </c>
      <c r="JP190" s="47" t="str">
        <f t="shared" si="2311"/>
        <v xml:space="preserve"> </v>
      </c>
      <c r="JQ190" s="47" t="str">
        <f t="shared" si="2311"/>
        <v xml:space="preserve">interaction(1),social project(1),social innovation(1),non-profit biz(1),biz project(1),biz enhancement(1),job creation(1),business(1),start-up(1),start-up with mvp(1),start-up with customers(1),for basic literacy(1),for the elites(1),for entrepreneurs(1), </v>
      </c>
      <c r="JR190" s="47" t="str">
        <f t="shared" si="2311"/>
        <v xml:space="preserve"> </v>
      </c>
      <c r="JS190" s="47" t="str">
        <f t="shared" si="2311"/>
        <v xml:space="preserve"> </v>
      </c>
      <c r="JT190" s="47" t="str">
        <f t="shared" si="2311"/>
        <v xml:space="preserve"> </v>
      </c>
      <c r="JU190" s="47" t="str">
        <f t="shared" si="2311"/>
        <v xml:space="preserve"> </v>
      </c>
      <c r="JV190" s="47" t="str">
        <f t="shared" si="2311"/>
        <v xml:space="preserve"> </v>
      </c>
      <c r="JW190" s="47" t="str">
        <f t="shared" si="2311"/>
        <v xml:space="preserve">social project(2),social innovation(1),non-profit biz(1),biz project(2),biz enhancement(2),job creation(1),business(1),start-up(2),start-up with mvp(1),start-up with customers(1),for basic literacy(2),for the elites(1),for entrepreneurs(1), </v>
      </c>
      <c r="JX190" s="47" t="str">
        <f t="shared" si="2311"/>
        <v xml:space="preserve"> </v>
      </c>
      <c r="JY190" s="47" t="str">
        <f t="shared" si="2311"/>
        <v xml:space="preserve"> </v>
      </c>
      <c r="JZ190" s="47" t="str">
        <f t="shared" si="2311"/>
        <v xml:space="preserve">social project(2), </v>
      </c>
      <c r="KA190" s="47" t="str">
        <f t="shared" si="2311"/>
        <v xml:space="preserve"> </v>
      </c>
      <c r="KB190" s="47" t="str">
        <f t="shared" si="2311"/>
        <v xml:space="preserve"> </v>
      </c>
      <c r="KC190" s="47" t="str">
        <f t="shared" si="2311"/>
        <v xml:space="preserve">social project(3),social innovation(1),non-profit biz(1),biz project(2),biz enhancement(2),job creation(1),business(1),start-up(2),start-up with mvp(1),start-up with customers(1),for basic literacy(2),for the elites(1),for entrepreneurs(1), </v>
      </c>
      <c r="KD190" s="47" t="str">
        <f t="shared" si="2311"/>
        <v xml:space="preserve"> </v>
      </c>
      <c r="KE190" s="47" t="str">
        <f t="shared" si="2311"/>
        <v xml:space="preserve"> </v>
      </c>
      <c r="KF190" s="47" t="str">
        <f t="shared" si="2311"/>
        <v xml:space="preserve"> </v>
      </c>
      <c r="KG190" s="47" t="str">
        <f t="shared" si="2311"/>
        <v xml:space="preserve"> </v>
      </c>
      <c r="KH190" s="47" t="str">
        <f t="shared" si="2311"/>
        <v xml:space="preserve"> </v>
      </c>
      <c r="KI190" s="47" t="str">
        <f t="shared" si="2311"/>
        <v xml:space="preserve"> </v>
      </c>
      <c r="KJ190" s="47" t="str">
        <f t="shared" si="2311"/>
        <v xml:space="preserve"> </v>
      </c>
      <c r="KK190" s="47" t="str">
        <f t="shared" si="2311"/>
        <v xml:space="preserve"> </v>
      </c>
      <c r="KL190" s="57" t="str">
        <f t="shared" si="2311"/>
        <v xml:space="preserve"> </v>
      </c>
      <c r="KM190" s="47" t="str">
        <f t="shared" si="2311"/>
        <v xml:space="preserve"> </v>
      </c>
      <c r="KN190" s="47" t="str">
        <f t="shared" si="2311"/>
        <v xml:space="preserve"> </v>
      </c>
      <c r="KO190" s="47" t="str">
        <f t="shared" si="2311"/>
        <v xml:space="preserve"> </v>
      </c>
      <c r="KP190" s="47" t="str">
        <f t="shared" si="2311"/>
        <v xml:space="preserve"> </v>
      </c>
      <c r="KQ190" s="47" t="str">
        <f t="shared" si="2311"/>
        <v xml:space="preserve"> </v>
      </c>
      <c r="KR190" s="57" t="str">
        <f t="shared" si="2311"/>
        <v xml:space="preserve"> </v>
      </c>
      <c r="KS190" s="47" t="str">
        <f t="shared" si="2311"/>
        <v xml:space="preserve"> </v>
      </c>
      <c r="KT190" s="47" t="str">
        <f t="shared" si="2311"/>
        <v xml:space="preserve"> </v>
      </c>
      <c r="KU190" s="47" t="str">
        <f t="shared" si="2311"/>
        <v xml:space="preserve"> </v>
      </c>
      <c r="KV190" s="47" t="str">
        <f t="shared" si="2311"/>
        <v xml:space="preserve"> </v>
      </c>
      <c r="KW190" s="47" t="str">
        <f t="shared" si="2311"/>
        <v xml:space="preserve"> </v>
      </c>
      <c r="KX190" s="57" t="str">
        <f t="shared" si="2311"/>
        <v xml:space="preserve"> </v>
      </c>
      <c r="KY190" s="47" t="str">
        <f t="shared" si="2311"/>
        <v xml:space="preserve"> </v>
      </c>
      <c r="KZ190" s="47" t="str">
        <f t="shared" si="2311"/>
        <v xml:space="preserve"> </v>
      </c>
      <c r="LA190" s="47" t="str">
        <f t="shared" si="2311"/>
        <v xml:space="preserve"> </v>
      </c>
      <c r="LB190" s="47" t="str">
        <f t="shared" si="2311"/>
        <v xml:space="preserve"> </v>
      </c>
      <c r="LC190" s="47" t="str">
        <f t="shared" si="2311"/>
        <v xml:space="preserve"> </v>
      </c>
      <c r="LD190" s="57" t="str">
        <f t="shared" si="2311"/>
        <v xml:space="preserve"> </v>
      </c>
      <c r="LE190" s="47" t="str">
        <f t="shared" si="2311"/>
        <v xml:space="preserve"> </v>
      </c>
      <c r="LF190" s="47" t="str">
        <f t="shared" si="2311"/>
        <v xml:space="preserve"> </v>
      </c>
      <c r="LG190" s="47" t="str">
        <f t="shared" si="2311"/>
        <v xml:space="preserve"> </v>
      </c>
      <c r="LH190" s="47" t="str">
        <f t="shared" ref="LH190:NM190" si="2312">IF(LH88="",LH191,$C190&amp;"("&amp;LH88&amp;"),"&amp;LH191)</f>
        <v xml:space="preserve"> </v>
      </c>
      <c r="LI190" s="47" t="str">
        <f t="shared" si="2312"/>
        <v xml:space="preserve"> </v>
      </c>
      <c r="LJ190" s="57" t="str">
        <f t="shared" si="2312"/>
        <v xml:space="preserve"> </v>
      </c>
      <c r="LK190" s="47" t="str">
        <f t="shared" si="2312"/>
        <v xml:space="preserve"> </v>
      </c>
      <c r="LL190" s="47" t="str">
        <f t="shared" si="2312"/>
        <v xml:space="preserve"> </v>
      </c>
      <c r="LM190" s="47" t="str">
        <f t="shared" si="2312"/>
        <v xml:space="preserve"> </v>
      </c>
      <c r="LN190" s="47" t="str">
        <f t="shared" si="2312"/>
        <v xml:space="preserve"> </v>
      </c>
      <c r="LO190" s="47" t="str">
        <f t="shared" si="2312"/>
        <v xml:space="preserve"> </v>
      </c>
      <c r="LP190" s="57" t="str">
        <f t="shared" si="2312"/>
        <v xml:space="preserve"> </v>
      </c>
      <c r="LQ190" s="47" t="str">
        <f t="shared" si="2312"/>
        <v xml:space="preserve"> </v>
      </c>
      <c r="LR190" s="47" t="str">
        <f t="shared" si="2312"/>
        <v xml:space="preserve"> </v>
      </c>
      <c r="LS190" s="47" t="str">
        <f t="shared" si="2312"/>
        <v xml:space="preserve"> </v>
      </c>
      <c r="LT190" s="47" t="str">
        <f t="shared" si="2312"/>
        <v xml:space="preserve"> </v>
      </c>
      <c r="LU190" s="47" t="str">
        <f t="shared" si="2312"/>
        <v xml:space="preserve"> </v>
      </c>
      <c r="LV190" s="57" t="str">
        <f t="shared" si="2312"/>
        <v xml:space="preserve"> </v>
      </c>
      <c r="LW190" s="47" t="str">
        <f t="shared" si="2312"/>
        <v xml:space="preserve"> </v>
      </c>
      <c r="LX190" s="47" t="str">
        <f t="shared" si="2312"/>
        <v xml:space="preserve"> </v>
      </c>
      <c r="LY190" s="47" t="str">
        <f t="shared" si="2312"/>
        <v xml:space="preserve"> </v>
      </c>
      <c r="LZ190" s="47" t="str">
        <f t="shared" si="2312"/>
        <v xml:space="preserve"> </v>
      </c>
      <c r="MA190" s="47" t="str">
        <f t="shared" si="2312"/>
        <v xml:space="preserve"> </v>
      </c>
      <c r="MB190" s="57" t="str">
        <f t="shared" si="2312"/>
        <v xml:space="preserve"> </v>
      </c>
      <c r="MC190" s="47" t="str">
        <f t="shared" si="2312"/>
        <v xml:space="preserve"> </v>
      </c>
      <c r="MD190" s="47" t="str">
        <f t="shared" si="2312"/>
        <v xml:space="preserve"> </v>
      </c>
      <c r="ME190" s="47" t="str">
        <f t="shared" si="2312"/>
        <v xml:space="preserve"> </v>
      </c>
      <c r="MF190" s="47" t="str">
        <f t="shared" si="2312"/>
        <v xml:space="preserve"> </v>
      </c>
      <c r="MG190" s="47" t="str">
        <f t="shared" si="2312"/>
        <v xml:space="preserve"> </v>
      </c>
      <c r="MH190" s="57" t="str">
        <f t="shared" si="2312"/>
        <v xml:space="preserve"> </v>
      </c>
      <c r="MI190" s="47" t="str">
        <f t="shared" si="2312"/>
        <v xml:space="preserve"> </v>
      </c>
      <c r="MJ190" s="47" t="str">
        <f t="shared" si="2312"/>
        <v xml:space="preserve"> </v>
      </c>
      <c r="MK190" s="47" t="str">
        <f t="shared" si="2312"/>
        <v xml:space="preserve"> </v>
      </c>
      <c r="ML190" s="47" t="str">
        <f t="shared" si="2312"/>
        <v xml:space="preserve"> </v>
      </c>
      <c r="MM190" s="47" t="str">
        <f t="shared" si="2312"/>
        <v xml:space="preserve"> </v>
      </c>
      <c r="MN190" s="57" t="str">
        <f t="shared" si="2312"/>
        <v xml:space="preserve"> </v>
      </c>
      <c r="MO190" s="47" t="str">
        <f t="shared" si="2312"/>
        <v xml:space="preserve"> </v>
      </c>
      <c r="MP190" s="47" t="str">
        <f t="shared" si="2312"/>
        <v xml:space="preserve"> </v>
      </c>
      <c r="MQ190" s="47" t="str">
        <f t="shared" si="2312"/>
        <v xml:space="preserve"> </v>
      </c>
      <c r="MR190" s="47" t="str">
        <f t="shared" si="2312"/>
        <v xml:space="preserve"> </v>
      </c>
      <c r="MS190" s="47" t="str">
        <f t="shared" si="2312"/>
        <v xml:space="preserve"> </v>
      </c>
      <c r="MT190" s="57" t="str">
        <f t="shared" si="2312"/>
        <v xml:space="preserve"> </v>
      </c>
      <c r="MU190" s="47" t="str">
        <f t="shared" si="2312"/>
        <v xml:space="preserve"> </v>
      </c>
      <c r="MV190" s="47" t="str">
        <f t="shared" si="2312"/>
        <v xml:space="preserve"> </v>
      </c>
      <c r="MW190" s="47" t="str">
        <f t="shared" si="2312"/>
        <v xml:space="preserve"> </v>
      </c>
      <c r="MX190" s="47" t="str">
        <f t="shared" si="2312"/>
        <v xml:space="preserve"> </v>
      </c>
      <c r="MY190" s="47" t="str">
        <f t="shared" si="2312"/>
        <v xml:space="preserve"> </v>
      </c>
      <c r="MZ190" s="57" t="str">
        <f t="shared" si="2312"/>
        <v xml:space="preserve"> </v>
      </c>
      <c r="NA190" s="47" t="str">
        <f t="shared" si="2312"/>
        <v xml:space="preserve"> </v>
      </c>
      <c r="NB190" s="47" t="str">
        <f t="shared" si="2312"/>
        <v xml:space="preserve"> </v>
      </c>
      <c r="NC190" s="47" t="str">
        <f t="shared" si="2312"/>
        <v xml:space="preserve"> </v>
      </c>
      <c r="ND190" s="47" t="str">
        <f t="shared" si="2312"/>
        <v xml:space="preserve"> </v>
      </c>
      <c r="NE190" s="47" t="str">
        <f t="shared" si="2312"/>
        <v xml:space="preserve"> </v>
      </c>
      <c r="NF190" s="57" t="str">
        <f t="shared" si="2312"/>
        <v xml:space="preserve"> </v>
      </c>
      <c r="NG190" s="47" t="str">
        <f t="shared" si="2312"/>
        <v xml:space="preserve"> </v>
      </c>
      <c r="NH190" s="47" t="str">
        <f t="shared" si="2312"/>
        <v xml:space="preserve"> </v>
      </c>
      <c r="NI190" s="47" t="str">
        <f t="shared" si="2312"/>
        <v xml:space="preserve"> </v>
      </c>
      <c r="NJ190" s="47" t="str">
        <f t="shared" si="2312"/>
        <v xml:space="preserve"> </v>
      </c>
      <c r="NK190" s="47" t="str">
        <f t="shared" si="2312"/>
        <v xml:space="preserve"> </v>
      </c>
      <c r="NL190" s="57" t="str">
        <f t="shared" si="2312"/>
        <v xml:space="preserve"> </v>
      </c>
      <c r="NM190" s="47" t="str">
        <f t="shared" si="2312"/>
        <v xml:space="preserve"> </v>
      </c>
    </row>
    <row r="191" spans="3:377" ht="15.75" customHeight="1">
      <c r="C191" s="7" t="str">
        <f t="shared" si="841"/>
        <v>social project</v>
      </c>
      <c r="D191" s="21" t="str">
        <f t="shared" si="2000"/>
        <v xml:space="preserve"> </v>
      </c>
      <c r="E191" s="21" t="str">
        <f t="shared" si="842"/>
        <v xml:space="preserve"> </v>
      </c>
      <c r="F191" s="21" t="str">
        <f t="shared" si="2000"/>
        <v xml:space="preserve"> </v>
      </c>
      <c r="G191" s="21" t="str">
        <f t="shared" si="843"/>
        <v xml:space="preserve"> </v>
      </c>
      <c r="H191" s="21" t="str">
        <f t="shared" si="844"/>
        <v xml:space="preserve"> </v>
      </c>
      <c r="I191" s="21" t="str">
        <f t="shared" ref="I191" si="2313">IF(I89="",I192,$C191&amp;"("&amp;I89&amp;"),"&amp;I192)</f>
        <v xml:space="preserve"> </v>
      </c>
      <c r="J191" s="21" t="str">
        <f t="shared" ref="J191" si="2314">IF(J89="",J192,$C191&amp;" "&amp;J89&amp;CHAR(10)&amp;J192)</f>
        <v xml:space="preserve"> </v>
      </c>
      <c r="K191" s="21" t="str">
        <f t="shared" si="654"/>
        <v xml:space="preserve"> </v>
      </c>
      <c r="L191" s="21" t="str">
        <f t="shared" ref="L191" si="2315">IF(L89="",L192,$C191&amp;" "&amp;L89&amp;CHAR(10)&amp;L192)</f>
        <v xml:space="preserve"> </v>
      </c>
      <c r="M191" s="21" t="str">
        <f t="shared" si="656"/>
        <v xml:space="preserve">social innovation(1), non-profit biz(1),  </v>
      </c>
      <c r="N191" s="21" t="str">
        <f t="shared" si="657"/>
        <v xml:space="preserve"> </v>
      </c>
      <c r="O191" s="21" t="str">
        <f t="shared" si="2004"/>
        <v xml:space="preserve"> </v>
      </c>
      <c r="P191" s="21" t="str">
        <f t="shared" ref="P191" si="2316">IF(P89="",P192,$C191&amp;" "&amp;P89&amp;CHAR(10)&amp;P192)</f>
        <v xml:space="preserve">biz project 1
 </v>
      </c>
      <c r="Q191" s="21" t="str">
        <f t="shared" si="660"/>
        <v xml:space="preserve"> </v>
      </c>
      <c r="R191" s="21" t="str">
        <f t="shared" ref="R191" si="2317">IF(R89="",R192,$C191&amp;" "&amp;R89&amp;CHAR(10)&amp;R192)</f>
        <v xml:space="preserve"> </v>
      </c>
      <c r="S191" s="21" t="str">
        <f t="shared" si="662"/>
        <v xml:space="preserve">biz enhancement(1), business(1), start-up(1),  </v>
      </c>
      <c r="T191" s="21" t="str">
        <f t="shared" si="663"/>
        <v xml:space="preserve"> </v>
      </c>
      <c r="U191" s="21" t="str">
        <f t="shared" si="2004"/>
        <v xml:space="preserve"> </v>
      </c>
      <c r="V191" s="21" t="str">
        <f t="shared" ref="V191" si="2318">IF(V89="",V192,$C191&amp;" "&amp;V89&amp;CHAR(10)&amp;V192)</f>
        <v xml:space="preserve"> </v>
      </c>
      <c r="W191" s="21" t="str">
        <f t="shared" si="665"/>
        <v xml:space="preserve"> </v>
      </c>
      <c r="X191" s="21" t="str">
        <f t="shared" ref="X191" si="2319">IF(X89="",X192,$C191&amp;" "&amp;X89&amp;CHAR(10)&amp;X192)</f>
        <v xml:space="preserve"> </v>
      </c>
      <c r="Y191" s="21" t="str">
        <f t="shared" si="667"/>
        <v xml:space="preserve">biz project(1), biz enhancement(1), job creation(1), business(1),  </v>
      </c>
      <c r="Z191" s="21" t="str">
        <f t="shared" si="668"/>
        <v xml:space="preserve"> </v>
      </c>
      <c r="AA191" s="21" t="str">
        <f t="shared" si="2004"/>
        <v xml:space="preserve"> </v>
      </c>
      <c r="AB191" s="21" t="str">
        <f t="shared" ref="AB191" si="2320">IF(AB89="",AB192,$C191&amp;" "&amp;AB89&amp;CHAR(10)&amp;AB192)</f>
        <v xml:space="preserve"> </v>
      </c>
      <c r="AC191" s="21" t="str">
        <f t="shared" si="670"/>
        <v xml:space="preserve"> </v>
      </c>
      <c r="AD191" s="21" t="str">
        <f t="shared" ref="AD191" si="2321">IF(AD89="",AD192,$C191&amp;" "&amp;AD89&amp;CHAR(10)&amp;AD192)</f>
        <v xml:space="preserve"> </v>
      </c>
      <c r="AE191" s="21" t="str">
        <f t="shared" si="672"/>
        <v xml:space="preserve">social project(1), social innovation(1), non-profit biz(1),  </v>
      </c>
      <c r="AF191" s="21" t="str">
        <f t="shared" si="673"/>
        <v xml:space="preserve"> </v>
      </c>
      <c r="AG191" s="21" t="str">
        <f t="shared" si="2004"/>
        <v xml:space="preserve"> </v>
      </c>
      <c r="AH191" s="21" t="str">
        <f t="shared" ref="AH191" si="2322">IF(AH89="",AH192,$C191&amp;" "&amp;AH89&amp;CHAR(10)&amp;AH192)</f>
        <v xml:space="preserve"> </v>
      </c>
      <c r="AI191" s="21" t="str">
        <f t="shared" si="675"/>
        <v xml:space="preserve"> </v>
      </c>
      <c r="AJ191" s="21" t="str">
        <f t="shared" ref="AJ191" si="2323">IF(AJ89="",AJ192,$C191&amp;" "&amp;AJ89&amp;CHAR(10)&amp;AJ192)</f>
        <v xml:space="preserve"> </v>
      </c>
      <c r="AK191" s="21" t="str">
        <f t="shared" si="677"/>
        <v xml:space="preserve">social project(1), social innovation(1), non-profit biz(1),  </v>
      </c>
      <c r="AL191" s="21" t="str">
        <f t="shared" si="678"/>
        <v xml:space="preserve"> </v>
      </c>
      <c r="AM191" s="21" t="str">
        <f t="shared" si="2004"/>
        <v xml:space="preserve"> </v>
      </c>
      <c r="AN191" s="21" t="str">
        <f t="shared" ref="AN191" si="2324">IF(AN89="",AN192,$C191&amp;" "&amp;AN89&amp;CHAR(10)&amp;AN192)</f>
        <v xml:space="preserve"> </v>
      </c>
      <c r="AO191" s="21" t="str">
        <f t="shared" si="680"/>
        <v xml:space="preserve"> </v>
      </c>
      <c r="AP191" s="21" t="str">
        <f t="shared" ref="AP191" si="2325">IF(AP89="",AP192,$C191&amp;" "&amp;AP89&amp;CHAR(10)&amp;AP192)</f>
        <v xml:space="preserve"> </v>
      </c>
      <c r="AQ191" s="21" t="str">
        <f t="shared" si="682"/>
        <v xml:space="preserve">start-up(1), start-up with mvp(1), start-up with customers(1),  </v>
      </c>
      <c r="AR191" s="21" t="str">
        <f t="shared" si="683"/>
        <v xml:space="preserve"> </v>
      </c>
      <c r="AS191" s="21" t="str">
        <f t="shared" si="2004"/>
        <v xml:space="preserve"> </v>
      </c>
      <c r="AT191" s="21" t="str">
        <f t="shared" ref="AT191" si="2326">IF(AT89="",AT192,$C191&amp;" "&amp;AT89&amp;CHAR(10)&amp;AT192)</f>
        <v xml:space="preserve">social project 1
 </v>
      </c>
      <c r="AU191" s="21" t="str">
        <f t="shared" si="685"/>
        <v xml:space="preserve"> </v>
      </c>
      <c r="AV191" s="21" t="str">
        <f t="shared" ref="AV191" si="2327">IF(AV89="",AV192,$C191&amp;" "&amp;AV89&amp;CHAR(10)&amp;AV192)</f>
        <v xml:space="preserve"> </v>
      </c>
      <c r="AW191" s="21" t="str">
        <f t="shared" si="687"/>
        <v xml:space="preserve"> </v>
      </c>
      <c r="AX191" s="21" t="str">
        <f t="shared" si="688"/>
        <v xml:space="preserve"> </v>
      </c>
      <c r="AY191" s="21" t="str">
        <f t="shared" si="2004"/>
        <v xml:space="preserve"> </v>
      </c>
      <c r="AZ191" s="21" t="str">
        <f t="shared" ref="AZ191" si="2328">IF(AZ89="",AZ192,$C191&amp;" "&amp;AZ89&amp;CHAR(10)&amp;AZ192)</f>
        <v xml:space="preserve"> </v>
      </c>
      <c r="BA191" s="21" t="str">
        <f t="shared" si="690"/>
        <v xml:space="preserve"> </v>
      </c>
      <c r="BB191" s="21" t="str">
        <f t="shared" ref="BB191" si="2329">IF(BB89="",BB192,$C191&amp;" "&amp;BB89&amp;CHAR(10)&amp;BB192)</f>
        <v xml:space="preserve"> </v>
      </c>
      <c r="BC191" s="21" t="str">
        <f t="shared" si="692"/>
        <v xml:space="preserve"> </v>
      </c>
      <c r="BD191" s="21" t="str">
        <f t="shared" si="693"/>
        <v xml:space="preserve"> </v>
      </c>
      <c r="BE191" s="21" t="str">
        <f t="shared" si="2004"/>
        <v xml:space="preserve"> </v>
      </c>
      <c r="BF191" s="21" t="str">
        <f t="shared" ref="BF191" si="2330">IF(BF89="",BF192,$C191&amp;" "&amp;BF89&amp;CHAR(10)&amp;BF192)</f>
        <v xml:space="preserve">biz project 1
 </v>
      </c>
      <c r="BG191" s="21" t="str">
        <f t="shared" si="695"/>
        <v xml:space="preserve"> </v>
      </c>
      <c r="BH191" s="21" t="str">
        <f t="shared" ref="BH191" si="2331">IF(BH89="",BH192,$C191&amp;" "&amp;BH89&amp;CHAR(10)&amp;BH192)</f>
        <v xml:space="preserve"> </v>
      </c>
      <c r="BI191" s="21" t="str">
        <f t="shared" si="697"/>
        <v xml:space="preserve"> </v>
      </c>
      <c r="BJ191" s="21" t="str">
        <f t="shared" si="698"/>
        <v xml:space="preserve"> </v>
      </c>
      <c r="BK191" s="21" t="str">
        <f t="shared" si="2004"/>
        <v xml:space="preserve"> </v>
      </c>
      <c r="BL191" s="21" t="str">
        <f t="shared" ref="BL191" si="2332">IF(BL89="",BL192,$C191&amp;" "&amp;BL89&amp;CHAR(10)&amp;BL192)</f>
        <v xml:space="preserve">biz enhancement 1
 </v>
      </c>
      <c r="BM191" s="21" t="str">
        <f t="shared" si="700"/>
        <v xml:space="preserve"> </v>
      </c>
      <c r="BN191" s="21" t="str">
        <f t="shared" ref="BN191" si="2333">IF(BN89="",BN192,$C191&amp;" "&amp;BN89&amp;CHAR(10)&amp;BN192)</f>
        <v xml:space="preserve"> </v>
      </c>
      <c r="BO191" s="21" t="str">
        <f t="shared" si="702"/>
        <v xml:space="preserve"> </v>
      </c>
      <c r="BP191" s="21" t="str">
        <f t="shared" si="703"/>
        <v xml:space="preserve"> </v>
      </c>
      <c r="BQ191" s="21" t="str">
        <f t="shared" si="2004"/>
        <v xml:space="preserve"> </v>
      </c>
      <c r="BR191" s="21" t="str">
        <f t="shared" ref="BR191" si="2334">IF(BR89="",BR192,$C191&amp;" "&amp;BR89&amp;CHAR(10)&amp;BR192)</f>
        <v xml:space="preserve"> </v>
      </c>
      <c r="BS191" s="21" t="str">
        <f t="shared" si="705"/>
        <v xml:space="preserve"> </v>
      </c>
      <c r="BT191" s="21" t="str">
        <f t="shared" ref="BT191" si="2335">IF(BT89="",BT192,$C191&amp;" "&amp;BT89&amp;CHAR(10)&amp;BT192)</f>
        <v xml:space="preserve"> </v>
      </c>
      <c r="BU191" s="21" t="str">
        <f t="shared" si="707"/>
        <v xml:space="preserve"> </v>
      </c>
      <c r="BV191" s="21" t="str">
        <f t="shared" si="708"/>
        <v xml:space="preserve"> </v>
      </c>
      <c r="BW191" s="21" t="str">
        <f t="shared" si="2004"/>
        <v xml:space="preserve"> </v>
      </c>
      <c r="BX191" s="21" t="str">
        <f t="shared" ref="BX191" si="2336">IF(BX89="",BX192,$C191&amp;" "&amp;BX89&amp;CHAR(10)&amp;BX192)</f>
        <v xml:space="preserve"> </v>
      </c>
      <c r="BY191" s="21" t="str">
        <f t="shared" si="710"/>
        <v xml:space="preserve"> </v>
      </c>
      <c r="BZ191" s="21" t="str">
        <f t="shared" ref="BZ191" si="2337">IF(BZ89="",BZ192,$C191&amp;" "&amp;BZ89&amp;CHAR(10)&amp;BZ192)</f>
        <v xml:space="preserve"> </v>
      </c>
      <c r="CA191" s="21" t="str">
        <f t="shared" si="712"/>
        <v xml:space="preserve"> </v>
      </c>
      <c r="CB191" s="21" t="str">
        <f t="shared" si="713"/>
        <v xml:space="preserve"> </v>
      </c>
      <c r="CC191" s="21" t="str">
        <f t="shared" si="2027"/>
        <v xml:space="preserve"> </v>
      </c>
      <c r="CD191" s="21" t="str">
        <f t="shared" ref="CD191" si="2338">IF(CD89="",CD192,$C191&amp;" "&amp;CD89&amp;CHAR(10)&amp;CD192)</f>
        <v xml:space="preserve"> </v>
      </c>
      <c r="CE191" s="21" t="str">
        <f t="shared" si="716"/>
        <v xml:space="preserve"> </v>
      </c>
      <c r="CF191" s="21" t="str">
        <f t="shared" ref="CF191" si="2339">IF(CF89="",CF192,$C191&amp;" "&amp;CF89&amp;CHAR(10)&amp;CF192)</f>
        <v xml:space="preserve"> </v>
      </c>
      <c r="CG191" s="21" t="str">
        <f t="shared" si="718"/>
        <v xml:space="preserve">social project(1), biz project(1), for basic literacy(1), for the elites(1), for entrepreneurs(1),  </v>
      </c>
      <c r="CH191" s="21" t="str">
        <f t="shared" si="719"/>
        <v xml:space="preserve"> </v>
      </c>
      <c r="CI191" s="21" t="str">
        <f t="shared" si="2027"/>
        <v xml:space="preserve"> </v>
      </c>
      <c r="CJ191" s="21" t="str">
        <f t="shared" ref="CJ191" si="2340">IF(CJ89="",CJ192,$C191&amp;" "&amp;CJ89&amp;CHAR(10)&amp;CJ192)</f>
        <v xml:space="preserve"> </v>
      </c>
      <c r="CK191" s="21" t="str">
        <f t="shared" si="721"/>
        <v xml:space="preserve"> </v>
      </c>
      <c r="CL191" s="21" t="str">
        <f t="shared" ref="CL191" si="2341">IF(CL89="",CL192,$C191&amp;" "&amp;CL89&amp;CHAR(10)&amp;CL192)</f>
        <v xml:space="preserve"> </v>
      </c>
      <c r="CM191" s="21" t="str">
        <f t="shared" si="723"/>
        <v xml:space="preserve"> </v>
      </c>
      <c r="CN191" s="21" t="str">
        <f t="shared" si="724"/>
        <v xml:space="preserve"> </v>
      </c>
      <c r="CO191" s="21" t="str">
        <f t="shared" si="2027"/>
        <v xml:space="preserve"> </v>
      </c>
      <c r="CP191" s="21" t="str">
        <f t="shared" ref="CP191" si="2342">IF(CP89="",CP192,$C191&amp;" "&amp;CP89&amp;CHAR(10)&amp;CP192)</f>
        <v xml:space="preserve"> </v>
      </c>
      <c r="CQ191" s="21" t="str">
        <f t="shared" si="726"/>
        <v xml:space="preserve"> </v>
      </c>
      <c r="CR191" s="21" t="str">
        <f t="shared" ref="CR191" si="2343">IF(CR89="",CR192,$C191&amp;" "&amp;CR89&amp;CHAR(10)&amp;CR192)</f>
        <v xml:space="preserve"> </v>
      </c>
      <c r="CS191" s="21" t="str">
        <f t="shared" si="728"/>
        <v xml:space="preserve"> </v>
      </c>
      <c r="CT191" s="21" t="str">
        <f t="shared" si="729"/>
        <v xml:space="preserve"> </v>
      </c>
      <c r="CU191" s="21" t="str">
        <f t="shared" si="2027"/>
        <v xml:space="preserve"> </v>
      </c>
      <c r="CV191" s="21" t="str">
        <f t="shared" ref="CV191" si="2344">IF(CV89="",CV192,$C191&amp;" "&amp;CV89&amp;CHAR(10)&amp;CV192)</f>
        <v xml:space="preserve"> </v>
      </c>
      <c r="CW191" s="21" t="str">
        <f t="shared" si="731"/>
        <v xml:space="preserve"> </v>
      </c>
      <c r="CX191" s="21" t="str">
        <f t="shared" ref="CX191" si="2345">IF(CX89="",CX192,$C191&amp;" "&amp;CX89&amp;CHAR(10)&amp;CX192)</f>
        <v xml:space="preserve"> </v>
      </c>
      <c r="CY191" s="21" t="str">
        <f t="shared" si="733"/>
        <v xml:space="preserve"> </v>
      </c>
      <c r="CZ191" s="21" t="str">
        <f t="shared" si="734"/>
        <v xml:space="preserve"> </v>
      </c>
      <c r="DA191" s="21" t="str">
        <f t="shared" si="2027"/>
        <v xml:space="preserve"> </v>
      </c>
      <c r="DB191" s="21" t="str">
        <f t="shared" ref="DB191" si="2346">IF(DB89="",DB192,$C191&amp;" "&amp;DB89&amp;CHAR(10)&amp;DB192)</f>
        <v xml:space="preserve"> </v>
      </c>
      <c r="DC191" s="21" t="str">
        <f t="shared" si="736"/>
        <v xml:space="preserve"> </v>
      </c>
      <c r="DD191" s="21" t="str">
        <f t="shared" ref="DD191" si="2347">IF(DD89="",DD192,$C191&amp;" "&amp;DD89&amp;CHAR(10)&amp;DD192)</f>
        <v xml:space="preserve"> </v>
      </c>
      <c r="DE191" s="21" t="str">
        <f t="shared" si="738"/>
        <v xml:space="preserve">biz project(1), biz enhancement(1), job creation(1), business(1), start-up(1), start-up with mvp(1), start-up with customers(1), for entrepreneurs(2),  </v>
      </c>
      <c r="DF191" s="21" t="str">
        <f t="shared" si="739"/>
        <v xml:space="preserve"> </v>
      </c>
      <c r="DG191" s="21" t="str">
        <f t="shared" si="2027"/>
        <v xml:space="preserve"> </v>
      </c>
      <c r="DH191" s="21" t="str">
        <f t="shared" ref="DH191" si="2348">IF(DH89="",DH192,$C191&amp;" "&amp;DH89&amp;CHAR(10)&amp;DH192)</f>
        <v xml:space="preserve">social project 1
 </v>
      </c>
      <c r="DI191" s="21" t="str">
        <f t="shared" si="741"/>
        <v xml:space="preserve"> </v>
      </c>
      <c r="DJ191" s="21" t="str">
        <f t="shared" ref="DJ191" si="2349">IF(DJ89="",DJ192,$C191&amp;" "&amp;DJ89&amp;CHAR(10)&amp;DJ192)</f>
        <v xml:space="preserve"> </v>
      </c>
      <c r="DK191" s="21" t="str">
        <f t="shared" si="743"/>
        <v xml:space="preserve">social project(2), social innovation(1), non-profit biz(1),  </v>
      </c>
      <c r="DL191" s="21" t="str">
        <f t="shared" si="744"/>
        <v xml:space="preserve"> </v>
      </c>
      <c r="DM191" s="21" t="str">
        <f t="shared" si="2027"/>
        <v xml:space="preserve"> </v>
      </c>
      <c r="DN191" s="21" t="str">
        <f t="shared" ref="DN191" si="2350">IF(DN89="",DN192,$C191&amp;" "&amp;DN89&amp;CHAR(10)&amp;DN192)</f>
        <v xml:space="preserve">biz project 1
 </v>
      </c>
      <c r="DO191" s="21" t="str">
        <f t="shared" si="746"/>
        <v xml:space="preserve"> </v>
      </c>
      <c r="DP191" s="21" t="str">
        <f t="shared" ref="DP191" si="2351">IF(DP89="",DP192,$C191&amp;" "&amp;DP89&amp;CHAR(10)&amp;DP192)</f>
        <v xml:space="preserve"> </v>
      </c>
      <c r="DQ191" s="21" t="str">
        <f t="shared" si="748"/>
        <v xml:space="preserve">biz project(2), biz enhancement(1), job creation(1), business(1), start-up(1), start-up with mvp(1), start-up with customers(1), for entrepreneurs(1),  </v>
      </c>
      <c r="DR191" s="21" t="str">
        <f t="shared" si="749"/>
        <v xml:space="preserve"> </v>
      </c>
      <c r="DS191" s="21" t="str">
        <f t="shared" si="2027"/>
        <v xml:space="preserve"> </v>
      </c>
      <c r="DT191" s="21" t="str">
        <f t="shared" ref="DT191" si="2352">IF(DT89="",DT192,$C191&amp;" "&amp;DT89&amp;CHAR(10)&amp;DT192)</f>
        <v xml:space="preserve"> </v>
      </c>
      <c r="DU191" s="21" t="str">
        <f t="shared" si="751"/>
        <v xml:space="preserve"> </v>
      </c>
      <c r="DV191" s="21" t="str">
        <f t="shared" ref="DV191" si="2353">IF(DV89="",DV192,$C191&amp;" "&amp;DV89&amp;CHAR(10)&amp;DV192)</f>
        <v xml:space="preserve"> </v>
      </c>
      <c r="DW191" s="21" t="str">
        <f t="shared" si="753"/>
        <v xml:space="preserve">for basic literacy(1),  </v>
      </c>
      <c r="DX191" s="21" t="str">
        <f t="shared" si="754"/>
        <v xml:space="preserve">for basic literacy(1,6.25),  </v>
      </c>
      <c r="DY191" s="21" t="str">
        <f t="shared" si="2027"/>
        <v xml:space="preserve">for basic literacy(6.25), </v>
      </c>
      <c r="DZ191" s="21" t="str">
        <f t="shared" ref="DZ191" si="2354">IF(DZ89="",DZ192,$C191&amp;" "&amp;DZ89&amp;CHAR(10)&amp;DZ192)</f>
        <v xml:space="preserve"> </v>
      </c>
      <c r="EA191" s="21" t="str">
        <f t="shared" si="756"/>
        <v xml:space="preserve"> </v>
      </c>
      <c r="EB191" s="21" t="str">
        <f t="shared" ref="EB191" si="2355">IF(EB89="",EB192,$C191&amp;" "&amp;EB89&amp;CHAR(10)&amp;EB192)</f>
        <v xml:space="preserve"> </v>
      </c>
      <c r="EC191" s="21" t="str">
        <f t="shared" si="758"/>
        <v xml:space="preserve">for basic literacy(1),  </v>
      </c>
      <c r="ED191" s="21" t="str">
        <f t="shared" si="759"/>
        <v xml:space="preserve">for basic literacy(1,6.25),  </v>
      </c>
      <c r="EE191" s="21" t="str">
        <f t="shared" si="2027"/>
        <v xml:space="preserve">for basic literacy(6.25), </v>
      </c>
      <c r="EF191" s="21" t="str">
        <f t="shared" ref="EF191" si="2356">IF(EF89="",EF192,$C191&amp;" "&amp;EF89&amp;CHAR(10)&amp;EF192)</f>
        <v xml:space="preserve"> </v>
      </c>
      <c r="EG191" s="21" t="str">
        <f t="shared" si="761"/>
        <v xml:space="preserve"> </v>
      </c>
      <c r="EH191" s="21" t="str">
        <f t="shared" ref="EH191" si="2357">IF(EH89="",EH192,$C191&amp;" "&amp;EH89&amp;CHAR(10)&amp;EH192)</f>
        <v xml:space="preserve"> </v>
      </c>
      <c r="EI191" s="21" t="str">
        <f t="shared" si="763"/>
        <v xml:space="preserve">for entrepreneurs(1),  </v>
      </c>
      <c r="EJ191" s="21" t="str">
        <f t="shared" si="764"/>
        <v xml:space="preserve">for entrepreneurs(1,6.25),  </v>
      </c>
      <c r="EK191" s="21" t="str">
        <f t="shared" si="2027"/>
        <v xml:space="preserve">for entrepreneurs(6.25), </v>
      </c>
      <c r="EL191" s="21" t="str">
        <f t="shared" ref="EL191" si="2358">IF(EL89="",EL192,$C191&amp;" "&amp;EL89&amp;CHAR(10)&amp;EL192)</f>
        <v xml:space="preserve"> </v>
      </c>
      <c r="EM191" s="21" t="str">
        <f t="shared" si="766"/>
        <v xml:space="preserve"> </v>
      </c>
      <c r="EN191" s="21" t="str">
        <f t="shared" ref="EN191" si="2359">IF(EN89="",EN192,$C191&amp;" "&amp;EN89&amp;CHAR(10)&amp;EN192)</f>
        <v xml:space="preserve"> </v>
      </c>
      <c r="EO191" s="21" t="str">
        <f t="shared" si="768"/>
        <v xml:space="preserve">for entrepreneurs(1),  </v>
      </c>
      <c r="EP191" s="21" t="str">
        <f t="shared" si="769"/>
        <v xml:space="preserve">for entrepreneurs(1,6.25),  </v>
      </c>
      <c r="EQ191" s="21" t="str">
        <f t="shared" si="2050"/>
        <v xml:space="preserve">for entrepreneurs(6.25), </v>
      </c>
      <c r="ER191" s="21" t="str">
        <f t="shared" ref="ER191" si="2360">IF(ER89="",ER192,$C191&amp;" "&amp;ER89&amp;CHAR(10)&amp;ER192)</f>
        <v xml:space="preserve"> </v>
      </c>
      <c r="ES191" s="21" t="str">
        <f t="shared" si="772"/>
        <v xml:space="preserve"> </v>
      </c>
      <c r="ET191" s="21" t="str">
        <f t="shared" ref="ET191" si="2361">IF(ET89="",ET192,$C191&amp;" "&amp;ET89&amp;CHAR(10)&amp;ET192)</f>
        <v xml:space="preserve"> </v>
      </c>
      <c r="EU191" s="21" t="str">
        <f t="shared" si="774"/>
        <v xml:space="preserve">for entrepreneurs(1),  </v>
      </c>
      <c r="EV191" s="21" t="str">
        <f t="shared" si="775"/>
        <v xml:space="preserve">for entrepreneurs(1,6.25),  </v>
      </c>
      <c r="EW191" s="21" t="str">
        <f t="shared" si="2050"/>
        <v xml:space="preserve">for entrepreneurs(6.25), </v>
      </c>
      <c r="EX191" s="21" t="str">
        <f t="shared" ref="EX191" si="2362">IF(EX89="",EX192,$C191&amp;" "&amp;EX89&amp;CHAR(10)&amp;EX192)</f>
        <v xml:space="preserve"> </v>
      </c>
      <c r="EY191" s="21" t="str">
        <f t="shared" si="777"/>
        <v xml:space="preserve"> </v>
      </c>
      <c r="EZ191" s="21" t="str">
        <f t="shared" ref="EZ191" si="2363">IF(EZ89="",EZ192,$C191&amp;" "&amp;EZ89&amp;CHAR(10)&amp;EZ192)</f>
        <v xml:space="preserve"> </v>
      </c>
      <c r="FA191" s="21" t="str">
        <f t="shared" si="779"/>
        <v xml:space="preserve">for entrepreneurs(1),  </v>
      </c>
      <c r="FB191" s="21" t="str">
        <f t="shared" si="780"/>
        <v xml:space="preserve">for entrepreneurs(1,6.25),  </v>
      </c>
      <c r="FC191" s="21" t="str">
        <f t="shared" si="2050"/>
        <v xml:space="preserve">for entrepreneurs(6.25), </v>
      </c>
      <c r="FD191" s="21" t="str">
        <f t="shared" ref="FD191" si="2364">IF(FD89="",FD192,$C191&amp;" "&amp;FD89&amp;CHAR(10)&amp;FD192)</f>
        <v xml:space="preserve"> </v>
      </c>
      <c r="FE191" s="21" t="str">
        <f t="shared" si="782"/>
        <v xml:space="preserve"> </v>
      </c>
      <c r="FF191" s="21" t="str">
        <f t="shared" ref="FF191" si="2365">IF(FF89="",FF192,$C191&amp;" "&amp;FF89&amp;CHAR(10)&amp;FF192)</f>
        <v xml:space="preserve"> </v>
      </c>
      <c r="FG191" s="21" t="str">
        <f t="shared" si="784"/>
        <v xml:space="preserve">for entrepreneurs(1),  </v>
      </c>
      <c r="FH191" s="21" t="str">
        <f t="shared" si="785"/>
        <v xml:space="preserve">for entrepreneurs(1,6.25),  </v>
      </c>
      <c r="FI191" s="21" t="str">
        <f t="shared" si="2050"/>
        <v xml:space="preserve">for entrepreneurs(6.25), </v>
      </c>
      <c r="FJ191" s="21" t="str">
        <f t="shared" ref="FJ191" si="2366">IF(FJ89="",FJ192,$C191&amp;" "&amp;FJ89&amp;CHAR(10)&amp;FJ192)</f>
        <v xml:space="preserve"> </v>
      </c>
      <c r="FK191" s="21" t="str">
        <f t="shared" si="787"/>
        <v xml:space="preserve"> </v>
      </c>
      <c r="FL191" s="21" t="str">
        <f t="shared" ref="FL191" si="2367">IF(FL89="",FL192,$C191&amp;" "&amp;FL89&amp;CHAR(10)&amp;FL192)</f>
        <v xml:space="preserve"> </v>
      </c>
      <c r="FM191" s="21" t="str">
        <f t="shared" si="789"/>
        <v xml:space="preserve">for entrepreneurs(1),  </v>
      </c>
      <c r="FN191" s="21" t="str">
        <f t="shared" si="790"/>
        <v xml:space="preserve">for entrepreneurs(1,6.25),  </v>
      </c>
      <c r="FO191" s="21" t="str">
        <f t="shared" si="2050"/>
        <v xml:space="preserve">for entrepreneurs(6.25), </v>
      </c>
      <c r="FP191" s="21" t="str">
        <f t="shared" ref="FP191" si="2368">IF(FP89="",FP192,$C191&amp;" "&amp;FP89&amp;CHAR(10)&amp;FP192)</f>
        <v xml:space="preserve"> </v>
      </c>
      <c r="FQ191" s="21" t="str">
        <f t="shared" si="792"/>
        <v xml:space="preserve"> </v>
      </c>
      <c r="FR191" s="21" t="str">
        <f t="shared" ref="FR191" si="2369">IF(FR89="",FR192,$C191&amp;" "&amp;FR89&amp;CHAR(10)&amp;FR192)</f>
        <v xml:space="preserve"> </v>
      </c>
      <c r="FS191" s="21" t="str">
        <f t="shared" si="794"/>
        <v xml:space="preserve">for entrepreneurs(1),  </v>
      </c>
      <c r="FT191" s="21" t="str">
        <f t="shared" si="795"/>
        <v xml:space="preserve">for entrepreneurs(1,6.25),  </v>
      </c>
      <c r="FU191" s="21" t="str">
        <f t="shared" si="2050"/>
        <v xml:space="preserve">for entrepreneurs(6.25), </v>
      </c>
      <c r="FV191" s="21" t="str">
        <f t="shared" ref="FV191" si="2370">IF(FV89="",FV192,$C191&amp;" "&amp;FV89&amp;CHAR(10)&amp;FV192)</f>
        <v xml:space="preserve"> </v>
      </c>
      <c r="FW191" s="21" t="str">
        <f t="shared" si="797"/>
        <v xml:space="preserve"> </v>
      </c>
      <c r="FX191" s="21" t="str">
        <f t="shared" ref="FX191" si="2371">IF(FX89="",FX192,$C191&amp;" "&amp;FX89&amp;CHAR(10)&amp;FX192)</f>
        <v xml:space="preserve"> </v>
      </c>
      <c r="FY191" s="21" t="str">
        <f t="shared" si="799"/>
        <v xml:space="preserve">for entrepreneurs(1),  </v>
      </c>
      <c r="FZ191" s="21" t="str">
        <f t="shared" si="800"/>
        <v xml:space="preserve">for entrepreneurs(1,6.25),  </v>
      </c>
      <c r="GA191" s="21" t="str">
        <f t="shared" si="2050"/>
        <v xml:space="preserve">for entrepreneurs(6.25), </v>
      </c>
      <c r="GB191" s="21" t="str">
        <f t="shared" ref="GB191" si="2372">IF(GB89="",GB192,$C191&amp;" "&amp;GB89&amp;CHAR(10)&amp;GB192)</f>
        <v xml:space="preserve"> </v>
      </c>
      <c r="GC191" s="21" t="str">
        <f t="shared" si="802"/>
        <v xml:space="preserve"> </v>
      </c>
      <c r="GD191" s="21" t="str">
        <f t="shared" ref="GD191" si="2373">IF(GD89="",GD192,$C191&amp;" "&amp;GD89&amp;CHAR(10)&amp;GD192)</f>
        <v xml:space="preserve"> </v>
      </c>
      <c r="GE191" s="21" t="str">
        <f t="shared" si="804"/>
        <v xml:space="preserve">for entrepreneurs(1),  </v>
      </c>
      <c r="GF191" s="21" t="str">
        <f t="shared" si="805"/>
        <v xml:space="preserve">for entrepreneurs(1,6.25),  </v>
      </c>
      <c r="GG191" s="21" t="str">
        <f t="shared" si="2050"/>
        <v xml:space="preserve">for entrepreneurs(6.25), </v>
      </c>
      <c r="GH191" s="21" t="str">
        <f t="shared" ref="GH191" si="2374">IF(GH89="",GH192,$C191&amp;" "&amp;GH89&amp;CHAR(10)&amp;GH192)</f>
        <v xml:space="preserve"> </v>
      </c>
      <c r="GI191" s="21" t="str">
        <f t="shared" si="807"/>
        <v xml:space="preserve"> </v>
      </c>
      <c r="GJ191" s="21" t="str">
        <f t="shared" ref="GJ191" si="2375">IF(GJ89="",GJ192,$C191&amp;" "&amp;GJ89&amp;CHAR(10)&amp;GJ192)</f>
        <v xml:space="preserve"> </v>
      </c>
      <c r="GK191" s="21" t="str">
        <f t="shared" si="809"/>
        <v xml:space="preserve">for entrepreneurs(1),  </v>
      </c>
      <c r="GL191" s="21" t="str">
        <f t="shared" si="810"/>
        <v xml:space="preserve">for entrepreneurs(1,6.25),  </v>
      </c>
      <c r="GM191" s="21" t="str">
        <f t="shared" si="2050"/>
        <v xml:space="preserve">for entrepreneurs(6.25), </v>
      </c>
      <c r="GN191" s="21" t="str">
        <f t="shared" ref="GN191" si="2376">IF(GN89="",GN192,$C191&amp;" "&amp;GN89&amp;CHAR(10)&amp;GN192)</f>
        <v xml:space="preserve"> </v>
      </c>
      <c r="GO191" s="21" t="str">
        <f t="shared" si="812"/>
        <v xml:space="preserve"> </v>
      </c>
      <c r="GP191" s="21" t="str">
        <f t="shared" ref="GP191" si="2377">IF(GP89="",GP192,$C191&amp;" "&amp;GP89&amp;CHAR(10)&amp;GP192)</f>
        <v xml:space="preserve"> </v>
      </c>
      <c r="GQ191" s="21" t="str">
        <f t="shared" si="814"/>
        <v xml:space="preserve">for entrepreneurs(1),  </v>
      </c>
      <c r="GR191" s="21" t="str">
        <f t="shared" si="815"/>
        <v xml:space="preserve">for entrepreneurs(1,6.25),  </v>
      </c>
      <c r="GS191" s="21" t="str">
        <f t="shared" si="2050"/>
        <v xml:space="preserve">for entrepreneurs(6.25), </v>
      </c>
      <c r="GT191" s="21" t="str">
        <f t="shared" ref="GT191" si="2378">IF(GT89="",GT192,$C191&amp;" "&amp;GT89&amp;CHAR(10)&amp;GT192)</f>
        <v xml:space="preserve"> </v>
      </c>
      <c r="GU191" s="21" t="str">
        <f t="shared" si="817"/>
        <v xml:space="preserve"> </v>
      </c>
      <c r="GV191" s="21" t="str">
        <f t="shared" ref="GV191" si="2379">IF(GV89="",GV192,$C191&amp;" "&amp;GV89&amp;CHAR(10)&amp;GV192)</f>
        <v xml:space="preserve"> </v>
      </c>
      <c r="GW191" s="21" t="str">
        <f t="shared" si="819"/>
        <v xml:space="preserve"> </v>
      </c>
      <c r="GX191" s="21" t="str">
        <f t="shared" si="820"/>
        <v xml:space="preserve"> </v>
      </c>
      <c r="GY191" s="21" t="str">
        <f t="shared" si="2050"/>
        <v xml:space="preserve"> </v>
      </c>
      <c r="GZ191" s="21" t="str">
        <f t="shared" ref="GZ191" si="2380">IF(GZ89="",GZ192,$C191&amp;" "&amp;GZ89&amp;CHAR(10)&amp;GZ192)</f>
        <v xml:space="preserve"> </v>
      </c>
      <c r="HA191" s="21" t="str">
        <f t="shared" si="822"/>
        <v xml:space="preserve"> </v>
      </c>
      <c r="HB191" s="21" t="str">
        <f t="shared" ref="HB191" si="2381">IF(HB89="",HB192,$C191&amp;" "&amp;HB89&amp;CHAR(10)&amp;HB192)</f>
        <v xml:space="preserve"> </v>
      </c>
      <c r="HC191" s="21" t="str">
        <f t="shared" si="824"/>
        <v xml:space="preserve"> </v>
      </c>
      <c r="HD191" s="21" t="str">
        <f t="shared" si="825"/>
        <v xml:space="preserve">start-up with customers(1,6.25), for basic literacy(1,6.25),  </v>
      </c>
      <c r="HE191" s="21" t="str">
        <f t="shared" si="2073"/>
        <v xml:space="preserve">start-up with customers(6.25),for basic literacy(6.25), </v>
      </c>
      <c r="HF191" s="21" t="str">
        <f t="shared" ref="HF191" si="2382">IF(HF89="",HF192,$C191&amp;" "&amp;HF89&amp;CHAR(10)&amp;HF192)</f>
        <v xml:space="preserve"> </v>
      </c>
      <c r="HG191" s="21" t="str">
        <f t="shared" si="828"/>
        <v xml:space="preserve"> </v>
      </c>
      <c r="HH191" s="21" t="str">
        <f t="shared" ref="HH191" si="2383">IF(HH89="",HH192,$C191&amp;" "&amp;HH89&amp;CHAR(10)&amp;HH192)</f>
        <v xml:space="preserve"> </v>
      </c>
      <c r="HI191" s="21" t="str">
        <f t="shared" si="830"/>
        <v xml:space="preserve"> </v>
      </c>
      <c r="HJ191" s="21" t="str">
        <f t="shared" si="831"/>
        <v xml:space="preserve">start-up with customers(1,6.25),  </v>
      </c>
      <c r="HK191" s="21" t="str">
        <f t="shared" si="2073"/>
        <v xml:space="preserve">start-up with customers(6.25), </v>
      </c>
      <c r="HL191" s="21" t="str">
        <f t="shared" ref="HL191" si="2384">IF(HL89="",HL192,$C191&amp;" "&amp;HL89&amp;CHAR(10)&amp;HL192)</f>
        <v xml:space="preserve"> </v>
      </c>
      <c r="HM191" s="21" t="str">
        <f t="shared" si="833"/>
        <v xml:space="preserve"> </v>
      </c>
      <c r="HN191" s="21" t="str">
        <f t="shared" ref="HN191" si="2385">IF(HN89="",HN192,$C191&amp;" "&amp;HN89&amp;CHAR(10)&amp;HN192)</f>
        <v xml:space="preserve"> </v>
      </c>
      <c r="HO191" s="21" t="str">
        <f t="shared" si="835"/>
        <v xml:space="preserve"> </v>
      </c>
      <c r="HP191" s="21" t="str">
        <f t="shared" si="836"/>
        <v xml:space="preserve"> </v>
      </c>
      <c r="HQ191" s="47" t="str">
        <f t="shared" si="2073"/>
        <v xml:space="preserve"> </v>
      </c>
      <c r="HR191" s="47" t="str">
        <f t="shared" ref="HR191:HW191" si="2386">IF(HR89="",HR192,$C191&amp;"("&amp;HR89&amp;"),"&amp;HR192)</f>
        <v xml:space="preserve"> </v>
      </c>
      <c r="HS191" s="47" t="str">
        <f t="shared" si="2386"/>
        <v xml:space="preserve"> </v>
      </c>
      <c r="HT191" s="47" t="str">
        <f t="shared" si="2386"/>
        <v xml:space="preserve"> </v>
      </c>
      <c r="HU191" s="47" t="str">
        <f t="shared" si="2386"/>
        <v xml:space="preserve">start-up with mvp(1), </v>
      </c>
      <c r="HV191" s="47" t="str">
        <f t="shared" si="2386"/>
        <v xml:space="preserve"> </v>
      </c>
      <c r="HW191" s="47" t="str">
        <f t="shared" si="2386"/>
        <v xml:space="preserve"> </v>
      </c>
      <c r="HX191" s="47" t="str">
        <f t="shared" ref="HX191:IU191" si="2387">IF(HX89="",HX192,$C191&amp;"("&amp;HX89&amp;"),"&amp;HX192)</f>
        <v xml:space="preserve"> </v>
      </c>
      <c r="HY191" s="47" t="str">
        <f t="shared" si="2387"/>
        <v xml:space="preserve">biz enhancement(1), </v>
      </c>
      <c r="HZ191" s="47" t="str">
        <f t="shared" si="2387"/>
        <v xml:space="preserve">biz enhancement(100), </v>
      </c>
      <c r="IA191" s="47" t="str">
        <f t="shared" si="2387"/>
        <v xml:space="preserve"> </v>
      </c>
      <c r="IB191" s="47" t="str">
        <f t="shared" si="2387"/>
        <v xml:space="preserve"> </v>
      </c>
      <c r="IC191" s="47" t="str">
        <f t="shared" si="2387"/>
        <v xml:space="preserve"> </v>
      </c>
      <c r="ID191" s="47" t="str">
        <f t="shared" si="2387"/>
        <v xml:space="preserve"> </v>
      </c>
      <c r="IE191" s="47" t="str">
        <f t="shared" si="2387"/>
        <v xml:space="preserve"> </v>
      </c>
      <c r="IF191" s="47" t="str">
        <f t="shared" si="2387"/>
        <v xml:space="preserve"> </v>
      </c>
      <c r="IG191" s="47" t="str">
        <f t="shared" si="2387"/>
        <v xml:space="preserve"> </v>
      </c>
      <c r="IH191" s="47" t="str">
        <f t="shared" si="2387"/>
        <v xml:space="preserve"> </v>
      </c>
      <c r="II191" s="47" t="str">
        <f t="shared" si="2387"/>
        <v xml:space="preserve"> </v>
      </c>
      <c r="IJ191" s="47" t="str">
        <f t="shared" si="2387"/>
        <v xml:space="preserve"> </v>
      </c>
      <c r="IK191" s="47" t="str">
        <f t="shared" si="2387"/>
        <v xml:space="preserve"> </v>
      </c>
      <c r="IL191" s="47" t="str">
        <f t="shared" si="2387"/>
        <v xml:space="preserve"> </v>
      </c>
      <c r="IM191" s="47" t="str">
        <f t="shared" si="2387"/>
        <v xml:space="preserve"> </v>
      </c>
      <c r="IN191" s="47" t="str">
        <f t="shared" si="2387"/>
        <v xml:space="preserve"> </v>
      </c>
      <c r="IO191" s="47" t="str">
        <f t="shared" si="2387"/>
        <v xml:space="preserve"> </v>
      </c>
      <c r="IP191" s="57" t="str">
        <f t="shared" si="2387"/>
        <v xml:space="preserve"> </v>
      </c>
      <c r="IQ191" s="47" t="str">
        <f t="shared" si="2387"/>
        <v xml:space="preserve"> </v>
      </c>
      <c r="IR191" s="47" t="str">
        <f t="shared" si="2387"/>
        <v xml:space="preserve"> </v>
      </c>
      <c r="IS191" s="47" t="str">
        <f t="shared" si="2387"/>
        <v xml:space="preserve"> </v>
      </c>
      <c r="IT191" s="47" t="str">
        <f t="shared" si="2387"/>
        <v xml:space="preserve"> </v>
      </c>
      <c r="IU191" s="47" t="str">
        <f t="shared" si="2387"/>
        <v xml:space="preserve"> </v>
      </c>
      <c r="IV191" s="57" t="str">
        <f t="shared" ref="IV191:LG191" si="2388">IF(IV89="",IV192,$C191&amp;"("&amp;IV89&amp;"),"&amp;IV192)</f>
        <v xml:space="preserve"> </v>
      </c>
      <c r="IW191" s="47" t="str">
        <f t="shared" si="2388"/>
        <v xml:space="preserve"> </v>
      </c>
      <c r="IX191" s="47" t="str">
        <f t="shared" si="2388"/>
        <v xml:space="preserve"> </v>
      </c>
      <c r="IY191" s="47" t="str">
        <f t="shared" si="2388"/>
        <v xml:space="preserve"> </v>
      </c>
      <c r="IZ191" s="47" t="str">
        <f t="shared" si="2388"/>
        <v xml:space="preserve"> </v>
      </c>
      <c r="JA191" s="47" t="str">
        <f t="shared" si="2388"/>
        <v xml:space="preserve"> </v>
      </c>
      <c r="JB191" s="47" t="str">
        <f t="shared" si="2388"/>
        <v xml:space="preserve"> </v>
      </c>
      <c r="JC191" s="47" t="str">
        <f t="shared" si="2388"/>
        <v xml:space="preserve"> </v>
      </c>
      <c r="JD191" s="47" t="str">
        <f t="shared" si="2388"/>
        <v xml:space="preserve"> </v>
      </c>
      <c r="JE191" s="47" t="str">
        <f t="shared" si="2388"/>
        <v xml:space="preserve"> </v>
      </c>
      <c r="JF191" s="47" t="str">
        <f t="shared" si="2388"/>
        <v xml:space="preserve"> </v>
      </c>
      <c r="JG191" s="47" t="str">
        <f t="shared" si="2388"/>
        <v xml:space="preserve"> </v>
      </c>
      <c r="JH191" s="47" t="str">
        <f t="shared" si="2388"/>
        <v xml:space="preserve"> </v>
      </c>
      <c r="JI191" s="47" t="str">
        <f t="shared" si="2388"/>
        <v xml:space="preserve"> </v>
      </c>
      <c r="JJ191" s="47" t="str">
        <f t="shared" si="2388"/>
        <v xml:space="preserve"> </v>
      </c>
      <c r="JK191" s="47" t="str">
        <f t="shared" si="2388"/>
        <v xml:space="preserve">social project(1),social innovation(1),non-profit biz(1),biz project(1),biz enhancement(1),job creation(1),business(1),start-up(1),start-up with mvp(1),start-up with customers(1),for basic literacy(1),for the elites(1),for entrepreneurs(1), </v>
      </c>
      <c r="JL191" s="47" t="str">
        <f t="shared" si="2388"/>
        <v xml:space="preserve"> </v>
      </c>
      <c r="JM191" s="47" t="str">
        <f t="shared" si="2388"/>
        <v xml:space="preserve"> </v>
      </c>
      <c r="JN191" s="47" t="str">
        <f t="shared" si="2388"/>
        <v xml:space="preserve"> </v>
      </c>
      <c r="JO191" s="47" t="str">
        <f t="shared" si="2388"/>
        <v xml:space="preserve"> </v>
      </c>
      <c r="JP191" s="47" t="str">
        <f t="shared" si="2388"/>
        <v xml:space="preserve"> </v>
      </c>
      <c r="JQ191" s="47" t="str">
        <f t="shared" si="2388"/>
        <v xml:space="preserve">social project(1),social innovation(1),non-profit biz(1),biz project(1),biz enhancement(1),job creation(1),business(1),start-up(1),start-up with mvp(1),start-up with customers(1),for basic literacy(1),for the elites(1),for entrepreneurs(1), </v>
      </c>
      <c r="JR191" s="47" t="str">
        <f t="shared" si="2388"/>
        <v xml:space="preserve"> </v>
      </c>
      <c r="JS191" s="47" t="str">
        <f t="shared" si="2388"/>
        <v xml:space="preserve"> </v>
      </c>
      <c r="JT191" s="47" t="str">
        <f t="shared" si="2388"/>
        <v xml:space="preserve"> </v>
      </c>
      <c r="JU191" s="47" t="str">
        <f t="shared" si="2388"/>
        <v xml:space="preserve"> </v>
      </c>
      <c r="JV191" s="47" t="str">
        <f t="shared" si="2388"/>
        <v xml:space="preserve"> </v>
      </c>
      <c r="JW191" s="47" t="str">
        <f t="shared" si="2388"/>
        <v xml:space="preserve">social project(2),social innovation(1),non-profit biz(1),biz project(2),biz enhancement(2),job creation(1),business(1),start-up(2),start-up with mvp(1),start-up with customers(1),for basic literacy(2),for the elites(1),for entrepreneurs(1), </v>
      </c>
      <c r="JX191" s="47" t="str">
        <f t="shared" si="2388"/>
        <v xml:space="preserve"> </v>
      </c>
      <c r="JY191" s="47" t="str">
        <f t="shared" si="2388"/>
        <v xml:space="preserve"> </v>
      </c>
      <c r="JZ191" s="47" t="str">
        <f t="shared" si="2388"/>
        <v xml:space="preserve">social project(2), </v>
      </c>
      <c r="KA191" s="47" t="str">
        <f t="shared" si="2388"/>
        <v xml:space="preserve"> </v>
      </c>
      <c r="KB191" s="47" t="str">
        <f t="shared" si="2388"/>
        <v xml:space="preserve"> </v>
      </c>
      <c r="KC191" s="47" t="str">
        <f t="shared" si="2388"/>
        <v xml:space="preserve">social project(3),social innovation(1),non-profit biz(1),biz project(2),biz enhancement(2),job creation(1),business(1),start-up(2),start-up with mvp(1),start-up with customers(1),for basic literacy(2),for the elites(1),for entrepreneurs(1), </v>
      </c>
      <c r="KD191" s="47" t="str">
        <f t="shared" si="2388"/>
        <v xml:space="preserve"> </v>
      </c>
      <c r="KE191" s="47" t="str">
        <f t="shared" si="2388"/>
        <v xml:space="preserve"> </v>
      </c>
      <c r="KF191" s="47" t="str">
        <f t="shared" si="2388"/>
        <v xml:space="preserve"> </v>
      </c>
      <c r="KG191" s="47" t="str">
        <f t="shared" si="2388"/>
        <v xml:space="preserve"> </v>
      </c>
      <c r="KH191" s="47" t="str">
        <f t="shared" si="2388"/>
        <v xml:space="preserve"> </v>
      </c>
      <c r="KI191" s="47" t="str">
        <f t="shared" si="2388"/>
        <v xml:space="preserve"> </v>
      </c>
      <c r="KJ191" s="47" t="str">
        <f t="shared" si="2388"/>
        <v xml:space="preserve"> </v>
      </c>
      <c r="KK191" s="47" t="str">
        <f t="shared" si="2388"/>
        <v xml:space="preserve"> </v>
      </c>
      <c r="KL191" s="57" t="str">
        <f t="shared" si="2388"/>
        <v xml:space="preserve"> </v>
      </c>
      <c r="KM191" s="47" t="str">
        <f t="shared" si="2388"/>
        <v xml:space="preserve"> </v>
      </c>
      <c r="KN191" s="47" t="str">
        <f t="shared" si="2388"/>
        <v xml:space="preserve"> </v>
      </c>
      <c r="KO191" s="47" t="str">
        <f t="shared" si="2388"/>
        <v xml:space="preserve"> </v>
      </c>
      <c r="KP191" s="47" t="str">
        <f t="shared" si="2388"/>
        <v xml:space="preserve"> </v>
      </c>
      <c r="KQ191" s="47" t="str">
        <f t="shared" si="2388"/>
        <v xml:space="preserve"> </v>
      </c>
      <c r="KR191" s="57" t="str">
        <f t="shared" si="2388"/>
        <v xml:space="preserve"> </v>
      </c>
      <c r="KS191" s="47" t="str">
        <f t="shared" si="2388"/>
        <v xml:space="preserve"> </v>
      </c>
      <c r="KT191" s="47" t="str">
        <f t="shared" si="2388"/>
        <v xml:space="preserve"> </v>
      </c>
      <c r="KU191" s="47" t="str">
        <f t="shared" si="2388"/>
        <v xml:space="preserve"> </v>
      </c>
      <c r="KV191" s="47" t="str">
        <f t="shared" si="2388"/>
        <v xml:space="preserve"> </v>
      </c>
      <c r="KW191" s="47" t="str">
        <f t="shared" si="2388"/>
        <v xml:space="preserve"> </v>
      </c>
      <c r="KX191" s="57" t="str">
        <f t="shared" si="2388"/>
        <v xml:space="preserve"> </v>
      </c>
      <c r="KY191" s="47" t="str">
        <f t="shared" si="2388"/>
        <v xml:space="preserve"> </v>
      </c>
      <c r="KZ191" s="47" t="str">
        <f t="shared" si="2388"/>
        <v xml:space="preserve"> </v>
      </c>
      <c r="LA191" s="47" t="str">
        <f t="shared" si="2388"/>
        <v xml:space="preserve"> </v>
      </c>
      <c r="LB191" s="47" t="str">
        <f t="shared" si="2388"/>
        <v xml:space="preserve"> </v>
      </c>
      <c r="LC191" s="47" t="str">
        <f t="shared" si="2388"/>
        <v xml:space="preserve"> </v>
      </c>
      <c r="LD191" s="57" t="str">
        <f t="shared" si="2388"/>
        <v xml:space="preserve"> </v>
      </c>
      <c r="LE191" s="47" t="str">
        <f t="shared" si="2388"/>
        <v xml:space="preserve"> </v>
      </c>
      <c r="LF191" s="47" t="str">
        <f t="shared" si="2388"/>
        <v xml:space="preserve"> </v>
      </c>
      <c r="LG191" s="47" t="str">
        <f t="shared" si="2388"/>
        <v xml:space="preserve"> </v>
      </c>
      <c r="LH191" s="47" t="str">
        <f t="shared" ref="LH191:NM191" si="2389">IF(LH89="",LH192,$C191&amp;"("&amp;LH89&amp;"),"&amp;LH192)</f>
        <v xml:space="preserve"> </v>
      </c>
      <c r="LI191" s="47" t="str">
        <f t="shared" si="2389"/>
        <v xml:space="preserve"> </v>
      </c>
      <c r="LJ191" s="57" t="str">
        <f t="shared" si="2389"/>
        <v xml:space="preserve"> </v>
      </c>
      <c r="LK191" s="47" t="str">
        <f t="shared" si="2389"/>
        <v xml:space="preserve"> </v>
      </c>
      <c r="LL191" s="47" t="str">
        <f t="shared" si="2389"/>
        <v xml:space="preserve"> </v>
      </c>
      <c r="LM191" s="47" t="str">
        <f t="shared" si="2389"/>
        <v xml:space="preserve"> </v>
      </c>
      <c r="LN191" s="47" t="str">
        <f t="shared" si="2389"/>
        <v xml:space="preserve"> </v>
      </c>
      <c r="LO191" s="47" t="str">
        <f t="shared" si="2389"/>
        <v xml:space="preserve"> </v>
      </c>
      <c r="LP191" s="57" t="str">
        <f t="shared" si="2389"/>
        <v xml:space="preserve"> </v>
      </c>
      <c r="LQ191" s="47" t="str">
        <f t="shared" si="2389"/>
        <v xml:space="preserve"> </v>
      </c>
      <c r="LR191" s="47" t="str">
        <f t="shared" si="2389"/>
        <v xml:space="preserve"> </v>
      </c>
      <c r="LS191" s="47" t="str">
        <f t="shared" si="2389"/>
        <v xml:space="preserve"> </v>
      </c>
      <c r="LT191" s="47" t="str">
        <f t="shared" si="2389"/>
        <v xml:space="preserve"> </v>
      </c>
      <c r="LU191" s="47" t="str">
        <f t="shared" si="2389"/>
        <v xml:space="preserve"> </v>
      </c>
      <c r="LV191" s="57" t="str">
        <f t="shared" si="2389"/>
        <v xml:space="preserve"> </v>
      </c>
      <c r="LW191" s="47" t="str">
        <f t="shared" si="2389"/>
        <v xml:space="preserve"> </v>
      </c>
      <c r="LX191" s="47" t="str">
        <f t="shared" si="2389"/>
        <v xml:space="preserve"> </v>
      </c>
      <c r="LY191" s="47" t="str">
        <f t="shared" si="2389"/>
        <v xml:space="preserve"> </v>
      </c>
      <c r="LZ191" s="47" t="str">
        <f t="shared" si="2389"/>
        <v xml:space="preserve"> </v>
      </c>
      <c r="MA191" s="47" t="str">
        <f t="shared" si="2389"/>
        <v xml:space="preserve"> </v>
      </c>
      <c r="MB191" s="57" t="str">
        <f t="shared" si="2389"/>
        <v xml:space="preserve"> </v>
      </c>
      <c r="MC191" s="47" t="str">
        <f t="shared" si="2389"/>
        <v xml:space="preserve"> </v>
      </c>
      <c r="MD191" s="47" t="str">
        <f t="shared" si="2389"/>
        <v xml:space="preserve"> </v>
      </c>
      <c r="ME191" s="47" t="str">
        <f t="shared" si="2389"/>
        <v xml:space="preserve"> </v>
      </c>
      <c r="MF191" s="47" t="str">
        <f t="shared" si="2389"/>
        <v xml:space="preserve"> </v>
      </c>
      <c r="MG191" s="47" t="str">
        <f t="shared" si="2389"/>
        <v xml:space="preserve"> </v>
      </c>
      <c r="MH191" s="57" t="str">
        <f t="shared" si="2389"/>
        <v xml:space="preserve"> </v>
      </c>
      <c r="MI191" s="47" t="str">
        <f t="shared" si="2389"/>
        <v xml:space="preserve"> </v>
      </c>
      <c r="MJ191" s="47" t="str">
        <f t="shared" si="2389"/>
        <v xml:space="preserve"> </v>
      </c>
      <c r="MK191" s="47" t="str">
        <f t="shared" si="2389"/>
        <v xml:space="preserve"> </v>
      </c>
      <c r="ML191" s="47" t="str">
        <f t="shared" si="2389"/>
        <v xml:space="preserve"> </v>
      </c>
      <c r="MM191" s="47" t="str">
        <f t="shared" si="2389"/>
        <v xml:space="preserve"> </v>
      </c>
      <c r="MN191" s="57" t="str">
        <f t="shared" si="2389"/>
        <v xml:space="preserve"> </v>
      </c>
      <c r="MO191" s="47" t="str">
        <f t="shared" si="2389"/>
        <v xml:space="preserve"> </v>
      </c>
      <c r="MP191" s="47" t="str">
        <f t="shared" si="2389"/>
        <v xml:space="preserve"> </v>
      </c>
      <c r="MQ191" s="47" t="str">
        <f t="shared" si="2389"/>
        <v xml:space="preserve"> </v>
      </c>
      <c r="MR191" s="47" t="str">
        <f t="shared" si="2389"/>
        <v xml:space="preserve"> </v>
      </c>
      <c r="MS191" s="47" t="str">
        <f t="shared" si="2389"/>
        <v xml:space="preserve"> </v>
      </c>
      <c r="MT191" s="57" t="str">
        <f t="shared" si="2389"/>
        <v xml:space="preserve"> </v>
      </c>
      <c r="MU191" s="47" t="str">
        <f t="shared" si="2389"/>
        <v xml:space="preserve"> </v>
      </c>
      <c r="MV191" s="47" t="str">
        <f t="shared" si="2389"/>
        <v xml:space="preserve"> </v>
      </c>
      <c r="MW191" s="47" t="str">
        <f t="shared" si="2389"/>
        <v xml:space="preserve"> </v>
      </c>
      <c r="MX191" s="47" t="str">
        <f t="shared" si="2389"/>
        <v xml:space="preserve"> </v>
      </c>
      <c r="MY191" s="47" t="str">
        <f t="shared" si="2389"/>
        <v xml:space="preserve"> </v>
      </c>
      <c r="MZ191" s="57" t="str">
        <f t="shared" si="2389"/>
        <v xml:space="preserve"> </v>
      </c>
      <c r="NA191" s="47" t="str">
        <f t="shared" si="2389"/>
        <v xml:space="preserve"> </v>
      </c>
      <c r="NB191" s="47" t="str">
        <f t="shared" si="2389"/>
        <v xml:space="preserve"> </v>
      </c>
      <c r="NC191" s="47" t="str">
        <f t="shared" si="2389"/>
        <v xml:space="preserve"> </v>
      </c>
      <c r="ND191" s="47" t="str">
        <f t="shared" si="2389"/>
        <v xml:space="preserve"> </v>
      </c>
      <c r="NE191" s="47" t="str">
        <f t="shared" si="2389"/>
        <v xml:space="preserve"> </v>
      </c>
      <c r="NF191" s="57" t="str">
        <f t="shared" si="2389"/>
        <v xml:space="preserve"> </v>
      </c>
      <c r="NG191" s="47" t="str">
        <f t="shared" si="2389"/>
        <v xml:space="preserve"> </v>
      </c>
      <c r="NH191" s="47" t="str">
        <f t="shared" si="2389"/>
        <v xml:space="preserve"> </v>
      </c>
      <c r="NI191" s="47" t="str">
        <f t="shared" si="2389"/>
        <v xml:space="preserve"> </v>
      </c>
      <c r="NJ191" s="47" t="str">
        <f t="shared" si="2389"/>
        <v xml:space="preserve"> </v>
      </c>
      <c r="NK191" s="47" t="str">
        <f t="shared" si="2389"/>
        <v xml:space="preserve"> </v>
      </c>
      <c r="NL191" s="57" t="str">
        <f t="shared" si="2389"/>
        <v xml:space="preserve"> </v>
      </c>
      <c r="NM191" s="47" t="str">
        <f t="shared" si="2389"/>
        <v xml:space="preserve"> </v>
      </c>
    </row>
    <row r="192" spans="3:377" ht="15.75" customHeight="1">
      <c r="C192" s="7" t="str">
        <f t="shared" si="841"/>
        <v>social innovation</v>
      </c>
      <c r="D192" s="21" t="str">
        <f t="shared" si="2000"/>
        <v xml:space="preserve"> </v>
      </c>
      <c r="E192" s="21" t="str">
        <f t="shared" si="842"/>
        <v xml:space="preserve"> </v>
      </c>
      <c r="F192" s="21" t="str">
        <f t="shared" si="2000"/>
        <v xml:space="preserve"> </v>
      </c>
      <c r="G192" s="21" t="str">
        <f t="shared" si="843"/>
        <v xml:space="preserve"> </v>
      </c>
      <c r="H192" s="21" t="str">
        <f t="shared" si="844"/>
        <v xml:space="preserve"> </v>
      </c>
      <c r="I192" s="21" t="str">
        <f t="shared" ref="I192" si="2390">IF(I90="",I193,$C192&amp;"("&amp;I90&amp;"),"&amp;I193)</f>
        <v xml:space="preserve"> </v>
      </c>
      <c r="J192" s="21" t="str">
        <f t="shared" ref="J192" si="2391">IF(J90="",J193,$C192&amp;" "&amp;J90&amp;CHAR(10)&amp;J193)</f>
        <v xml:space="preserve"> </v>
      </c>
      <c r="K192" s="21" t="str">
        <f t="shared" si="654"/>
        <v xml:space="preserve"> </v>
      </c>
      <c r="L192" s="21" t="str">
        <f t="shared" ref="L192" si="2392">IF(L90="",L193,$C192&amp;" "&amp;L90&amp;CHAR(10)&amp;L193)</f>
        <v xml:space="preserve"> </v>
      </c>
      <c r="M192" s="21" t="str">
        <f t="shared" si="656"/>
        <v xml:space="preserve">social innovation(1), non-profit biz(1),  </v>
      </c>
      <c r="N192" s="21" t="str">
        <f t="shared" si="657"/>
        <v xml:space="preserve"> </v>
      </c>
      <c r="O192" s="21" t="str">
        <f t="shared" si="2004"/>
        <v xml:space="preserve"> </v>
      </c>
      <c r="P192" s="21" t="str">
        <f t="shared" ref="P192" si="2393">IF(P90="",P193,$C192&amp;" "&amp;P90&amp;CHAR(10)&amp;P193)</f>
        <v xml:space="preserve">biz project 1
 </v>
      </c>
      <c r="Q192" s="21" t="str">
        <f t="shared" si="660"/>
        <v xml:space="preserve"> </v>
      </c>
      <c r="R192" s="21" t="str">
        <f t="shared" ref="R192" si="2394">IF(R90="",R193,$C192&amp;" "&amp;R90&amp;CHAR(10)&amp;R193)</f>
        <v xml:space="preserve"> </v>
      </c>
      <c r="S192" s="21" t="str">
        <f t="shared" si="662"/>
        <v xml:space="preserve">biz enhancement(1), business(1), start-up(1),  </v>
      </c>
      <c r="T192" s="21" t="str">
        <f t="shared" si="663"/>
        <v xml:space="preserve"> </v>
      </c>
      <c r="U192" s="21" t="str">
        <f t="shared" si="2004"/>
        <v xml:space="preserve"> </v>
      </c>
      <c r="V192" s="21" t="str">
        <f t="shared" ref="V192" si="2395">IF(V90="",V193,$C192&amp;" "&amp;V90&amp;CHAR(10)&amp;V193)</f>
        <v xml:space="preserve"> </v>
      </c>
      <c r="W192" s="21" t="str">
        <f t="shared" si="665"/>
        <v xml:space="preserve"> </v>
      </c>
      <c r="X192" s="21" t="str">
        <f t="shared" ref="X192" si="2396">IF(X90="",X193,$C192&amp;" "&amp;X90&amp;CHAR(10)&amp;X193)</f>
        <v xml:space="preserve"> </v>
      </c>
      <c r="Y192" s="21" t="str">
        <f t="shared" si="667"/>
        <v xml:space="preserve">biz project(1), biz enhancement(1), job creation(1), business(1),  </v>
      </c>
      <c r="Z192" s="21" t="str">
        <f t="shared" si="668"/>
        <v xml:space="preserve"> </v>
      </c>
      <c r="AA192" s="21" t="str">
        <f t="shared" si="2004"/>
        <v xml:space="preserve"> </v>
      </c>
      <c r="AB192" s="21" t="str">
        <f t="shared" ref="AB192" si="2397">IF(AB90="",AB193,$C192&amp;" "&amp;AB90&amp;CHAR(10)&amp;AB193)</f>
        <v xml:space="preserve"> </v>
      </c>
      <c r="AC192" s="21" t="str">
        <f t="shared" si="670"/>
        <v xml:space="preserve"> </v>
      </c>
      <c r="AD192" s="21" t="str">
        <f t="shared" ref="AD192" si="2398">IF(AD90="",AD193,$C192&amp;" "&amp;AD90&amp;CHAR(10)&amp;AD193)</f>
        <v xml:space="preserve"> </v>
      </c>
      <c r="AE192" s="21" t="str">
        <f t="shared" si="672"/>
        <v xml:space="preserve">social innovation(1), non-profit biz(1),  </v>
      </c>
      <c r="AF192" s="21" t="str">
        <f t="shared" si="673"/>
        <v xml:space="preserve"> </v>
      </c>
      <c r="AG192" s="21" t="str">
        <f t="shared" si="2004"/>
        <v xml:space="preserve"> </v>
      </c>
      <c r="AH192" s="21" t="str">
        <f t="shared" ref="AH192" si="2399">IF(AH90="",AH193,$C192&amp;" "&amp;AH90&amp;CHAR(10)&amp;AH193)</f>
        <v xml:space="preserve"> </v>
      </c>
      <c r="AI192" s="21" t="str">
        <f t="shared" si="675"/>
        <v xml:space="preserve"> </v>
      </c>
      <c r="AJ192" s="21" t="str">
        <f t="shared" ref="AJ192" si="2400">IF(AJ90="",AJ193,$C192&amp;" "&amp;AJ90&amp;CHAR(10)&amp;AJ193)</f>
        <v xml:space="preserve"> </v>
      </c>
      <c r="AK192" s="21" t="str">
        <f t="shared" si="677"/>
        <v xml:space="preserve">social innovation(1), non-profit biz(1),  </v>
      </c>
      <c r="AL192" s="21" t="str">
        <f t="shared" si="678"/>
        <v xml:space="preserve"> </v>
      </c>
      <c r="AM192" s="21" t="str">
        <f t="shared" si="2004"/>
        <v xml:space="preserve"> </v>
      </c>
      <c r="AN192" s="21" t="str">
        <f t="shared" ref="AN192" si="2401">IF(AN90="",AN193,$C192&amp;" "&amp;AN90&amp;CHAR(10)&amp;AN193)</f>
        <v xml:space="preserve"> </v>
      </c>
      <c r="AO192" s="21" t="str">
        <f t="shared" si="680"/>
        <v xml:space="preserve"> </v>
      </c>
      <c r="AP192" s="21" t="str">
        <f t="shared" ref="AP192" si="2402">IF(AP90="",AP193,$C192&amp;" "&amp;AP90&amp;CHAR(10)&amp;AP193)</f>
        <v xml:space="preserve"> </v>
      </c>
      <c r="AQ192" s="21" t="str">
        <f t="shared" si="682"/>
        <v xml:space="preserve">start-up(1), start-up with mvp(1), start-up with customers(1),  </v>
      </c>
      <c r="AR192" s="21" t="str">
        <f t="shared" si="683"/>
        <v xml:space="preserve"> </v>
      </c>
      <c r="AS192" s="21" t="str">
        <f t="shared" si="2004"/>
        <v xml:space="preserve"> </v>
      </c>
      <c r="AT192" s="21" t="str">
        <f t="shared" ref="AT192" si="2403">IF(AT90="",AT193,$C192&amp;" "&amp;AT90&amp;CHAR(10)&amp;AT193)</f>
        <v xml:space="preserve"> </v>
      </c>
      <c r="AU192" s="21" t="str">
        <f t="shared" si="685"/>
        <v xml:space="preserve"> </v>
      </c>
      <c r="AV192" s="21" t="str">
        <f t="shared" ref="AV192" si="2404">IF(AV90="",AV193,$C192&amp;" "&amp;AV90&amp;CHAR(10)&amp;AV193)</f>
        <v xml:space="preserve"> </v>
      </c>
      <c r="AW192" s="21" t="str">
        <f t="shared" si="687"/>
        <v xml:space="preserve"> </v>
      </c>
      <c r="AX192" s="21" t="str">
        <f t="shared" si="688"/>
        <v xml:space="preserve"> </v>
      </c>
      <c r="AY192" s="21" t="str">
        <f t="shared" si="2004"/>
        <v xml:space="preserve"> </v>
      </c>
      <c r="AZ192" s="21" t="str">
        <f t="shared" ref="AZ192" si="2405">IF(AZ90="",AZ193,$C192&amp;" "&amp;AZ90&amp;CHAR(10)&amp;AZ193)</f>
        <v xml:space="preserve"> </v>
      </c>
      <c r="BA192" s="21" t="str">
        <f t="shared" si="690"/>
        <v xml:space="preserve"> </v>
      </c>
      <c r="BB192" s="21" t="str">
        <f t="shared" ref="BB192" si="2406">IF(BB90="",BB193,$C192&amp;" "&amp;BB90&amp;CHAR(10)&amp;BB193)</f>
        <v xml:space="preserve"> </v>
      </c>
      <c r="BC192" s="21" t="str">
        <f t="shared" si="692"/>
        <v xml:space="preserve"> </v>
      </c>
      <c r="BD192" s="21" t="str">
        <f t="shared" si="693"/>
        <v xml:space="preserve"> </v>
      </c>
      <c r="BE192" s="21" t="str">
        <f t="shared" si="2004"/>
        <v xml:space="preserve"> </v>
      </c>
      <c r="BF192" s="21" t="str">
        <f t="shared" ref="BF192" si="2407">IF(BF90="",BF193,$C192&amp;" "&amp;BF90&amp;CHAR(10)&amp;BF193)</f>
        <v xml:space="preserve">biz project 1
 </v>
      </c>
      <c r="BG192" s="21" t="str">
        <f t="shared" si="695"/>
        <v xml:space="preserve"> </v>
      </c>
      <c r="BH192" s="21" t="str">
        <f t="shared" ref="BH192" si="2408">IF(BH90="",BH193,$C192&amp;" "&amp;BH90&amp;CHAR(10)&amp;BH193)</f>
        <v xml:space="preserve"> </v>
      </c>
      <c r="BI192" s="21" t="str">
        <f t="shared" si="697"/>
        <v xml:space="preserve"> </v>
      </c>
      <c r="BJ192" s="21" t="str">
        <f t="shared" si="698"/>
        <v xml:space="preserve"> </v>
      </c>
      <c r="BK192" s="21" t="str">
        <f t="shared" si="2004"/>
        <v xml:space="preserve"> </v>
      </c>
      <c r="BL192" s="21" t="str">
        <f t="shared" ref="BL192" si="2409">IF(BL90="",BL193,$C192&amp;" "&amp;BL90&amp;CHAR(10)&amp;BL193)</f>
        <v xml:space="preserve">biz enhancement 1
 </v>
      </c>
      <c r="BM192" s="21" t="str">
        <f t="shared" si="700"/>
        <v xml:space="preserve"> </v>
      </c>
      <c r="BN192" s="21" t="str">
        <f t="shared" ref="BN192" si="2410">IF(BN90="",BN193,$C192&amp;" "&amp;BN90&amp;CHAR(10)&amp;BN193)</f>
        <v xml:space="preserve"> </v>
      </c>
      <c r="BO192" s="21" t="str">
        <f t="shared" si="702"/>
        <v xml:space="preserve"> </v>
      </c>
      <c r="BP192" s="21" t="str">
        <f t="shared" si="703"/>
        <v xml:space="preserve"> </v>
      </c>
      <c r="BQ192" s="21" t="str">
        <f t="shared" si="2004"/>
        <v xml:space="preserve"> </v>
      </c>
      <c r="BR192" s="21" t="str">
        <f t="shared" ref="BR192" si="2411">IF(BR90="",BR193,$C192&amp;" "&amp;BR90&amp;CHAR(10)&amp;BR193)</f>
        <v xml:space="preserve"> </v>
      </c>
      <c r="BS192" s="21" t="str">
        <f t="shared" si="705"/>
        <v xml:space="preserve"> </v>
      </c>
      <c r="BT192" s="21" t="str">
        <f t="shared" ref="BT192" si="2412">IF(BT90="",BT193,$C192&amp;" "&amp;BT90&amp;CHAR(10)&amp;BT193)</f>
        <v xml:space="preserve"> </v>
      </c>
      <c r="BU192" s="21" t="str">
        <f t="shared" si="707"/>
        <v xml:space="preserve"> </v>
      </c>
      <c r="BV192" s="21" t="str">
        <f t="shared" si="708"/>
        <v xml:space="preserve"> </v>
      </c>
      <c r="BW192" s="21" t="str">
        <f t="shared" si="2004"/>
        <v xml:space="preserve"> </v>
      </c>
      <c r="BX192" s="21" t="str">
        <f t="shared" ref="BX192" si="2413">IF(BX90="",BX193,$C192&amp;" "&amp;BX90&amp;CHAR(10)&amp;BX193)</f>
        <v xml:space="preserve"> </v>
      </c>
      <c r="BY192" s="21" t="str">
        <f t="shared" si="710"/>
        <v xml:space="preserve"> </v>
      </c>
      <c r="BZ192" s="21" t="str">
        <f t="shared" ref="BZ192" si="2414">IF(BZ90="",BZ193,$C192&amp;" "&amp;BZ90&amp;CHAR(10)&amp;BZ193)</f>
        <v xml:space="preserve"> </v>
      </c>
      <c r="CA192" s="21" t="str">
        <f t="shared" si="712"/>
        <v xml:space="preserve"> </v>
      </c>
      <c r="CB192" s="21" t="str">
        <f t="shared" si="713"/>
        <v xml:space="preserve"> </v>
      </c>
      <c r="CC192" s="21" t="str">
        <f t="shared" si="2027"/>
        <v xml:space="preserve"> </v>
      </c>
      <c r="CD192" s="21" t="str">
        <f t="shared" ref="CD192" si="2415">IF(CD90="",CD193,$C192&amp;" "&amp;CD90&amp;CHAR(10)&amp;CD193)</f>
        <v xml:space="preserve"> </v>
      </c>
      <c r="CE192" s="21" t="str">
        <f t="shared" si="716"/>
        <v xml:space="preserve"> </v>
      </c>
      <c r="CF192" s="21" t="str">
        <f t="shared" ref="CF192" si="2416">IF(CF90="",CF193,$C192&amp;" "&amp;CF90&amp;CHAR(10)&amp;CF193)</f>
        <v xml:space="preserve"> </v>
      </c>
      <c r="CG192" s="21" t="str">
        <f t="shared" si="718"/>
        <v xml:space="preserve">biz project(1), for basic literacy(1), for the elites(1), for entrepreneurs(1),  </v>
      </c>
      <c r="CH192" s="21" t="str">
        <f t="shared" si="719"/>
        <v xml:space="preserve"> </v>
      </c>
      <c r="CI192" s="21" t="str">
        <f t="shared" si="2027"/>
        <v xml:space="preserve"> </v>
      </c>
      <c r="CJ192" s="21" t="str">
        <f t="shared" ref="CJ192" si="2417">IF(CJ90="",CJ193,$C192&amp;" "&amp;CJ90&amp;CHAR(10)&amp;CJ193)</f>
        <v xml:space="preserve"> </v>
      </c>
      <c r="CK192" s="21" t="str">
        <f t="shared" si="721"/>
        <v xml:space="preserve"> </v>
      </c>
      <c r="CL192" s="21" t="str">
        <f t="shared" ref="CL192" si="2418">IF(CL90="",CL193,$C192&amp;" "&amp;CL90&amp;CHAR(10)&amp;CL193)</f>
        <v xml:space="preserve"> </v>
      </c>
      <c r="CM192" s="21" t="str">
        <f t="shared" si="723"/>
        <v xml:space="preserve"> </v>
      </c>
      <c r="CN192" s="21" t="str">
        <f t="shared" si="724"/>
        <v xml:space="preserve"> </v>
      </c>
      <c r="CO192" s="21" t="str">
        <f t="shared" si="2027"/>
        <v xml:space="preserve"> </v>
      </c>
      <c r="CP192" s="21" t="str">
        <f t="shared" ref="CP192" si="2419">IF(CP90="",CP193,$C192&amp;" "&amp;CP90&amp;CHAR(10)&amp;CP193)</f>
        <v xml:space="preserve"> </v>
      </c>
      <c r="CQ192" s="21" t="str">
        <f t="shared" si="726"/>
        <v xml:space="preserve"> </v>
      </c>
      <c r="CR192" s="21" t="str">
        <f t="shared" ref="CR192" si="2420">IF(CR90="",CR193,$C192&amp;" "&amp;CR90&amp;CHAR(10)&amp;CR193)</f>
        <v xml:space="preserve"> </v>
      </c>
      <c r="CS192" s="21" t="str">
        <f t="shared" si="728"/>
        <v xml:space="preserve"> </v>
      </c>
      <c r="CT192" s="21" t="str">
        <f t="shared" si="729"/>
        <v xml:space="preserve"> </v>
      </c>
      <c r="CU192" s="21" t="str">
        <f t="shared" si="2027"/>
        <v xml:space="preserve"> </v>
      </c>
      <c r="CV192" s="21" t="str">
        <f t="shared" ref="CV192" si="2421">IF(CV90="",CV193,$C192&amp;" "&amp;CV90&amp;CHAR(10)&amp;CV193)</f>
        <v xml:space="preserve"> </v>
      </c>
      <c r="CW192" s="21" t="str">
        <f t="shared" si="731"/>
        <v xml:space="preserve"> </v>
      </c>
      <c r="CX192" s="21" t="str">
        <f t="shared" ref="CX192" si="2422">IF(CX90="",CX193,$C192&amp;" "&amp;CX90&amp;CHAR(10)&amp;CX193)</f>
        <v xml:space="preserve"> </v>
      </c>
      <c r="CY192" s="21" t="str">
        <f t="shared" si="733"/>
        <v xml:space="preserve"> </v>
      </c>
      <c r="CZ192" s="21" t="str">
        <f t="shared" si="734"/>
        <v xml:space="preserve"> </v>
      </c>
      <c r="DA192" s="21" t="str">
        <f t="shared" si="2027"/>
        <v xml:space="preserve"> </v>
      </c>
      <c r="DB192" s="21" t="str">
        <f t="shared" ref="DB192" si="2423">IF(DB90="",DB193,$C192&amp;" "&amp;DB90&amp;CHAR(10)&amp;DB193)</f>
        <v xml:space="preserve"> </v>
      </c>
      <c r="DC192" s="21" t="str">
        <f t="shared" si="736"/>
        <v xml:space="preserve"> </v>
      </c>
      <c r="DD192" s="21" t="str">
        <f t="shared" ref="DD192" si="2424">IF(DD90="",DD193,$C192&amp;" "&amp;DD90&amp;CHAR(10)&amp;DD193)</f>
        <v xml:space="preserve"> </v>
      </c>
      <c r="DE192" s="21" t="str">
        <f t="shared" si="738"/>
        <v xml:space="preserve">biz project(1), biz enhancement(1), job creation(1), business(1), start-up(1), start-up with mvp(1), start-up with customers(1), for entrepreneurs(2),  </v>
      </c>
      <c r="DF192" s="21" t="str">
        <f t="shared" si="739"/>
        <v xml:space="preserve"> </v>
      </c>
      <c r="DG192" s="21" t="str">
        <f t="shared" si="2027"/>
        <v xml:space="preserve"> </v>
      </c>
      <c r="DH192" s="21" t="str">
        <f t="shared" ref="DH192" si="2425">IF(DH90="",DH193,$C192&amp;" "&amp;DH90&amp;CHAR(10)&amp;DH193)</f>
        <v xml:space="preserve"> </v>
      </c>
      <c r="DI192" s="21" t="str">
        <f t="shared" si="741"/>
        <v xml:space="preserve"> </v>
      </c>
      <c r="DJ192" s="21" t="str">
        <f t="shared" ref="DJ192" si="2426">IF(DJ90="",DJ193,$C192&amp;" "&amp;DJ90&amp;CHAR(10)&amp;DJ193)</f>
        <v xml:space="preserve"> </v>
      </c>
      <c r="DK192" s="21" t="str">
        <f t="shared" si="743"/>
        <v xml:space="preserve">social innovation(1), non-profit biz(1),  </v>
      </c>
      <c r="DL192" s="21" t="str">
        <f t="shared" si="744"/>
        <v xml:space="preserve"> </v>
      </c>
      <c r="DM192" s="21" t="str">
        <f t="shared" si="2027"/>
        <v xml:space="preserve"> </v>
      </c>
      <c r="DN192" s="21" t="str">
        <f t="shared" ref="DN192" si="2427">IF(DN90="",DN193,$C192&amp;" "&amp;DN90&amp;CHAR(10)&amp;DN193)</f>
        <v xml:space="preserve">biz project 1
 </v>
      </c>
      <c r="DO192" s="21" t="str">
        <f t="shared" si="746"/>
        <v xml:space="preserve"> </v>
      </c>
      <c r="DP192" s="21" t="str">
        <f t="shared" ref="DP192" si="2428">IF(DP90="",DP193,$C192&amp;" "&amp;DP90&amp;CHAR(10)&amp;DP193)</f>
        <v xml:space="preserve"> </v>
      </c>
      <c r="DQ192" s="21" t="str">
        <f t="shared" si="748"/>
        <v xml:space="preserve">biz project(2), biz enhancement(1), job creation(1), business(1), start-up(1), start-up with mvp(1), start-up with customers(1), for entrepreneurs(1),  </v>
      </c>
      <c r="DR192" s="21" t="str">
        <f t="shared" si="749"/>
        <v xml:space="preserve"> </v>
      </c>
      <c r="DS192" s="21" t="str">
        <f t="shared" si="2027"/>
        <v xml:space="preserve"> </v>
      </c>
      <c r="DT192" s="21" t="str">
        <f t="shared" ref="DT192" si="2429">IF(DT90="",DT193,$C192&amp;" "&amp;DT90&amp;CHAR(10)&amp;DT193)</f>
        <v xml:space="preserve"> </v>
      </c>
      <c r="DU192" s="21" t="str">
        <f t="shared" si="751"/>
        <v xml:space="preserve"> </v>
      </c>
      <c r="DV192" s="21" t="str">
        <f t="shared" ref="DV192" si="2430">IF(DV90="",DV193,$C192&amp;" "&amp;DV90&amp;CHAR(10)&amp;DV193)</f>
        <v xml:space="preserve"> </v>
      </c>
      <c r="DW192" s="21" t="str">
        <f t="shared" si="753"/>
        <v xml:space="preserve">for basic literacy(1),  </v>
      </c>
      <c r="DX192" s="21" t="str">
        <f t="shared" si="754"/>
        <v xml:space="preserve">for basic literacy(1,6.25),  </v>
      </c>
      <c r="DY192" s="21" t="str">
        <f t="shared" si="2027"/>
        <v xml:space="preserve">for basic literacy(6.25), </v>
      </c>
      <c r="DZ192" s="21" t="str">
        <f t="shared" ref="DZ192" si="2431">IF(DZ90="",DZ193,$C192&amp;" "&amp;DZ90&amp;CHAR(10)&amp;DZ193)</f>
        <v xml:space="preserve"> </v>
      </c>
      <c r="EA192" s="21" t="str">
        <f t="shared" si="756"/>
        <v xml:space="preserve"> </v>
      </c>
      <c r="EB192" s="21" t="str">
        <f t="shared" ref="EB192" si="2432">IF(EB90="",EB193,$C192&amp;" "&amp;EB90&amp;CHAR(10)&amp;EB193)</f>
        <v xml:space="preserve"> </v>
      </c>
      <c r="EC192" s="21" t="str">
        <f t="shared" si="758"/>
        <v xml:space="preserve">for basic literacy(1),  </v>
      </c>
      <c r="ED192" s="21" t="str">
        <f t="shared" si="759"/>
        <v xml:space="preserve">for basic literacy(1,6.25),  </v>
      </c>
      <c r="EE192" s="21" t="str">
        <f t="shared" si="2027"/>
        <v xml:space="preserve">for basic literacy(6.25), </v>
      </c>
      <c r="EF192" s="21" t="str">
        <f t="shared" ref="EF192" si="2433">IF(EF90="",EF193,$C192&amp;" "&amp;EF90&amp;CHAR(10)&amp;EF193)</f>
        <v xml:space="preserve"> </v>
      </c>
      <c r="EG192" s="21" t="str">
        <f t="shared" si="761"/>
        <v xml:space="preserve"> </v>
      </c>
      <c r="EH192" s="21" t="str">
        <f t="shared" ref="EH192" si="2434">IF(EH90="",EH193,$C192&amp;" "&amp;EH90&amp;CHAR(10)&amp;EH193)</f>
        <v xml:space="preserve"> </v>
      </c>
      <c r="EI192" s="21" t="str">
        <f t="shared" si="763"/>
        <v xml:space="preserve">for entrepreneurs(1),  </v>
      </c>
      <c r="EJ192" s="21" t="str">
        <f t="shared" si="764"/>
        <v xml:space="preserve">for entrepreneurs(1,6.25),  </v>
      </c>
      <c r="EK192" s="21" t="str">
        <f t="shared" si="2027"/>
        <v xml:space="preserve">for entrepreneurs(6.25), </v>
      </c>
      <c r="EL192" s="21" t="str">
        <f t="shared" ref="EL192" si="2435">IF(EL90="",EL193,$C192&amp;" "&amp;EL90&amp;CHAR(10)&amp;EL193)</f>
        <v xml:space="preserve"> </v>
      </c>
      <c r="EM192" s="21" t="str">
        <f t="shared" si="766"/>
        <v xml:space="preserve"> </v>
      </c>
      <c r="EN192" s="21" t="str">
        <f t="shared" ref="EN192" si="2436">IF(EN90="",EN193,$C192&amp;" "&amp;EN90&amp;CHAR(10)&amp;EN193)</f>
        <v xml:space="preserve"> </v>
      </c>
      <c r="EO192" s="21" t="str">
        <f t="shared" si="768"/>
        <v xml:space="preserve">for entrepreneurs(1),  </v>
      </c>
      <c r="EP192" s="21" t="str">
        <f t="shared" si="769"/>
        <v xml:space="preserve">for entrepreneurs(1,6.25),  </v>
      </c>
      <c r="EQ192" s="21" t="str">
        <f t="shared" si="2050"/>
        <v xml:space="preserve">for entrepreneurs(6.25), </v>
      </c>
      <c r="ER192" s="21" t="str">
        <f t="shared" ref="ER192" si="2437">IF(ER90="",ER193,$C192&amp;" "&amp;ER90&amp;CHAR(10)&amp;ER193)</f>
        <v xml:space="preserve"> </v>
      </c>
      <c r="ES192" s="21" t="str">
        <f t="shared" si="772"/>
        <v xml:space="preserve"> </v>
      </c>
      <c r="ET192" s="21" t="str">
        <f t="shared" ref="ET192" si="2438">IF(ET90="",ET193,$C192&amp;" "&amp;ET90&amp;CHAR(10)&amp;ET193)</f>
        <v xml:space="preserve"> </v>
      </c>
      <c r="EU192" s="21" t="str">
        <f t="shared" si="774"/>
        <v xml:space="preserve">for entrepreneurs(1),  </v>
      </c>
      <c r="EV192" s="21" t="str">
        <f t="shared" si="775"/>
        <v xml:space="preserve">for entrepreneurs(1,6.25),  </v>
      </c>
      <c r="EW192" s="21" t="str">
        <f t="shared" si="2050"/>
        <v xml:space="preserve">for entrepreneurs(6.25), </v>
      </c>
      <c r="EX192" s="21" t="str">
        <f t="shared" ref="EX192" si="2439">IF(EX90="",EX193,$C192&amp;" "&amp;EX90&amp;CHAR(10)&amp;EX193)</f>
        <v xml:space="preserve"> </v>
      </c>
      <c r="EY192" s="21" t="str">
        <f t="shared" si="777"/>
        <v xml:space="preserve"> </v>
      </c>
      <c r="EZ192" s="21" t="str">
        <f t="shared" ref="EZ192" si="2440">IF(EZ90="",EZ193,$C192&amp;" "&amp;EZ90&amp;CHAR(10)&amp;EZ193)</f>
        <v xml:space="preserve"> </v>
      </c>
      <c r="FA192" s="21" t="str">
        <f t="shared" si="779"/>
        <v xml:space="preserve">for entrepreneurs(1),  </v>
      </c>
      <c r="FB192" s="21" t="str">
        <f t="shared" si="780"/>
        <v xml:space="preserve">for entrepreneurs(1,6.25),  </v>
      </c>
      <c r="FC192" s="21" t="str">
        <f t="shared" si="2050"/>
        <v xml:space="preserve">for entrepreneurs(6.25), </v>
      </c>
      <c r="FD192" s="21" t="str">
        <f t="shared" ref="FD192" si="2441">IF(FD90="",FD193,$C192&amp;" "&amp;FD90&amp;CHAR(10)&amp;FD193)</f>
        <v xml:space="preserve"> </v>
      </c>
      <c r="FE192" s="21" t="str">
        <f t="shared" si="782"/>
        <v xml:space="preserve"> </v>
      </c>
      <c r="FF192" s="21" t="str">
        <f t="shared" ref="FF192" si="2442">IF(FF90="",FF193,$C192&amp;" "&amp;FF90&amp;CHAR(10)&amp;FF193)</f>
        <v xml:space="preserve"> </v>
      </c>
      <c r="FG192" s="21" t="str">
        <f t="shared" si="784"/>
        <v xml:space="preserve">for entrepreneurs(1),  </v>
      </c>
      <c r="FH192" s="21" t="str">
        <f t="shared" si="785"/>
        <v xml:space="preserve">for entrepreneurs(1,6.25),  </v>
      </c>
      <c r="FI192" s="21" t="str">
        <f t="shared" si="2050"/>
        <v xml:space="preserve">for entrepreneurs(6.25), </v>
      </c>
      <c r="FJ192" s="21" t="str">
        <f t="shared" ref="FJ192" si="2443">IF(FJ90="",FJ193,$C192&amp;" "&amp;FJ90&amp;CHAR(10)&amp;FJ193)</f>
        <v xml:space="preserve"> </v>
      </c>
      <c r="FK192" s="21" t="str">
        <f t="shared" si="787"/>
        <v xml:space="preserve"> </v>
      </c>
      <c r="FL192" s="21" t="str">
        <f t="shared" ref="FL192" si="2444">IF(FL90="",FL193,$C192&amp;" "&amp;FL90&amp;CHAR(10)&amp;FL193)</f>
        <v xml:space="preserve"> </v>
      </c>
      <c r="FM192" s="21" t="str">
        <f t="shared" si="789"/>
        <v xml:space="preserve">for entrepreneurs(1),  </v>
      </c>
      <c r="FN192" s="21" t="str">
        <f t="shared" si="790"/>
        <v xml:space="preserve">for entrepreneurs(1,6.25),  </v>
      </c>
      <c r="FO192" s="21" t="str">
        <f t="shared" si="2050"/>
        <v xml:space="preserve">for entrepreneurs(6.25), </v>
      </c>
      <c r="FP192" s="21" t="str">
        <f t="shared" ref="FP192" si="2445">IF(FP90="",FP193,$C192&amp;" "&amp;FP90&amp;CHAR(10)&amp;FP193)</f>
        <v xml:space="preserve"> </v>
      </c>
      <c r="FQ192" s="21" t="str">
        <f t="shared" si="792"/>
        <v xml:space="preserve"> </v>
      </c>
      <c r="FR192" s="21" t="str">
        <f t="shared" ref="FR192" si="2446">IF(FR90="",FR193,$C192&amp;" "&amp;FR90&amp;CHAR(10)&amp;FR193)</f>
        <v xml:space="preserve"> </v>
      </c>
      <c r="FS192" s="21" t="str">
        <f t="shared" si="794"/>
        <v xml:space="preserve">for entrepreneurs(1),  </v>
      </c>
      <c r="FT192" s="21" t="str">
        <f t="shared" si="795"/>
        <v xml:space="preserve">for entrepreneurs(1,6.25),  </v>
      </c>
      <c r="FU192" s="21" t="str">
        <f t="shared" si="2050"/>
        <v xml:space="preserve">for entrepreneurs(6.25), </v>
      </c>
      <c r="FV192" s="21" t="str">
        <f t="shared" ref="FV192" si="2447">IF(FV90="",FV193,$C192&amp;" "&amp;FV90&amp;CHAR(10)&amp;FV193)</f>
        <v xml:space="preserve"> </v>
      </c>
      <c r="FW192" s="21" t="str">
        <f t="shared" si="797"/>
        <v xml:space="preserve"> </v>
      </c>
      <c r="FX192" s="21" t="str">
        <f t="shared" ref="FX192" si="2448">IF(FX90="",FX193,$C192&amp;" "&amp;FX90&amp;CHAR(10)&amp;FX193)</f>
        <v xml:space="preserve"> </v>
      </c>
      <c r="FY192" s="21" t="str">
        <f t="shared" si="799"/>
        <v xml:space="preserve">for entrepreneurs(1),  </v>
      </c>
      <c r="FZ192" s="21" t="str">
        <f t="shared" si="800"/>
        <v xml:space="preserve">for entrepreneurs(1,6.25),  </v>
      </c>
      <c r="GA192" s="21" t="str">
        <f t="shared" si="2050"/>
        <v xml:space="preserve">for entrepreneurs(6.25), </v>
      </c>
      <c r="GB192" s="21" t="str">
        <f t="shared" ref="GB192" si="2449">IF(GB90="",GB193,$C192&amp;" "&amp;GB90&amp;CHAR(10)&amp;GB193)</f>
        <v xml:space="preserve"> </v>
      </c>
      <c r="GC192" s="21" t="str">
        <f t="shared" si="802"/>
        <v xml:space="preserve"> </v>
      </c>
      <c r="GD192" s="21" t="str">
        <f t="shared" ref="GD192" si="2450">IF(GD90="",GD193,$C192&amp;" "&amp;GD90&amp;CHAR(10)&amp;GD193)</f>
        <v xml:space="preserve"> </v>
      </c>
      <c r="GE192" s="21" t="str">
        <f t="shared" si="804"/>
        <v xml:space="preserve">for entrepreneurs(1),  </v>
      </c>
      <c r="GF192" s="21" t="str">
        <f t="shared" si="805"/>
        <v xml:space="preserve">for entrepreneurs(1,6.25),  </v>
      </c>
      <c r="GG192" s="21" t="str">
        <f t="shared" si="2050"/>
        <v xml:space="preserve">for entrepreneurs(6.25), </v>
      </c>
      <c r="GH192" s="21" t="str">
        <f t="shared" ref="GH192" si="2451">IF(GH90="",GH193,$C192&amp;" "&amp;GH90&amp;CHAR(10)&amp;GH193)</f>
        <v xml:space="preserve"> </v>
      </c>
      <c r="GI192" s="21" t="str">
        <f t="shared" si="807"/>
        <v xml:space="preserve"> </v>
      </c>
      <c r="GJ192" s="21" t="str">
        <f t="shared" ref="GJ192" si="2452">IF(GJ90="",GJ193,$C192&amp;" "&amp;GJ90&amp;CHAR(10)&amp;GJ193)</f>
        <v xml:space="preserve"> </v>
      </c>
      <c r="GK192" s="21" t="str">
        <f t="shared" si="809"/>
        <v xml:space="preserve">for entrepreneurs(1),  </v>
      </c>
      <c r="GL192" s="21" t="str">
        <f t="shared" si="810"/>
        <v xml:space="preserve">for entrepreneurs(1,6.25),  </v>
      </c>
      <c r="GM192" s="21" t="str">
        <f t="shared" si="2050"/>
        <v xml:space="preserve">for entrepreneurs(6.25), </v>
      </c>
      <c r="GN192" s="21" t="str">
        <f t="shared" ref="GN192" si="2453">IF(GN90="",GN193,$C192&amp;" "&amp;GN90&amp;CHAR(10)&amp;GN193)</f>
        <v xml:space="preserve"> </v>
      </c>
      <c r="GO192" s="21" t="str">
        <f t="shared" si="812"/>
        <v xml:space="preserve"> </v>
      </c>
      <c r="GP192" s="21" t="str">
        <f t="shared" ref="GP192" si="2454">IF(GP90="",GP193,$C192&amp;" "&amp;GP90&amp;CHAR(10)&amp;GP193)</f>
        <v xml:space="preserve"> </v>
      </c>
      <c r="GQ192" s="21" t="str">
        <f t="shared" si="814"/>
        <v xml:space="preserve">for entrepreneurs(1),  </v>
      </c>
      <c r="GR192" s="21" t="str">
        <f t="shared" si="815"/>
        <v xml:space="preserve">for entrepreneurs(1,6.25),  </v>
      </c>
      <c r="GS192" s="21" t="str">
        <f t="shared" si="2050"/>
        <v xml:space="preserve">for entrepreneurs(6.25), </v>
      </c>
      <c r="GT192" s="21" t="str">
        <f t="shared" ref="GT192" si="2455">IF(GT90="",GT193,$C192&amp;" "&amp;GT90&amp;CHAR(10)&amp;GT193)</f>
        <v xml:space="preserve"> </v>
      </c>
      <c r="GU192" s="21" t="str">
        <f t="shared" si="817"/>
        <v xml:space="preserve"> </v>
      </c>
      <c r="GV192" s="21" t="str">
        <f t="shared" ref="GV192" si="2456">IF(GV90="",GV193,$C192&amp;" "&amp;GV90&amp;CHAR(10)&amp;GV193)</f>
        <v xml:space="preserve"> </v>
      </c>
      <c r="GW192" s="21" t="str">
        <f t="shared" si="819"/>
        <v xml:space="preserve"> </v>
      </c>
      <c r="GX192" s="21" t="str">
        <f t="shared" si="820"/>
        <v xml:space="preserve"> </v>
      </c>
      <c r="GY192" s="21" t="str">
        <f t="shared" si="2050"/>
        <v xml:space="preserve"> </v>
      </c>
      <c r="GZ192" s="21" t="str">
        <f t="shared" ref="GZ192" si="2457">IF(GZ90="",GZ193,$C192&amp;" "&amp;GZ90&amp;CHAR(10)&amp;GZ193)</f>
        <v xml:space="preserve"> </v>
      </c>
      <c r="HA192" s="21" t="str">
        <f t="shared" si="822"/>
        <v xml:space="preserve"> </v>
      </c>
      <c r="HB192" s="21" t="str">
        <f t="shared" ref="HB192" si="2458">IF(HB90="",HB193,$C192&amp;" "&amp;HB90&amp;CHAR(10)&amp;HB193)</f>
        <v xml:space="preserve"> </v>
      </c>
      <c r="HC192" s="21" t="str">
        <f t="shared" si="824"/>
        <v xml:space="preserve"> </v>
      </c>
      <c r="HD192" s="21" t="str">
        <f t="shared" si="825"/>
        <v xml:space="preserve">start-up with customers(1,6.25), for basic literacy(1,6.25),  </v>
      </c>
      <c r="HE192" s="21" t="str">
        <f t="shared" si="2073"/>
        <v xml:space="preserve">start-up with customers(6.25),for basic literacy(6.25), </v>
      </c>
      <c r="HF192" s="21" t="str">
        <f t="shared" ref="HF192" si="2459">IF(HF90="",HF193,$C192&amp;" "&amp;HF90&amp;CHAR(10)&amp;HF193)</f>
        <v xml:space="preserve"> </v>
      </c>
      <c r="HG192" s="21" t="str">
        <f t="shared" si="828"/>
        <v xml:space="preserve"> </v>
      </c>
      <c r="HH192" s="21" t="str">
        <f t="shared" ref="HH192" si="2460">IF(HH90="",HH193,$C192&amp;" "&amp;HH90&amp;CHAR(10)&amp;HH193)</f>
        <v xml:space="preserve"> </v>
      </c>
      <c r="HI192" s="21" t="str">
        <f t="shared" si="830"/>
        <v xml:space="preserve"> </v>
      </c>
      <c r="HJ192" s="21" t="str">
        <f t="shared" si="831"/>
        <v xml:space="preserve">start-up with customers(1,6.25),  </v>
      </c>
      <c r="HK192" s="21" t="str">
        <f t="shared" si="2073"/>
        <v xml:space="preserve">start-up with customers(6.25), </v>
      </c>
      <c r="HL192" s="21" t="str">
        <f t="shared" ref="HL192" si="2461">IF(HL90="",HL193,$C192&amp;" "&amp;HL90&amp;CHAR(10)&amp;HL193)</f>
        <v xml:space="preserve"> </v>
      </c>
      <c r="HM192" s="21" t="str">
        <f t="shared" si="833"/>
        <v xml:space="preserve"> </v>
      </c>
      <c r="HN192" s="21" t="str">
        <f t="shared" ref="HN192" si="2462">IF(HN90="",HN193,$C192&amp;" "&amp;HN90&amp;CHAR(10)&amp;HN193)</f>
        <v xml:space="preserve"> </v>
      </c>
      <c r="HO192" s="21" t="str">
        <f t="shared" si="835"/>
        <v xml:space="preserve"> </v>
      </c>
      <c r="HP192" s="21" t="str">
        <f t="shared" si="836"/>
        <v xml:space="preserve"> </v>
      </c>
      <c r="HQ192" s="47" t="str">
        <f t="shared" si="2073"/>
        <v xml:space="preserve"> </v>
      </c>
      <c r="HR192" s="47" t="str">
        <f t="shared" ref="HR192:HW192" si="2463">IF(HR90="",HR193,$C192&amp;"("&amp;HR90&amp;"),"&amp;HR193)</f>
        <v xml:space="preserve"> </v>
      </c>
      <c r="HS192" s="47" t="str">
        <f t="shared" si="2463"/>
        <v xml:space="preserve"> </v>
      </c>
      <c r="HT192" s="47" t="str">
        <f t="shared" si="2463"/>
        <v xml:space="preserve"> </v>
      </c>
      <c r="HU192" s="47" t="str">
        <f t="shared" si="2463"/>
        <v xml:space="preserve">start-up with mvp(1), </v>
      </c>
      <c r="HV192" s="47" t="str">
        <f t="shared" si="2463"/>
        <v xml:space="preserve"> </v>
      </c>
      <c r="HW192" s="47" t="str">
        <f t="shared" si="2463"/>
        <v xml:space="preserve"> </v>
      </c>
      <c r="HX192" s="47" t="str">
        <f t="shared" ref="HX192:IU192" si="2464">IF(HX90="",HX193,$C192&amp;"("&amp;HX90&amp;"),"&amp;HX193)</f>
        <v xml:space="preserve"> </v>
      </c>
      <c r="HY192" s="47" t="str">
        <f t="shared" si="2464"/>
        <v xml:space="preserve">biz enhancement(1), </v>
      </c>
      <c r="HZ192" s="47" t="str">
        <f t="shared" si="2464"/>
        <v xml:space="preserve">biz enhancement(100), </v>
      </c>
      <c r="IA192" s="47" t="str">
        <f t="shared" si="2464"/>
        <v xml:space="preserve"> </v>
      </c>
      <c r="IB192" s="47" t="str">
        <f t="shared" si="2464"/>
        <v xml:space="preserve"> </v>
      </c>
      <c r="IC192" s="47" t="str">
        <f t="shared" si="2464"/>
        <v xml:space="preserve"> </v>
      </c>
      <c r="ID192" s="47" t="str">
        <f t="shared" si="2464"/>
        <v xml:space="preserve"> </v>
      </c>
      <c r="IE192" s="47" t="str">
        <f t="shared" si="2464"/>
        <v xml:space="preserve"> </v>
      </c>
      <c r="IF192" s="47" t="str">
        <f t="shared" si="2464"/>
        <v xml:space="preserve"> </v>
      </c>
      <c r="IG192" s="47" t="str">
        <f t="shared" si="2464"/>
        <v xml:space="preserve"> </v>
      </c>
      <c r="IH192" s="47" t="str">
        <f t="shared" si="2464"/>
        <v xml:space="preserve"> </v>
      </c>
      <c r="II192" s="47" t="str">
        <f t="shared" si="2464"/>
        <v xml:space="preserve"> </v>
      </c>
      <c r="IJ192" s="47" t="str">
        <f t="shared" si="2464"/>
        <v xml:space="preserve"> </v>
      </c>
      <c r="IK192" s="47" t="str">
        <f t="shared" si="2464"/>
        <v xml:space="preserve"> </v>
      </c>
      <c r="IL192" s="47" t="str">
        <f t="shared" si="2464"/>
        <v xml:space="preserve"> </v>
      </c>
      <c r="IM192" s="47" t="str">
        <f t="shared" si="2464"/>
        <v xml:space="preserve"> </v>
      </c>
      <c r="IN192" s="47" t="str">
        <f t="shared" si="2464"/>
        <v xml:space="preserve"> </v>
      </c>
      <c r="IO192" s="47" t="str">
        <f t="shared" si="2464"/>
        <v xml:space="preserve"> </v>
      </c>
      <c r="IP192" s="57" t="str">
        <f t="shared" si="2464"/>
        <v xml:space="preserve"> </v>
      </c>
      <c r="IQ192" s="47" t="str">
        <f t="shared" si="2464"/>
        <v xml:space="preserve"> </v>
      </c>
      <c r="IR192" s="47" t="str">
        <f t="shared" si="2464"/>
        <v xml:space="preserve"> </v>
      </c>
      <c r="IS192" s="47" t="str">
        <f t="shared" si="2464"/>
        <v xml:space="preserve"> </v>
      </c>
      <c r="IT192" s="47" t="str">
        <f t="shared" si="2464"/>
        <v xml:space="preserve"> </v>
      </c>
      <c r="IU192" s="47" t="str">
        <f t="shared" si="2464"/>
        <v xml:space="preserve"> </v>
      </c>
      <c r="IV192" s="57" t="str">
        <f t="shared" ref="IV192:LG192" si="2465">IF(IV90="",IV193,$C192&amp;"("&amp;IV90&amp;"),"&amp;IV193)</f>
        <v xml:space="preserve"> </v>
      </c>
      <c r="IW192" s="47" t="str">
        <f t="shared" si="2465"/>
        <v xml:space="preserve"> </v>
      </c>
      <c r="IX192" s="47" t="str">
        <f t="shared" si="2465"/>
        <v xml:space="preserve"> </v>
      </c>
      <c r="IY192" s="47" t="str">
        <f t="shared" si="2465"/>
        <v xml:space="preserve"> </v>
      </c>
      <c r="IZ192" s="47" t="str">
        <f t="shared" si="2465"/>
        <v xml:space="preserve"> </v>
      </c>
      <c r="JA192" s="47" t="str">
        <f t="shared" si="2465"/>
        <v xml:space="preserve"> </v>
      </c>
      <c r="JB192" s="47" t="str">
        <f t="shared" si="2465"/>
        <v xml:space="preserve"> </v>
      </c>
      <c r="JC192" s="47" t="str">
        <f t="shared" si="2465"/>
        <v xml:space="preserve"> </v>
      </c>
      <c r="JD192" s="47" t="str">
        <f t="shared" si="2465"/>
        <v xml:space="preserve"> </v>
      </c>
      <c r="JE192" s="47" t="str">
        <f t="shared" si="2465"/>
        <v xml:space="preserve"> </v>
      </c>
      <c r="JF192" s="47" t="str">
        <f t="shared" si="2465"/>
        <v xml:space="preserve"> </v>
      </c>
      <c r="JG192" s="47" t="str">
        <f t="shared" si="2465"/>
        <v xml:space="preserve"> </v>
      </c>
      <c r="JH192" s="47" t="str">
        <f t="shared" si="2465"/>
        <v xml:space="preserve"> </v>
      </c>
      <c r="JI192" s="47" t="str">
        <f t="shared" si="2465"/>
        <v xml:space="preserve"> </v>
      </c>
      <c r="JJ192" s="47" t="str">
        <f t="shared" si="2465"/>
        <v xml:space="preserve"> </v>
      </c>
      <c r="JK192" s="47" t="str">
        <f t="shared" si="2465"/>
        <v xml:space="preserve">social innovation(1),non-profit biz(1),biz project(1),biz enhancement(1),job creation(1),business(1),start-up(1),start-up with mvp(1),start-up with customers(1),for basic literacy(1),for the elites(1),for entrepreneurs(1), </v>
      </c>
      <c r="JL192" s="47" t="str">
        <f t="shared" si="2465"/>
        <v xml:space="preserve"> </v>
      </c>
      <c r="JM192" s="47" t="str">
        <f t="shared" si="2465"/>
        <v xml:space="preserve"> </v>
      </c>
      <c r="JN192" s="47" t="str">
        <f t="shared" si="2465"/>
        <v xml:space="preserve"> </v>
      </c>
      <c r="JO192" s="47" t="str">
        <f t="shared" si="2465"/>
        <v xml:space="preserve"> </v>
      </c>
      <c r="JP192" s="47" t="str">
        <f t="shared" si="2465"/>
        <v xml:space="preserve"> </v>
      </c>
      <c r="JQ192" s="47" t="str">
        <f t="shared" si="2465"/>
        <v xml:space="preserve">social innovation(1),non-profit biz(1),biz project(1),biz enhancement(1),job creation(1),business(1),start-up(1),start-up with mvp(1),start-up with customers(1),for basic literacy(1),for the elites(1),for entrepreneurs(1), </v>
      </c>
      <c r="JR192" s="47" t="str">
        <f t="shared" si="2465"/>
        <v xml:space="preserve"> </v>
      </c>
      <c r="JS192" s="47" t="str">
        <f t="shared" si="2465"/>
        <v xml:space="preserve"> </v>
      </c>
      <c r="JT192" s="47" t="str">
        <f t="shared" si="2465"/>
        <v xml:space="preserve"> </v>
      </c>
      <c r="JU192" s="47" t="str">
        <f t="shared" si="2465"/>
        <v xml:space="preserve"> </v>
      </c>
      <c r="JV192" s="47" t="str">
        <f t="shared" si="2465"/>
        <v xml:space="preserve"> </v>
      </c>
      <c r="JW192" s="47" t="str">
        <f t="shared" si="2465"/>
        <v xml:space="preserve">social innovation(1),non-profit biz(1),biz project(2),biz enhancement(2),job creation(1),business(1),start-up(2),start-up with mvp(1),start-up with customers(1),for basic literacy(2),for the elites(1),for entrepreneurs(1), </v>
      </c>
      <c r="JX192" s="47" t="str">
        <f t="shared" si="2465"/>
        <v xml:space="preserve"> </v>
      </c>
      <c r="JY192" s="47" t="str">
        <f t="shared" si="2465"/>
        <v xml:space="preserve"> </v>
      </c>
      <c r="JZ192" s="47" t="str">
        <f t="shared" si="2465"/>
        <v xml:space="preserve"> </v>
      </c>
      <c r="KA192" s="47" t="str">
        <f t="shared" si="2465"/>
        <v xml:space="preserve"> </v>
      </c>
      <c r="KB192" s="47" t="str">
        <f t="shared" si="2465"/>
        <v xml:space="preserve"> </v>
      </c>
      <c r="KC192" s="47" t="str">
        <f t="shared" si="2465"/>
        <v xml:space="preserve">social innovation(1),non-profit biz(1),biz project(2),biz enhancement(2),job creation(1),business(1),start-up(2),start-up with mvp(1),start-up with customers(1),for basic literacy(2),for the elites(1),for entrepreneurs(1), </v>
      </c>
      <c r="KD192" s="47" t="str">
        <f t="shared" si="2465"/>
        <v xml:space="preserve"> </v>
      </c>
      <c r="KE192" s="47" t="str">
        <f t="shared" si="2465"/>
        <v xml:space="preserve"> </v>
      </c>
      <c r="KF192" s="47" t="str">
        <f t="shared" si="2465"/>
        <v xml:space="preserve"> </v>
      </c>
      <c r="KG192" s="47" t="str">
        <f t="shared" si="2465"/>
        <v xml:space="preserve"> </v>
      </c>
      <c r="KH192" s="47" t="str">
        <f t="shared" si="2465"/>
        <v xml:space="preserve"> </v>
      </c>
      <c r="KI192" s="47" t="str">
        <f t="shared" si="2465"/>
        <v xml:space="preserve"> </v>
      </c>
      <c r="KJ192" s="47" t="str">
        <f t="shared" si="2465"/>
        <v xml:space="preserve"> </v>
      </c>
      <c r="KK192" s="47" t="str">
        <f t="shared" si="2465"/>
        <v xml:space="preserve"> </v>
      </c>
      <c r="KL192" s="57" t="str">
        <f t="shared" si="2465"/>
        <v xml:space="preserve"> </v>
      </c>
      <c r="KM192" s="47" t="str">
        <f t="shared" si="2465"/>
        <v xml:space="preserve"> </v>
      </c>
      <c r="KN192" s="47" t="str">
        <f t="shared" si="2465"/>
        <v xml:space="preserve"> </v>
      </c>
      <c r="KO192" s="47" t="str">
        <f t="shared" si="2465"/>
        <v xml:space="preserve"> </v>
      </c>
      <c r="KP192" s="47" t="str">
        <f t="shared" si="2465"/>
        <v xml:space="preserve"> </v>
      </c>
      <c r="KQ192" s="47" t="str">
        <f t="shared" si="2465"/>
        <v xml:space="preserve"> </v>
      </c>
      <c r="KR192" s="57" t="str">
        <f t="shared" si="2465"/>
        <v xml:space="preserve"> </v>
      </c>
      <c r="KS192" s="47" t="str">
        <f t="shared" si="2465"/>
        <v xml:space="preserve"> </v>
      </c>
      <c r="KT192" s="47" t="str">
        <f t="shared" si="2465"/>
        <v xml:space="preserve"> </v>
      </c>
      <c r="KU192" s="47" t="str">
        <f t="shared" si="2465"/>
        <v xml:space="preserve"> </v>
      </c>
      <c r="KV192" s="47" t="str">
        <f t="shared" si="2465"/>
        <v xml:space="preserve"> </v>
      </c>
      <c r="KW192" s="47" t="str">
        <f t="shared" si="2465"/>
        <v xml:space="preserve"> </v>
      </c>
      <c r="KX192" s="57" t="str">
        <f t="shared" si="2465"/>
        <v xml:space="preserve"> </v>
      </c>
      <c r="KY192" s="47" t="str">
        <f t="shared" si="2465"/>
        <v xml:space="preserve"> </v>
      </c>
      <c r="KZ192" s="47" t="str">
        <f t="shared" si="2465"/>
        <v xml:space="preserve"> </v>
      </c>
      <c r="LA192" s="47" t="str">
        <f t="shared" si="2465"/>
        <v xml:space="preserve"> </v>
      </c>
      <c r="LB192" s="47" t="str">
        <f t="shared" si="2465"/>
        <v xml:space="preserve"> </v>
      </c>
      <c r="LC192" s="47" t="str">
        <f t="shared" si="2465"/>
        <v xml:space="preserve"> </v>
      </c>
      <c r="LD192" s="57" t="str">
        <f t="shared" si="2465"/>
        <v xml:space="preserve"> </v>
      </c>
      <c r="LE192" s="47" t="str">
        <f t="shared" si="2465"/>
        <v xml:space="preserve"> </v>
      </c>
      <c r="LF192" s="47" t="str">
        <f t="shared" si="2465"/>
        <v xml:space="preserve"> </v>
      </c>
      <c r="LG192" s="47" t="str">
        <f t="shared" si="2465"/>
        <v xml:space="preserve"> </v>
      </c>
      <c r="LH192" s="47" t="str">
        <f t="shared" ref="LH192:NM192" si="2466">IF(LH90="",LH193,$C192&amp;"("&amp;LH90&amp;"),"&amp;LH193)</f>
        <v xml:space="preserve"> </v>
      </c>
      <c r="LI192" s="47" t="str">
        <f t="shared" si="2466"/>
        <v xml:space="preserve"> </v>
      </c>
      <c r="LJ192" s="57" t="str">
        <f t="shared" si="2466"/>
        <v xml:space="preserve"> </v>
      </c>
      <c r="LK192" s="47" t="str">
        <f t="shared" si="2466"/>
        <v xml:space="preserve"> </v>
      </c>
      <c r="LL192" s="47" t="str">
        <f t="shared" si="2466"/>
        <v xml:space="preserve"> </v>
      </c>
      <c r="LM192" s="47" t="str">
        <f t="shared" si="2466"/>
        <v xml:space="preserve"> </v>
      </c>
      <c r="LN192" s="47" t="str">
        <f t="shared" si="2466"/>
        <v xml:space="preserve"> </v>
      </c>
      <c r="LO192" s="47" t="str">
        <f t="shared" si="2466"/>
        <v xml:space="preserve"> </v>
      </c>
      <c r="LP192" s="57" t="str">
        <f t="shared" si="2466"/>
        <v xml:space="preserve"> </v>
      </c>
      <c r="LQ192" s="47" t="str">
        <f t="shared" si="2466"/>
        <v xml:space="preserve"> </v>
      </c>
      <c r="LR192" s="47" t="str">
        <f t="shared" si="2466"/>
        <v xml:space="preserve"> </v>
      </c>
      <c r="LS192" s="47" t="str">
        <f t="shared" si="2466"/>
        <v xml:space="preserve"> </v>
      </c>
      <c r="LT192" s="47" t="str">
        <f t="shared" si="2466"/>
        <v xml:space="preserve"> </v>
      </c>
      <c r="LU192" s="47" t="str">
        <f t="shared" si="2466"/>
        <v xml:space="preserve"> </v>
      </c>
      <c r="LV192" s="57" t="str">
        <f t="shared" si="2466"/>
        <v xml:space="preserve"> </v>
      </c>
      <c r="LW192" s="47" t="str">
        <f t="shared" si="2466"/>
        <v xml:space="preserve"> </v>
      </c>
      <c r="LX192" s="47" t="str">
        <f t="shared" si="2466"/>
        <v xml:space="preserve"> </v>
      </c>
      <c r="LY192" s="47" t="str">
        <f t="shared" si="2466"/>
        <v xml:space="preserve"> </v>
      </c>
      <c r="LZ192" s="47" t="str">
        <f t="shared" si="2466"/>
        <v xml:space="preserve"> </v>
      </c>
      <c r="MA192" s="47" t="str">
        <f t="shared" si="2466"/>
        <v xml:space="preserve"> </v>
      </c>
      <c r="MB192" s="57" t="str">
        <f t="shared" si="2466"/>
        <v xml:space="preserve"> </v>
      </c>
      <c r="MC192" s="47" t="str">
        <f t="shared" si="2466"/>
        <v xml:space="preserve"> </v>
      </c>
      <c r="MD192" s="47" t="str">
        <f t="shared" si="2466"/>
        <v xml:space="preserve"> </v>
      </c>
      <c r="ME192" s="47" t="str">
        <f t="shared" si="2466"/>
        <v xml:space="preserve"> </v>
      </c>
      <c r="MF192" s="47" t="str">
        <f t="shared" si="2466"/>
        <v xml:space="preserve"> </v>
      </c>
      <c r="MG192" s="47" t="str">
        <f t="shared" si="2466"/>
        <v xml:space="preserve"> </v>
      </c>
      <c r="MH192" s="57" t="str">
        <f t="shared" si="2466"/>
        <v xml:space="preserve"> </v>
      </c>
      <c r="MI192" s="47" t="str">
        <f t="shared" si="2466"/>
        <v xml:space="preserve"> </v>
      </c>
      <c r="MJ192" s="47" t="str">
        <f t="shared" si="2466"/>
        <v xml:space="preserve"> </v>
      </c>
      <c r="MK192" s="47" t="str">
        <f t="shared" si="2466"/>
        <v xml:space="preserve"> </v>
      </c>
      <c r="ML192" s="47" t="str">
        <f t="shared" si="2466"/>
        <v xml:space="preserve"> </v>
      </c>
      <c r="MM192" s="47" t="str">
        <f t="shared" si="2466"/>
        <v xml:space="preserve"> </v>
      </c>
      <c r="MN192" s="57" t="str">
        <f t="shared" si="2466"/>
        <v xml:space="preserve"> </v>
      </c>
      <c r="MO192" s="47" t="str">
        <f t="shared" si="2466"/>
        <v xml:space="preserve"> </v>
      </c>
      <c r="MP192" s="47" t="str">
        <f t="shared" si="2466"/>
        <v xml:space="preserve"> </v>
      </c>
      <c r="MQ192" s="47" t="str">
        <f t="shared" si="2466"/>
        <v xml:space="preserve"> </v>
      </c>
      <c r="MR192" s="47" t="str">
        <f t="shared" si="2466"/>
        <v xml:space="preserve"> </v>
      </c>
      <c r="MS192" s="47" t="str">
        <f t="shared" si="2466"/>
        <v xml:space="preserve"> </v>
      </c>
      <c r="MT192" s="57" t="str">
        <f t="shared" si="2466"/>
        <v xml:space="preserve"> </v>
      </c>
      <c r="MU192" s="47" t="str">
        <f t="shared" si="2466"/>
        <v xml:space="preserve"> </v>
      </c>
      <c r="MV192" s="47" t="str">
        <f t="shared" si="2466"/>
        <v xml:space="preserve"> </v>
      </c>
      <c r="MW192" s="47" t="str">
        <f t="shared" si="2466"/>
        <v xml:space="preserve"> </v>
      </c>
      <c r="MX192" s="47" t="str">
        <f t="shared" si="2466"/>
        <v xml:space="preserve"> </v>
      </c>
      <c r="MY192" s="47" t="str">
        <f t="shared" si="2466"/>
        <v xml:space="preserve"> </v>
      </c>
      <c r="MZ192" s="57" t="str">
        <f t="shared" si="2466"/>
        <v xml:space="preserve"> </v>
      </c>
      <c r="NA192" s="47" t="str">
        <f t="shared" si="2466"/>
        <v xml:space="preserve"> </v>
      </c>
      <c r="NB192" s="47" t="str">
        <f t="shared" si="2466"/>
        <v xml:space="preserve"> </v>
      </c>
      <c r="NC192" s="47" t="str">
        <f t="shared" si="2466"/>
        <v xml:space="preserve"> </v>
      </c>
      <c r="ND192" s="47" t="str">
        <f t="shared" si="2466"/>
        <v xml:space="preserve"> </v>
      </c>
      <c r="NE192" s="47" t="str">
        <f t="shared" si="2466"/>
        <v xml:space="preserve"> </v>
      </c>
      <c r="NF192" s="57" t="str">
        <f t="shared" si="2466"/>
        <v xml:space="preserve"> </v>
      </c>
      <c r="NG192" s="47" t="str">
        <f t="shared" si="2466"/>
        <v xml:space="preserve"> </v>
      </c>
      <c r="NH192" s="47" t="str">
        <f t="shared" si="2466"/>
        <v xml:space="preserve"> </v>
      </c>
      <c r="NI192" s="47" t="str">
        <f t="shared" si="2466"/>
        <v xml:space="preserve"> </v>
      </c>
      <c r="NJ192" s="47" t="str">
        <f t="shared" si="2466"/>
        <v xml:space="preserve"> </v>
      </c>
      <c r="NK192" s="47" t="str">
        <f t="shared" si="2466"/>
        <v xml:space="preserve"> </v>
      </c>
      <c r="NL192" s="57" t="str">
        <f t="shared" si="2466"/>
        <v xml:space="preserve"> </v>
      </c>
      <c r="NM192" s="47" t="str">
        <f t="shared" si="2466"/>
        <v xml:space="preserve"> </v>
      </c>
    </row>
    <row r="193" spans="2:377" ht="15.75" customHeight="1">
      <c r="C193" s="7" t="str">
        <f t="shared" si="841"/>
        <v>non-profit biz</v>
      </c>
      <c r="D193" s="21" t="str">
        <f t="shared" si="2000"/>
        <v xml:space="preserve"> </v>
      </c>
      <c r="E193" s="21" t="str">
        <f t="shared" si="842"/>
        <v xml:space="preserve"> </v>
      </c>
      <c r="F193" s="21" t="str">
        <f t="shared" si="2000"/>
        <v xml:space="preserve"> </v>
      </c>
      <c r="G193" s="21" t="str">
        <f t="shared" si="843"/>
        <v xml:space="preserve"> </v>
      </c>
      <c r="H193" s="21" t="str">
        <f t="shared" si="844"/>
        <v xml:space="preserve"> </v>
      </c>
      <c r="I193" s="21" t="str">
        <f t="shared" ref="I193" si="2467">IF(I91="",I194,$C193&amp;"("&amp;I91&amp;"),"&amp;I194)</f>
        <v xml:space="preserve"> </v>
      </c>
      <c r="J193" s="21" t="str">
        <f t="shared" ref="J193" si="2468">IF(J91="",J194,$C193&amp;" "&amp;J91&amp;CHAR(10)&amp;J194)</f>
        <v xml:space="preserve"> </v>
      </c>
      <c r="K193" s="21" t="str">
        <f t="shared" si="654"/>
        <v xml:space="preserve"> </v>
      </c>
      <c r="L193" s="21" t="str">
        <f t="shared" ref="L193" si="2469">IF(L91="",L194,$C193&amp;" "&amp;L91&amp;CHAR(10)&amp;L194)</f>
        <v xml:space="preserve"> </v>
      </c>
      <c r="M193" s="21" t="str">
        <f t="shared" si="656"/>
        <v xml:space="preserve">non-profit biz(1),  </v>
      </c>
      <c r="N193" s="21" t="str">
        <f t="shared" si="657"/>
        <v xml:space="preserve"> </v>
      </c>
      <c r="O193" s="21" t="str">
        <f t="shared" si="2004"/>
        <v xml:space="preserve"> </v>
      </c>
      <c r="P193" s="21" t="str">
        <f t="shared" ref="P193" si="2470">IF(P91="",P194,$C193&amp;" "&amp;P91&amp;CHAR(10)&amp;P194)</f>
        <v xml:space="preserve">biz project 1
 </v>
      </c>
      <c r="Q193" s="21" t="str">
        <f t="shared" si="660"/>
        <v xml:space="preserve"> </v>
      </c>
      <c r="R193" s="21" t="str">
        <f t="shared" ref="R193" si="2471">IF(R91="",R194,$C193&amp;" "&amp;R91&amp;CHAR(10)&amp;R194)</f>
        <v xml:space="preserve"> </v>
      </c>
      <c r="S193" s="21" t="str">
        <f t="shared" si="662"/>
        <v xml:space="preserve">biz enhancement(1), business(1), start-up(1),  </v>
      </c>
      <c r="T193" s="21" t="str">
        <f t="shared" si="663"/>
        <v xml:space="preserve"> </v>
      </c>
      <c r="U193" s="21" t="str">
        <f t="shared" si="2004"/>
        <v xml:space="preserve"> </v>
      </c>
      <c r="V193" s="21" t="str">
        <f t="shared" ref="V193" si="2472">IF(V91="",V194,$C193&amp;" "&amp;V91&amp;CHAR(10)&amp;V194)</f>
        <v xml:space="preserve"> </v>
      </c>
      <c r="W193" s="21" t="str">
        <f t="shared" si="665"/>
        <v xml:space="preserve"> </v>
      </c>
      <c r="X193" s="21" t="str">
        <f t="shared" ref="X193" si="2473">IF(X91="",X194,$C193&amp;" "&amp;X91&amp;CHAR(10)&amp;X194)</f>
        <v xml:space="preserve"> </v>
      </c>
      <c r="Y193" s="21" t="str">
        <f t="shared" si="667"/>
        <v xml:space="preserve">biz project(1), biz enhancement(1), job creation(1), business(1),  </v>
      </c>
      <c r="Z193" s="21" t="str">
        <f t="shared" si="668"/>
        <v xml:space="preserve"> </v>
      </c>
      <c r="AA193" s="21" t="str">
        <f t="shared" si="2004"/>
        <v xml:space="preserve"> </v>
      </c>
      <c r="AB193" s="21" t="str">
        <f t="shared" ref="AB193" si="2474">IF(AB91="",AB194,$C193&amp;" "&amp;AB91&amp;CHAR(10)&amp;AB194)</f>
        <v xml:space="preserve"> </v>
      </c>
      <c r="AC193" s="21" t="str">
        <f t="shared" si="670"/>
        <v xml:space="preserve"> </v>
      </c>
      <c r="AD193" s="21" t="str">
        <f t="shared" ref="AD193" si="2475">IF(AD91="",AD194,$C193&amp;" "&amp;AD91&amp;CHAR(10)&amp;AD194)</f>
        <v xml:space="preserve"> </v>
      </c>
      <c r="AE193" s="21" t="str">
        <f t="shared" si="672"/>
        <v xml:space="preserve">non-profit biz(1),  </v>
      </c>
      <c r="AF193" s="21" t="str">
        <f t="shared" si="673"/>
        <v xml:space="preserve"> </v>
      </c>
      <c r="AG193" s="21" t="str">
        <f t="shared" si="2004"/>
        <v xml:space="preserve"> </v>
      </c>
      <c r="AH193" s="21" t="str">
        <f t="shared" ref="AH193" si="2476">IF(AH91="",AH194,$C193&amp;" "&amp;AH91&amp;CHAR(10)&amp;AH194)</f>
        <v xml:space="preserve"> </v>
      </c>
      <c r="AI193" s="21" t="str">
        <f t="shared" si="675"/>
        <v xml:space="preserve"> </v>
      </c>
      <c r="AJ193" s="21" t="str">
        <f t="shared" ref="AJ193" si="2477">IF(AJ91="",AJ194,$C193&amp;" "&amp;AJ91&amp;CHAR(10)&amp;AJ194)</f>
        <v xml:space="preserve"> </v>
      </c>
      <c r="AK193" s="21" t="str">
        <f t="shared" si="677"/>
        <v xml:space="preserve">non-profit biz(1),  </v>
      </c>
      <c r="AL193" s="21" t="str">
        <f t="shared" si="678"/>
        <v xml:space="preserve"> </v>
      </c>
      <c r="AM193" s="21" t="str">
        <f t="shared" si="2004"/>
        <v xml:space="preserve"> </v>
      </c>
      <c r="AN193" s="21" t="str">
        <f t="shared" ref="AN193" si="2478">IF(AN91="",AN194,$C193&amp;" "&amp;AN91&amp;CHAR(10)&amp;AN194)</f>
        <v xml:space="preserve"> </v>
      </c>
      <c r="AO193" s="21" t="str">
        <f t="shared" si="680"/>
        <v xml:space="preserve"> </v>
      </c>
      <c r="AP193" s="21" t="str">
        <f t="shared" ref="AP193" si="2479">IF(AP91="",AP194,$C193&amp;" "&amp;AP91&amp;CHAR(10)&amp;AP194)</f>
        <v xml:space="preserve"> </v>
      </c>
      <c r="AQ193" s="21" t="str">
        <f t="shared" si="682"/>
        <v xml:space="preserve">start-up(1), start-up with mvp(1), start-up with customers(1),  </v>
      </c>
      <c r="AR193" s="21" t="str">
        <f t="shared" si="683"/>
        <v xml:space="preserve"> </v>
      </c>
      <c r="AS193" s="21" t="str">
        <f t="shared" si="2004"/>
        <v xml:space="preserve"> </v>
      </c>
      <c r="AT193" s="21" t="str">
        <f t="shared" ref="AT193" si="2480">IF(AT91="",AT194,$C193&amp;" "&amp;AT91&amp;CHAR(10)&amp;AT194)</f>
        <v xml:space="preserve"> </v>
      </c>
      <c r="AU193" s="21" t="str">
        <f t="shared" si="685"/>
        <v xml:space="preserve"> </v>
      </c>
      <c r="AV193" s="21" t="str">
        <f t="shared" ref="AV193" si="2481">IF(AV91="",AV194,$C193&amp;" "&amp;AV91&amp;CHAR(10)&amp;AV194)</f>
        <v xml:space="preserve"> </v>
      </c>
      <c r="AW193" s="21" t="str">
        <f t="shared" si="687"/>
        <v xml:space="preserve"> </v>
      </c>
      <c r="AX193" s="21" t="str">
        <f t="shared" si="688"/>
        <v xml:space="preserve"> </v>
      </c>
      <c r="AY193" s="21" t="str">
        <f t="shared" si="2004"/>
        <v xml:space="preserve"> </v>
      </c>
      <c r="AZ193" s="21" t="str">
        <f t="shared" ref="AZ193" si="2482">IF(AZ91="",AZ194,$C193&amp;" "&amp;AZ91&amp;CHAR(10)&amp;AZ194)</f>
        <v xml:space="preserve"> </v>
      </c>
      <c r="BA193" s="21" t="str">
        <f t="shared" si="690"/>
        <v xml:space="preserve"> </v>
      </c>
      <c r="BB193" s="21" t="str">
        <f t="shared" ref="BB193" si="2483">IF(BB91="",BB194,$C193&amp;" "&amp;BB91&amp;CHAR(10)&amp;BB194)</f>
        <v xml:space="preserve"> </v>
      </c>
      <c r="BC193" s="21" t="str">
        <f t="shared" si="692"/>
        <v xml:space="preserve"> </v>
      </c>
      <c r="BD193" s="21" t="str">
        <f t="shared" si="693"/>
        <v xml:space="preserve"> </v>
      </c>
      <c r="BE193" s="21" t="str">
        <f t="shared" si="2004"/>
        <v xml:space="preserve"> </v>
      </c>
      <c r="BF193" s="21" t="str">
        <f t="shared" ref="BF193" si="2484">IF(BF91="",BF194,$C193&amp;" "&amp;BF91&amp;CHAR(10)&amp;BF194)</f>
        <v xml:space="preserve">biz project 1
 </v>
      </c>
      <c r="BG193" s="21" t="str">
        <f t="shared" si="695"/>
        <v xml:space="preserve"> </v>
      </c>
      <c r="BH193" s="21" t="str">
        <f t="shared" ref="BH193" si="2485">IF(BH91="",BH194,$C193&amp;" "&amp;BH91&amp;CHAR(10)&amp;BH194)</f>
        <v xml:space="preserve"> </v>
      </c>
      <c r="BI193" s="21" t="str">
        <f t="shared" si="697"/>
        <v xml:space="preserve"> </v>
      </c>
      <c r="BJ193" s="21" t="str">
        <f t="shared" si="698"/>
        <v xml:space="preserve"> </v>
      </c>
      <c r="BK193" s="21" t="str">
        <f t="shared" si="2004"/>
        <v xml:space="preserve"> </v>
      </c>
      <c r="BL193" s="21" t="str">
        <f t="shared" ref="BL193" si="2486">IF(BL91="",BL194,$C193&amp;" "&amp;BL91&amp;CHAR(10)&amp;BL194)</f>
        <v xml:space="preserve">biz enhancement 1
 </v>
      </c>
      <c r="BM193" s="21" t="str">
        <f t="shared" si="700"/>
        <v xml:space="preserve"> </v>
      </c>
      <c r="BN193" s="21" t="str">
        <f t="shared" ref="BN193" si="2487">IF(BN91="",BN194,$C193&amp;" "&amp;BN91&amp;CHAR(10)&amp;BN194)</f>
        <v xml:space="preserve"> </v>
      </c>
      <c r="BO193" s="21" t="str">
        <f t="shared" si="702"/>
        <v xml:space="preserve"> </v>
      </c>
      <c r="BP193" s="21" t="str">
        <f t="shared" si="703"/>
        <v xml:space="preserve"> </v>
      </c>
      <c r="BQ193" s="21" t="str">
        <f t="shared" si="2004"/>
        <v xml:space="preserve"> </v>
      </c>
      <c r="BR193" s="21" t="str">
        <f t="shared" ref="BR193" si="2488">IF(BR91="",BR194,$C193&amp;" "&amp;BR91&amp;CHAR(10)&amp;BR194)</f>
        <v xml:space="preserve"> </v>
      </c>
      <c r="BS193" s="21" t="str">
        <f t="shared" si="705"/>
        <v xml:space="preserve"> </v>
      </c>
      <c r="BT193" s="21" t="str">
        <f t="shared" ref="BT193" si="2489">IF(BT91="",BT194,$C193&amp;" "&amp;BT91&amp;CHAR(10)&amp;BT194)</f>
        <v xml:space="preserve"> </v>
      </c>
      <c r="BU193" s="21" t="str">
        <f t="shared" si="707"/>
        <v xml:space="preserve"> </v>
      </c>
      <c r="BV193" s="21" t="str">
        <f t="shared" si="708"/>
        <v xml:space="preserve"> </v>
      </c>
      <c r="BW193" s="21" t="str">
        <f t="shared" si="2004"/>
        <v xml:space="preserve"> </v>
      </c>
      <c r="BX193" s="21" t="str">
        <f t="shared" ref="BX193" si="2490">IF(BX91="",BX194,$C193&amp;" "&amp;BX91&amp;CHAR(10)&amp;BX194)</f>
        <v xml:space="preserve"> </v>
      </c>
      <c r="BY193" s="21" t="str">
        <f t="shared" si="710"/>
        <v xml:space="preserve"> </v>
      </c>
      <c r="BZ193" s="21" t="str">
        <f t="shared" ref="BZ193" si="2491">IF(BZ91="",BZ194,$C193&amp;" "&amp;BZ91&amp;CHAR(10)&amp;BZ194)</f>
        <v xml:space="preserve"> </v>
      </c>
      <c r="CA193" s="21" t="str">
        <f t="shared" si="712"/>
        <v xml:space="preserve"> </v>
      </c>
      <c r="CB193" s="21" t="str">
        <f t="shared" si="713"/>
        <v xml:space="preserve"> </v>
      </c>
      <c r="CC193" s="21" t="str">
        <f t="shared" si="2027"/>
        <v xml:space="preserve"> </v>
      </c>
      <c r="CD193" s="21" t="str">
        <f t="shared" ref="CD193" si="2492">IF(CD91="",CD194,$C193&amp;" "&amp;CD91&amp;CHAR(10)&amp;CD194)</f>
        <v xml:space="preserve"> </v>
      </c>
      <c r="CE193" s="21" t="str">
        <f t="shared" si="716"/>
        <v xml:space="preserve"> </v>
      </c>
      <c r="CF193" s="21" t="str">
        <f t="shared" ref="CF193" si="2493">IF(CF91="",CF194,$C193&amp;" "&amp;CF91&amp;CHAR(10)&amp;CF194)</f>
        <v xml:space="preserve"> </v>
      </c>
      <c r="CG193" s="21" t="str">
        <f t="shared" si="718"/>
        <v xml:space="preserve">biz project(1), for basic literacy(1), for the elites(1), for entrepreneurs(1),  </v>
      </c>
      <c r="CH193" s="21" t="str">
        <f t="shared" si="719"/>
        <v xml:space="preserve"> </v>
      </c>
      <c r="CI193" s="21" t="str">
        <f t="shared" si="2027"/>
        <v xml:space="preserve"> </v>
      </c>
      <c r="CJ193" s="21" t="str">
        <f t="shared" ref="CJ193" si="2494">IF(CJ91="",CJ194,$C193&amp;" "&amp;CJ91&amp;CHAR(10)&amp;CJ194)</f>
        <v xml:space="preserve"> </v>
      </c>
      <c r="CK193" s="21" t="str">
        <f t="shared" si="721"/>
        <v xml:space="preserve"> </v>
      </c>
      <c r="CL193" s="21" t="str">
        <f t="shared" ref="CL193" si="2495">IF(CL91="",CL194,$C193&amp;" "&amp;CL91&amp;CHAR(10)&amp;CL194)</f>
        <v xml:space="preserve"> </v>
      </c>
      <c r="CM193" s="21" t="str">
        <f t="shared" si="723"/>
        <v xml:space="preserve"> </v>
      </c>
      <c r="CN193" s="21" t="str">
        <f t="shared" si="724"/>
        <v xml:space="preserve"> </v>
      </c>
      <c r="CO193" s="21" t="str">
        <f t="shared" si="2027"/>
        <v xml:space="preserve"> </v>
      </c>
      <c r="CP193" s="21" t="str">
        <f t="shared" ref="CP193" si="2496">IF(CP91="",CP194,$C193&amp;" "&amp;CP91&amp;CHAR(10)&amp;CP194)</f>
        <v xml:space="preserve"> </v>
      </c>
      <c r="CQ193" s="21" t="str">
        <f t="shared" si="726"/>
        <v xml:space="preserve"> </v>
      </c>
      <c r="CR193" s="21" t="str">
        <f t="shared" ref="CR193" si="2497">IF(CR91="",CR194,$C193&amp;" "&amp;CR91&amp;CHAR(10)&amp;CR194)</f>
        <v xml:space="preserve"> </v>
      </c>
      <c r="CS193" s="21" t="str">
        <f t="shared" si="728"/>
        <v xml:space="preserve"> </v>
      </c>
      <c r="CT193" s="21" t="str">
        <f t="shared" si="729"/>
        <v xml:space="preserve"> </v>
      </c>
      <c r="CU193" s="21" t="str">
        <f t="shared" si="2027"/>
        <v xml:space="preserve"> </v>
      </c>
      <c r="CV193" s="21" t="str">
        <f t="shared" ref="CV193" si="2498">IF(CV91="",CV194,$C193&amp;" "&amp;CV91&amp;CHAR(10)&amp;CV194)</f>
        <v xml:space="preserve"> </v>
      </c>
      <c r="CW193" s="21" t="str">
        <f t="shared" si="731"/>
        <v xml:space="preserve"> </v>
      </c>
      <c r="CX193" s="21" t="str">
        <f t="shared" ref="CX193" si="2499">IF(CX91="",CX194,$C193&amp;" "&amp;CX91&amp;CHAR(10)&amp;CX194)</f>
        <v xml:space="preserve"> </v>
      </c>
      <c r="CY193" s="21" t="str">
        <f t="shared" si="733"/>
        <v xml:space="preserve"> </v>
      </c>
      <c r="CZ193" s="21" t="str">
        <f t="shared" si="734"/>
        <v xml:space="preserve"> </v>
      </c>
      <c r="DA193" s="21" t="str">
        <f t="shared" si="2027"/>
        <v xml:space="preserve"> </v>
      </c>
      <c r="DB193" s="21" t="str">
        <f t="shared" ref="DB193" si="2500">IF(DB91="",DB194,$C193&amp;" "&amp;DB91&amp;CHAR(10)&amp;DB194)</f>
        <v xml:space="preserve"> </v>
      </c>
      <c r="DC193" s="21" t="str">
        <f t="shared" si="736"/>
        <v xml:space="preserve"> </v>
      </c>
      <c r="DD193" s="21" t="str">
        <f t="shared" ref="DD193" si="2501">IF(DD91="",DD194,$C193&amp;" "&amp;DD91&amp;CHAR(10)&amp;DD194)</f>
        <v xml:space="preserve"> </v>
      </c>
      <c r="DE193" s="21" t="str">
        <f t="shared" si="738"/>
        <v xml:space="preserve">biz project(1), biz enhancement(1), job creation(1), business(1), start-up(1), start-up with mvp(1), start-up with customers(1), for entrepreneurs(2),  </v>
      </c>
      <c r="DF193" s="21" t="str">
        <f t="shared" si="739"/>
        <v xml:space="preserve"> </v>
      </c>
      <c r="DG193" s="21" t="str">
        <f t="shared" si="2027"/>
        <v xml:space="preserve"> </v>
      </c>
      <c r="DH193" s="21" t="str">
        <f t="shared" ref="DH193" si="2502">IF(DH91="",DH194,$C193&amp;" "&amp;DH91&amp;CHAR(10)&amp;DH194)</f>
        <v xml:space="preserve"> </v>
      </c>
      <c r="DI193" s="21" t="str">
        <f t="shared" si="741"/>
        <v xml:space="preserve"> </v>
      </c>
      <c r="DJ193" s="21" t="str">
        <f t="shared" ref="DJ193" si="2503">IF(DJ91="",DJ194,$C193&amp;" "&amp;DJ91&amp;CHAR(10)&amp;DJ194)</f>
        <v xml:space="preserve"> </v>
      </c>
      <c r="DK193" s="21" t="str">
        <f t="shared" si="743"/>
        <v xml:space="preserve">non-profit biz(1),  </v>
      </c>
      <c r="DL193" s="21" t="str">
        <f t="shared" si="744"/>
        <v xml:space="preserve"> </v>
      </c>
      <c r="DM193" s="21" t="str">
        <f t="shared" si="2027"/>
        <v xml:space="preserve"> </v>
      </c>
      <c r="DN193" s="21" t="str">
        <f t="shared" ref="DN193" si="2504">IF(DN91="",DN194,$C193&amp;" "&amp;DN91&amp;CHAR(10)&amp;DN194)</f>
        <v xml:space="preserve">biz project 1
 </v>
      </c>
      <c r="DO193" s="21" t="str">
        <f t="shared" si="746"/>
        <v xml:space="preserve"> </v>
      </c>
      <c r="DP193" s="21" t="str">
        <f t="shared" ref="DP193" si="2505">IF(DP91="",DP194,$C193&amp;" "&amp;DP91&amp;CHAR(10)&amp;DP194)</f>
        <v xml:space="preserve"> </v>
      </c>
      <c r="DQ193" s="21" t="str">
        <f t="shared" si="748"/>
        <v xml:space="preserve">biz project(2), biz enhancement(1), job creation(1), business(1), start-up(1), start-up with mvp(1), start-up with customers(1), for entrepreneurs(1),  </v>
      </c>
      <c r="DR193" s="21" t="str">
        <f t="shared" si="749"/>
        <v xml:space="preserve"> </v>
      </c>
      <c r="DS193" s="21" t="str">
        <f t="shared" si="2027"/>
        <v xml:space="preserve"> </v>
      </c>
      <c r="DT193" s="21" t="str">
        <f t="shared" ref="DT193" si="2506">IF(DT91="",DT194,$C193&amp;" "&amp;DT91&amp;CHAR(10)&amp;DT194)</f>
        <v xml:space="preserve"> </v>
      </c>
      <c r="DU193" s="21" t="str">
        <f t="shared" si="751"/>
        <v xml:space="preserve"> </v>
      </c>
      <c r="DV193" s="21" t="str">
        <f t="shared" ref="DV193" si="2507">IF(DV91="",DV194,$C193&amp;" "&amp;DV91&amp;CHAR(10)&amp;DV194)</f>
        <v xml:space="preserve"> </v>
      </c>
      <c r="DW193" s="21" t="str">
        <f t="shared" si="753"/>
        <v xml:space="preserve">for basic literacy(1),  </v>
      </c>
      <c r="DX193" s="21" t="str">
        <f t="shared" si="754"/>
        <v xml:space="preserve">for basic literacy(1,6.25),  </v>
      </c>
      <c r="DY193" s="21" t="str">
        <f t="shared" si="2027"/>
        <v xml:space="preserve">for basic literacy(6.25), </v>
      </c>
      <c r="DZ193" s="21" t="str">
        <f t="shared" ref="DZ193" si="2508">IF(DZ91="",DZ194,$C193&amp;" "&amp;DZ91&amp;CHAR(10)&amp;DZ194)</f>
        <v xml:space="preserve"> </v>
      </c>
      <c r="EA193" s="21" t="str">
        <f t="shared" si="756"/>
        <v xml:space="preserve"> </v>
      </c>
      <c r="EB193" s="21" t="str">
        <f t="shared" ref="EB193" si="2509">IF(EB91="",EB194,$C193&amp;" "&amp;EB91&amp;CHAR(10)&amp;EB194)</f>
        <v xml:space="preserve"> </v>
      </c>
      <c r="EC193" s="21" t="str">
        <f t="shared" si="758"/>
        <v xml:space="preserve">for basic literacy(1),  </v>
      </c>
      <c r="ED193" s="21" t="str">
        <f t="shared" si="759"/>
        <v xml:space="preserve">for basic literacy(1,6.25),  </v>
      </c>
      <c r="EE193" s="21" t="str">
        <f t="shared" si="2027"/>
        <v xml:space="preserve">for basic literacy(6.25), </v>
      </c>
      <c r="EF193" s="21" t="str">
        <f t="shared" ref="EF193" si="2510">IF(EF91="",EF194,$C193&amp;" "&amp;EF91&amp;CHAR(10)&amp;EF194)</f>
        <v xml:space="preserve"> </v>
      </c>
      <c r="EG193" s="21" t="str">
        <f t="shared" si="761"/>
        <v xml:space="preserve"> </v>
      </c>
      <c r="EH193" s="21" t="str">
        <f t="shared" ref="EH193" si="2511">IF(EH91="",EH194,$C193&amp;" "&amp;EH91&amp;CHAR(10)&amp;EH194)</f>
        <v xml:space="preserve"> </v>
      </c>
      <c r="EI193" s="21" t="str">
        <f t="shared" si="763"/>
        <v xml:space="preserve">for entrepreneurs(1),  </v>
      </c>
      <c r="EJ193" s="21" t="str">
        <f t="shared" si="764"/>
        <v xml:space="preserve">for entrepreneurs(1,6.25),  </v>
      </c>
      <c r="EK193" s="21" t="str">
        <f t="shared" si="2027"/>
        <v xml:space="preserve">for entrepreneurs(6.25), </v>
      </c>
      <c r="EL193" s="21" t="str">
        <f t="shared" ref="EL193" si="2512">IF(EL91="",EL194,$C193&amp;" "&amp;EL91&amp;CHAR(10)&amp;EL194)</f>
        <v xml:space="preserve"> </v>
      </c>
      <c r="EM193" s="21" t="str">
        <f t="shared" si="766"/>
        <v xml:space="preserve"> </v>
      </c>
      <c r="EN193" s="21" t="str">
        <f t="shared" ref="EN193" si="2513">IF(EN91="",EN194,$C193&amp;" "&amp;EN91&amp;CHAR(10)&amp;EN194)</f>
        <v xml:space="preserve"> </v>
      </c>
      <c r="EO193" s="21" t="str">
        <f t="shared" si="768"/>
        <v xml:space="preserve">for entrepreneurs(1),  </v>
      </c>
      <c r="EP193" s="21" t="str">
        <f t="shared" si="769"/>
        <v xml:space="preserve">for entrepreneurs(1,6.25),  </v>
      </c>
      <c r="EQ193" s="21" t="str">
        <f t="shared" si="2050"/>
        <v xml:space="preserve">for entrepreneurs(6.25), </v>
      </c>
      <c r="ER193" s="21" t="str">
        <f t="shared" ref="ER193" si="2514">IF(ER91="",ER194,$C193&amp;" "&amp;ER91&amp;CHAR(10)&amp;ER194)</f>
        <v xml:space="preserve"> </v>
      </c>
      <c r="ES193" s="21" t="str">
        <f t="shared" si="772"/>
        <v xml:space="preserve"> </v>
      </c>
      <c r="ET193" s="21" t="str">
        <f t="shared" ref="ET193" si="2515">IF(ET91="",ET194,$C193&amp;" "&amp;ET91&amp;CHAR(10)&amp;ET194)</f>
        <v xml:space="preserve"> </v>
      </c>
      <c r="EU193" s="21" t="str">
        <f t="shared" si="774"/>
        <v xml:space="preserve">for entrepreneurs(1),  </v>
      </c>
      <c r="EV193" s="21" t="str">
        <f t="shared" si="775"/>
        <v xml:space="preserve">for entrepreneurs(1,6.25),  </v>
      </c>
      <c r="EW193" s="21" t="str">
        <f t="shared" si="2050"/>
        <v xml:space="preserve">for entrepreneurs(6.25), </v>
      </c>
      <c r="EX193" s="21" t="str">
        <f t="shared" ref="EX193" si="2516">IF(EX91="",EX194,$C193&amp;" "&amp;EX91&amp;CHAR(10)&amp;EX194)</f>
        <v xml:space="preserve"> </v>
      </c>
      <c r="EY193" s="21" t="str">
        <f t="shared" si="777"/>
        <v xml:space="preserve"> </v>
      </c>
      <c r="EZ193" s="21" t="str">
        <f t="shared" ref="EZ193" si="2517">IF(EZ91="",EZ194,$C193&amp;" "&amp;EZ91&amp;CHAR(10)&amp;EZ194)</f>
        <v xml:space="preserve"> </v>
      </c>
      <c r="FA193" s="21" t="str">
        <f t="shared" si="779"/>
        <v xml:space="preserve">for entrepreneurs(1),  </v>
      </c>
      <c r="FB193" s="21" t="str">
        <f t="shared" si="780"/>
        <v xml:space="preserve">for entrepreneurs(1,6.25),  </v>
      </c>
      <c r="FC193" s="21" t="str">
        <f t="shared" si="2050"/>
        <v xml:space="preserve">for entrepreneurs(6.25), </v>
      </c>
      <c r="FD193" s="21" t="str">
        <f t="shared" ref="FD193" si="2518">IF(FD91="",FD194,$C193&amp;" "&amp;FD91&amp;CHAR(10)&amp;FD194)</f>
        <v xml:space="preserve"> </v>
      </c>
      <c r="FE193" s="21" t="str">
        <f t="shared" si="782"/>
        <v xml:space="preserve"> </v>
      </c>
      <c r="FF193" s="21" t="str">
        <f t="shared" ref="FF193" si="2519">IF(FF91="",FF194,$C193&amp;" "&amp;FF91&amp;CHAR(10)&amp;FF194)</f>
        <v xml:space="preserve"> </v>
      </c>
      <c r="FG193" s="21" t="str">
        <f t="shared" si="784"/>
        <v xml:space="preserve">for entrepreneurs(1),  </v>
      </c>
      <c r="FH193" s="21" t="str">
        <f t="shared" si="785"/>
        <v xml:space="preserve">for entrepreneurs(1,6.25),  </v>
      </c>
      <c r="FI193" s="21" t="str">
        <f t="shared" si="2050"/>
        <v xml:space="preserve">for entrepreneurs(6.25), </v>
      </c>
      <c r="FJ193" s="21" t="str">
        <f t="shared" ref="FJ193" si="2520">IF(FJ91="",FJ194,$C193&amp;" "&amp;FJ91&amp;CHAR(10)&amp;FJ194)</f>
        <v xml:space="preserve"> </v>
      </c>
      <c r="FK193" s="21" t="str">
        <f t="shared" si="787"/>
        <v xml:space="preserve"> </v>
      </c>
      <c r="FL193" s="21" t="str">
        <f t="shared" ref="FL193" si="2521">IF(FL91="",FL194,$C193&amp;" "&amp;FL91&amp;CHAR(10)&amp;FL194)</f>
        <v xml:space="preserve"> </v>
      </c>
      <c r="FM193" s="21" t="str">
        <f t="shared" si="789"/>
        <v xml:space="preserve">for entrepreneurs(1),  </v>
      </c>
      <c r="FN193" s="21" t="str">
        <f t="shared" si="790"/>
        <v xml:space="preserve">for entrepreneurs(1,6.25),  </v>
      </c>
      <c r="FO193" s="21" t="str">
        <f t="shared" si="2050"/>
        <v xml:space="preserve">for entrepreneurs(6.25), </v>
      </c>
      <c r="FP193" s="21" t="str">
        <f t="shared" ref="FP193" si="2522">IF(FP91="",FP194,$C193&amp;" "&amp;FP91&amp;CHAR(10)&amp;FP194)</f>
        <v xml:space="preserve"> </v>
      </c>
      <c r="FQ193" s="21" t="str">
        <f t="shared" si="792"/>
        <v xml:space="preserve"> </v>
      </c>
      <c r="FR193" s="21" t="str">
        <f t="shared" ref="FR193" si="2523">IF(FR91="",FR194,$C193&amp;" "&amp;FR91&amp;CHAR(10)&amp;FR194)</f>
        <v xml:space="preserve"> </v>
      </c>
      <c r="FS193" s="21" t="str">
        <f t="shared" si="794"/>
        <v xml:space="preserve">for entrepreneurs(1),  </v>
      </c>
      <c r="FT193" s="21" t="str">
        <f t="shared" si="795"/>
        <v xml:space="preserve">for entrepreneurs(1,6.25),  </v>
      </c>
      <c r="FU193" s="21" t="str">
        <f t="shared" si="2050"/>
        <v xml:space="preserve">for entrepreneurs(6.25), </v>
      </c>
      <c r="FV193" s="21" t="str">
        <f t="shared" ref="FV193" si="2524">IF(FV91="",FV194,$C193&amp;" "&amp;FV91&amp;CHAR(10)&amp;FV194)</f>
        <v xml:space="preserve"> </v>
      </c>
      <c r="FW193" s="21" t="str">
        <f t="shared" si="797"/>
        <v xml:space="preserve"> </v>
      </c>
      <c r="FX193" s="21" t="str">
        <f t="shared" ref="FX193" si="2525">IF(FX91="",FX194,$C193&amp;" "&amp;FX91&amp;CHAR(10)&amp;FX194)</f>
        <v xml:space="preserve"> </v>
      </c>
      <c r="FY193" s="21" t="str">
        <f t="shared" si="799"/>
        <v xml:space="preserve">for entrepreneurs(1),  </v>
      </c>
      <c r="FZ193" s="21" t="str">
        <f t="shared" si="800"/>
        <v xml:space="preserve">for entrepreneurs(1,6.25),  </v>
      </c>
      <c r="GA193" s="21" t="str">
        <f t="shared" si="2050"/>
        <v xml:space="preserve">for entrepreneurs(6.25), </v>
      </c>
      <c r="GB193" s="21" t="str">
        <f t="shared" ref="GB193" si="2526">IF(GB91="",GB194,$C193&amp;" "&amp;GB91&amp;CHAR(10)&amp;GB194)</f>
        <v xml:space="preserve"> </v>
      </c>
      <c r="GC193" s="21" t="str">
        <f t="shared" si="802"/>
        <v xml:space="preserve"> </v>
      </c>
      <c r="GD193" s="21" t="str">
        <f t="shared" ref="GD193" si="2527">IF(GD91="",GD194,$C193&amp;" "&amp;GD91&amp;CHAR(10)&amp;GD194)</f>
        <v xml:space="preserve"> </v>
      </c>
      <c r="GE193" s="21" t="str">
        <f t="shared" si="804"/>
        <v xml:space="preserve">for entrepreneurs(1),  </v>
      </c>
      <c r="GF193" s="21" t="str">
        <f t="shared" si="805"/>
        <v xml:space="preserve">for entrepreneurs(1,6.25),  </v>
      </c>
      <c r="GG193" s="21" t="str">
        <f t="shared" si="2050"/>
        <v xml:space="preserve">for entrepreneurs(6.25), </v>
      </c>
      <c r="GH193" s="21" t="str">
        <f t="shared" ref="GH193" si="2528">IF(GH91="",GH194,$C193&amp;" "&amp;GH91&amp;CHAR(10)&amp;GH194)</f>
        <v xml:space="preserve"> </v>
      </c>
      <c r="GI193" s="21" t="str">
        <f t="shared" si="807"/>
        <v xml:space="preserve"> </v>
      </c>
      <c r="GJ193" s="21" t="str">
        <f t="shared" ref="GJ193" si="2529">IF(GJ91="",GJ194,$C193&amp;" "&amp;GJ91&amp;CHAR(10)&amp;GJ194)</f>
        <v xml:space="preserve"> </v>
      </c>
      <c r="GK193" s="21" t="str">
        <f t="shared" si="809"/>
        <v xml:space="preserve">for entrepreneurs(1),  </v>
      </c>
      <c r="GL193" s="21" t="str">
        <f t="shared" si="810"/>
        <v xml:space="preserve">for entrepreneurs(1,6.25),  </v>
      </c>
      <c r="GM193" s="21" t="str">
        <f t="shared" si="2050"/>
        <v xml:space="preserve">for entrepreneurs(6.25), </v>
      </c>
      <c r="GN193" s="21" t="str">
        <f t="shared" ref="GN193" si="2530">IF(GN91="",GN194,$C193&amp;" "&amp;GN91&amp;CHAR(10)&amp;GN194)</f>
        <v xml:space="preserve"> </v>
      </c>
      <c r="GO193" s="21" t="str">
        <f t="shared" si="812"/>
        <v xml:space="preserve"> </v>
      </c>
      <c r="GP193" s="21" t="str">
        <f t="shared" ref="GP193" si="2531">IF(GP91="",GP194,$C193&amp;" "&amp;GP91&amp;CHAR(10)&amp;GP194)</f>
        <v xml:space="preserve"> </v>
      </c>
      <c r="GQ193" s="21" t="str">
        <f t="shared" si="814"/>
        <v xml:space="preserve">for entrepreneurs(1),  </v>
      </c>
      <c r="GR193" s="21" t="str">
        <f t="shared" si="815"/>
        <v xml:space="preserve">for entrepreneurs(1,6.25),  </v>
      </c>
      <c r="GS193" s="21" t="str">
        <f t="shared" si="2050"/>
        <v xml:space="preserve">for entrepreneurs(6.25), </v>
      </c>
      <c r="GT193" s="21" t="str">
        <f t="shared" ref="GT193" si="2532">IF(GT91="",GT194,$C193&amp;" "&amp;GT91&amp;CHAR(10)&amp;GT194)</f>
        <v xml:space="preserve"> </v>
      </c>
      <c r="GU193" s="21" t="str">
        <f t="shared" si="817"/>
        <v xml:space="preserve"> </v>
      </c>
      <c r="GV193" s="21" t="str">
        <f t="shared" ref="GV193" si="2533">IF(GV91="",GV194,$C193&amp;" "&amp;GV91&amp;CHAR(10)&amp;GV194)</f>
        <v xml:space="preserve"> </v>
      </c>
      <c r="GW193" s="21" t="str">
        <f t="shared" si="819"/>
        <v xml:space="preserve"> </v>
      </c>
      <c r="GX193" s="21" t="str">
        <f t="shared" si="820"/>
        <v xml:space="preserve"> </v>
      </c>
      <c r="GY193" s="21" t="str">
        <f t="shared" si="2050"/>
        <v xml:space="preserve"> </v>
      </c>
      <c r="GZ193" s="21" t="str">
        <f t="shared" ref="GZ193" si="2534">IF(GZ91="",GZ194,$C193&amp;" "&amp;GZ91&amp;CHAR(10)&amp;GZ194)</f>
        <v xml:space="preserve"> </v>
      </c>
      <c r="HA193" s="21" t="str">
        <f t="shared" si="822"/>
        <v xml:space="preserve"> </v>
      </c>
      <c r="HB193" s="21" t="str">
        <f t="shared" ref="HB193" si="2535">IF(HB91="",HB194,$C193&amp;" "&amp;HB91&amp;CHAR(10)&amp;HB194)</f>
        <v xml:space="preserve"> </v>
      </c>
      <c r="HC193" s="21" t="str">
        <f t="shared" si="824"/>
        <v xml:space="preserve"> </v>
      </c>
      <c r="HD193" s="21" t="str">
        <f t="shared" si="825"/>
        <v xml:space="preserve">start-up with customers(1,6.25), for basic literacy(1,6.25),  </v>
      </c>
      <c r="HE193" s="21" t="str">
        <f t="shared" si="2073"/>
        <v xml:space="preserve">start-up with customers(6.25),for basic literacy(6.25), </v>
      </c>
      <c r="HF193" s="21" t="str">
        <f t="shared" ref="HF193" si="2536">IF(HF91="",HF194,$C193&amp;" "&amp;HF91&amp;CHAR(10)&amp;HF194)</f>
        <v xml:space="preserve"> </v>
      </c>
      <c r="HG193" s="21" t="str">
        <f t="shared" si="828"/>
        <v xml:space="preserve"> </v>
      </c>
      <c r="HH193" s="21" t="str">
        <f t="shared" ref="HH193" si="2537">IF(HH91="",HH194,$C193&amp;" "&amp;HH91&amp;CHAR(10)&amp;HH194)</f>
        <v xml:space="preserve"> </v>
      </c>
      <c r="HI193" s="21" t="str">
        <f t="shared" si="830"/>
        <v xml:space="preserve"> </v>
      </c>
      <c r="HJ193" s="21" t="str">
        <f t="shared" si="831"/>
        <v xml:space="preserve">start-up with customers(1,6.25),  </v>
      </c>
      <c r="HK193" s="21" t="str">
        <f t="shared" si="2073"/>
        <v xml:space="preserve">start-up with customers(6.25), </v>
      </c>
      <c r="HL193" s="21" t="str">
        <f t="shared" ref="HL193" si="2538">IF(HL91="",HL194,$C193&amp;" "&amp;HL91&amp;CHAR(10)&amp;HL194)</f>
        <v xml:space="preserve"> </v>
      </c>
      <c r="HM193" s="21" t="str">
        <f t="shared" si="833"/>
        <v xml:space="preserve"> </v>
      </c>
      <c r="HN193" s="21" t="str">
        <f t="shared" ref="HN193" si="2539">IF(HN91="",HN194,$C193&amp;" "&amp;HN91&amp;CHAR(10)&amp;HN194)</f>
        <v xml:space="preserve"> </v>
      </c>
      <c r="HO193" s="21" t="str">
        <f t="shared" si="835"/>
        <v xml:space="preserve"> </v>
      </c>
      <c r="HP193" s="21" t="str">
        <f t="shared" si="836"/>
        <v xml:space="preserve"> </v>
      </c>
      <c r="HQ193" s="47" t="str">
        <f t="shared" si="2073"/>
        <v xml:space="preserve"> </v>
      </c>
      <c r="HR193" s="47" t="str">
        <f t="shared" ref="HR193:HW193" si="2540">IF(HR91="",HR194,$C193&amp;"("&amp;HR91&amp;"),"&amp;HR194)</f>
        <v xml:space="preserve"> </v>
      </c>
      <c r="HS193" s="47" t="str">
        <f t="shared" si="2540"/>
        <v xml:space="preserve"> </v>
      </c>
      <c r="HT193" s="47" t="str">
        <f t="shared" si="2540"/>
        <v xml:space="preserve"> </v>
      </c>
      <c r="HU193" s="47" t="str">
        <f t="shared" si="2540"/>
        <v xml:space="preserve">start-up with mvp(1), </v>
      </c>
      <c r="HV193" s="47" t="str">
        <f t="shared" si="2540"/>
        <v xml:space="preserve"> </v>
      </c>
      <c r="HW193" s="47" t="str">
        <f t="shared" si="2540"/>
        <v xml:space="preserve"> </v>
      </c>
      <c r="HX193" s="47" t="str">
        <f t="shared" ref="HX193:IU193" si="2541">IF(HX91="",HX194,$C193&amp;"("&amp;HX91&amp;"),"&amp;HX194)</f>
        <v xml:space="preserve"> </v>
      </c>
      <c r="HY193" s="47" t="str">
        <f t="shared" si="2541"/>
        <v xml:space="preserve">biz enhancement(1), </v>
      </c>
      <c r="HZ193" s="47" t="str">
        <f t="shared" si="2541"/>
        <v xml:space="preserve">biz enhancement(100), </v>
      </c>
      <c r="IA193" s="47" t="str">
        <f t="shared" si="2541"/>
        <v xml:space="preserve"> </v>
      </c>
      <c r="IB193" s="47" t="str">
        <f t="shared" si="2541"/>
        <v xml:space="preserve"> </v>
      </c>
      <c r="IC193" s="47" t="str">
        <f t="shared" si="2541"/>
        <v xml:space="preserve"> </v>
      </c>
      <c r="ID193" s="47" t="str">
        <f t="shared" si="2541"/>
        <v xml:space="preserve"> </v>
      </c>
      <c r="IE193" s="47" t="str">
        <f t="shared" si="2541"/>
        <v xml:space="preserve"> </v>
      </c>
      <c r="IF193" s="47" t="str">
        <f t="shared" si="2541"/>
        <v xml:space="preserve"> </v>
      </c>
      <c r="IG193" s="47" t="str">
        <f t="shared" si="2541"/>
        <v xml:space="preserve"> </v>
      </c>
      <c r="IH193" s="47" t="str">
        <f t="shared" si="2541"/>
        <v xml:space="preserve"> </v>
      </c>
      <c r="II193" s="47" t="str">
        <f t="shared" si="2541"/>
        <v xml:space="preserve"> </v>
      </c>
      <c r="IJ193" s="47" t="str">
        <f t="shared" si="2541"/>
        <v xml:space="preserve"> </v>
      </c>
      <c r="IK193" s="47" t="str">
        <f t="shared" si="2541"/>
        <v xml:space="preserve"> </v>
      </c>
      <c r="IL193" s="47" t="str">
        <f t="shared" si="2541"/>
        <v xml:space="preserve"> </v>
      </c>
      <c r="IM193" s="47" t="str">
        <f t="shared" si="2541"/>
        <v xml:space="preserve"> </v>
      </c>
      <c r="IN193" s="47" t="str">
        <f t="shared" si="2541"/>
        <v xml:space="preserve"> </v>
      </c>
      <c r="IO193" s="47" t="str">
        <f t="shared" si="2541"/>
        <v xml:space="preserve"> </v>
      </c>
      <c r="IP193" s="57" t="str">
        <f t="shared" si="2541"/>
        <v xml:space="preserve"> </v>
      </c>
      <c r="IQ193" s="47" t="str">
        <f t="shared" si="2541"/>
        <v xml:space="preserve"> </v>
      </c>
      <c r="IR193" s="47" t="str">
        <f t="shared" si="2541"/>
        <v xml:space="preserve"> </v>
      </c>
      <c r="IS193" s="47" t="str">
        <f t="shared" si="2541"/>
        <v xml:space="preserve"> </v>
      </c>
      <c r="IT193" s="47" t="str">
        <f t="shared" si="2541"/>
        <v xml:space="preserve"> </v>
      </c>
      <c r="IU193" s="47" t="str">
        <f t="shared" si="2541"/>
        <v xml:space="preserve"> </v>
      </c>
      <c r="IV193" s="57" t="str">
        <f t="shared" ref="IV193:LG193" si="2542">IF(IV91="",IV194,$C193&amp;"("&amp;IV91&amp;"),"&amp;IV194)</f>
        <v xml:space="preserve"> </v>
      </c>
      <c r="IW193" s="47" t="str">
        <f t="shared" si="2542"/>
        <v xml:space="preserve"> </v>
      </c>
      <c r="IX193" s="47" t="str">
        <f t="shared" si="2542"/>
        <v xml:space="preserve"> </v>
      </c>
      <c r="IY193" s="47" t="str">
        <f t="shared" si="2542"/>
        <v xml:space="preserve"> </v>
      </c>
      <c r="IZ193" s="47" t="str">
        <f t="shared" si="2542"/>
        <v xml:space="preserve"> </v>
      </c>
      <c r="JA193" s="47" t="str">
        <f t="shared" si="2542"/>
        <v xml:space="preserve"> </v>
      </c>
      <c r="JB193" s="47" t="str">
        <f t="shared" si="2542"/>
        <v xml:space="preserve"> </v>
      </c>
      <c r="JC193" s="47" t="str">
        <f t="shared" si="2542"/>
        <v xml:space="preserve"> </v>
      </c>
      <c r="JD193" s="47" t="str">
        <f t="shared" si="2542"/>
        <v xml:space="preserve"> </v>
      </c>
      <c r="JE193" s="47" t="str">
        <f t="shared" si="2542"/>
        <v xml:space="preserve"> </v>
      </c>
      <c r="JF193" s="47" t="str">
        <f t="shared" si="2542"/>
        <v xml:space="preserve"> </v>
      </c>
      <c r="JG193" s="47" t="str">
        <f t="shared" si="2542"/>
        <v xml:space="preserve"> </v>
      </c>
      <c r="JH193" s="47" t="str">
        <f t="shared" si="2542"/>
        <v xml:space="preserve"> </v>
      </c>
      <c r="JI193" s="47" t="str">
        <f t="shared" si="2542"/>
        <v xml:space="preserve"> </v>
      </c>
      <c r="JJ193" s="47" t="str">
        <f t="shared" si="2542"/>
        <v xml:space="preserve"> </v>
      </c>
      <c r="JK193" s="47" t="str">
        <f t="shared" si="2542"/>
        <v xml:space="preserve">non-profit biz(1),biz project(1),biz enhancement(1),job creation(1),business(1),start-up(1),start-up with mvp(1),start-up with customers(1),for basic literacy(1),for the elites(1),for entrepreneurs(1), </v>
      </c>
      <c r="JL193" s="47" t="str">
        <f t="shared" si="2542"/>
        <v xml:space="preserve"> </v>
      </c>
      <c r="JM193" s="47" t="str">
        <f t="shared" si="2542"/>
        <v xml:space="preserve"> </v>
      </c>
      <c r="JN193" s="47" t="str">
        <f t="shared" si="2542"/>
        <v xml:space="preserve"> </v>
      </c>
      <c r="JO193" s="47" t="str">
        <f t="shared" si="2542"/>
        <v xml:space="preserve"> </v>
      </c>
      <c r="JP193" s="47" t="str">
        <f t="shared" si="2542"/>
        <v xml:space="preserve"> </v>
      </c>
      <c r="JQ193" s="47" t="str">
        <f t="shared" si="2542"/>
        <v xml:space="preserve">non-profit biz(1),biz project(1),biz enhancement(1),job creation(1),business(1),start-up(1),start-up with mvp(1),start-up with customers(1),for basic literacy(1),for the elites(1),for entrepreneurs(1), </v>
      </c>
      <c r="JR193" s="47" t="str">
        <f t="shared" si="2542"/>
        <v xml:space="preserve"> </v>
      </c>
      <c r="JS193" s="47" t="str">
        <f t="shared" si="2542"/>
        <v xml:space="preserve"> </v>
      </c>
      <c r="JT193" s="47" t="str">
        <f t="shared" si="2542"/>
        <v xml:space="preserve"> </v>
      </c>
      <c r="JU193" s="47" t="str">
        <f t="shared" si="2542"/>
        <v xml:space="preserve"> </v>
      </c>
      <c r="JV193" s="47" t="str">
        <f t="shared" si="2542"/>
        <v xml:space="preserve"> </v>
      </c>
      <c r="JW193" s="47" t="str">
        <f t="shared" si="2542"/>
        <v xml:space="preserve">non-profit biz(1),biz project(2),biz enhancement(2),job creation(1),business(1),start-up(2),start-up with mvp(1),start-up with customers(1),for basic literacy(2),for the elites(1),for entrepreneurs(1), </v>
      </c>
      <c r="JX193" s="47" t="str">
        <f t="shared" si="2542"/>
        <v xml:space="preserve"> </v>
      </c>
      <c r="JY193" s="47" t="str">
        <f t="shared" si="2542"/>
        <v xml:space="preserve"> </v>
      </c>
      <c r="JZ193" s="47" t="str">
        <f t="shared" si="2542"/>
        <v xml:space="preserve"> </v>
      </c>
      <c r="KA193" s="47" t="str">
        <f t="shared" si="2542"/>
        <v xml:space="preserve"> </v>
      </c>
      <c r="KB193" s="47" t="str">
        <f t="shared" si="2542"/>
        <v xml:space="preserve"> </v>
      </c>
      <c r="KC193" s="47" t="str">
        <f t="shared" si="2542"/>
        <v xml:space="preserve">non-profit biz(1),biz project(2),biz enhancement(2),job creation(1),business(1),start-up(2),start-up with mvp(1),start-up with customers(1),for basic literacy(2),for the elites(1),for entrepreneurs(1), </v>
      </c>
      <c r="KD193" s="47" t="str">
        <f t="shared" si="2542"/>
        <v xml:space="preserve"> </v>
      </c>
      <c r="KE193" s="47" t="str">
        <f t="shared" si="2542"/>
        <v xml:space="preserve"> </v>
      </c>
      <c r="KF193" s="47" t="str">
        <f t="shared" si="2542"/>
        <v xml:space="preserve"> </v>
      </c>
      <c r="KG193" s="47" t="str">
        <f t="shared" si="2542"/>
        <v xml:space="preserve"> </v>
      </c>
      <c r="KH193" s="47" t="str">
        <f t="shared" si="2542"/>
        <v xml:space="preserve"> </v>
      </c>
      <c r="KI193" s="47" t="str">
        <f t="shared" si="2542"/>
        <v xml:space="preserve"> </v>
      </c>
      <c r="KJ193" s="47" t="str">
        <f t="shared" si="2542"/>
        <v xml:space="preserve"> </v>
      </c>
      <c r="KK193" s="47" t="str">
        <f t="shared" si="2542"/>
        <v xml:space="preserve"> </v>
      </c>
      <c r="KL193" s="57" t="str">
        <f t="shared" si="2542"/>
        <v xml:space="preserve"> </v>
      </c>
      <c r="KM193" s="47" t="str">
        <f t="shared" si="2542"/>
        <v xml:space="preserve"> </v>
      </c>
      <c r="KN193" s="47" t="str">
        <f t="shared" si="2542"/>
        <v xml:space="preserve"> </v>
      </c>
      <c r="KO193" s="47" t="str">
        <f t="shared" si="2542"/>
        <v xml:space="preserve"> </v>
      </c>
      <c r="KP193" s="47" t="str">
        <f t="shared" si="2542"/>
        <v xml:space="preserve"> </v>
      </c>
      <c r="KQ193" s="47" t="str">
        <f t="shared" si="2542"/>
        <v xml:space="preserve"> </v>
      </c>
      <c r="KR193" s="57" t="str">
        <f t="shared" si="2542"/>
        <v xml:space="preserve"> </v>
      </c>
      <c r="KS193" s="47" t="str">
        <f t="shared" si="2542"/>
        <v xml:space="preserve"> </v>
      </c>
      <c r="KT193" s="47" t="str">
        <f t="shared" si="2542"/>
        <v xml:space="preserve"> </v>
      </c>
      <c r="KU193" s="47" t="str">
        <f t="shared" si="2542"/>
        <v xml:space="preserve"> </v>
      </c>
      <c r="KV193" s="47" t="str">
        <f t="shared" si="2542"/>
        <v xml:space="preserve"> </v>
      </c>
      <c r="KW193" s="47" t="str">
        <f t="shared" si="2542"/>
        <v xml:space="preserve"> </v>
      </c>
      <c r="KX193" s="57" t="str">
        <f t="shared" si="2542"/>
        <v xml:space="preserve"> </v>
      </c>
      <c r="KY193" s="47" t="str">
        <f t="shared" si="2542"/>
        <v xml:space="preserve"> </v>
      </c>
      <c r="KZ193" s="47" t="str">
        <f t="shared" si="2542"/>
        <v xml:space="preserve"> </v>
      </c>
      <c r="LA193" s="47" t="str">
        <f t="shared" si="2542"/>
        <v xml:space="preserve"> </v>
      </c>
      <c r="LB193" s="47" t="str">
        <f t="shared" si="2542"/>
        <v xml:space="preserve"> </v>
      </c>
      <c r="LC193" s="47" t="str">
        <f t="shared" si="2542"/>
        <v xml:space="preserve"> </v>
      </c>
      <c r="LD193" s="57" t="str">
        <f t="shared" si="2542"/>
        <v xml:space="preserve"> </v>
      </c>
      <c r="LE193" s="47" t="str">
        <f t="shared" si="2542"/>
        <v xml:space="preserve"> </v>
      </c>
      <c r="LF193" s="47" t="str">
        <f t="shared" si="2542"/>
        <v xml:space="preserve"> </v>
      </c>
      <c r="LG193" s="47" t="str">
        <f t="shared" si="2542"/>
        <v xml:space="preserve"> </v>
      </c>
      <c r="LH193" s="47" t="str">
        <f t="shared" ref="LH193:NM193" si="2543">IF(LH91="",LH194,$C193&amp;"("&amp;LH91&amp;"),"&amp;LH194)</f>
        <v xml:space="preserve"> </v>
      </c>
      <c r="LI193" s="47" t="str">
        <f t="shared" si="2543"/>
        <v xml:space="preserve"> </v>
      </c>
      <c r="LJ193" s="57" t="str">
        <f t="shared" si="2543"/>
        <v xml:space="preserve"> </v>
      </c>
      <c r="LK193" s="47" t="str">
        <f t="shared" si="2543"/>
        <v xml:space="preserve"> </v>
      </c>
      <c r="LL193" s="47" t="str">
        <f t="shared" si="2543"/>
        <v xml:space="preserve"> </v>
      </c>
      <c r="LM193" s="47" t="str">
        <f t="shared" si="2543"/>
        <v xml:space="preserve"> </v>
      </c>
      <c r="LN193" s="47" t="str">
        <f t="shared" si="2543"/>
        <v xml:space="preserve"> </v>
      </c>
      <c r="LO193" s="47" t="str">
        <f t="shared" si="2543"/>
        <v xml:space="preserve"> </v>
      </c>
      <c r="LP193" s="57" t="str">
        <f t="shared" si="2543"/>
        <v xml:space="preserve"> </v>
      </c>
      <c r="LQ193" s="47" t="str">
        <f t="shared" si="2543"/>
        <v xml:space="preserve"> </v>
      </c>
      <c r="LR193" s="47" t="str">
        <f t="shared" si="2543"/>
        <v xml:space="preserve"> </v>
      </c>
      <c r="LS193" s="47" t="str">
        <f t="shared" si="2543"/>
        <v xml:space="preserve"> </v>
      </c>
      <c r="LT193" s="47" t="str">
        <f t="shared" si="2543"/>
        <v xml:space="preserve"> </v>
      </c>
      <c r="LU193" s="47" t="str">
        <f t="shared" si="2543"/>
        <v xml:space="preserve"> </v>
      </c>
      <c r="LV193" s="57" t="str">
        <f t="shared" si="2543"/>
        <v xml:space="preserve"> </v>
      </c>
      <c r="LW193" s="47" t="str">
        <f t="shared" si="2543"/>
        <v xml:space="preserve"> </v>
      </c>
      <c r="LX193" s="47" t="str">
        <f t="shared" si="2543"/>
        <v xml:space="preserve"> </v>
      </c>
      <c r="LY193" s="47" t="str">
        <f t="shared" si="2543"/>
        <v xml:space="preserve"> </v>
      </c>
      <c r="LZ193" s="47" t="str">
        <f t="shared" si="2543"/>
        <v xml:space="preserve"> </v>
      </c>
      <c r="MA193" s="47" t="str">
        <f t="shared" si="2543"/>
        <v xml:space="preserve"> </v>
      </c>
      <c r="MB193" s="57" t="str">
        <f t="shared" si="2543"/>
        <v xml:space="preserve"> </v>
      </c>
      <c r="MC193" s="47" t="str">
        <f t="shared" si="2543"/>
        <v xml:space="preserve"> </v>
      </c>
      <c r="MD193" s="47" t="str">
        <f t="shared" si="2543"/>
        <v xml:space="preserve"> </v>
      </c>
      <c r="ME193" s="47" t="str">
        <f t="shared" si="2543"/>
        <v xml:space="preserve"> </v>
      </c>
      <c r="MF193" s="47" t="str">
        <f t="shared" si="2543"/>
        <v xml:space="preserve"> </v>
      </c>
      <c r="MG193" s="47" t="str">
        <f t="shared" si="2543"/>
        <v xml:space="preserve"> </v>
      </c>
      <c r="MH193" s="57" t="str">
        <f t="shared" si="2543"/>
        <v xml:space="preserve"> </v>
      </c>
      <c r="MI193" s="47" t="str">
        <f t="shared" si="2543"/>
        <v xml:space="preserve"> </v>
      </c>
      <c r="MJ193" s="47" t="str">
        <f t="shared" si="2543"/>
        <v xml:space="preserve"> </v>
      </c>
      <c r="MK193" s="47" t="str">
        <f t="shared" si="2543"/>
        <v xml:space="preserve"> </v>
      </c>
      <c r="ML193" s="47" t="str">
        <f t="shared" si="2543"/>
        <v xml:space="preserve"> </v>
      </c>
      <c r="MM193" s="47" t="str">
        <f t="shared" si="2543"/>
        <v xml:space="preserve"> </v>
      </c>
      <c r="MN193" s="57" t="str">
        <f t="shared" si="2543"/>
        <v xml:space="preserve"> </v>
      </c>
      <c r="MO193" s="47" t="str">
        <f t="shared" si="2543"/>
        <v xml:space="preserve"> </v>
      </c>
      <c r="MP193" s="47" t="str">
        <f t="shared" si="2543"/>
        <v xml:space="preserve"> </v>
      </c>
      <c r="MQ193" s="47" t="str">
        <f t="shared" si="2543"/>
        <v xml:space="preserve"> </v>
      </c>
      <c r="MR193" s="47" t="str">
        <f t="shared" si="2543"/>
        <v xml:space="preserve"> </v>
      </c>
      <c r="MS193" s="47" t="str">
        <f t="shared" si="2543"/>
        <v xml:space="preserve"> </v>
      </c>
      <c r="MT193" s="57" t="str">
        <f t="shared" si="2543"/>
        <v xml:space="preserve"> </v>
      </c>
      <c r="MU193" s="47" t="str">
        <f t="shared" si="2543"/>
        <v xml:space="preserve"> </v>
      </c>
      <c r="MV193" s="47" t="str">
        <f t="shared" si="2543"/>
        <v xml:space="preserve"> </v>
      </c>
      <c r="MW193" s="47" t="str">
        <f t="shared" si="2543"/>
        <v xml:space="preserve"> </v>
      </c>
      <c r="MX193" s="47" t="str">
        <f t="shared" si="2543"/>
        <v xml:space="preserve"> </v>
      </c>
      <c r="MY193" s="47" t="str">
        <f t="shared" si="2543"/>
        <v xml:space="preserve"> </v>
      </c>
      <c r="MZ193" s="57" t="str">
        <f t="shared" si="2543"/>
        <v xml:space="preserve"> </v>
      </c>
      <c r="NA193" s="47" t="str">
        <f t="shared" si="2543"/>
        <v xml:space="preserve"> </v>
      </c>
      <c r="NB193" s="47" t="str">
        <f t="shared" si="2543"/>
        <v xml:space="preserve"> </v>
      </c>
      <c r="NC193" s="47" t="str">
        <f t="shared" si="2543"/>
        <v xml:space="preserve"> </v>
      </c>
      <c r="ND193" s="47" t="str">
        <f t="shared" si="2543"/>
        <v xml:space="preserve"> </v>
      </c>
      <c r="NE193" s="47" t="str">
        <f t="shared" si="2543"/>
        <v xml:space="preserve"> </v>
      </c>
      <c r="NF193" s="57" t="str">
        <f t="shared" si="2543"/>
        <v xml:space="preserve"> </v>
      </c>
      <c r="NG193" s="47" t="str">
        <f t="shared" si="2543"/>
        <v xml:space="preserve"> </v>
      </c>
      <c r="NH193" s="47" t="str">
        <f t="shared" si="2543"/>
        <v xml:space="preserve"> </v>
      </c>
      <c r="NI193" s="47" t="str">
        <f t="shared" si="2543"/>
        <v xml:space="preserve"> </v>
      </c>
      <c r="NJ193" s="47" t="str">
        <f t="shared" si="2543"/>
        <v xml:space="preserve"> </v>
      </c>
      <c r="NK193" s="47" t="str">
        <f t="shared" si="2543"/>
        <v xml:space="preserve"> </v>
      </c>
      <c r="NL193" s="57" t="str">
        <f t="shared" si="2543"/>
        <v xml:space="preserve"> </v>
      </c>
      <c r="NM193" s="47" t="str">
        <f t="shared" si="2543"/>
        <v xml:space="preserve"> </v>
      </c>
    </row>
    <row r="194" spans="2:377" ht="15.75" customHeight="1">
      <c r="C194" s="7" t="str">
        <f t="shared" si="841"/>
        <v>biz project</v>
      </c>
      <c r="D194" s="21" t="str">
        <f t="shared" si="2000"/>
        <v xml:space="preserve"> </v>
      </c>
      <c r="E194" s="21" t="str">
        <f t="shared" si="842"/>
        <v xml:space="preserve"> </v>
      </c>
      <c r="F194" s="21" t="str">
        <f t="shared" si="2000"/>
        <v xml:space="preserve"> </v>
      </c>
      <c r="G194" s="21" t="str">
        <f t="shared" si="843"/>
        <v xml:space="preserve"> </v>
      </c>
      <c r="H194" s="21" t="str">
        <f t="shared" si="844"/>
        <v xml:space="preserve"> </v>
      </c>
      <c r="I194" s="21" t="str">
        <f t="shared" ref="I194" si="2544">IF(I92="",I195,$C194&amp;"("&amp;I92&amp;"),"&amp;I195)</f>
        <v xml:space="preserve"> </v>
      </c>
      <c r="J194" s="21" t="str">
        <f t="shared" ref="J194" si="2545">IF(J92="",J195,$C194&amp;" "&amp;J92&amp;CHAR(10)&amp;J195)</f>
        <v xml:space="preserve"> </v>
      </c>
      <c r="K194" s="21" t="str">
        <f t="shared" si="654"/>
        <v xml:space="preserve"> </v>
      </c>
      <c r="L194" s="21" t="str">
        <f t="shared" ref="L194" si="2546">IF(L92="",L195,$C194&amp;" "&amp;L92&amp;CHAR(10)&amp;L195)</f>
        <v xml:space="preserve"> </v>
      </c>
      <c r="M194" s="21" t="str">
        <f t="shared" si="656"/>
        <v xml:space="preserve"> </v>
      </c>
      <c r="N194" s="21" t="str">
        <f t="shared" si="657"/>
        <v xml:space="preserve"> </v>
      </c>
      <c r="O194" s="21" t="str">
        <f t="shared" si="2004"/>
        <v xml:space="preserve"> </v>
      </c>
      <c r="P194" s="21" t="str">
        <f t="shared" ref="P194" si="2547">IF(P92="",P195,$C194&amp;" "&amp;P92&amp;CHAR(10)&amp;P195)</f>
        <v xml:space="preserve">biz project 1
 </v>
      </c>
      <c r="Q194" s="21" t="str">
        <f t="shared" si="660"/>
        <v xml:space="preserve"> </v>
      </c>
      <c r="R194" s="21" t="str">
        <f t="shared" ref="R194" si="2548">IF(R92="",R195,$C194&amp;" "&amp;R92&amp;CHAR(10)&amp;R195)</f>
        <v xml:space="preserve"> </v>
      </c>
      <c r="S194" s="21" t="str">
        <f t="shared" si="662"/>
        <v xml:space="preserve">biz enhancement(1), business(1), start-up(1),  </v>
      </c>
      <c r="T194" s="21" t="str">
        <f t="shared" si="663"/>
        <v xml:space="preserve"> </v>
      </c>
      <c r="U194" s="21" t="str">
        <f t="shared" si="2004"/>
        <v xml:space="preserve"> </v>
      </c>
      <c r="V194" s="21" t="str">
        <f t="shared" ref="V194" si="2549">IF(V92="",V195,$C194&amp;" "&amp;V92&amp;CHAR(10)&amp;V195)</f>
        <v xml:space="preserve"> </v>
      </c>
      <c r="W194" s="21" t="str">
        <f t="shared" si="665"/>
        <v xml:space="preserve"> </v>
      </c>
      <c r="X194" s="21" t="str">
        <f t="shared" ref="X194" si="2550">IF(X92="",X195,$C194&amp;" "&amp;X92&amp;CHAR(10)&amp;X195)</f>
        <v xml:space="preserve"> </v>
      </c>
      <c r="Y194" s="21" t="str">
        <f t="shared" si="667"/>
        <v xml:space="preserve">biz project(1), biz enhancement(1), job creation(1), business(1),  </v>
      </c>
      <c r="Z194" s="21" t="str">
        <f t="shared" si="668"/>
        <v xml:space="preserve"> </v>
      </c>
      <c r="AA194" s="21" t="str">
        <f t="shared" si="2004"/>
        <v xml:space="preserve"> </v>
      </c>
      <c r="AB194" s="21" t="str">
        <f t="shared" ref="AB194" si="2551">IF(AB92="",AB195,$C194&amp;" "&amp;AB92&amp;CHAR(10)&amp;AB195)</f>
        <v xml:space="preserve"> </v>
      </c>
      <c r="AC194" s="21" t="str">
        <f t="shared" si="670"/>
        <v xml:space="preserve"> </v>
      </c>
      <c r="AD194" s="21" t="str">
        <f t="shared" ref="AD194" si="2552">IF(AD92="",AD195,$C194&amp;" "&amp;AD92&amp;CHAR(10)&amp;AD195)</f>
        <v xml:space="preserve"> </v>
      </c>
      <c r="AE194" s="21" t="str">
        <f t="shared" si="672"/>
        <v xml:space="preserve"> </v>
      </c>
      <c r="AF194" s="21" t="str">
        <f t="shared" si="673"/>
        <v xml:space="preserve"> </v>
      </c>
      <c r="AG194" s="21" t="str">
        <f t="shared" si="2004"/>
        <v xml:space="preserve"> </v>
      </c>
      <c r="AH194" s="21" t="str">
        <f t="shared" ref="AH194" si="2553">IF(AH92="",AH195,$C194&amp;" "&amp;AH92&amp;CHAR(10)&amp;AH195)</f>
        <v xml:space="preserve"> </v>
      </c>
      <c r="AI194" s="21" t="str">
        <f t="shared" si="675"/>
        <v xml:space="preserve"> </v>
      </c>
      <c r="AJ194" s="21" t="str">
        <f t="shared" ref="AJ194" si="2554">IF(AJ92="",AJ195,$C194&amp;" "&amp;AJ92&amp;CHAR(10)&amp;AJ195)</f>
        <v xml:space="preserve"> </v>
      </c>
      <c r="AK194" s="21" t="str">
        <f t="shared" si="677"/>
        <v xml:space="preserve"> </v>
      </c>
      <c r="AL194" s="21" t="str">
        <f t="shared" si="678"/>
        <v xml:space="preserve"> </v>
      </c>
      <c r="AM194" s="21" t="str">
        <f t="shared" si="2004"/>
        <v xml:space="preserve"> </v>
      </c>
      <c r="AN194" s="21" t="str">
        <f t="shared" ref="AN194" si="2555">IF(AN92="",AN195,$C194&amp;" "&amp;AN92&amp;CHAR(10)&amp;AN195)</f>
        <v xml:space="preserve"> </v>
      </c>
      <c r="AO194" s="21" t="str">
        <f t="shared" si="680"/>
        <v xml:space="preserve"> </v>
      </c>
      <c r="AP194" s="21" t="str">
        <f t="shared" ref="AP194" si="2556">IF(AP92="",AP195,$C194&amp;" "&amp;AP92&amp;CHAR(10)&amp;AP195)</f>
        <v xml:space="preserve"> </v>
      </c>
      <c r="AQ194" s="21" t="str">
        <f t="shared" si="682"/>
        <v xml:space="preserve">start-up(1), start-up with mvp(1), start-up with customers(1),  </v>
      </c>
      <c r="AR194" s="21" t="str">
        <f t="shared" si="683"/>
        <v xml:space="preserve"> </v>
      </c>
      <c r="AS194" s="21" t="str">
        <f t="shared" si="2004"/>
        <v xml:space="preserve"> </v>
      </c>
      <c r="AT194" s="21" t="str">
        <f t="shared" ref="AT194" si="2557">IF(AT92="",AT195,$C194&amp;" "&amp;AT92&amp;CHAR(10)&amp;AT195)</f>
        <v xml:space="preserve"> </v>
      </c>
      <c r="AU194" s="21" t="str">
        <f t="shared" si="685"/>
        <v xml:space="preserve"> </v>
      </c>
      <c r="AV194" s="21" t="str">
        <f t="shared" ref="AV194" si="2558">IF(AV92="",AV195,$C194&amp;" "&amp;AV92&amp;CHAR(10)&amp;AV195)</f>
        <v xml:space="preserve"> </v>
      </c>
      <c r="AW194" s="21" t="str">
        <f t="shared" si="687"/>
        <v xml:space="preserve"> </v>
      </c>
      <c r="AX194" s="21" t="str">
        <f t="shared" si="688"/>
        <v xml:space="preserve"> </v>
      </c>
      <c r="AY194" s="21" t="str">
        <f t="shared" si="2004"/>
        <v xml:space="preserve"> </v>
      </c>
      <c r="AZ194" s="21" t="str">
        <f t="shared" ref="AZ194" si="2559">IF(AZ92="",AZ195,$C194&amp;" "&amp;AZ92&amp;CHAR(10)&amp;AZ195)</f>
        <v xml:space="preserve"> </v>
      </c>
      <c r="BA194" s="21" t="str">
        <f t="shared" si="690"/>
        <v xml:space="preserve"> </v>
      </c>
      <c r="BB194" s="21" t="str">
        <f t="shared" ref="BB194" si="2560">IF(BB92="",BB195,$C194&amp;" "&amp;BB92&amp;CHAR(10)&amp;BB195)</f>
        <v xml:space="preserve"> </v>
      </c>
      <c r="BC194" s="21" t="str">
        <f t="shared" si="692"/>
        <v xml:space="preserve"> </v>
      </c>
      <c r="BD194" s="21" t="str">
        <f t="shared" si="693"/>
        <v xml:space="preserve"> </v>
      </c>
      <c r="BE194" s="21" t="str">
        <f t="shared" si="2004"/>
        <v xml:space="preserve"> </v>
      </c>
      <c r="BF194" s="21" t="str">
        <f t="shared" ref="BF194" si="2561">IF(BF92="",BF195,$C194&amp;" "&amp;BF92&amp;CHAR(10)&amp;BF195)</f>
        <v xml:space="preserve">biz project 1
 </v>
      </c>
      <c r="BG194" s="21" t="str">
        <f t="shared" si="695"/>
        <v xml:space="preserve"> </v>
      </c>
      <c r="BH194" s="21" t="str">
        <f t="shared" ref="BH194" si="2562">IF(BH92="",BH195,$C194&amp;" "&amp;BH92&amp;CHAR(10)&amp;BH195)</f>
        <v xml:space="preserve"> </v>
      </c>
      <c r="BI194" s="21" t="str">
        <f t="shared" si="697"/>
        <v xml:space="preserve"> </v>
      </c>
      <c r="BJ194" s="21" t="str">
        <f t="shared" si="698"/>
        <v xml:space="preserve"> </v>
      </c>
      <c r="BK194" s="21" t="str">
        <f t="shared" si="2004"/>
        <v xml:space="preserve"> </v>
      </c>
      <c r="BL194" s="21" t="str">
        <f t="shared" ref="BL194" si="2563">IF(BL92="",BL195,$C194&amp;" "&amp;BL92&amp;CHAR(10)&amp;BL195)</f>
        <v xml:space="preserve">biz enhancement 1
 </v>
      </c>
      <c r="BM194" s="21" t="str">
        <f t="shared" si="700"/>
        <v xml:space="preserve"> </v>
      </c>
      <c r="BN194" s="21" t="str">
        <f t="shared" ref="BN194" si="2564">IF(BN92="",BN195,$C194&amp;" "&amp;BN92&amp;CHAR(10)&amp;BN195)</f>
        <v xml:space="preserve"> </v>
      </c>
      <c r="BO194" s="21" t="str">
        <f t="shared" si="702"/>
        <v xml:space="preserve"> </v>
      </c>
      <c r="BP194" s="21" t="str">
        <f t="shared" si="703"/>
        <v xml:space="preserve"> </v>
      </c>
      <c r="BQ194" s="21" t="str">
        <f t="shared" si="2004"/>
        <v xml:space="preserve"> </v>
      </c>
      <c r="BR194" s="21" t="str">
        <f t="shared" ref="BR194" si="2565">IF(BR92="",BR195,$C194&amp;" "&amp;BR92&amp;CHAR(10)&amp;BR195)</f>
        <v xml:space="preserve"> </v>
      </c>
      <c r="BS194" s="21" t="str">
        <f t="shared" si="705"/>
        <v xml:space="preserve"> </v>
      </c>
      <c r="BT194" s="21" t="str">
        <f t="shared" ref="BT194" si="2566">IF(BT92="",BT195,$C194&amp;" "&amp;BT92&amp;CHAR(10)&amp;BT195)</f>
        <v xml:space="preserve"> </v>
      </c>
      <c r="BU194" s="21" t="str">
        <f t="shared" si="707"/>
        <v xml:space="preserve"> </v>
      </c>
      <c r="BV194" s="21" t="str">
        <f t="shared" si="708"/>
        <v xml:space="preserve"> </v>
      </c>
      <c r="BW194" s="21" t="str">
        <f t="shared" si="2004"/>
        <v xml:space="preserve"> </v>
      </c>
      <c r="BX194" s="21" t="str">
        <f t="shared" ref="BX194" si="2567">IF(BX92="",BX195,$C194&amp;" "&amp;BX92&amp;CHAR(10)&amp;BX195)</f>
        <v xml:space="preserve"> </v>
      </c>
      <c r="BY194" s="21" t="str">
        <f t="shared" si="710"/>
        <v xml:space="preserve"> </v>
      </c>
      <c r="BZ194" s="21" t="str">
        <f t="shared" ref="BZ194" si="2568">IF(BZ92="",BZ195,$C194&amp;" "&amp;BZ92&amp;CHAR(10)&amp;BZ195)</f>
        <v xml:space="preserve"> </v>
      </c>
      <c r="CA194" s="21" t="str">
        <f t="shared" si="712"/>
        <v xml:space="preserve"> </v>
      </c>
      <c r="CB194" s="21" t="str">
        <f t="shared" si="713"/>
        <v xml:space="preserve"> </v>
      </c>
      <c r="CC194" s="21" t="str">
        <f t="shared" si="2027"/>
        <v xml:space="preserve"> </v>
      </c>
      <c r="CD194" s="21" t="str">
        <f t="shared" ref="CD194" si="2569">IF(CD92="",CD195,$C194&amp;" "&amp;CD92&amp;CHAR(10)&amp;CD195)</f>
        <v xml:space="preserve"> </v>
      </c>
      <c r="CE194" s="21" t="str">
        <f t="shared" si="716"/>
        <v xml:space="preserve"> </v>
      </c>
      <c r="CF194" s="21" t="str">
        <f t="shared" ref="CF194" si="2570">IF(CF92="",CF195,$C194&amp;" "&amp;CF92&amp;CHAR(10)&amp;CF195)</f>
        <v xml:space="preserve"> </v>
      </c>
      <c r="CG194" s="21" t="str">
        <f t="shared" si="718"/>
        <v xml:space="preserve">biz project(1), for basic literacy(1), for the elites(1), for entrepreneurs(1),  </v>
      </c>
      <c r="CH194" s="21" t="str">
        <f t="shared" si="719"/>
        <v xml:space="preserve"> </v>
      </c>
      <c r="CI194" s="21" t="str">
        <f t="shared" si="2027"/>
        <v xml:space="preserve"> </v>
      </c>
      <c r="CJ194" s="21" t="str">
        <f t="shared" ref="CJ194" si="2571">IF(CJ92="",CJ195,$C194&amp;" "&amp;CJ92&amp;CHAR(10)&amp;CJ195)</f>
        <v xml:space="preserve"> </v>
      </c>
      <c r="CK194" s="21" t="str">
        <f t="shared" si="721"/>
        <v xml:space="preserve"> </v>
      </c>
      <c r="CL194" s="21" t="str">
        <f t="shared" ref="CL194" si="2572">IF(CL92="",CL195,$C194&amp;" "&amp;CL92&amp;CHAR(10)&amp;CL195)</f>
        <v xml:space="preserve"> </v>
      </c>
      <c r="CM194" s="21" t="str">
        <f t="shared" si="723"/>
        <v xml:space="preserve"> </v>
      </c>
      <c r="CN194" s="21" t="str">
        <f t="shared" si="724"/>
        <v xml:space="preserve"> </v>
      </c>
      <c r="CO194" s="21" t="str">
        <f t="shared" si="2027"/>
        <v xml:space="preserve"> </v>
      </c>
      <c r="CP194" s="21" t="str">
        <f t="shared" ref="CP194" si="2573">IF(CP92="",CP195,$C194&amp;" "&amp;CP92&amp;CHAR(10)&amp;CP195)</f>
        <v xml:space="preserve"> </v>
      </c>
      <c r="CQ194" s="21" t="str">
        <f t="shared" si="726"/>
        <v xml:space="preserve"> </v>
      </c>
      <c r="CR194" s="21" t="str">
        <f t="shared" ref="CR194" si="2574">IF(CR92="",CR195,$C194&amp;" "&amp;CR92&amp;CHAR(10)&amp;CR195)</f>
        <v xml:space="preserve"> </v>
      </c>
      <c r="CS194" s="21" t="str">
        <f t="shared" si="728"/>
        <v xml:space="preserve"> </v>
      </c>
      <c r="CT194" s="21" t="str">
        <f t="shared" si="729"/>
        <v xml:space="preserve"> </v>
      </c>
      <c r="CU194" s="21" t="str">
        <f t="shared" si="2027"/>
        <v xml:space="preserve"> </v>
      </c>
      <c r="CV194" s="21" t="str">
        <f t="shared" ref="CV194" si="2575">IF(CV92="",CV195,$C194&amp;" "&amp;CV92&amp;CHAR(10)&amp;CV195)</f>
        <v xml:space="preserve"> </v>
      </c>
      <c r="CW194" s="21" t="str">
        <f t="shared" si="731"/>
        <v xml:space="preserve"> </v>
      </c>
      <c r="CX194" s="21" t="str">
        <f t="shared" ref="CX194" si="2576">IF(CX92="",CX195,$C194&amp;" "&amp;CX92&amp;CHAR(10)&amp;CX195)</f>
        <v xml:space="preserve"> </v>
      </c>
      <c r="CY194" s="21" t="str">
        <f t="shared" si="733"/>
        <v xml:space="preserve"> </v>
      </c>
      <c r="CZ194" s="21" t="str">
        <f t="shared" si="734"/>
        <v xml:space="preserve"> </v>
      </c>
      <c r="DA194" s="21" t="str">
        <f t="shared" si="2027"/>
        <v xml:space="preserve"> </v>
      </c>
      <c r="DB194" s="21" t="str">
        <f t="shared" ref="DB194" si="2577">IF(DB92="",DB195,$C194&amp;" "&amp;DB92&amp;CHAR(10)&amp;DB195)</f>
        <v xml:space="preserve"> </v>
      </c>
      <c r="DC194" s="21" t="str">
        <f t="shared" si="736"/>
        <v xml:space="preserve"> </v>
      </c>
      <c r="DD194" s="21" t="str">
        <f t="shared" ref="DD194" si="2578">IF(DD92="",DD195,$C194&amp;" "&amp;DD92&amp;CHAR(10)&amp;DD195)</f>
        <v xml:space="preserve"> </v>
      </c>
      <c r="DE194" s="21" t="str">
        <f t="shared" si="738"/>
        <v xml:space="preserve">biz project(1), biz enhancement(1), job creation(1), business(1), start-up(1), start-up with mvp(1), start-up with customers(1), for entrepreneurs(2),  </v>
      </c>
      <c r="DF194" s="21" t="str">
        <f t="shared" si="739"/>
        <v xml:space="preserve"> </v>
      </c>
      <c r="DG194" s="21" t="str">
        <f t="shared" si="2027"/>
        <v xml:space="preserve"> </v>
      </c>
      <c r="DH194" s="21" t="str">
        <f t="shared" ref="DH194" si="2579">IF(DH92="",DH195,$C194&amp;" "&amp;DH92&amp;CHAR(10)&amp;DH195)</f>
        <v xml:space="preserve"> </v>
      </c>
      <c r="DI194" s="21" t="str">
        <f t="shared" si="741"/>
        <v xml:space="preserve"> </v>
      </c>
      <c r="DJ194" s="21" t="str">
        <f t="shared" ref="DJ194" si="2580">IF(DJ92="",DJ195,$C194&amp;" "&amp;DJ92&amp;CHAR(10)&amp;DJ195)</f>
        <v xml:space="preserve"> </v>
      </c>
      <c r="DK194" s="21" t="str">
        <f t="shared" si="743"/>
        <v xml:space="preserve"> </v>
      </c>
      <c r="DL194" s="21" t="str">
        <f t="shared" si="744"/>
        <v xml:space="preserve"> </v>
      </c>
      <c r="DM194" s="21" t="str">
        <f t="shared" si="2027"/>
        <v xml:space="preserve"> </v>
      </c>
      <c r="DN194" s="21" t="str">
        <f t="shared" ref="DN194" si="2581">IF(DN92="",DN195,$C194&amp;" "&amp;DN92&amp;CHAR(10)&amp;DN195)</f>
        <v xml:space="preserve">biz project 1
 </v>
      </c>
      <c r="DO194" s="21" t="str">
        <f t="shared" si="746"/>
        <v xml:space="preserve"> </v>
      </c>
      <c r="DP194" s="21" t="str">
        <f t="shared" ref="DP194" si="2582">IF(DP92="",DP195,$C194&amp;" "&amp;DP92&amp;CHAR(10)&amp;DP195)</f>
        <v xml:space="preserve"> </v>
      </c>
      <c r="DQ194" s="21" t="str">
        <f t="shared" si="748"/>
        <v xml:space="preserve">biz project(2), biz enhancement(1), job creation(1), business(1), start-up(1), start-up with mvp(1), start-up with customers(1), for entrepreneurs(1),  </v>
      </c>
      <c r="DR194" s="21" t="str">
        <f t="shared" si="749"/>
        <v xml:space="preserve"> </v>
      </c>
      <c r="DS194" s="21" t="str">
        <f t="shared" si="2027"/>
        <v xml:space="preserve"> </v>
      </c>
      <c r="DT194" s="21" t="str">
        <f t="shared" ref="DT194" si="2583">IF(DT92="",DT195,$C194&amp;" "&amp;DT92&amp;CHAR(10)&amp;DT195)</f>
        <v xml:space="preserve"> </v>
      </c>
      <c r="DU194" s="21" t="str">
        <f t="shared" si="751"/>
        <v xml:space="preserve"> </v>
      </c>
      <c r="DV194" s="21" t="str">
        <f t="shared" ref="DV194" si="2584">IF(DV92="",DV195,$C194&amp;" "&amp;DV92&amp;CHAR(10)&amp;DV195)</f>
        <v xml:space="preserve"> </v>
      </c>
      <c r="DW194" s="21" t="str">
        <f t="shared" si="753"/>
        <v xml:space="preserve">for basic literacy(1),  </v>
      </c>
      <c r="DX194" s="21" t="str">
        <f t="shared" si="754"/>
        <v xml:space="preserve">for basic literacy(1,6.25),  </v>
      </c>
      <c r="DY194" s="21" t="str">
        <f t="shared" si="2027"/>
        <v xml:space="preserve">for basic literacy(6.25), </v>
      </c>
      <c r="DZ194" s="21" t="str">
        <f t="shared" ref="DZ194" si="2585">IF(DZ92="",DZ195,$C194&amp;" "&amp;DZ92&amp;CHAR(10)&amp;DZ195)</f>
        <v xml:space="preserve"> </v>
      </c>
      <c r="EA194" s="21" t="str">
        <f t="shared" si="756"/>
        <v xml:space="preserve"> </v>
      </c>
      <c r="EB194" s="21" t="str">
        <f t="shared" ref="EB194" si="2586">IF(EB92="",EB195,$C194&amp;" "&amp;EB92&amp;CHAR(10)&amp;EB195)</f>
        <v xml:space="preserve"> </v>
      </c>
      <c r="EC194" s="21" t="str">
        <f t="shared" si="758"/>
        <v xml:space="preserve">for basic literacy(1),  </v>
      </c>
      <c r="ED194" s="21" t="str">
        <f t="shared" si="759"/>
        <v xml:space="preserve">for basic literacy(1,6.25),  </v>
      </c>
      <c r="EE194" s="21" t="str">
        <f t="shared" si="2027"/>
        <v xml:space="preserve">for basic literacy(6.25), </v>
      </c>
      <c r="EF194" s="21" t="str">
        <f t="shared" ref="EF194" si="2587">IF(EF92="",EF195,$C194&amp;" "&amp;EF92&amp;CHAR(10)&amp;EF195)</f>
        <v xml:space="preserve"> </v>
      </c>
      <c r="EG194" s="21" t="str">
        <f t="shared" si="761"/>
        <v xml:space="preserve"> </v>
      </c>
      <c r="EH194" s="21" t="str">
        <f t="shared" ref="EH194" si="2588">IF(EH92="",EH195,$C194&amp;" "&amp;EH92&amp;CHAR(10)&amp;EH195)</f>
        <v xml:space="preserve"> </v>
      </c>
      <c r="EI194" s="21" t="str">
        <f t="shared" si="763"/>
        <v xml:space="preserve">for entrepreneurs(1),  </v>
      </c>
      <c r="EJ194" s="21" t="str">
        <f t="shared" si="764"/>
        <v xml:space="preserve">for entrepreneurs(1,6.25),  </v>
      </c>
      <c r="EK194" s="21" t="str">
        <f t="shared" si="2027"/>
        <v xml:space="preserve">for entrepreneurs(6.25), </v>
      </c>
      <c r="EL194" s="21" t="str">
        <f t="shared" ref="EL194" si="2589">IF(EL92="",EL195,$C194&amp;" "&amp;EL92&amp;CHAR(10)&amp;EL195)</f>
        <v xml:space="preserve"> </v>
      </c>
      <c r="EM194" s="21" t="str">
        <f t="shared" si="766"/>
        <v xml:space="preserve"> </v>
      </c>
      <c r="EN194" s="21" t="str">
        <f t="shared" ref="EN194" si="2590">IF(EN92="",EN195,$C194&amp;" "&amp;EN92&amp;CHAR(10)&amp;EN195)</f>
        <v xml:space="preserve"> </v>
      </c>
      <c r="EO194" s="21" t="str">
        <f t="shared" si="768"/>
        <v xml:space="preserve">for entrepreneurs(1),  </v>
      </c>
      <c r="EP194" s="21" t="str">
        <f t="shared" si="769"/>
        <v xml:space="preserve">for entrepreneurs(1,6.25),  </v>
      </c>
      <c r="EQ194" s="21" t="str">
        <f t="shared" si="2050"/>
        <v xml:space="preserve">for entrepreneurs(6.25), </v>
      </c>
      <c r="ER194" s="21" t="str">
        <f t="shared" ref="ER194" si="2591">IF(ER92="",ER195,$C194&amp;" "&amp;ER92&amp;CHAR(10)&amp;ER195)</f>
        <v xml:space="preserve"> </v>
      </c>
      <c r="ES194" s="21" t="str">
        <f t="shared" si="772"/>
        <v xml:space="preserve"> </v>
      </c>
      <c r="ET194" s="21" t="str">
        <f t="shared" ref="ET194" si="2592">IF(ET92="",ET195,$C194&amp;" "&amp;ET92&amp;CHAR(10)&amp;ET195)</f>
        <v xml:space="preserve"> </v>
      </c>
      <c r="EU194" s="21" t="str">
        <f t="shared" si="774"/>
        <v xml:space="preserve">for entrepreneurs(1),  </v>
      </c>
      <c r="EV194" s="21" t="str">
        <f t="shared" si="775"/>
        <v xml:space="preserve">for entrepreneurs(1,6.25),  </v>
      </c>
      <c r="EW194" s="21" t="str">
        <f t="shared" si="2050"/>
        <v xml:space="preserve">for entrepreneurs(6.25), </v>
      </c>
      <c r="EX194" s="21" t="str">
        <f t="shared" ref="EX194" si="2593">IF(EX92="",EX195,$C194&amp;" "&amp;EX92&amp;CHAR(10)&amp;EX195)</f>
        <v xml:space="preserve"> </v>
      </c>
      <c r="EY194" s="21" t="str">
        <f t="shared" si="777"/>
        <v xml:space="preserve"> </v>
      </c>
      <c r="EZ194" s="21" t="str">
        <f t="shared" ref="EZ194" si="2594">IF(EZ92="",EZ195,$C194&amp;" "&amp;EZ92&amp;CHAR(10)&amp;EZ195)</f>
        <v xml:space="preserve"> </v>
      </c>
      <c r="FA194" s="21" t="str">
        <f t="shared" si="779"/>
        <v xml:space="preserve">for entrepreneurs(1),  </v>
      </c>
      <c r="FB194" s="21" t="str">
        <f t="shared" si="780"/>
        <v xml:space="preserve">for entrepreneurs(1,6.25),  </v>
      </c>
      <c r="FC194" s="21" t="str">
        <f t="shared" si="2050"/>
        <v xml:space="preserve">for entrepreneurs(6.25), </v>
      </c>
      <c r="FD194" s="21" t="str">
        <f t="shared" ref="FD194" si="2595">IF(FD92="",FD195,$C194&amp;" "&amp;FD92&amp;CHAR(10)&amp;FD195)</f>
        <v xml:space="preserve"> </v>
      </c>
      <c r="FE194" s="21" t="str">
        <f t="shared" si="782"/>
        <v xml:space="preserve"> </v>
      </c>
      <c r="FF194" s="21" t="str">
        <f t="shared" ref="FF194" si="2596">IF(FF92="",FF195,$C194&amp;" "&amp;FF92&amp;CHAR(10)&amp;FF195)</f>
        <v xml:space="preserve"> </v>
      </c>
      <c r="FG194" s="21" t="str">
        <f t="shared" si="784"/>
        <v xml:space="preserve">for entrepreneurs(1),  </v>
      </c>
      <c r="FH194" s="21" t="str">
        <f t="shared" si="785"/>
        <v xml:space="preserve">for entrepreneurs(1,6.25),  </v>
      </c>
      <c r="FI194" s="21" t="str">
        <f t="shared" si="2050"/>
        <v xml:space="preserve">for entrepreneurs(6.25), </v>
      </c>
      <c r="FJ194" s="21" t="str">
        <f t="shared" ref="FJ194" si="2597">IF(FJ92="",FJ195,$C194&amp;" "&amp;FJ92&amp;CHAR(10)&amp;FJ195)</f>
        <v xml:space="preserve"> </v>
      </c>
      <c r="FK194" s="21" t="str">
        <f t="shared" si="787"/>
        <v xml:space="preserve"> </v>
      </c>
      <c r="FL194" s="21" t="str">
        <f t="shared" ref="FL194" si="2598">IF(FL92="",FL195,$C194&amp;" "&amp;FL92&amp;CHAR(10)&amp;FL195)</f>
        <v xml:space="preserve"> </v>
      </c>
      <c r="FM194" s="21" t="str">
        <f t="shared" si="789"/>
        <v xml:space="preserve">for entrepreneurs(1),  </v>
      </c>
      <c r="FN194" s="21" t="str">
        <f t="shared" si="790"/>
        <v xml:space="preserve">for entrepreneurs(1,6.25),  </v>
      </c>
      <c r="FO194" s="21" t="str">
        <f t="shared" si="2050"/>
        <v xml:space="preserve">for entrepreneurs(6.25), </v>
      </c>
      <c r="FP194" s="21" t="str">
        <f t="shared" ref="FP194" si="2599">IF(FP92="",FP195,$C194&amp;" "&amp;FP92&amp;CHAR(10)&amp;FP195)</f>
        <v xml:space="preserve"> </v>
      </c>
      <c r="FQ194" s="21" t="str">
        <f t="shared" si="792"/>
        <v xml:space="preserve"> </v>
      </c>
      <c r="FR194" s="21" t="str">
        <f t="shared" ref="FR194" si="2600">IF(FR92="",FR195,$C194&amp;" "&amp;FR92&amp;CHAR(10)&amp;FR195)</f>
        <v xml:space="preserve"> </v>
      </c>
      <c r="FS194" s="21" t="str">
        <f t="shared" si="794"/>
        <v xml:space="preserve">for entrepreneurs(1),  </v>
      </c>
      <c r="FT194" s="21" t="str">
        <f t="shared" si="795"/>
        <v xml:space="preserve">for entrepreneurs(1,6.25),  </v>
      </c>
      <c r="FU194" s="21" t="str">
        <f t="shared" si="2050"/>
        <v xml:space="preserve">for entrepreneurs(6.25), </v>
      </c>
      <c r="FV194" s="21" t="str">
        <f t="shared" ref="FV194" si="2601">IF(FV92="",FV195,$C194&amp;" "&amp;FV92&amp;CHAR(10)&amp;FV195)</f>
        <v xml:space="preserve"> </v>
      </c>
      <c r="FW194" s="21" t="str">
        <f t="shared" si="797"/>
        <v xml:space="preserve"> </v>
      </c>
      <c r="FX194" s="21" t="str">
        <f t="shared" ref="FX194" si="2602">IF(FX92="",FX195,$C194&amp;" "&amp;FX92&amp;CHAR(10)&amp;FX195)</f>
        <v xml:space="preserve"> </v>
      </c>
      <c r="FY194" s="21" t="str">
        <f t="shared" si="799"/>
        <v xml:space="preserve">for entrepreneurs(1),  </v>
      </c>
      <c r="FZ194" s="21" t="str">
        <f t="shared" si="800"/>
        <v xml:space="preserve">for entrepreneurs(1,6.25),  </v>
      </c>
      <c r="GA194" s="21" t="str">
        <f t="shared" si="2050"/>
        <v xml:space="preserve">for entrepreneurs(6.25), </v>
      </c>
      <c r="GB194" s="21" t="str">
        <f t="shared" ref="GB194" si="2603">IF(GB92="",GB195,$C194&amp;" "&amp;GB92&amp;CHAR(10)&amp;GB195)</f>
        <v xml:space="preserve"> </v>
      </c>
      <c r="GC194" s="21" t="str">
        <f t="shared" si="802"/>
        <v xml:space="preserve"> </v>
      </c>
      <c r="GD194" s="21" t="str">
        <f t="shared" ref="GD194" si="2604">IF(GD92="",GD195,$C194&amp;" "&amp;GD92&amp;CHAR(10)&amp;GD195)</f>
        <v xml:space="preserve"> </v>
      </c>
      <c r="GE194" s="21" t="str">
        <f t="shared" si="804"/>
        <v xml:space="preserve">for entrepreneurs(1),  </v>
      </c>
      <c r="GF194" s="21" t="str">
        <f t="shared" si="805"/>
        <v xml:space="preserve">for entrepreneurs(1,6.25),  </v>
      </c>
      <c r="GG194" s="21" t="str">
        <f t="shared" si="2050"/>
        <v xml:space="preserve">for entrepreneurs(6.25), </v>
      </c>
      <c r="GH194" s="21" t="str">
        <f t="shared" ref="GH194" si="2605">IF(GH92="",GH195,$C194&amp;" "&amp;GH92&amp;CHAR(10)&amp;GH195)</f>
        <v xml:space="preserve"> </v>
      </c>
      <c r="GI194" s="21" t="str">
        <f t="shared" si="807"/>
        <v xml:space="preserve"> </v>
      </c>
      <c r="GJ194" s="21" t="str">
        <f t="shared" ref="GJ194" si="2606">IF(GJ92="",GJ195,$C194&amp;" "&amp;GJ92&amp;CHAR(10)&amp;GJ195)</f>
        <v xml:space="preserve"> </v>
      </c>
      <c r="GK194" s="21" t="str">
        <f t="shared" si="809"/>
        <v xml:space="preserve">for entrepreneurs(1),  </v>
      </c>
      <c r="GL194" s="21" t="str">
        <f t="shared" si="810"/>
        <v xml:space="preserve">for entrepreneurs(1,6.25),  </v>
      </c>
      <c r="GM194" s="21" t="str">
        <f t="shared" si="2050"/>
        <v xml:space="preserve">for entrepreneurs(6.25), </v>
      </c>
      <c r="GN194" s="21" t="str">
        <f t="shared" ref="GN194" si="2607">IF(GN92="",GN195,$C194&amp;" "&amp;GN92&amp;CHAR(10)&amp;GN195)</f>
        <v xml:space="preserve"> </v>
      </c>
      <c r="GO194" s="21" t="str">
        <f t="shared" si="812"/>
        <v xml:space="preserve"> </v>
      </c>
      <c r="GP194" s="21" t="str">
        <f t="shared" ref="GP194" si="2608">IF(GP92="",GP195,$C194&amp;" "&amp;GP92&amp;CHAR(10)&amp;GP195)</f>
        <v xml:space="preserve"> </v>
      </c>
      <c r="GQ194" s="21" t="str">
        <f t="shared" si="814"/>
        <v xml:space="preserve">for entrepreneurs(1),  </v>
      </c>
      <c r="GR194" s="21" t="str">
        <f t="shared" si="815"/>
        <v xml:space="preserve">for entrepreneurs(1,6.25),  </v>
      </c>
      <c r="GS194" s="21" t="str">
        <f t="shared" si="2050"/>
        <v xml:space="preserve">for entrepreneurs(6.25), </v>
      </c>
      <c r="GT194" s="21" t="str">
        <f t="shared" ref="GT194" si="2609">IF(GT92="",GT195,$C194&amp;" "&amp;GT92&amp;CHAR(10)&amp;GT195)</f>
        <v xml:space="preserve"> </v>
      </c>
      <c r="GU194" s="21" t="str">
        <f t="shared" si="817"/>
        <v xml:space="preserve"> </v>
      </c>
      <c r="GV194" s="21" t="str">
        <f t="shared" ref="GV194" si="2610">IF(GV92="",GV195,$C194&amp;" "&amp;GV92&amp;CHAR(10)&amp;GV195)</f>
        <v xml:space="preserve"> </v>
      </c>
      <c r="GW194" s="21" t="str">
        <f t="shared" si="819"/>
        <v xml:space="preserve"> </v>
      </c>
      <c r="GX194" s="21" t="str">
        <f t="shared" si="820"/>
        <v xml:space="preserve"> </v>
      </c>
      <c r="GY194" s="21" t="str">
        <f t="shared" si="2050"/>
        <v xml:space="preserve"> </v>
      </c>
      <c r="GZ194" s="21" t="str">
        <f t="shared" ref="GZ194" si="2611">IF(GZ92="",GZ195,$C194&amp;" "&amp;GZ92&amp;CHAR(10)&amp;GZ195)</f>
        <v xml:space="preserve"> </v>
      </c>
      <c r="HA194" s="21" t="str">
        <f t="shared" si="822"/>
        <v xml:space="preserve"> </v>
      </c>
      <c r="HB194" s="21" t="str">
        <f t="shared" ref="HB194" si="2612">IF(HB92="",HB195,$C194&amp;" "&amp;HB92&amp;CHAR(10)&amp;HB195)</f>
        <v xml:space="preserve"> </v>
      </c>
      <c r="HC194" s="21" t="str">
        <f t="shared" si="824"/>
        <v xml:space="preserve"> </v>
      </c>
      <c r="HD194" s="21" t="str">
        <f t="shared" si="825"/>
        <v xml:space="preserve">start-up with customers(1,6.25), for basic literacy(1,6.25),  </v>
      </c>
      <c r="HE194" s="21" t="str">
        <f t="shared" si="2073"/>
        <v xml:space="preserve">start-up with customers(6.25),for basic literacy(6.25), </v>
      </c>
      <c r="HF194" s="21" t="str">
        <f t="shared" ref="HF194" si="2613">IF(HF92="",HF195,$C194&amp;" "&amp;HF92&amp;CHAR(10)&amp;HF195)</f>
        <v xml:space="preserve"> </v>
      </c>
      <c r="HG194" s="21" t="str">
        <f t="shared" si="828"/>
        <v xml:space="preserve"> </v>
      </c>
      <c r="HH194" s="21" t="str">
        <f t="shared" ref="HH194" si="2614">IF(HH92="",HH195,$C194&amp;" "&amp;HH92&amp;CHAR(10)&amp;HH195)</f>
        <v xml:space="preserve"> </v>
      </c>
      <c r="HI194" s="21" t="str">
        <f t="shared" si="830"/>
        <v xml:space="preserve"> </v>
      </c>
      <c r="HJ194" s="21" t="str">
        <f t="shared" si="831"/>
        <v xml:space="preserve">start-up with customers(1,6.25),  </v>
      </c>
      <c r="HK194" s="21" t="str">
        <f t="shared" si="2073"/>
        <v xml:space="preserve">start-up with customers(6.25), </v>
      </c>
      <c r="HL194" s="21" t="str">
        <f t="shared" ref="HL194" si="2615">IF(HL92="",HL195,$C194&amp;" "&amp;HL92&amp;CHAR(10)&amp;HL195)</f>
        <v xml:space="preserve"> </v>
      </c>
      <c r="HM194" s="21" t="str">
        <f t="shared" si="833"/>
        <v xml:space="preserve"> </v>
      </c>
      <c r="HN194" s="21" t="str">
        <f t="shared" ref="HN194" si="2616">IF(HN92="",HN195,$C194&amp;" "&amp;HN92&amp;CHAR(10)&amp;HN195)</f>
        <v xml:space="preserve"> </v>
      </c>
      <c r="HO194" s="21" t="str">
        <f t="shared" si="835"/>
        <v xml:space="preserve"> </v>
      </c>
      <c r="HP194" s="21" t="str">
        <f t="shared" si="836"/>
        <v xml:space="preserve"> </v>
      </c>
      <c r="HQ194" s="47" t="str">
        <f t="shared" si="2073"/>
        <v xml:space="preserve"> </v>
      </c>
      <c r="HR194" s="47" t="str">
        <f t="shared" ref="HR194:HW194" si="2617">IF(HR92="",HR195,$C194&amp;"("&amp;HR92&amp;"),"&amp;HR195)</f>
        <v xml:space="preserve"> </v>
      </c>
      <c r="HS194" s="47" t="str">
        <f t="shared" si="2617"/>
        <v xml:space="preserve"> </v>
      </c>
      <c r="HT194" s="47" t="str">
        <f t="shared" si="2617"/>
        <v xml:space="preserve"> </v>
      </c>
      <c r="HU194" s="47" t="str">
        <f t="shared" si="2617"/>
        <v xml:space="preserve">start-up with mvp(1), </v>
      </c>
      <c r="HV194" s="47" t="str">
        <f t="shared" si="2617"/>
        <v xml:space="preserve"> </v>
      </c>
      <c r="HW194" s="47" t="str">
        <f t="shared" si="2617"/>
        <v xml:space="preserve"> </v>
      </c>
      <c r="HX194" s="47" t="str">
        <f t="shared" ref="HX194:IU194" si="2618">IF(HX92="",HX195,$C194&amp;"("&amp;HX92&amp;"),"&amp;HX195)</f>
        <v xml:space="preserve"> </v>
      </c>
      <c r="HY194" s="47" t="str">
        <f t="shared" si="2618"/>
        <v xml:space="preserve">biz enhancement(1), </v>
      </c>
      <c r="HZ194" s="47" t="str">
        <f t="shared" si="2618"/>
        <v xml:space="preserve">biz enhancement(100), </v>
      </c>
      <c r="IA194" s="47" t="str">
        <f t="shared" si="2618"/>
        <v xml:space="preserve"> </v>
      </c>
      <c r="IB194" s="47" t="str">
        <f t="shared" si="2618"/>
        <v xml:space="preserve"> </v>
      </c>
      <c r="IC194" s="47" t="str">
        <f t="shared" si="2618"/>
        <v xml:space="preserve"> </v>
      </c>
      <c r="ID194" s="47" t="str">
        <f t="shared" si="2618"/>
        <v xml:space="preserve"> </v>
      </c>
      <c r="IE194" s="47" t="str">
        <f t="shared" si="2618"/>
        <v xml:space="preserve"> </v>
      </c>
      <c r="IF194" s="47" t="str">
        <f t="shared" si="2618"/>
        <v xml:space="preserve"> </v>
      </c>
      <c r="IG194" s="47" t="str">
        <f t="shared" si="2618"/>
        <v xml:space="preserve"> </v>
      </c>
      <c r="IH194" s="47" t="str">
        <f t="shared" si="2618"/>
        <v xml:space="preserve"> </v>
      </c>
      <c r="II194" s="47" t="str">
        <f t="shared" si="2618"/>
        <v xml:space="preserve"> </v>
      </c>
      <c r="IJ194" s="47" t="str">
        <f t="shared" si="2618"/>
        <v xml:space="preserve"> </v>
      </c>
      <c r="IK194" s="47" t="str">
        <f t="shared" si="2618"/>
        <v xml:space="preserve"> </v>
      </c>
      <c r="IL194" s="47" t="str">
        <f t="shared" si="2618"/>
        <v xml:space="preserve"> </v>
      </c>
      <c r="IM194" s="47" t="str">
        <f t="shared" si="2618"/>
        <v xml:space="preserve"> </v>
      </c>
      <c r="IN194" s="47" t="str">
        <f t="shared" si="2618"/>
        <v xml:space="preserve"> </v>
      </c>
      <c r="IO194" s="47" t="str">
        <f t="shared" si="2618"/>
        <v xml:space="preserve"> </v>
      </c>
      <c r="IP194" s="57" t="str">
        <f t="shared" si="2618"/>
        <v xml:space="preserve"> </v>
      </c>
      <c r="IQ194" s="47" t="str">
        <f t="shared" si="2618"/>
        <v xml:space="preserve"> </v>
      </c>
      <c r="IR194" s="47" t="str">
        <f t="shared" si="2618"/>
        <v xml:space="preserve"> </v>
      </c>
      <c r="IS194" s="47" t="str">
        <f t="shared" si="2618"/>
        <v xml:space="preserve"> </v>
      </c>
      <c r="IT194" s="47" t="str">
        <f t="shared" si="2618"/>
        <v xml:space="preserve"> </v>
      </c>
      <c r="IU194" s="47" t="str">
        <f t="shared" si="2618"/>
        <v xml:space="preserve"> </v>
      </c>
      <c r="IV194" s="57" t="str">
        <f t="shared" ref="IV194:LG194" si="2619">IF(IV92="",IV195,$C194&amp;"("&amp;IV92&amp;"),"&amp;IV195)</f>
        <v xml:space="preserve"> </v>
      </c>
      <c r="IW194" s="47" t="str">
        <f t="shared" si="2619"/>
        <v xml:space="preserve"> </v>
      </c>
      <c r="IX194" s="47" t="str">
        <f t="shared" si="2619"/>
        <v xml:space="preserve"> </v>
      </c>
      <c r="IY194" s="47" t="str">
        <f t="shared" si="2619"/>
        <v xml:space="preserve"> </v>
      </c>
      <c r="IZ194" s="47" t="str">
        <f t="shared" si="2619"/>
        <v xml:space="preserve"> </v>
      </c>
      <c r="JA194" s="47" t="str">
        <f t="shared" si="2619"/>
        <v xml:space="preserve"> </v>
      </c>
      <c r="JB194" s="47" t="str">
        <f t="shared" si="2619"/>
        <v xml:space="preserve"> </v>
      </c>
      <c r="JC194" s="47" t="str">
        <f t="shared" si="2619"/>
        <v xml:space="preserve"> </v>
      </c>
      <c r="JD194" s="47" t="str">
        <f t="shared" si="2619"/>
        <v xml:space="preserve"> </v>
      </c>
      <c r="JE194" s="47" t="str">
        <f t="shared" si="2619"/>
        <v xml:space="preserve"> </v>
      </c>
      <c r="JF194" s="47" t="str">
        <f t="shared" si="2619"/>
        <v xml:space="preserve"> </v>
      </c>
      <c r="JG194" s="47" t="str">
        <f t="shared" si="2619"/>
        <v xml:space="preserve"> </v>
      </c>
      <c r="JH194" s="47" t="str">
        <f t="shared" si="2619"/>
        <v xml:space="preserve"> </v>
      </c>
      <c r="JI194" s="47" t="str">
        <f t="shared" si="2619"/>
        <v xml:space="preserve"> </v>
      </c>
      <c r="JJ194" s="47" t="str">
        <f t="shared" si="2619"/>
        <v xml:space="preserve"> </v>
      </c>
      <c r="JK194" s="47" t="str">
        <f t="shared" si="2619"/>
        <v xml:space="preserve">biz project(1),biz enhancement(1),job creation(1),business(1),start-up(1),start-up with mvp(1),start-up with customers(1),for basic literacy(1),for the elites(1),for entrepreneurs(1), </v>
      </c>
      <c r="JL194" s="47" t="str">
        <f t="shared" si="2619"/>
        <v xml:space="preserve"> </v>
      </c>
      <c r="JM194" s="47" t="str">
        <f t="shared" si="2619"/>
        <v xml:space="preserve"> </v>
      </c>
      <c r="JN194" s="47" t="str">
        <f t="shared" si="2619"/>
        <v xml:space="preserve"> </v>
      </c>
      <c r="JO194" s="47" t="str">
        <f t="shared" si="2619"/>
        <v xml:space="preserve"> </v>
      </c>
      <c r="JP194" s="47" t="str">
        <f t="shared" si="2619"/>
        <v xml:space="preserve"> </v>
      </c>
      <c r="JQ194" s="47" t="str">
        <f t="shared" si="2619"/>
        <v xml:space="preserve">biz project(1),biz enhancement(1),job creation(1),business(1),start-up(1),start-up with mvp(1),start-up with customers(1),for basic literacy(1),for the elites(1),for entrepreneurs(1), </v>
      </c>
      <c r="JR194" s="47" t="str">
        <f t="shared" si="2619"/>
        <v xml:space="preserve"> </v>
      </c>
      <c r="JS194" s="47" t="str">
        <f t="shared" si="2619"/>
        <v xml:space="preserve"> </v>
      </c>
      <c r="JT194" s="47" t="str">
        <f t="shared" si="2619"/>
        <v xml:space="preserve"> </v>
      </c>
      <c r="JU194" s="47" t="str">
        <f t="shared" si="2619"/>
        <v xml:space="preserve"> </v>
      </c>
      <c r="JV194" s="47" t="str">
        <f t="shared" si="2619"/>
        <v xml:space="preserve"> </v>
      </c>
      <c r="JW194" s="47" t="str">
        <f t="shared" si="2619"/>
        <v xml:space="preserve">biz project(2),biz enhancement(2),job creation(1),business(1),start-up(2),start-up with mvp(1),start-up with customers(1),for basic literacy(2),for the elites(1),for entrepreneurs(1), </v>
      </c>
      <c r="JX194" s="47" t="str">
        <f t="shared" si="2619"/>
        <v xml:space="preserve"> </v>
      </c>
      <c r="JY194" s="47" t="str">
        <f t="shared" si="2619"/>
        <v xml:space="preserve"> </v>
      </c>
      <c r="JZ194" s="47" t="str">
        <f t="shared" si="2619"/>
        <v xml:space="preserve"> </v>
      </c>
      <c r="KA194" s="47" t="str">
        <f t="shared" si="2619"/>
        <v xml:space="preserve"> </v>
      </c>
      <c r="KB194" s="47" t="str">
        <f t="shared" si="2619"/>
        <v xml:space="preserve"> </v>
      </c>
      <c r="KC194" s="47" t="str">
        <f t="shared" si="2619"/>
        <v xml:space="preserve">biz project(2),biz enhancement(2),job creation(1),business(1),start-up(2),start-up with mvp(1),start-up with customers(1),for basic literacy(2),for the elites(1),for entrepreneurs(1), </v>
      </c>
      <c r="KD194" s="47" t="str">
        <f t="shared" si="2619"/>
        <v xml:space="preserve"> </v>
      </c>
      <c r="KE194" s="47" t="str">
        <f t="shared" si="2619"/>
        <v xml:space="preserve"> </v>
      </c>
      <c r="KF194" s="47" t="str">
        <f t="shared" si="2619"/>
        <v xml:space="preserve"> </v>
      </c>
      <c r="KG194" s="47" t="str">
        <f t="shared" si="2619"/>
        <v xml:space="preserve"> </v>
      </c>
      <c r="KH194" s="47" t="str">
        <f t="shared" si="2619"/>
        <v xml:space="preserve"> </v>
      </c>
      <c r="KI194" s="47" t="str">
        <f t="shared" si="2619"/>
        <v xml:space="preserve"> </v>
      </c>
      <c r="KJ194" s="47" t="str">
        <f t="shared" si="2619"/>
        <v xml:space="preserve"> </v>
      </c>
      <c r="KK194" s="47" t="str">
        <f t="shared" si="2619"/>
        <v xml:space="preserve"> </v>
      </c>
      <c r="KL194" s="57" t="str">
        <f t="shared" si="2619"/>
        <v xml:space="preserve"> </v>
      </c>
      <c r="KM194" s="47" t="str">
        <f t="shared" si="2619"/>
        <v xml:space="preserve"> </v>
      </c>
      <c r="KN194" s="47" t="str">
        <f t="shared" si="2619"/>
        <v xml:space="preserve"> </v>
      </c>
      <c r="KO194" s="47" t="str">
        <f t="shared" si="2619"/>
        <v xml:space="preserve"> </v>
      </c>
      <c r="KP194" s="47" t="str">
        <f t="shared" si="2619"/>
        <v xml:space="preserve"> </v>
      </c>
      <c r="KQ194" s="47" t="str">
        <f t="shared" si="2619"/>
        <v xml:space="preserve"> </v>
      </c>
      <c r="KR194" s="57" t="str">
        <f t="shared" si="2619"/>
        <v xml:space="preserve"> </v>
      </c>
      <c r="KS194" s="47" t="str">
        <f t="shared" si="2619"/>
        <v xml:space="preserve"> </v>
      </c>
      <c r="KT194" s="47" t="str">
        <f t="shared" si="2619"/>
        <v xml:space="preserve"> </v>
      </c>
      <c r="KU194" s="47" t="str">
        <f t="shared" si="2619"/>
        <v xml:space="preserve"> </v>
      </c>
      <c r="KV194" s="47" t="str">
        <f t="shared" si="2619"/>
        <v xml:space="preserve"> </v>
      </c>
      <c r="KW194" s="47" t="str">
        <f t="shared" si="2619"/>
        <v xml:space="preserve"> </v>
      </c>
      <c r="KX194" s="57" t="str">
        <f t="shared" si="2619"/>
        <v xml:space="preserve"> </v>
      </c>
      <c r="KY194" s="47" t="str">
        <f t="shared" si="2619"/>
        <v xml:space="preserve"> </v>
      </c>
      <c r="KZ194" s="47" t="str">
        <f t="shared" si="2619"/>
        <v xml:space="preserve"> </v>
      </c>
      <c r="LA194" s="47" t="str">
        <f t="shared" si="2619"/>
        <v xml:space="preserve"> </v>
      </c>
      <c r="LB194" s="47" t="str">
        <f t="shared" si="2619"/>
        <v xml:space="preserve"> </v>
      </c>
      <c r="LC194" s="47" t="str">
        <f t="shared" si="2619"/>
        <v xml:space="preserve"> </v>
      </c>
      <c r="LD194" s="57" t="str">
        <f t="shared" si="2619"/>
        <v xml:space="preserve"> </v>
      </c>
      <c r="LE194" s="47" t="str">
        <f t="shared" si="2619"/>
        <v xml:space="preserve"> </v>
      </c>
      <c r="LF194" s="47" t="str">
        <f t="shared" si="2619"/>
        <v xml:space="preserve"> </v>
      </c>
      <c r="LG194" s="47" t="str">
        <f t="shared" si="2619"/>
        <v xml:space="preserve"> </v>
      </c>
      <c r="LH194" s="47" t="str">
        <f t="shared" ref="LH194:NM194" si="2620">IF(LH92="",LH195,$C194&amp;"("&amp;LH92&amp;"),"&amp;LH195)</f>
        <v xml:space="preserve"> </v>
      </c>
      <c r="LI194" s="47" t="str">
        <f t="shared" si="2620"/>
        <v xml:space="preserve"> </v>
      </c>
      <c r="LJ194" s="57" t="str">
        <f t="shared" si="2620"/>
        <v xml:space="preserve"> </v>
      </c>
      <c r="LK194" s="47" t="str">
        <f t="shared" si="2620"/>
        <v xml:space="preserve"> </v>
      </c>
      <c r="LL194" s="47" t="str">
        <f t="shared" si="2620"/>
        <v xml:space="preserve"> </v>
      </c>
      <c r="LM194" s="47" t="str">
        <f t="shared" si="2620"/>
        <v xml:space="preserve"> </v>
      </c>
      <c r="LN194" s="47" t="str">
        <f t="shared" si="2620"/>
        <v xml:space="preserve"> </v>
      </c>
      <c r="LO194" s="47" t="str">
        <f t="shared" si="2620"/>
        <v xml:space="preserve"> </v>
      </c>
      <c r="LP194" s="57" t="str">
        <f t="shared" si="2620"/>
        <v xml:space="preserve"> </v>
      </c>
      <c r="LQ194" s="47" t="str">
        <f t="shared" si="2620"/>
        <v xml:space="preserve"> </v>
      </c>
      <c r="LR194" s="47" t="str">
        <f t="shared" si="2620"/>
        <v xml:space="preserve"> </v>
      </c>
      <c r="LS194" s="47" t="str">
        <f t="shared" si="2620"/>
        <v xml:space="preserve"> </v>
      </c>
      <c r="LT194" s="47" t="str">
        <f t="shared" si="2620"/>
        <v xml:space="preserve"> </v>
      </c>
      <c r="LU194" s="47" t="str">
        <f t="shared" si="2620"/>
        <v xml:space="preserve"> </v>
      </c>
      <c r="LV194" s="57" t="str">
        <f t="shared" si="2620"/>
        <v xml:space="preserve"> </v>
      </c>
      <c r="LW194" s="47" t="str">
        <f t="shared" si="2620"/>
        <v xml:space="preserve"> </v>
      </c>
      <c r="LX194" s="47" t="str">
        <f t="shared" si="2620"/>
        <v xml:space="preserve"> </v>
      </c>
      <c r="LY194" s="47" t="str">
        <f t="shared" si="2620"/>
        <v xml:space="preserve"> </v>
      </c>
      <c r="LZ194" s="47" t="str">
        <f t="shared" si="2620"/>
        <v xml:space="preserve"> </v>
      </c>
      <c r="MA194" s="47" t="str">
        <f t="shared" si="2620"/>
        <v xml:space="preserve"> </v>
      </c>
      <c r="MB194" s="57" t="str">
        <f t="shared" si="2620"/>
        <v xml:space="preserve"> </v>
      </c>
      <c r="MC194" s="47" t="str">
        <f t="shared" si="2620"/>
        <v xml:space="preserve"> </v>
      </c>
      <c r="MD194" s="47" t="str">
        <f t="shared" si="2620"/>
        <v xml:space="preserve"> </v>
      </c>
      <c r="ME194" s="47" t="str">
        <f t="shared" si="2620"/>
        <v xml:space="preserve"> </v>
      </c>
      <c r="MF194" s="47" t="str">
        <f t="shared" si="2620"/>
        <v xml:space="preserve"> </v>
      </c>
      <c r="MG194" s="47" t="str">
        <f t="shared" si="2620"/>
        <v xml:space="preserve"> </v>
      </c>
      <c r="MH194" s="57" t="str">
        <f t="shared" si="2620"/>
        <v xml:space="preserve"> </v>
      </c>
      <c r="MI194" s="47" t="str">
        <f t="shared" si="2620"/>
        <v xml:space="preserve"> </v>
      </c>
      <c r="MJ194" s="47" t="str">
        <f t="shared" si="2620"/>
        <v xml:space="preserve"> </v>
      </c>
      <c r="MK194" s="47" t="str">
        <f t="shared" si="2620"/>
        <v xml:space="preserve"> </v>
      </c>
      <c r="ML194" s="47" t="str">
        <f t="shared" si="2620"/>
        <v xml:space="preserve"> </v>
      </c>
      <c r="MM194" s="47" t="str">
        <f t="shared" si="2620"/>
        <v xml:space="preserve"> </v>
      </c>
      <c r="MN194" s="57" t="str">
        <f t="shared" si="2620"/>
        <v xml:space="preserve"> </v>
      </c>
      <c r="MO194" s="47" t="str">
        <f t="shared" si="2620"/>
        <v xml:space="preserve"> </v>
      </c>
      <c r="MP194" s="47" t="str">
        <f t="shared" si="2620"/>
        <v xml:space="preserve"> </v>
      </c>
      <c r="MQ194" s="47" t="str">
        <f t="shared" si="2620"/>
        <v xml:space="preserve"> </v>
      </c>
      <c r="MR194" s="47" t="str">
        <f t="shared" si="2620"/>
        <v xml:space="preserve"> </v>
      </c>
      <c r="MS194" s="47" t="str">
        <f t="shared" si="2620"/>
        <v xml:space="preserve"> </v>
      </c>
      <c r="MT194" s="57" t="str">
        <f t="shared" si="2620"/>
        <v xml:space="preserve"> </v>
      </c>
      <c r="MU194" s="47" t="str">
        <f t="shared" si="2620"/>
        <v xml:space="preserve"> </v>
      </c>
      <c r="MV194" s="47" t="str">
        <f t="shared" si="2620"/>
        <v xml:space="preserve"> </v>
      </c>
      <c r="MW194" s="47" t="str">
        <f t="shared" si="2620"/>
        <v xml:space="preserve"> </v>
      </c>
      <c r="MX194" s="47" t="str">
        <f t="shared" si="2620"/>
        <v xml:space="preserve"> </v>
      </c>
      <c r="MY194" s="47" t="str">
        <f t="shared" si="2620"/>
        <v xml:space="preserve"> </v>
      </c>
      <c r="MZ194" s="57" t="str">
        <f t="shared" si="2620"/>
        <v xml:space="preserve"> </v>
      </c>
      <c r="NA194" s="47" t="str">
        <f t="shared" si="2620"/>
        <v xml:space="preserve"> </v>
      </c>
      <c r="NB194" s="47" t="str">
        <f t="shared" si="2620"/>
        <v xml:space="preserve"> </v>
      </c>
      <c r="NC194" s="47" t="str">
        <f t="shared" si="2620"/>
        <v xml:space="preserve"> </v>
      </c>
      <c r="ND194" s="47" t="str">
        <f t="shared" si="2620"/>
        <v xml:space="preserve"> </v>
      </c>
      <c r="NE194" s="47" t="str">
        <f t="shared" si="2620"/>
        <v xml:space="preserve"> </v>
      </c>
      <c r="NF194" s="57" t="str">
        <f t="shared" si="2620"/>
        <v xml:space="preserve"> </v>
      </c>
      <c r="NG194" s="47" t="str">
        <f t="shared" si="2620"/>
        <v xml:space="preserve"> </v>
      </c>
      <c r="NH194" s="47" t="str">
        <f t="shared" si="2620"/>
        <v xml:space="preserve"> </v>
      </c>
      <c r="NI194" s="47" t="str">
        <f t="shared" si="2620"/>
        <v xml:space="preserve"> </v>
      </c>
      <c r="NJ194" s="47" t="str">
        <f t="shared" si="2620"/>
        <v xml:space="preserve"> </v>
      </c>
      <c r="NK194" s="47" t="str">
        <f t="shared" si="2620"/>
        <v xml:space="preserve"> </v>
      </c>
      <c r="NL194" s="57" t="str">
        <f t="shared" si="2620"/>
        <v xml:space="preserve"> </v>
      </c>
      <c r="NM194" s="47" t="str">
        <f t="shared" si="2620"/>
        <v xml:space="preserve"> </v>
      </c>
    </row>
    <row r="195" spans="2:377" ht="15.75" customHeight="1">
      <c r="C195" s="7" t="str">
        <f t="shared" si="841"/>
        <v>biz enhancement</v>
      </c>
      <c r="D195" s="21" t="str">
        <f t="shared" si="2000"/>
        <v xml:space="preserve"> </v>
      </c>
      <c r="E195" s="21" t="str">
        <f t="shared" si="842"/>
        <v xml:space="preserve"> </v>
      </c>
      <c r="F195" s="21" t="str">
        <f t="shared" si="2000"/>
        <v xml:space="preserve"> </v>
      </c>
      <c r="G195" s="21" t="str">
        <f t="shared" si="843"/>
        <v xml:space="preserve"> </v>
      </c>
      <c r="H195" s="21" t="str">
        <f t="shared" si="844"/>
        <v xml:space="preserve"> </v>
      </c>
      <c r="I195" s="21" t="str">
        <f t="shared" ref="I195" si="2621">IF(I93="",I196,$C195&amp;"("&amp;I93&amp;"),"&amp;I196)</f>
        <v xml:space="preserve"> </v>
      </c>
      <c r="J195" s="21" t="str">
        <f t="shared" ref="J195" si="2622">IF(J93="",J196,$C195&amp;" "&amp;J93&amp;CHAR(10)&amp;J196)</f>
        <v xml:space="preserve"> </v>
      </c>
      <c r="K195" s="21" t="str">
        <f t="shared" si="654"/>
        <v xml:space="preserve"> </v>
      </c>
      <c r="L195" s="21" t="str">
        <f t="shared" ref="L195" si="2623">IF(L93="",L196,$C195&amp;" "&amp;L93&amp;CHAR(10)&amp;L196)</f>
        <v xml:space="preserve"> </v>
      </c>
      <c r="M195" s="21" t="str">
        <f t="shared" si="656"/>
        <v xml:space="preserve"> </v>
      </c>
      <c r="N195" s="21" t="str">
        <f t="shared" si="657"/>
        <v xml:space="preserve"> </v>
      </c>
      <c r="O195" s="21" t="str">
        <f t="shared" si="2004"/>
        <v xml:space="preserve"> </v>
      </c>
      <c r="P195" s="21" t="str">
        <f t="shared" ref="P195" si="2624">IF(P93="",P196,$C195&amp;" "&amp;P93&amp;CHAR(10)&amp;P196)</f>
        <v xml:space="preserve"> </v>
      </c>
      <c r="Q195" s="21" t="str">
        <f t="shared" si="660"/>
        <v xml:space="preserve"> </v>
      </c>
      <c r="R195" s="21" t="str">
        <f t="shared" ref="R195" si="2625">IF(R93="",R196,$C195&amp;" "&amp;R93&amp;CHAR(10)&amp;R196)</f>
        <v xml:space="preserve"> </v>
      </c>
      <c r="S195" s="21" t="str">
        <f t="shared" si="662"/>
        <v xml:space="preserve">biz enhancement(1), business(1), start-up(1),  </v>
      </c>
      <c r="T195" s="21" t="str">
        <f t="shared" si="663"/>
        <v xml:space="preserve"> </v>
      </c>
      <c r="U195" s="21" t="str">
        <f t="shared" si="2004"/>
        <v xml:space="preserve"> </v>
      </c>
      <c r="V195" s="21" t="str">
        <f t="shared" ref="V195" si="2626">IF(V93="",V196,$C195&amp;" "&amp;V93&amp;CHAR(10)&amp;V196)</f>
        <v xml:space="preserve"> </v>
      </c>
      <c r="W195" s="21" t="str">
        <f t="shared" si="665"/>
        <v xml:space="preserve"> </v>
      </c>
      <c r="X195" s="21" t="str">
        <f t="shared" ref="X195" si="2627">IF(X93="",X196,$C195&amp;" "&amp;X93&amp;CHAR(10)&amp;X196)</f>
        <v xml:space="preserve"> </v>
      </c>
      <c r="Y195" s="21" t="str">
        <f t="shared" si="667"/>
        <v xml:space="preserve">biz enhancement(1), job creation(1), business(1),  </v>
      </c>
      <c r="Z195" s="21" t="str">
        <f t="shared" si="668"/>
        <v xml:space="preserve"> </v>
      </c>
      <c r="AA195" s="21" t="str">
        <f t="shared" si="2004"/>
        <v xml:space="preserve"> </v>
      </c>
      <c r="AB195" s="21" t="str">
        <f t="shared" ref="AB195" si="2628">IF(AB93="",AB196,$C195&amp;" "&amp;AB93&amp;CHAR(10)&amp;AB196)</f>
        <v xml:space="preserve"> </v>
      </c>
      <c r="AC195" s="21" t="str">
        <f t="shared" si="670"/>
        <v xml:space="preserve"> </v>
      </c>
      <c r="AD195" s="21" t="str">
        <f t="shared" ref="AD195" si="2629">IF(AD93="",AD196,$C195&amp;" "&amp;AD93&amp;CHAR(10)&amp;AD196)</f>
        <v xml:space="preserve"> </v>
      </c>
      <c r="AE195" s="21" t="str">
        <f t="shared" si="672"/>
        <v xml:space="preserve"> </v>
      </c>
      <c r="AF195" s="21" t="str">
        <f t="shared" si="673"/>
        <v xml:space="preserve"> </v>
      </c>
      <c r="AG195" s="21" t="str">
        <f t="shared" si="2004"/>
        <v xml:space="preserve"> </v>
      </c>
      <c r="AH195" s="21" t="str">
        <f t="shared" ref="AH195" si="2630">IF(AH93="",AH196,$C195&amp;" "&amp;AH93&amp;CHAR(10)&amp;AH196)</f>
        <v xml:space="preserve"> </v>
      </c>
      <c r="AI195" s="21" t="str">
        <f t="shared" si="675"/>
        <v xml:space="preserve"> </v>
      </c>
      <c r="AJ195" s="21" t="str">
        <f t="shared" ref="AJ195" si="2631">IF(AJ93="",AJ196,$C195&amp;" "&amp;AJ93&amp;CHAR(10)&amp;AJ196)</f>
        <v xml:space="preserve"> </v>
      </c>
      <c r="AK195" s="21" t="str">
        <f t="shared" si="677"/>
        <v xml:space="preserve"> </v>
      </c>
      <c r="AL195" s="21" t="str">
        <f t="shared" si="678"/>
        <v xml:space="preserve"> </v>
      </c>
      <c r="AM195" s="21" t="str">
        <f t="shared" si="2004"/>
        <v xml:space="preserve"> </v>
      </c>
      <c r="AN195" s="21" t="str">
        <f t="shared" ref="AN195" si="2632">IF(AN93="",AN196,$C195&amp;" "&amp;AN93&amp;CHAR(10)&amp;AN196)</f>
        <v xml:space="preserve"> </v>
      </c>
      <c r="AO195" s="21" t="str">
        <f t="shared" si="680"/>
        <v xml:space="preserve"> </v>
      </c>
      <c r="AP195" s="21" t="str">
        <f t="shared" ref="AP195" si="2633">IF(AP93="",AP196,$C195&amp;" "&amp;AP93&amp;CHAR(10)&amp;AP196)</f>
        <v xml:space="preserve"> </v>
      </c>
      <c r="AQ195" s="21" t="str">
        <f t="shared" si="682"/>
        <v xml:space="preserve">start-up(1), start-up with mvp(1), start-up with customers(1),  </v>
      </c>
      <c r="AR195" s="21" t="str">
        <f t="shared" si="683"/>
        <v xml:space="preserve"> </v>
      </c>
      <c r="AS195" s="21" t="str">
        <f t="shared" si="2004"/>
        <v xml:space="preserve"> </v>
      </c>
      <c r="AT195" s="21" t="str">
        <f t="shared" ref="AT195" si="2634">IF(AT93="",AT196,$C195&amp;" "&amp;AT93&amp;CHAR(10)&amp;AT196)</f>
        <v xml:space="preserve"> </v>
      </c>
      <c r="AU195" s="21" t="str">
        <f t="shared" si="685"/>
        <v xml:space="preserve"> </v>
      </c>
      <c r="AV195" s="21" t="str">
        <f t="shared" ref="AV195" si="2635">IF(AV93="",AV196,$C195&amp;" "&amp;AV93&amp;CHAR(10)&amp;AV196)</f>
        <v xml:space="preserve"> </v>
      </c>
      <c r="AW195" s="21" t="str">
        <f t="shared" si="687"/>
        <v xml:space="preserve"> </v>
      </c>
      <c r="AX195" s="21" t="str">
        <f t="shared" si="688"/>
        <v xml:space="preserve"> </v>
      </c>
      <c r="AY195" s="21" t="str">
        <f t="shared" si="2004"/>
        <v xml:space="preserve"> </v>
      </c>
      <c r="AZ195" s="21" t="str">
        <f t="shared" ref="AZ195" si="2636">IF(AZ93="",AZ196,$C195&amp;" "&amp;AZ93&amp;CHAR(10)&amp;AZ196)</f>
        <v xml:space="preserve"> </v>
      </c>
      <c r="BA195" s="21" t="str">
        <f t="shared" si="690"/>
        <v xml:space="preserve"> </v>
      </c>
      <c r="BB195" s="21" t="str">
        <f t="shared" ref="BB195" si="2637">IF(BB93="",BB196,$C195&amp;" "&amp;BB93&amp;CHAR(10)&amp;BB196)</f>
        <v xml:space="preserve"> </v>
      </c>
      <c r="BC195" s="21" t="str">
        <f t="shared" si="692"/>
        <v xml:space="preserve"> </v>
      </c>
      <c r="BD195" s="21" t="str">
        <f t="shared" si="693"/>
        <v xml:space="preserve"> </v>
      </c>
      <c r="BE195" s="21" t="str">
        <f t="shared" si="2004"/>
        <v xml:space="preserve"> </v>
      </c>
      <c r="BF195" s="21" t="str">
        <f t="shared" ref="BF195" si="2638">IF(BF93="",BF196,$C195&amp;" "&amp;BF93&amp;CHAR(10)&amp;BF196)</f>
        <v xml:space="preserve"> </v>
      </c>
      <c r="BG195" s="21" t="str">
        <f t="shared" si="695"/>
        <v xml:space="preserve"> </v>
      </c>
      <c r="BH195" s="21" t="str">
        <f t="shared" ref="BH195" si="2639">IF(BH93="",BH196,$C195&amp;" "&amp;BH93&amp;CHAR(10)&amp;BH196)</f>
        <v xml:space="preserve"> </v>
      </c>
      <c r="BI195" s="21" t="str">
        <f t="shared" si="697"/>
        <v xml:space="preserve"> </v>
      </c>
      <c r="BJ195" s="21" t="str">
        <f t="shared" si="698"/>
        <v xml:space="preserve"> </v>
      </c>
      <c r="BK195" s="21" t="str">
        <f t="shared" si="2004"/>
        <v xml:space="preserve"> </v>
      </c>
      <c r="BL195" s="21" t="str">
        <f t="shared" ref="BL195" si="2640">IF(BL93="",BL196,$C195&amp;" "&amp;BL93&amp;CHAR(10)&amp;BL196)</f>
        <v xml:space="preserve">biz enhancement 1
 </v>
      </c>
      <c r="BM195" s="21" t="str">
        <f t="shared" si="700"/>
        <v xml:space="preserve"> </v>
      </c>
      <c r="BN195" s="21" t="str">
        <f t="shared" ref="BN195" si="2641">IF(BN93="",BN196,$C195&amp;" "&amp;BN93&amp;CHAR(10)&amp;BN196)</f>
        <v xml:space="preserve"> </v>
      </c>
      <c r="BO195" s="21" t="str">
        <f t="shared" si="702"/>
        <v xml:space="preserve"> </v>
      </c>
      <c r="BP195" s="21" t="str">
        <f t="shared" si="703"/>
        <v xml:space="preserve"> </v>
      </c>
      <c r="BQ195" s="21" t="str">
        <f t="shared" si="2004"/>
        <v xml:space="preserve"> </v>
      </c>
      <c r="BR195" s="21" t="str">
        <f t="shared" ref="BR195" si="2642">IF(BR93="",BR196,$C195&amp;" "&amp;BR93&amp;CHAR(10)&amp;BR196)</f>
        <v xml:space="preserve"> </v>
      </c>
      <c r="BS195" s="21" t="str">
        <f t="shared" si="705"/>
        <v xml:space="preserve"> </v>
      </c>
      <c r="BT195" s="21" t="str">
        <f t="shared" ref="BT195" si="2643">IF(BT93="",BT196,$C195&amp;" "&amp;BT93&amp;CHAR(10)&amp;BT196)</f>
        <v xml:space="preserve"> </v>
      </c>
      <c r="BU195" s="21" t="str">
        <f t="shared" si="707"/>
        <v xml:space="preserve"> </v>
      </c>
      <c r="BV195" s="21" t="str">
        <f t="shared" si="708"/>
        <v xml:space="preserve"> </v>
      </c>
      <c r="BW195" s="21" t="str">
        <f t="shared" si="2004"/>
        <v xml:space="preserve"> </v>
      </c>
      <c r="BX195" s="21" t="str">
        <f t="shared" ref="BX195" si="2644">IF(BX93="",BX196,$C195&amp;" "&amp;BX93&amp;CHAR(10)&amp;BX196)</f>
        <v xml:space="preserve"> </v>
      </c>
      <c r="BY195" s="21" t="str">
        <f t="shared" si="710"/>
        <v xml:space="preserve"> </v>
      </c>
      <c r="BZ195" s="21" t="str">
        <f t="shared" ref="BZ195" si="2645">IF(BZ93="",BZ196,$C195&amp;" "&amp;BZ93&amp;CHAR(10)&amp;BZ196)</f>
        <v xml:space="preserve"> </v>
      </c>
      <c r="CA195" s="21" t="str">
        <f t="shared" si="712"/>
        <v xml:space="preserve"> </v>
      </c>
      <c r="CB195" s="21" t="str">
        <f t="shared" si="713"/>
        <v xml:space="preserve"> </v>
      </c>
      <c r="CC195" s="21" t="str">
        <f t="shared" si="2027"/>
        <v xml:space="preserve"> </v>
      </c>
      <c r="CD195" s="21" t="str">
        <f t="shared" ref="CD195" si="2646">IF(CD93="",CD196,$C195&amp;" "&amp;CD93&amp;CHAR(10)&amp;CD196)</f>
        <v xml:space="preserve"> </v>
      </c>
      <c r="CE195" s="21" t="str">
        <f t="shared" si="716"/>
        <v xml:space="preserve"> </v>
      </c>
      <c r="CF195" s="21" t="str">
        <f t="shared" ref="CF195" si="2647">IF(CF93="",CF196,$C195&amp;" "&amp;CF93&amp;CHAR(10)&amp;CF196)</f>
        <v xml:space="preserve"> </v>
      </c>
      <c r="CG195" s="21" t="str">
        <f t="shared" si="718"/>
        <v xml:space="preserve">for basic literacy(1), for the elites(1), for entrepreneurs(1),  </v>
      </c>
      <c r="CH195" s="21" t="str">
        <f t="shared" si="719"/>
        <v xml:space="preserve"> </v>
      </c>
      <c r="CI195" s="21" t="str">
        <f t="shared" si="2027"/>
        <v xml:space="preserve"> </v>
      </c>
      <c r="CJ195" s="21" t="str">
        <f t="shared" ref="CJ195" si="2648">IF(CJ93="",CJ196,$C195&amp;" "&amp;CJ93&amp;CHAR(10)&amp;CJ196)</f>
        <v xml:space="preserve"> </v>
      </c>
      <c r="CK195" s="21" t="str">
        <f t="shared" si="721"/>
        <v xml:space="preserve"> </v>
      </c>
      <c r="CL195" s="21" t="str">
        <f t="shared" ref="CL195" si="2649">IF(CL93="",CL196,$C195&amp;" "&amp;CL93&amp;CHAR(10)&amp;CL196)</f>
        <v xml:space="preserve"> </v>
      </c>
      <c r="CM195" s="21" t="str">
        <f t="shared" si="723"/>
        <v xml:space="preserve"> </v>
      </c>
      <c r="CN195" s="21" t="str">
        <f t="shared" si="724"/>
        <v xml:space="preserve"> </v>
      </c>
      <c r="CO195" s="21" t="str">
        <f t="shared" si="2027"/>
        <v xml:space="preserve"> </v>
      </c>
      <c r="CP195" s="21" t="str">
        <f t="shared" ref="CP195" si="2650">IF(CP93="",CP196,$C195&amp;" "&amp;CP93&amp;CHAR(10)&amp;CP196)</f>
        <v xml:space="preserve"> </v>
      </c>
      <c r="CQ195" s="21" t="str">
        <f t="shared" si="726"/>
        <v xml:space="preserve"> </v>
      </c>
      <c r="CR195" s="21" t="str">
        <f t="shared" ref="CR195" si="2651">IF(CR93="",CR196,$C195&amp;" "&amp;CR93&amp;CHAR(10)&amp;CR196)</f>
        <v xml:space="preserve"> </v>
      </c>
      <c r="CS195" s="21" t="str">
        <f t="shared" si="728"/>
        <v xml:space="preserve"> </v>
      </c>
      <c r="CT195" s="21" t="str">
        <f t="shared" si="729"/>
        <v xml:space="preserve"> </v>
      </c>
      <c r="CU195" s="21" t="str">
        <f t="shared" si="2027"/>
        <v xml:space="preserve"> </v>
      </c>
      <c r="CV195" s="21" t="str">
        <f t="shared" ref="CV195" si="2652">IF(CV93="",CV196,$C195&amp;" "&amp;CV93&amp;CHAR(10)&amp;CV196)</f>
        <v xml:space="preserve"> </v>
      </c>
      <c r="CW195" s="21" t="str">
        <f t="shared" si="731"/>
        <v xml:space="preserve"> </v>
      </c>
      <c r="CX195" s="21" t="str">
        <f t="shared" ref="CX195" si="2653">IF(CX93="",CX196,$C195&amp;" "&amp;CX93&amp;CHAR(10)&amp;CX196)</f>
        <v xml:space="preserve"> </v>
      </c>
      <c r="CY195" s="21" t="str">
        <f t="shared" si="733"/>
        <v xml:space="preserve"> </v>
      </c>
      <c r="CZ195" s="21" t="str">
        <f t="shared" si="734"/>
        <v xml:space="preserve"> </v>
      </c>
      <c r="DA195" s="21" t="str">
        <f t="shared" si="2027"/>
        <v xml:space="preserve"> </v>
      </c>
      <c r="DB195" s="21" t="str">
        <f t="shared" ref="DB195" si="2654">IF(DB93="",DB196,$C195&amp;" "&amp;DB93&amp;CHAR(10)&amp;DB196)</f>
        <v xml:space="preserve"> </v>
      </c>
      <c r="DC195" s="21" t="str">
        <f t="shared" si="736"/>
        <v xml:space="preserve"> </v>
      </c>
      <c r="DD195" s="21" t="str">
        <f t="shared" ref="DD195" si="2655">IF(DD93="",DD196,$C195&amp;" "&amp;DD93&amp;CHAR(10)&amp;DD196)</f>
        <v xml:space="preserve"> </v>
      </c>
      <c r="DE195" s="21" t="str">
        <f t="shared" si="738"/>
        <v xml:space="preserve">biz enhancement(1), job creation(1), business(1), start-up(1), start-up with mvp(1), start-up with customers(1), for entrepreneurs(2),  </v>
      </c>
      <c r="DF195" s="21" t="str">
        <f t="shared" si="739"/>
        <v xml:space="preserve"> </v>
      </c>
      <c r="DG195" s="21" t="str">
        <f t="shared" si="2027"/>
        <v xml:space="preserve"> </v>
      </c>
      <c r="DH195" s="21" t="str">
        <f t="shared" ref="DH195" si="2656">IF(DH93="",DH196,$C195&amp;" "&amp;DH93&amp;CHAR(10)&amp;DH196)</f>
        <v xml:space="preserve"> </v>
      </c>
      <c r="DI195" s="21" t="str">
        <f t="shared" si="741"/>
        <v xml:space="preserve"> </v>
      </c>
      <c r="DJ195" s="21" t="str">
        <f t="shared" ref="DJ195" si="2657">IF(DJ93="",DJ196,$C195&amp;" "&amp;DJ93&amp;CHAR(10)&amp;DJ196)</f>
        <v xml:space="preserve"> </v>
      </c>
      <c r="DK195" s="21" t="str">
        <f t="shared" si="743"/>
        <v xml:space="preserve"> </v>
      </c>
      <c r="DL195" s="21" t="str">
        <f t="shared" si="744"/>
        <v xml:space="preserve"> </v>
      </c>
      <c r="DM195" s="21" t="str">
        <f t="shared" si="2027"/>
        <v xml:space="preserve"> </v>
      </c>
      <c r="DN195" s="21" t="str">
        <f t="shared" ref="DN195" si="2658">IF(DN93="",DN196,$C195&amp;" "&amp;DN93&amp;CHAR(10)&amp;DN196)</f>
        <v xml:space="preserve"> </v>
      </c>
      <c r="DO195" s="21" t="str">
        <f t="shared" si="746"/>
        <v xml:space="preserve"> </v>
      </c>
      <c r="DP195" s="21" t="str">
        <f t="shared" ref="DP195" si="2659">IF(DP93="",DP196,$C195&amp;" "&amp;DP93&amp;CHAR(10)&amp;DP196)</f>
        <v xml:space="preserve"> </v>
      </c>
      <c r="DQ195" s="21" t="str">
        <f t="shared" si="748"/>
        <v xml:space="preserve">biz enhancement(1), job creation(1), business(1), start-up(1), start-up with mvp(1), start-up with customers(1), for entrepreneurs(1),  </v>
      </c>
      <c r="DR195" s="21" t="str">
        <f t="shared" si="749"/>
        <v xml:space="preserve"> </v>
      </c>
      <c r="DS195" s="21" t="str">
        <f t="shared" si="2027"/>
        <v xml:space="preserve"> </v>
      </c>
      <c r="DT195" s="21" t="str">
        <f t="shared" ref="DT195" si="2660">IF(DT93="",DT196,$C195&amp;" "&amp;DT93&amp;CHAR(10)&amp;DT196)</f>
        <v xml:space="preserve"> </v>
      </c>
      <c r="DU195" s="21" t="str">
        <f t="shared" si="751"/>
        <v xml:space="preserve"> </v>
      </c>
      <c r="DV195" s="21" t="str">
        <f t="shared" ref="DV195" si="2661">IF(DV93="",DV196,$C195&amp;" "&amp;DV93&amp;CHAR(10)&amp;DV196)</f>
        <v xml:space="preserve"> </v>
      </c>
      <c r="DW195" s="21" t="str">
        <f t="shared" si="753"/>
        <v xml:space="preserve">for basic literacy(1),  </v>
      </c>
      <c r="DX195" s="21" t="str">
        <f t="shared" si="754"/>
        <v xml:space="preserve">for basic literacy(1,6.25),  </v>
      </c>
      <c r="DY195" s="21" t="str">
        <f t="shared" si="2027"/>
        <v xml:space="preserve">for basic literacy(6.25), </v>
      </c>
      <c r="DZ195" s="21" t="str">
        <f t="shared" ref="DZ195" si="2662">IF(DZ93="",DZ196,$C195&amp;" "&amp;DZ93&amp;CHAR(10)&amp;DZ196)</f>
        <v xml:space="preserve"> </v>
      </c>
      <c r="EA195" s="21" t="str">
        <f t="shared" si="756"/>
        <v xml:space="preserve"> </v>
      </c>
      <c r="EB195" s="21" t="str">
        <f t="shared" ref="EB195" si="2663">IF(EB93="",EB196,$C195&amp;" "&amp;EB93&amp;CHAR(10)&amp;EB196)</f>
        <v xml:space="preserve"> </v>
      </c>
      <c r="EC195" s="21" t="str">
        <f t="shared" si="758"/>
        <v xml:space="preserve">for basic literacy(1),  </v>
      </c>
      <c r="ED195" s="21" t="str">
        <f t="shared" si="759"/>
        <v xml:space="preserve">for basic literacy(1,6.25),  </v>
      </c>
      <c r="EE195" s="21" t="str">
        <f t="shared" si="2027"/>
        <v xml:space="preserve">for basic literacy(6.25), </v>
      </c>
      <c r="EF195" s="21" t="str">
        <f t="shared" ref="EF195" si="2664">IF(EF93="",EF196,$C195&amp;" "&amp;EF93&amp;CHAR(10)&amp;EF196)</f>
        <v xml:space="preserve"> </v>
      </c>
      <c r="EG195" s="21" t="str">
        <f t="shared" si="761"/>
        <v xml:space="preserve"> </v>
      </c>
      <c r="EH195" s="21" t="str">
        <f t="shared" ref="EH195" si="2665">IF(EH93="",EH196,$C195&amp;" "&amp;EH93&amp;CHAR(10)&amp;EH196)</f>
        <v xml:space="preserve"> </v>
      </c>
      <c r="EI195" s="21" t="str">
        <f t="shared" si="763"/>
        <v xml:space="preserve">for entrepreneurs(1),  </v>
      </c>
      <c r="EJ195" s="21" t="str">
        <f t="shared" si="764"/>
        <v xml:space="preserve">for entrepreneurs(1,6.25),  </v>
      </c>
      <c r="EK195" s="21" t="str">
        <f t="shared" si="2027"/>
        <v xml:space="preserve">for entrepreneurs(6.25), </v>
      </c>
      <c r="EL195" s="21" t="str">
        <f t="shared" ref="EL195" si="2666">IF(EL93="",EL196,$C195&amp;" "&amp;EL93&amp;CHAR(10)&amp;EL196)</f>
        <v xml:space="preserve"> </v>
      </c>
      <c r="EM195" s="21" t="str">
        <f t="shared" si="766"/>
        <v xml:space="preserve"> </v>
      </c>
      <c r="EN195" s="21" t="str">
        <f t="shared" ref="EN195" si="2667">IF(EN93="",EN196,$C195&amp;" "&amp;EN93&amp;CHAR(10)&amp;EN196)</f>
        <v xml:space="preserve"> </v>
      </c>
      <c r="EO195" s="21" t="str">
        <f t="shared" si="768"/>
        <v xml:space="preserve">for entrepreneurs(1),  </v>
      </c>
      <c r="EP195" s="21" t="str">
        <f t="shared" si="769"/>
        <v xml:space="preserve">for entrepreneurs(1,6.25),  </v>
      </c>
      <c r="EQ195" s="21" t="str">
        <f t="shared" si="2050"/>
        <v xml:space="preserve">for entrepreneurs(6.25), </v>
      </c>
      <c r="ER195" s="21" t="str">
        <f t="shared" ref="ER195" si="2668">IF(ER93="",ER196,$C195&amp;" "&amp;ER93&amp;CHAR(10)&amp;ER196)</f>
        <v xml:space="preserve"> </v>
      </c>
      <c r="ES195" s="21" t="str">
        <f t="shared" si="772"/>
        <v xml:space="preserve"> </v>
      </c>
      <c r="ET195" s="21" t="str">
        <f t="shared" ref="ET195" si="2669">IF(ET93="",ET196,$C195&amp;" "&amp;ET93&amp;CHAR(10)&amp;ET196)</f>
        <v xml:space="preserve"> </v>
      </c>
      <c r="EU195" s="21" t="str">
        <f t="shared" si="774"/>
        <v xml:space="preserve">for entrepreneurs(1),  </v>
      </c>
      <c r="EV195" s="21" t="str">
        <f t="shared" si="775"/>
        <v xml:space="preserve">for entrepreneurs(1,6.25),  </v>
      </c>
      <c r="EW195" s="21" t="str">
        <f t="shared" si="2050"/>
        <v xml:space="preserve">for entrepreneurs(6.25), </v>
      </c>
      <c r="EX195" s="21" t="str">
        <f t="shared" ref="EX195" si="2670">IF(EX93="",EX196,$C195&amp;" "&amp;EX93&amp;CHAR(10)&amp;EX196)</f>
        <v xml:space="preserve"> </v>
      </c>
      <c r="EY195" s="21" t="str">
        <f t="shared" si="777"/>
        <v xml:space="preserve"> </v>
      </c>
      <c r="EZ195" s="21" t="str">
        <f t="shared" ref="EZ195" si="2671">IF(EZ93="",EZ196,$C195&amp;" "&amp;EZ93&amp;CHAR(10)&amp;EZ196)</f>
        <v xml:space="preserve"> </v>
      </c>
      <c r="FA195" s="21" t="str">
        <f t="shared" si="779"/>
        <v xml:space="preserve">for entrepreneurs(1),  </v>
      </c>
      <c r="FB195" s="21" t="str">
        <f t="shared" si="780"/>
        <v xml:space="preserve">for entrepreneurs(1,6.25),  </v>
      </c>
      <c r="FC195" s="21" t="str">
        <f t="shared" si="2050"/>
        <v xml:space="preserve">for entrepreneurs(6.25), </v>
      </c>
      <c r="FD195" s="21" t="str">
        <f t="shared" ref="FD195" si="2672">IF(FD93="",FD196,$C195&amp;" "&amp;FD93&amp;CHAR(10)&amp;FD196)</f>
        <v xml:space="preserve"> </v>
      </c>
      <c r="FE195" s="21" t="str">
        <f t="shared" si="782"/>
        <v xml:space="preserve"> </v>
      </c>
      <c r="FF195" s="21" t="str">
        <f t="shared" ref="FF195" si="2673">IF(FF93="",FF196,$C195&amp;" "&amp;FF93&amp;CHAR(10)&amp;FF196)</f>
        <v xml:space="preserve"> </v>
      </c>
      <c r="FG195" s="21" t="str">
        <f t="shared" si="784"/>
        <v xml:space="preserve">for entrepreneurs(1),  </v>
      </c>
      <c r="FH195" s="21" t="str">
        <f t="shared" si="785"/>
        <v xml:space="preserve">for entrepreneurs(1,6.25),  </v>
      </c>
      <c r="FI195" s="21" t="str">
        <f t="shared" si="2050"/>
        <v xml:space="preserve">for entrepreneurs(6.25), </v>
      </c>
      <c r="FJ195" s="21" t="str">
        <f t="shared" ref="FJ195" si="2674">IF(FJ93="",FJ196,$C195&amp;" "&amp;FJ93&amp;CHAR(10)&amp;FJ196)</f>
        <v xml:space="preserve"> </v>
      </c>
      <c r="FK195" s="21" t="str">
        <f t="shared" si="787"/>
        <v xml:space="preserve"> </v>
      </c>
      <c r="FL195" s="21" t="str">
        <f t="shared" ref="FL195" si="2675">IF(FL93="",FL196,$C195&amp;" "&amp;FL93&amp;CHAR(10)&amp;FL196)</f>
        <v xml:space="preserve"> </v>
      </c>
      <c r="FM195" s="21" t="str">
        <f t="shared" si="789"/>
        <v xml:space="preserve">for entrepreneurs(1),  </v>
      </c>
      <c r="FN195" s="21" t="str">
        <f t="shared" si="790"/>
        <v xml:space="preserve">for entrepreneurs(1,6.25),  </v>
      </c>
      <c r="FO195" s="21" t="str">
        <f t="shared" si="2050"/>
        <v xml:space="preserve">for entrepreneurs(6.25), </v>
      </c>
      <c r="FP195" s="21" t="str">
        <f t="shared" ref="FP195" si="2676">IF(FP93="",FP196,$C195&amp;" "&amp;FP93&amp;CHAR(10)&amp;FP196)</f>
        <v xml:space="preserve"> </v>
      </c>
      <c r="FQ195" s="21" t="str">
        <f t="shared" si="792"/>
        <v xml:space="preserve"> </v>
      </c>
      <c r="FR195" s="21" t="str">
        <f t="shared" ref="FR195" si="2677">IF(FR93="",FR196,$C195&amp;" "&amp;FR93&amp;CHAR(10)&amp;FR196)</f>
        <v xml:space="preserve"> </v>
      </c>
      <c r="FS195" s="21" t="str">
        <f t="shared" si="794"/>
        <v xml:space="preserve">for entrepreneurs(1),  </v>
      </c>
      <c r="FT195" s="21" t="str">
        <f t="shared" si="795"/>
        <v xml:space="preserve">for entrepreneurs(1,6.25),  </v>
      </c>
      <c r="FU195" s="21" t="str">
        <f t="shared" si="2050"/>
        <v xml:space="preserve">for entrepreneurs(6.25), </v>
      </c>
      <c r="FV195" s="21" t="str">
        <f t="shared" ref="FV195" si="2678">IF(FV93="",FV196,$C195&amp;" "&amp;FV93&amp;CHAR(10)&amp;FV196)</f>
        <v xml:space="preserve"> </v>
      </c>
      <c r="FW195" s="21" t="str">
        <f t="shared" si="797"/>
        <v xml:space="preserve"> </v>
      </c>
      <c r="FX195" s="21" t="str">
        <f t="shared" ref="FX195" si="2679">IF(FX93="",FX196,$C195&amp;" "&amp;FX93&amp;CHAR(10)&amp;FX196)</f>
        <v xml:space="preserve"> </v>
      </c>
      <c r="FY195" s="21" t="str">
        <f t="shared" si="799"/>
        <v xml:space="preserve">for entrepreneurs(1),  </v>
      </c>
      <c r="FZ195" s="21" t="str">
        <f t="shared" si="800"/>
        <v xml:space="preserve">for entrepreneurs(1,6.25),  </v>
      </c>
      <c r="GA195" s="21" t="str">
        <f t="shared" si="2050"/>
        <v xml:space="preserve">for entrepreneurs(6.25), </v>
      </c>
      <c r="GB195" s="21" t="str">
        <f t="shared" ref="GB195" si="2680">IF(GB93="",GB196,$C195&amp;" "&amp;GB93&amp;CHAR(10)&amp;GB196)</f>
        <v xml:space="preserve"> </v>
      </c>
      <c r="GC195" s="21" t="str">
        <f t="shared" si="802"/>
        <v xml:space="preserve"> </v>
      </c>
      <c r="GD195" s="21" t="str">
        <f t="shared" ref="GD195" si="2681">IF(GD93="",GD196,$C195&amp;" "&amp;GD93&amp;CHAR(10)&amp;GD196)</f>
        <v xml:space="preserve"> </v>
      </c>
      <c r="GE195" s="21" t="str">
        <f t="shared" si="804"/>
        <v xml:space="preserve">for entrepreneurs(1),  </v>
      </c>
      <c r="GF195" s="21" t="str">
        <f t="shared" si="805"/>
        <v xml:space="preserve">for entrepreneurs(1,6.25),  </v>
      </c>
      <c r="GG195" s="21" t="str">
        <f t="shared" si="2050"/>
        <v xml:space="preserve">for entrepreneurs(6.25), </v>
      </c>
      <c r="GH195" s="21" t="str">
        <f t="shared" ref="GH195" si="2682">IF(GH93="",GH196,$C195&amp;" "&amp;GH93&amp;CHAR(10)&amp;GH196)</f>
        <v xml:space="preserve"> </v>
      </c>
      <c r="GI195" s="21" t="str">
        <f t="shared" si="807"/>
        <v xml:space="preserve"> </v>
      </c>
      <c r="GJ195" s="21" t="str">
        <f t="shared" ref="GJ195" si="2683">IF(GJ93="",GJ196,$C195&amp;" "&amp;GJ93&amp;CHAR(10)&amp;GJ196)</f>
        <v xml:space="preserve"> </v>
      </c>
      <c r="GK195" s="21" t="str">
        <f t="shared" si="809"/>
        <v xml:space="preserve">for entrepreneurs(1),  </v>
      </c>
      <c r="GL195" s="21" t="str">
        <f t="shared" si="810"/>
        <v xml:space="preserve">for entrepreneurs(1,6.25),  </v>
      </c>
      <c r="GM195" s="21" t="str">
        <f t="shared" si="2050"/>
        <v xml:space="preserve">for entrepreneurs(6.25), </v>
      </c>
      <c r="GN195" s="21" t="str">
        <f t="shared" ref="GN195" si="2684">IF(GN93="",GN196,$C195&amp;" "&amp;GN93&amp;CHAR(10)&amp;GN196)</f>
        <v xml:space="preserve"> </v>
      </c>
      <c r="GO195" s="21" t="str">
        <f t="shared" si="812"/>
        <v xml:space="preserve"> </v>
      </c>
      <c r="GP195" s="21" t="str">
        <f t="shared" ref="GP195" si="2685">IF(GP93="",GP196,$C195&amp;" "&amp;GP93&amp;CHAR(10)&amp;GP196)</f>
        <v xml:space="preserve"> </v>
      </c>
      <c r="GQ195" s="21" t="str">
        <f t="shared" si="814"/>
        <v xml:space="preserve">for entrepreneurs(1),  </v>
      </c>
      <c r="GR195" s="21" t="str">
        <f t="shared" si="815"/>
        <v xml:space="preserve">for entrepreneurs(1,6.25),  </v>
      </c>
      <c r="GS195" s="21" t="str">
        <f t="shared" si="2050"/>
        <v xml:space="preserve">for entrepreneurs(6.25), </v>
      </c>
      <c r="GT195" s="21" t="str">
        <f t="shared" ref="GT195" si="2686">IF(GT93="",GT196,$C195&amp;" "&amp;GT93&amp;CHAR(10)&amp;GT196)</f>
        <v xml:space="preserve"> </v>
      </c>
      <c r="GU195" s="21" t="str">
        <f t="shared" si="817"/>
        <v xml:space="preserve"> </v>
      </c>
      <c r="GV195" s="21" t="str">
        <f t="shared" ref="GV195" si="2687">IF(GV93="",GV196,$C195&amp;" "&amp;GV93&amp;CHAR(10)&amp;GV196)</f>
        <v xml:space="preserve"> </v>
      </c>
      <c r="GW195" s="21" t="str">
        <f t="shared" si="819"/>
        <v xml:space="preserve"> </v>
      </c>
      <c r="GX195" s="21" t="str">
        <f t="shared" si="820"/>
        <v xml:space="preserve"> </v>
      </c>
      <c r="GY195" s="21" t="str">
        <f t="shared" si="2050"/>
        <v xml:space="preserve"> </v>
      </c>
      <c r="GZ195" s="21" t="str">
        <f t="shared" ref="GZ195" si="2688">IF(GZ93="",GZ196,$C195&amp;" "&amp;GZ93&amp;CHAR(10)&amp;GZ196)</f>
        <v xml:space="preserve"> </v>
      </c>
      <c r="HA195" s="21" t="str">
        <f t="shared" si="822"/>
        <v xml:space="preserve"> </v>
      </c>
      <c r="HB195" s="21" t="str">
        <f t="shared" ref="HB195" si="2689">IF(HB93="",HB196,$C195&amp;" "&amp;HB93&amp;CHAR(10)&amp;HB196)</f>
        <v xml:space="preserve"> </v>
      </c>
      <c r="HC195" s="21" t="str">
        <f t="shared" si="824"/>
        <v xml:space="preserve"> </v>
      </c>
      <c r="HD195" s="21" t="str">
        <f t="shared" si="825"/>
        <v xml:space="preserve">start-up with customers(1,6.25), for basic literacy(1,6.25),  </v>
      </c>
      <c r="HE195" s="21" t="str">
        <f t="shared" si="2073"/>
        <v xml:space="preserve">start-up with customers(6.25),for basic literacy(6.25), </v>
      </c>
      <c r="HF195" s="21" t="str">
        <f t="shared" ref="HF195" si="2690">IF(HF93="",HF196,$C195&amp;" "&amp;HF93&amp;CHAR(10)&amp;HF196)</f>
        <v xml:space="preserve"> </v>
      </c>
      <c r="HG195" s="21" t="str">
        <f t="shared" si="828"/>
        <v xml:space="preserve"> </v>
      </c>
      <c r="HH195" s="21" t="str">
        <f t="shared" ref="HH195" si="2691">IF(HH93="",HH196,$C195&amp;" "&amp;HH93&amp;CHAR(10)&amp;HH196)</f>
        <v xml:space="preserve"> </v>
      </c>
      <c r="HI195" s="21" t="str">
        <f t="shared" si="830"/>
        <v xml:space="preserve"> </v>
      </c>
      <c r="HJ195" s="21" t="str">
        <f t="shared" si="831"/>
        <v xml:space="preserve">start-up with customers(1,6.25),  </v>
      </c>
      <c r="HK195" s="21" t="str">
        <f t="shared" si="2073"/>
        <v xml:space="preserve">start-up with customers(6.25), </v>
      </c>
      <c r="HL195" s="21" t="str">
        <f t="shared" ref="HL195" si="2692">IF(HL93="",HL196,$C195&amp;" "&amp;HL93&amp;CHAR(10)&amp;HL196)</f>
        <v xml:space="preserve"> </v>
      </c>
      <c r="HM195" s="21" t="str">
        <f t="shared" si="833"/>
        <v xml:space="preserve"> </v>
      </c>
      <c r="HN195" s="21" t="str">
        <f t="shared" ref="HN195" si="2693">IF(HN93="",HN196,$C195&amp;" "&amp;HN93&amp;CHAR(10)&amp;HN196)</f>
        <v xml:space="preserve"> </v>
      </c>
      <c r="HO195" s="21" t="str">
        <f t="shared" si="835"/>
        <v xml:space="preserve"> </v>
      </c>
      <c r="HP195" s="21" t="str">
        <f t="shared" si="836"/>
        <v xml:space="preserve"> </v>
      </c>
      <c r="HQ195" s="47" t="str">
        <f t="shared" si="2073"/>
        <v xml:space="preserve"> </v>
      </c>
      <c r="HR195" s="47" t="str">
        <f t="shared" ref="HR195:HW195" si="2694">IF(HR93="",HR196,$C195&amp;"("&amp;HR93&amp;"),"&amp;HR196)</f>
        <v xml:space="preserve"> </v>
      </c>
      <c r="HS195" s="47" t="str">
        <f t="shared" si="2694"/>
        <v xml:space="preserve"> </v>
      </c>
      <c r="HT195" s="47" t="str">
        <f t="shared" si="2694"/>
        <v xml:space="preserve"> </v>
      </c>
      <c r="HU195" s="47" t="str">
        <f t="shared" si="2694"/>
        <v xml:space="preserve">start-up with mvp(1), </v>
      </c>
      <c r="HV195" s="47" t="str">
        <f t="shared" si="2694"/>
        <v xml:space="preserve"> </v>
      </c>
      <c r="HW195" s="47" t="str">
        <f t="shared" si="2694"/>
        <v xml:space="preserve"> </v>
      </c>
      <c r="HX195" s="47" t="str">
        <f t="shared" ref="HX195:IU195" si="2695">IF(HX93="",HX196,$C195&amp;"("&amp;HX93&amp;"),"&amp;HX196)</f>
        <v xml:space="preserve"> </v>
      </c>
      <c r="HY195" s="47" t="str">
        <f t="shared" si="2695"/>
        <v xml:space="preserve">biz enhancement(1), </v>
      </c>
      <c r="HZ195" s="47" t="str">
        <f t="shared" si="2695"/>
        <v xml:space="preserve">biz enhancement(100), </v>
      </c>
      <c r="IA195" s="47" t="str">
        <f t="shared" si="2695"/>
        <v xml:space="preserve"> </v>
      </c>
      <c r="IB195" s="47" t="str">
        <f t="shared" si="2695"/>
        <v xml:space="preserve"> </v>
      </c>
      <c r="IC195" s="47" t="str">
        <f t="shared" si="2695"/>
        <v xml:space="preserve"> </v>
      </c>
      <c r="ID195" s="47" t="str">
        <f t="shared" si="2695"/>
        <v xml:space="preserve"> </v>
      </c>
      <c r="IE195" s="47" t="str">
        <f t="shared" si="2695"/>
        <v xml:space="preserve"> </v>
      </c>
      <c r="IF195" s="47" t="str">
        <f t="shared" si="2695"/>
        <v xml:space="preserve"> </v>
      </c>
      <c r="IG195" s="47" t="str">
        <f t="shared" si="2695"/>
        <v xml:space="preserve"> </v>
      </c>
      <c r="IH195" s="47" t="str">
        <f t="shared" si="2695"/>
        <v xml:space="preserve"> </v>
      </c>
      <c r="II195" s="47" t="str">
        <f t="shared" si="2695"/>
        <v xml:space="preserve"> </v>
      </c>
      <c r="IJ195" s="47" t="str">
        <f t="shared" si="2695"/>
        <v xml:space="preserve"> </v>
      </c>
      <c r="IK195" s="47" t="str">
        <f t="shared" si="2695"/>
        <v xml:space="preserve"> </v>
      </c>
      <c r="IL195" s="47" t="str">
        <f t="shared" si="2695"/>
        <v xml:space="preserve"> </v>
      </c>
      <c r="IM195" s="47" t="str">
        <f t="shared" si="2695"/>
        <v xml:space="preserve"> </v>
      </c>
      <c r="IN195" s="47" t="str">
        <f t="shared" si="2695"/>
        <v xml:space="preserve"> </v>
      </c>
      <c r="IO195" s="47" t="str">
        <f t="shared" si="2695"/>
        <v xml:space="preserve"> </v>
      </c>
      <c r="IP195" s="57" t="str">
        <f t="shared" si="2695"/>
        <v xml:space="preserve"> </v>
      </c>
      <c r="IQ195" s="47" t="str">
        <f t="shared" si="2695"/>
        <v xml:space="preserve"> </v>
      </c>
      <c r="IR195" s="47" t="str">
        <f t="shared" si="2695"/>
        <v xml:space="preserve"> </v>
      </c>
      <c r="IS195" s="47" t="str">
        <f t="shared" si="2695"/>
        <v xml:space="preserve"> </v>
      </c>
      <c r="IT195" s="47" t="str">
        <f t="shared" si="2695"/>
        <v xml:space="preserve"> </v>
      </c>
      <c r="IU195" s="47" t="str">
        <f t="shared" si="2695"/>
        <v xml:space="preserve"> </v>
      </c>
      <c r="IV195" s="57" t="str">
        <f t="shared" ref="IV195:LG195" si="2696">IF(IV93="",IV196,$C195&amp;"("&amp;IV93&amp;"),"&amp;IV196)</f>
        <v xml:space="preserve"> </v>
      </c>
      <c r="IW195" s="47" t="str">
        <f t="shared" si="2696"/>
        <v xml:space="preserve"> </v>
      </c>
      <c r="IX195" s="47" t="str">
        <f t="shared" si="2696"/>
        <v xml:space="preserve"> </v>
      </c>
      <c r="IY195" s="47" t="str">
        <f t="shared" si="2696"/>
        <v xml:space="preserve"> </v>
      </c>
      <c r="IZ195" s="47" t="str">
        <f t="shared" si="2696"/>
        <v xml:space="preserve"> </v>
      </c>
      <c r="JA195" s="47" t="str">
        <f t="shared" si="2696"/>
        <v xml:space="preserve"> </v>
      </c>
      <c r="JB195" s="47" t="str">
        <f t="shared" si="2696"/>
        <v xml:space="preserve"> </v>
      </c>
      <c r="JC195" s="47" t="str">
        <f t="shared" si="2696"/>
        <v xml:space="preserve"> </v>
      </c>
      <c r="JD195" s="47" t="str">
        <f t="shared" si="2696"/>
        <v xml:space="preserve"> </v>
      </c>
      <c r="JE195" s="47" t="str">
        <f t="shared" si="2696"/>
        <v xml:space="preserve"> </v>
      </c>
      <c r="JF195" s="47" t="str">
        <f t="shared" si="2696"/>
        <v xml:space="preserve"> </v>
      </c>
      <c r="JG195" s="47" t="str">
        <f t="shared" si="2696"/>
        <v xml:space="preserve"> </v>
      </c>
      <c r="JH195" s="47" t="str">
        <f t="shared" si="2696"/>
        <v xml:space="preserve"> </v>
      </c>
      <c r="JI195" s="47" t="str">
        <f t="shared" si="2696"/>
        <v xml:space="preserve"> </v>
      </c>
      <c r="JJ195" s="47" t="str">
        <f t="shared" si="2696"/>
        <v xml:space="preserve"> </v>
      </c>
      <c r="JK195" s="47" t="str">
        <f t="shared" si="2696"/>
        <v xml:space="preserve">biz enhancement(1),job creation(1),business(1),start-up(1),start-up with mvp(1),start-up with customers(1),for basic literacy(1),for the elites(1),for entrepreneurs(1), </v>
      </c>
      <c r="JL195" s="47" t="str">
        <f t="shared" si="2696"/>
        <v xml:space="preserve"> </v>
      </c>
      <c r="JM195" s="47" t="str">
        <f t="shared" si="2696"/>
        <v xml:space="preserve"> </v>
      </c>
      <c r="JN195" s="47" t="str">
        <f t="shared" si="2696"/>
        <v xml:space="preserve"> </v>
      </c>
      <c r="JO195" s="47" t="str">
        <f t="shared" si="2696"/>
        <v xml:space="preserve"> </v>
      </c>
      <c r="JP195" s="47" t="str">
        <f t="shared" si="2696"/>
        <v xml:space="preserve"> </v>
      </c>
      <c r="JQ195" s="47" t="str">
        <f t="shared" si="2696"/>
        <v xml:space="preserve">biz enhancement(1),job creation(1),business(1),start-up(1),start-up with mvp(1),start-up with customers(1),for basic literacy(1),for the elites(1),for entrepreneurs(1), </v>
      </c>
      <c r="JR195" s="47" t="str">
        <f t="shared" si="2696"/>
        <v xml:space="preserve"> </v>
      </c>
      <c r="JS195" s="47" t="str">
        <f t="shared" si="2696"/>
        <v xml:space="preserve"> </v>
      </c>
      <c r="JT195" s="47" t="str">
        <f t="shared" si="2696"/>
        <v xml:space="preserve"> </v>
      </c>
      <c r="JU195" s="47" t="str">
        <f t="shared" si="2696"/>
        <v xml:space="preserve"> </v>
      </c>
      <c r="JV195" s="47" t="str">
        <f t="shared" si="2696"/>
        <v xml:space="preserve"> </v>
      </c>
      <c r="JW195" s="47" t="str">
        <f t="shared" si="2696"/>
        <v xml:space="preserve">biz enhancement(2),job creation(1),business(1),start-up(2),start-up with mvp(1),start-up with customers(1),for basic literacy(2),for the elites(1),for entrepreneurs(1), </v>
      </c>
      <c r="JX195" s="47" t="str">
        <f t="shared" si="2696"/>
        <v xml:space="preserve"> </v>
      </c>
      <c r="JY195" s="47" t="str">
        <f t="shared" si="2696"/>
        <v xml:space="preserve"> </v>
      </c>
      <c r="JZ195" s="47" t="str">
        <f t="shared" si="2696"/>
        <v xml:space="preserve"> </v>
      </c>
      <c r="KA195" s="47" t="str">
        <f t="shared" si="2696"/>
        <v xml:space="preserve"> </v>
      </c>
      <c r="KB195" s="47" t="str">
        <f t="shared" si="2696"/>
        <v xml:space="preserve"> </v>
      </c>
      <c r="KC195" s="47" t="str">
        <f t="shared" si="2696"/>
        <v xml:space="preserve">biz enhancement(2),job creation(1),business(1),start-up(2),start-up with mvp(1),start-up with customers(1),for basic literacy(2),for the elites(1),for entrepreneurs(1), </v>
      </c>
      <c r="KD195" s="47" t="str">
        <f t="shared" si="2696"/>
        <v xml:space="preserve"> </v>
      </c>
      <c r="KE195" s="47" t="str">
        <f t="shared" si="2696"/>
        <v xml:space="preserve"> </v>
      </c>
      <c r="KF195" s="47" t="str">
        <f t="shared" si="2696"/>
        <v xml:space="preserve"> </v>
      </c>
      <c r="KG195" s="47" t="str">
        <f t="shared" si="2696"/>
        <v xml:space="preserve"> </v>
      </c>
      <c r="KH195" s="47" t="str">
        <f t="shared" si="2696"/>
        <v xml:space="preserve"> </v>
      </c>
      <c r="KI195" s="47" t="str">
        <f t="shared" si="2696"/>
        <v xml:space="preserve"> </v>
      </c>
      <c r="KJ195" s="47" t="str">
        <f t="shared" si="2696"/>
        <v xml:space="preserve"> </v>
      </c>
      <c r="KK195" s="47" t="str">
        <f t="shared" si="2696"/>
        <v xml:space="preserve"> </v>
      </c>
      <c r="KL195" s="57" t="str">
        <f t="shared" si="2696"/>
        <v xml:space="preserve"> </v>
      </c>
      <c r="KM195" s="47" t="str">
        <f t="shared" si="2696"/>
        <v xml:space="preserve"> </v>
      </c>
      <c r="KN195" s="47" t="str">
        <f t="shared" si="2696"/>
        <v xml:space="preserve"> </v>
      </c>
      <c r="KO195" s="47" t="str">
        <f t="shared" si="2696"/>
        <v xml:space="preserve"> </v>
      </c>
      <c r="KP195" s="47" t="str">
        <f t="shared" si="2696"/>
        <v xml:space="preserve"> </v>
      </c>
      <c r="KQ195" s="47" t="str">
        <f t="shared" si="2696"/>
        <v xml:space="preserve"> </v>
      </c>
      <c r="KR195" s="57" t="str">
        <f t="shared" si="2696"/>
        <v xml:space="preserve"> </v>
      </c>
      <c r="KS195" s="47" t="str">
        <f t="shared" si="2696"/>
        <v xml:space="preserve"> </v>
      </c>
      <c r="KT195" s="47" t="str">
        <f t="shared" si="2696"/>
        <v xml:space="preserve"> </v>
      </c>
      <c r="KU195" s="47" t="str">
        <f t="shared" si="2696"/>
        <v xml:space="preserve"> </v>
      </c>
      <c r="KV195" s="47" t="str">
        <f t="shared" si="2696"/>
        <v xml:space="preserve"> </v>
      </c>
      <c r="KW195" s="47" t="str">
        <f t="shared" si="2696"/>
        <v xml:space="preserve"> </v>
      </c>
      <c r="KX195" s="57" t="str">
        <f t="shared" si="2696"/>
        <v xml:space="preserve"> </v>
      </c>
      <c r="KY195" s="47" t="str">
        <f t="shared" si="2696"/>
        <v xml:space="preserve"> </v>
      </c>
      <c r="KZ195" s="47" t="str">
        <f t="shared" si="2696"/>
        <v xml:space="preserve"> </v>
      </c>
      <c r="LA195" s="47" t="str">
        <f t="shared" si="2696"/>
        <v xml:space="preserve"> </v>
      </c>
      <c r="LB195" s="47" t="str">
        <f t="shared" si="2696"/>
        <v xml:space="preserve"> </v>
      </c>
      <c r="LC195" s="47" t="str">
        <f t="shared" si="2696"/>
        <v xml:space="preserve"> </v>
      </c>
      <c r="LD195" s="57" t="str">
        <f t="shared" si="2696"/>
        <v xml:space="preserve"> </v>
      </c>
      <c r="LE195" s="47" t="str">
        <f t="shared" si="2696"/>
        <v xml:space="preserve"> </v>
      </c>
      <c r="LF195" s="47" t="str">
        <f t="shared" si="2696"/>
        <v xml:space="preserve"> </v>
      </c>
      <c r="LG195" s="47" t="str">
        <f t="shared" si="2696"/>
        <v xml:space="preserve"> </v>
      </c>
      <c r="LH195" s="47" t="str">
        <f t="shared" ref="LH195:NM195" si="2697">IF(LH93="",LH196,$C195&amp;"("&amp;LH93&amp;"),"&amp;LH196)</f>
        <v xml:space="preserve"> </v>
      </c>
      <c r="LI195" s="47" t="str">
        <f t="shared" si="2697"/>
        <v xml:space="preserve"> </v>
      </c>
      <c r="LJ195" s="57" t="str">
        <f t="shared" si="2697"/>
        <v xml:space="preserve"> </v>
      </c>
      <c r="LK195" s="47" t="str">
        <f t="shared" si="2697"/>
        <v xml:space="preserve"> </v>
      </c>
      <c r="LL195" s="47" t="str">
        <f t="shared" si="2697"/>
        <v xml:space="preserve"> </v>
      </c>
      <c r="LM195" s="47" t="str">
        <f t="shared" si="2697"/>
        <v xml:space="preserve"> </v>
      </c>
      <c r="LN195" s="47" t="str">
        <f t="shared" si="2697"/>
        <v xml:space="preserve"> </v>
      </c>
      <c r="LO195" s="47" t="str">
        <f t="shared" si="2697"/>
        <v xml:space="preserve"> </v>
      </c>
      <c r="LP195" s="57" t="str">
        <f t="shared" si="2697"/>
        <v xml:space="preserve"> </v>
      </c>
      <c r="LQ195" s="47" t="str">
        <f t="shared" si="2697"/>
        <v xml:space="preserve"> </v>
      </c>
      <c r="LR195" s="47" t="str">
        <f t="shared" si="2697"/>
        <v xml:space="preserve"> </v>
      </c>
      <c r="LS195" s="47" t="str">
        <f t="shared" si="2697"/>
        <v xml:space="preserve"> </v>
      </c>
      <c r="LT195" s="47" t="str">
        <f t="shared" si="2697"/>
        <v xml:space="preserve"> </v>
      </c>
      <c r="LU195" s="47" t="str">
        <f t="shared" si="2697"/>
        <v xml:space="preserve"> </v>
      </c>
      <c r="LV195" s="57" t="str">
        <f t="shared" si="2697"/>
        <v xml:space="preserve"> </v>
      </c>
      <c r="LW195" s="47" t="str">
        <f t="shared" si="2697"/>
        <v xml:space="preserve"> </v>
      </c>
      <c r="LX195" s="47" t="str">
        <f t="shared" si="2697"/>
        <v xml:space="preserve"> </v>
      </c>
      <c r="LY195" s="47" t="str">
        <f t="shared" si="2697"/>
        <v xml:space="preserve"> </v>
      </c>
      <c r="LZ195" s="47" t="str">
        <f t="shared" si="2697"/>
        <v xml:space="preserve"> </v>
      </c>
      <c r="MA195" s="47" t="str">
        <f t="shared" si="2697"/>
        <v xml:space="preserve"> </v>
      </c>
      <c r="MB195" s="57" t="str">
        <f t="shared" si="2697"/>
        <v xml:space="preserve"> </v>
      </c>
      <c r="MC195" s="47" t="str">
        <f t="shared" si="2697"/>
        <v xml:space="preserve"> </v>
      </c>
      <c r="MD195" s="47" t="str">
        <f t="shared" si="2697"/>
        <v xml:space="preserve"> </v>
      </c>
      <c r="ME195" s="47" t="str">
        <f t="shared" si="2697"/>
        <v xml:space="preserve"> </v>
      </c>
      <c r="MF195" s="47" t="str">
        <f t="shared" si="2697"/>
        <v xml:space="preserve"> </v>
      </c>
      <c r="MG195" s="47" t="str">
        <f t="shared" si="2697"/>
        <v xml:space="preserve"> </v>
      </c>
      <c r="MH195" s="57" t="str">
        <f t="shared" si="2697"/>
        <v xml:space="preserve"> </v>
      </c>
      <c r="MI195" s="47" t="str">
        <f t="shared" si="2697"/>
        <v xml:space="preserve"> </v>
      </c>
      <c r="MJ195" s="47" t="str">
        <f t="shared" si="2697"/>
        <v xml:space="preserve"> </v>
      </c>
      <c r="MK195" s="47" t="str">
        <f t="shared" si="2697"/>
        <v xml:space="preserve"> </v>
      </c>
      <c r="ML195" s="47" t="str">
        <f t="shared" si="2697"/>
        <v xml:space="preserve"> </v>
      </c>
      <c r="MM195" s="47" t="str">
        <f t="shared" si="2697"/>
        <v xml:space="preserve"> </v>
      </c>
      <c r="MN195" s="57" t="str">
        <f t="shared" si="2697"/>
        <v xml:space="preserve"> </v>
      </c>
      <c r="MO195" s="47" t="str">
        <f t="shared" si="2697"/>
        <v xml:space="preserve"> </v>
      </c>
      <c r="MP195" s="47" t="str">
        <f t="shared" si="2697"/>
        <v xml:space="preserve"> </v>
      </c>
      <c r="MQ195" s="47" t="str">
        <f t="shared" si="2697"/>
        <v xml:space="preserve"> </v>
      </c>
      <c r="MR195" s="47" t="str">
        <f t="shared" si="2697"/>
        <v xml:space="preserve"> </v>
      </c>
      <c r="MS195" s="47" t="str">
        <f t="shared" si="2697"/>
        <v xml:space="preserve"> </v>
      </c>
      <c r="MT195" s="57" t="str">
        <f t="shared" si="2697"/>
        <v xml:space="preserve"> </v>
      </c>
      <c r="MU195" s="47" t="str">
        <f t="shared" si="2697"/>
        <v xml:space="preserve"> </v>
      </c>
      <c r="MV195" s="47" t="str">
        <f t="shared" si="2697"/>
        <v xml:space="preserve"> </v>
      </c>
      <c r="MW195" s="47" t="str">
        <f t="shared" si="2697"/>
        <v xml:space="preserve"> </v>
      </c>
      <c r="MX195" s="47" t="str">
        <f t="shared" si="2697"/>
        <v xml:space="preserve"> </v>
      </c>
      <c r="MY195" s="47" t="str">
        <f t="shared" si="2697"/>
        <v xml:space="preserve"> </v>
      </c>
      <c r="MZ195" s="57" t="str">
        <f t="shared" si="2697"/>
        <v xml:space="preserve"> </v>
      </c>
      <c r="NA195" s="47" t="str">
        <f t="shared" si="2697"/>
        <v xml:space="preserve"> </v>
      </c>
      <c r="NB195" s="47" t="str">
        <f t="shared" si="2697"/>
        <v xml:space="preserve"> </v>
      </c>
      <c r="NC195" s="47" t="str">
        <f t="shared" si="2697"/>
        <v xml:space="preserve"> </v>
      </c>
      <c r="ND195" s="47" t="str">
        <f t="shared" si="2697"/>
        <v xml:space="preserve"> </v>
      </c>
      <c r="NE195" s="47" t="str">
        <f t="shared" si="2697"/>
        <v xml:space="preserve"> </v>
      </c>
      <c r="NF195" s="57" t="str">
        <f t="shared" si="2697"/>
        <v xml:space="preserve"> </v>
      </c>
      <c r="NG195" s="47" t="str">
        <f t="shared" si="2697"/>
        <v xml:space="preserve"> </v>
      </c>
      <c r="NH195" s="47" t="str">
        <f t="shared" si="2697"/>
        <v xml:space="preserve"> </v>
      </c>
      <c r="NI195" s="47" t="str">
        <f t="shared" si="2697"/>
        <v xml:space="preserve"> </v>
      </c>
      <c r="NJ195" s="47" t="str">
        <f t="shared" si="2697"/>
        <v xml:space="preserve"> </v>
      </c>
      <c r="NK195" s="47" t="str">
        <f t="shared" si="2697"/>
        <v xml:space="preserve"> </v>
      </c>
      <c r="NL195" s="57" t="str">
        <f t="shared" si="2697"/>
        <v xml:space="preserve"> </v>
      </c>
      <c r="NM195" s="47" t="str">
        <f t="shared" si="2697"/>
        <v xml:space="preserve"> </v>
      </c>
    </row>
    <row r="196" spans="2:377" ht="15.75" customHeight="1">
      <c r="C196" s="7" t="str">
        <f t="shared" si="841"/>
        <v>job creation</v>
      </c>
      <c r="D196" s="21" t="str">
        <f t="shared" si="2000"/>
        <v xml:space="preserve"> </v>
      </c>
      <c r="E196" s="21" t="str">
        <f t="shared" si="842"/>
        <v xml:space="preserve"> </v>
      </c>
      <c r="F196" s="21" t="str">
        <f t="shared" si="2000"/>
        <v xml:space="preserve"> </v>
      </c>
      <c r="G196" s="21" t="str">
        <f t="shared" si="843"/>
        <v xml:space="preserve"> </v>
      </c>
      <c r="H196" s="21" t="str">
        <f t="shared" si="844"/>
        <v xml:space="preserve"> </v>
      </c>
      <c r="I196" s="21" t="str">
        <f t="shared" ref="I196" si="2698">IF(I94="",I197,$C196&amp;"("&amp;I94&amp;"),"&amp;I197)</f>
        <v xml:space="preserve"> </v>
      </c>
      <c r="J196" s="21" t="str">
        <f t="shared" ref="J196" si="2699">IF(J94="",J197,$C196&amp;" "&amp;J94&amp;CHAR(10)&amp;J197)</f>
        <v xml:space="preserve"> </v>
      </c>
      <c r="K196" s="21" t="str">
        <f t="shared" si="654"/>
        <v xml:space="preserve"> </v>
      </c>
      <c r="L196" s="21" t="str">
        <f t="shared" ref="L196" si="2700">IF(L94="",L197,$C196&amp;" "&amp;L94&amp;CHAR(10)&amp;L197)</f>
        <v xml:space="preserve"> </v>
      </c>
      <c r="M196" s="21" t="str">
        <f t="shared" si="656"/>
        <v xml:space="preserve"> </v>
      </c>
      <c r="N196" s="21" t="str">
        <f t="shared" si="657"/>
        <v xml:space="preserve"> </v>
      </c>
      <c r="O196" s="21" t="str">
        <f t="shared" si="2004"/>
        <v xml:space="preserve"> </v>
      </c>
      <c r="P196" s="21" t="str">
        <f t="shared" ref="P196" si="2701">IF(P94="",P197,$C196&amp;" "&amp;P94&amp;CHAR(10)&amp;P197)</f>
        <v xml:space="preserve"> </v>
      </c>
      <c r="Q196" s="21" t="str">
        <f t="shared" si="660"/>
        <v xml:space="preserve"> </v>
      </c>
      <c r="R196" s="21" t="str">
        <f t="shared" ref="R196" si="2702">IF(R94="",R197,$C196&amp;" "&amp;R94&amp;CHAR(10)&amp;R197)</f>
        <v xml:space="preserve"> </v>
      </c>
      <c r="S196" s="21" t="str">
        <f t="shared" si="662"/>
        <v xml:space="preserve">business(1), start-up(1),  </v>
      </c>
      <c r="T196" s="21" t="str">
        <f t="shared" si="663"/>
        <v xml:space="preserve"> </v>
      </c>
      <c r="U196" s="21" t="str">
        <f t="shared" si="2004"/>
        <v xml:space="preserve"> </v>
      </c>
      <c r="V196" s="21" t="str">
        <f t="shared" ref="V196" si="2703">IF(V94="",V197,$C196&amp;" "&amp;V94&amp;CHAR(10)&amp;V197)</f>
        <v xml:space="preserve"> </v>
      </c>
      <c r="W196" s="21" t="str">
        <f t="shared" si="665"/>
        <v xml:space="preserve"> </v>
      </c>
      <c r="X196" s="21" t="str">
        <f t="shared" ref="X196" si="2704">IF(X94="",X197,$C196&amp;" "&amp;X94&amp;CHAR(10)&amp;X197)</f>
        <v xml:space="preserve"> </v>
      </c>
      <c r="Y196" s="21" t="str">
        <f t="shared" si="667"/>
        <v xml:space="preserve">job creation(1), business(1),  </v>
      </c>
      <c r="Z196" s="21" t="str">
        <f t="shared" si="668"/>
        <v xml:space="preserve"> </v>
      </c>
      <c r="AA196" s="21" t="str">
        <f t="shared" si="2004"/>
        <v xml:space="preserve"> </v>
      </c>
      <c r="AB196" s="21" t="str">
        <f t="shared" ref="AB196" si="2705">IF(AB94="",AB197,$C196&amp;" "&amp;AB94&amp;CHAR(10)&amp;AB197)</f>
        <v xml:space="preserve"> </v>
      </c>
      <c r="AC196" s="21" t="str">
        <f t="shared" si="670"/>
        <v xml:space="preserve"> </v>
      </c>
      <c r="AD196" s="21" t="str">
        <f t="shared" ref="AD196" si="2706">IF(AD94="",AD197,$C196&amp;" "&amp;AD94&amp;CHAR(10)&amp;AD197)</f>
        <v xml:space="preserve"> </v>
      </c>
      <c r="AE196" s="21" t="str">
        <f t="shared" si="672"/>
        <v xml:space="preserve"> </v>
      </c>
      <c r="AF196" s="21" t="str">
        <f t="shared" si="673"/>
        <v xml:space="preserve"> </v>
      </c>
      <c r="AG196" s="21" t="str">
        <f t="shared" si="2004"/>
        <v xml:space="preserve"> </v>
      </c>
      <c r="AH196" s="21" t="str">
        <f t="shared" ref="AH196" si="2707">IF(AH94="",AH197,$C196&amp;" "&amp;AH94&amp;CHAR(10)&amp;AH197)</f>
        <v xml:space="preserve"> </v>
      </c>
      <c r="AI196" s="21" t="str">
        <f t="shared" si="675"/>
        <v xml:space="preserve"> </v>
      </c>
      <c r="AJ196" s="21" t="str">
        <f t="shared" ref="AJ196" si="2708">IF(AJ94="",AJ197,$C196&amp;" "&amp;AJ94&amp;CHAR(10)&amp;AJ197)</f>
        <v xml:space="preserve"> </v>
      </c>
      <c r="AK196" s="21" t="str">
        <f t="shared" si="677"/>
        <v xml:space="preserve"> </v>
      </c>
      <c r="AL196" s="21" t="str">
        <f t="shared" si="678"/>
        <v xml:space="preserve"> </v>
      </c>
      <c r="AM196" s="21" t="str">
        <f t="shared" si="2004"/>
        <v xml:space="preserve"> </v>
      </c>
      <c r="AN196" s="21" t="str">
        <f t="shared" ref="AN196" si="2709">IF(AN94="",AN197,$C196&amp;" "&amp;AN94&amp;CHAR(10)&amp;AN197)</f>
        <v xml:space="preserve"> </v>
      </c>
      <c r="AO196" s="21" t="str">
        <f t="shared" si="680"/>
        <v xml:space="preserve"> </v>
      </c>
      <c r="AP196" s="21" t="str">
        <f t="shared" ref="AP196" si="2710">IF(AP94="",AP197,$C196&amp;" "&amp;AP94&amp;CHAR(10)&amp;AP197)</f>
        <v xml:space="preserve"> </v>
      </c>
      <c r="AQ196" s="21" t="str">
        <f t="shared" si="682"/>
        <v xml:space="preserve">start-up(1), start-up with mvp(1), start-up with customers(1),  </v>
      </c>
      <c r="AR196" s="21" t="str">
        <f t="shared" si="683"/>
        <v xml:space="preserve"> </v>
      </c>
      <c r="AS196" s="21" t="str">
        <f t="shared" si="2004"/>
        <v xml:space="preserve"> </v>
      </c>
      <c r="AT196" s="21" t="str">
        <f t="shared" ref="AT196" si="2711">IF(AT94="",AT197,$C196&amp;" "&amp;AT94&amp;CHAR(10)&amp;AT197)</f>
        <v xml:space="preserve"> </v>
      </c>
      <c r="AU196" s="21" t="str">
        <f t="shared" si="685"/>
        <v xml:space="preserve"> </v>
      </c>
      <c r="AV196" s="21" t="str">
        <f t="shared" ref="AV196" si="2712">IF(AV94="",AV197,$C196&amp;" "&amp;AV94&amp;CHAR(10)&amp;AV197)</f>
        <v xml:space="preserve"> </v>
      </c>
      <c r="AW196" s="21" t="str">
        <f t="shared" si="687"/>
        <v xml:space="preserve"> </v>
      </c>
      <c r="AX196" s="21" t="str">
        <f t="shared" si="688"/>
        <v xml:space="preserve"> </v>
      </c>
      <c r="AY196" s="21" t="str">
        <f t="shared" si="2004"/>
        <v xml:space="preserve"> </v>
      </c>
      <c r="AZ196" s="21" t="str">
        <f t="shared" ref="AZ196" si="2713">IF(AZ94="",AZ197,$C196&amp;" "&amp;AZ94&amp;CHAR(10)&amp;AZ197)</f>
        <v xml:space="preserve"> </v>
      </c>
      <c r="BA196" s="21" t="str">
        <f t="shared" si="690"/>
        <v xml:space="preserve"> </v>
      </c>
      <c r="BB196" s="21" t="str">
        <f t="shared" ref="BB196" si="2714">IF(BB94="",BB197,$C196&amp;" "&amp;BB94&amp;CHAR(10)&amp;BB197)</f>
        <v xml:space="preserve"> </v>
      </c>
      <c r="BC196" s="21" t="str">
        <f t="shared" si="692"/>
        <v xml:space="preserve"> </v>
      </c>
      <c r="BD196" s="21" t="str">
        <f t="shared" si="693"/>
        <v xml:space="preserve"> </v>
      </c>
      <c r="BE196" s="21" t="str">
        <f t="shared" si="2004"/>
        <v xml:space="preserve"> </v>
      </c>
      <c r="BF196" s="21" t="str">
        <f t="shared" ref="BF196" si="2715">IF(BF94="",BF197,$C196&amp;" "&amp;BF94&amp;CHAR(10)&amp;BF197)</f>
        <v xml:space="preserve"> </v>
      </c>
      <c r="BG196" s="21" t="str">
        <f t="shared" si="695"/>
        <v xml:space="preserve"> </v>
      </c>
      <c r="BH196" s="21" t="str">
        <f t="shared" ref="BH196" si="2716">IF(BH94="",BH197,$C196&amp;" "&amp;BH94&amp;CHAR(10)&amp;BH197)</f>
        <v xml:space="preserve"> </v>
      </c>
      <c r="BI196" s="21" t="str">
        <f t="shared" si="697"/>
        <v xml:space="preserve"> </v>
      </c>
      <c r="BJ196" s="21" t="str">
        <f t="shared" si="698"/>
        <v xml:space="preserve"> </v>
      </c>
      <c r="BK196" s="21" t="str">
        <f t="shared" si="2004"/>
        <v xml:space="preserve"> </v>
      </c>
      <c r="BL196" s="21" t="str">
        <f t="shared" ref="BL196" si="2717">IF(BL94="",BL197,$C196&amp;" "&amp;BL94&amp;CHAR(10)&amp;BL197)</f>
        <v xml:space="preserve"> </v>
      </c>
      <c r="BM196" s="21" t="str">
        <f t="shared" si="700"/>
        <v xml:space="preserve"> </v>
      </c>
      <c r="BN196" s="21" t="str">
        <f t="shared" ref="BN196" si="2718">IF(BN94="",BN197,$C196&amp;" "&amp;BN94&amp;CHAR(10)&amp;BN197)</f>
        <v xml:space="preserve"> </v>
      </c>
      <c r="BO196" s="21" t="str">
        <f t="shared" si="702"/>
        <v xml:space="preserve"> </v>
      </c>
      <c r="BP196" s="21" t="str">
        <f t="shared" si="703"/>
        <v xml:space="preserve"> </v>
      </c>
      <c r="BQ196" s="21" t="str">
        <f t="shared" si="2004"/>
        <v xml:space="preserve"> </v>
      </c>
      <c r="BR196" s="21" t="str">
        <f t="shared" ref="BR196" si="2719">IF(BR94="",BR197,$C196&amp;" "&amp;BR94&amp;CHAR(10)&amp;BR197)</f>
        <v xml:space="preserve"> </v>
      </c>
      <c r="BS196" s="21" t="str">
        <f t="shared" si="705"/>
        <v xml:space="preserve"> </v>
      </c>
      <c r="BT196" s="21" t="str">
        <f t="shared" ref="BT196" si="2720">IF(BT94="",BT197,$C196&amp;" "&amp;BT94&amp;CHAR(10)&amp;BT197)</f>
        <v xml:space="preserve"> </v>
      </c>
      <c r="BU196" s="21" t="str">
        <f t="shared" si="707"/>
        <v xml:space="preserve"> </v>
      </c>
      <c r="BV196" s="21" t="str">
        <f t="shared" si="708"/>
        <v xml:space="preserve"> </v>
      </c>
      <c r="BW196" s="21" t="str">
        <f t="shared" si="2004"/>
        <v xml:space="preserve"> </v>
      </c>
      <c r="BX196" s="21" t="str">
        <f t="shared" ref="BX196" si="2721">IF(BX94="",BX197,$C196&amp;" "&amp;BX94&amp;CHAR(10)&amp;BX197)</f>
        <v xml:space="preserve"> </v>
      </c>
      <c r="BY196" s="21" t="str">
        <f t="shared" si="710"/>
        <v xml:space="preserve"> </v>
      </c>
      <c r="BZ196" s="21" t="str">
        <f t="shared" ref="BZ196" si="2722">IF(BZ94="",BZ197,$C196&amp;" "&amp;BZ94&amp;CHAR(10)&amp;BZ197)</f>
        <v xml:space="preserve"> </v>
      </c>
      <c r="CA196" s="21" t="str">
        <f t="shared" si="712"/>
        <v xml:space="preserve"> </v>
      </c>
      <c r="CB196" s="21" t="str">
        <f t="shared" si="713"/>
        <v xml:space="preserve"> </v>
      </c>
      <c r="CC196" s="21" t="str">
        <f t="shared" si="2027"/>
        <v xml:space="preserve"> </v>
      </c>
      <c r="CD196" s="21" t="str">
        <f t="shared" ref="CD196" si="2723">IF(CD94="",CD197,$C196&amp;" "&amp;CD94&amp;CHAR(10)&amp;CD197)</f>
        <v xml:space="preserve"> </v>
      </c>
      <c r="CE196" s="21" t="str">
        <f t="shared" si="716"/>
        <v xml:space="preserve"> </v>
      </c>
      <c r="CF196" s="21" t="str">
        <f t="shared" ref="CF196" si="2724">IF(CF94="",CF197,$C196&amp;" "&amp;CF94&amp;CHAR(10)&amp;CF197)</f>
        <v xml:space="preserve"> </v>
      </c>
      <c r="CG196" s="21" t="str">
        <f t="shared" si="718"/>
        <v xml:space="preserve">for basic literacy(1), for the elites(1), for entrepreneurs(1),  </v>
      </c>
      <c r="CH196" s="21" t="str">
        <f t="shared" si="719"/>
        <v xml:space="preserve"> </v>
      </c>
      <c r="CI196" s="21" t="str">
        <f t="shared" si="2027"/>
        <v xml:space="preserve"> </v>
      </c>
      <c r="CJ196" s="21" t="str">
        <f t="shared" ref="CJ196" si="2725">IF(CJ94="",CJ197,$C196&amp;" "&amp;CJ94&amp;CHAR(10)&amp;CJ197)</f>
        <v xml:space="preserve"> </v>
      </c>
      <c r="CK196" s="21" t="str">
        <f t="shared" si="721"/>
        <v xml:space="preserve"> </v>
      </c>
      <c r="CL196" s="21" t="str">
        <f t="shared" ref="CL196" si="2726">IF(CL94="",CL197,$C196&amp;" "&amp;CL94&amp;CHAR(10)&amp;CL197)</f>
        <v xml:space="preserve"> </v>
      </c>
      <c r="CM196" s="21" t="str">
        <f t="shared" si="723"/>
        <v xml:space="preserve"> </v>
      </c>
      <c r="CN196" s="21" t="str">
        <f t="shared" si="724"/>
        <v xml:space="preserve"> </v>
      </c>
      <c r="CO196" s="21" t="str">
        <f t="shared" si="2027"/>
        <v xml:space="preserve"> </v>
      </c>
      <c r="CP196" s="21" t="str">
        <f t="shared" ref="CP196" si="2727">IF(CP94="",CP197,$C196&amp;" "&amp;CP94&amp;CHAR(10)&amp;CP197)</f>
        <v xml:space="preserve"> </v>
      </c>
      <c r="CQ196" s="21" t="str">
        <f t="shared" si="726"/>
        <v xml:space="preserve"> </v>
      </c>
      <c r="CR196" s="21" t="str">
        <f t="shared" ref="CR196" si="2728">IF(CR94="",CR197,$C196&amp;" "&amp;CR94&amp;CHAR(10)&amp;CR197)</f>
        <v xml:space="preserve"> </v>
      </c>
      <c r="CS196" s="21" t="str">
        <f t="shared" si="728"/>
        <v xml:space="preserve"> </v>
      </c>
      <c r="CT196" s="21" t="str">
        <f t="shared" si="729"/>
        <v xml:space="preserve"> </v>
      </c>
      <c r="CU196" s="21" t="str">
        <f t="shared" si="2027"/>
        <v xml:space="preserve"> </v>
      </c>
      <c r="CV196" s="21" t="str">
        <f t="shared" ref="CV196" si="2729">IF(CV94="",CV197,$C196&amp;" "&amp;CV94&amp;CHAR(10)&amp;CV197)</f>
        <v xml:space="preserve"> </v>
      </c>
      <c r="CW196" s="21" t="str">
        <f t="shared" si="731"/>
        <v xml:space="preserve"> </v>
      </c>
      <c r="CX196" s="21" t="str">
        <f t="shared" ref="CX196" si="2730">IF(CX94="",CX197,$C196&amp;" "&amp;CX94&amp;CHAR(10)&amp;CX197)</f>
        <v xml:space="preserve"> </v>
      </c>
      <c r="CY196" s="21" t="str">
        <f t="shared" si="733"/>
        <v xml:space="preserve"> </v>
      </c>
      <c r="CZ196" s="21" t="str">
        <f t="shared" si="734"/>
        <v xml:space="preserve"> </v>
      </c>
      <c r="DA196" s="21" t="str">
        <f t="shared" si="2027"/>
        <v xml:space="preserve"> </v>
      </c>
      <c r="DB196" s="21" t="str">
        <f t="shared" ref="DB196" si="2731">IF(DB94="",DB197,$C196&amp;" "&amp;DB94&amp;CHAR(10)&amp;DB197)</f>
        <v xml:space="preserve"> </v>
      </c>
      <c r="DC196" s="21" t="str">
        <f t="shared" si="736"/>
        <v xml:space="preserve"> </v>
      </c>
      <c r="DD196" s="21" t="str">
        <f t="shared" ref="DD196" si="2732">IF(DD94="",DD197,$C196&amp;" "&amp;DD94&amp;CHAR(10)&amp;DD197)</f>
        <v xml:space="preserve"> </v>
      </c>
      <c r="DE196" s="21" t="str">
        <f t="shared" si="738"/>
        <v xml:space="preserve">job creation(1), business(1), start-up(1), start-up with mvp(1), start-up with customers(1), for entrepreneurs(2),  </v>
      </c>
      <c r="DF196" s="21" t="str">
        <f t="shared" si="739"/>
        <v xml:space="preserve"> </v>
      </c>
      <c r="DG196" s="21" t="str">
        <f t="shared" si="2027"/>
        <v xml:space="preserve"> </v>
      </c>
      <c r="DH196" s="21" t="str">
        <f t="shared" ref="DH196" si="2733">IF(DH94="",DH197,$C196&amp;" "&amp;DH94&amp;CHAR(10)&amp;DH197)</f>
        <v xml:space="preserve"> </v>
      </c>
      <c r="DI196" s="21" t="str">
        <f t="shared" si="741"/>
        <v xml:space="preserve"> </v>
      </c>
      <c r="DJ196" s="21" t="str">
        <f t="shared" ref="DJ196" si="2734">IF(DJ94="",DJ197,$C196&amp;" "&amp;DJ94&amp;CHAR(10)&amp;DJ197)</f>
        <v xml:space="preserve"> </v>
      </c>
      <c r="DK196" s="21" t="str">
        <f t="shared" si="743"/>
        <v xml:space="preserve"> </v>
      </c>
      <c r="DL196" s="21" t="str">
        <f t="shared" si="744"/>
        <v xml:space="preserve"> </v>
      </c>
      <c r="DM196" s="21" t="str">
        <f t="shared" si="2027"/>
        <v xml:space="preserve"> </v>
      </c>
      <c r="DN196" s="21" t="str">
        <f t="shared" ref="DN196" si="2735">IF(DN94="",DN197,$C196&amp;" "&amp;DN94&amp;CHAR(10)&amp;DN197)</f>
        <v xml:space="preserve"> </v>
      </c>
      <c r="DO196" s="21" t="str">
        <f t="shared" si="746"/>
        <v xml:space="preserve"> </v>
      </c>
      <c r="DP196" s="21" t="str">
        <f t="shared" ref="DP196" si="2736">IF(DP94="",DP197,$C196&amp;" "&amp;DP94&amp;CHAR(10)&amp;DP197)</f>
        <v xml:space="preserve"> </v>
      </c>
      <c r="DQ196" s="21" t="str">
        <f t="shared" si="748"/>
        <v xml:space="preserve">job creation(1), business(1), start-up(1), start-up with mvp(1), start-up with customers(1), for entrepreneurs(1),  </v>
      </c>
      <c r="DR196" s="21" t="str">
        <f t="shared" si="749"/>
        <v xml:space="preserve"> </v>
      </c>
      <c r="DS196" s="21" t="str">
        <f t="shared" si="2027"/>
        <v xml:space="preserve"> </v>
      </c>
      <c r="DT196" s="21" t="str">
        <f t="shared" ref="DT196" si="2737">IF(DT94="",DT197,$C196&amp;" "&amp;DT94&amp;CHAR(10)&amp;DT197)</f>
        <v xml:space="preserve"> </v>
      </c>
      <c r="DU196" s="21" t="str">
        <f t="shared" si="751"/>
        <v xml:space="preserve"> </v>
      </c>
      <c r="DV196" s="21" t="str">
        <f t="shared" ref="DV196" si="2738">IF(DV94="",DV197,$C196&amp;" "&amp;DV94&amp;CHAR(10)&amp;DV197)</f>
        <v xml:space="preserve"> </v>
      </c>
      <c r="DW196" s="21" t="str">
        <f t="shared" si="753"/>
        <v xml:space="preserve">for basic literacy(1),  </v>
      </c>
      <c r="DX196" s="21" t="str">
        <f t="shared" si="754"/>
        <v xml:space="preserve">for basic literacy(1,6.25),  </v>
      </c>
      <c r="DY196" s="21" t="str">
        <f t="shared" si="2027"/>
        <v xml:space="preserve">for basic literacy(6.25), </v>
      </c>
      <c r="DZ196" s="21" t="str">
        <f t="shared" ref="DZ196" si="2739">IF(DZ94="",DZ197,$C196&amp;" "&amp;DZ94&amp;CHAR(10)&amp;DZ197)</f>
        <v xml:space="preserve"> </v>
      </c>
      <c r="EA196" s="21" t="str">
        <f t="shared" si="756"/>
        <v xml:space="preserve"> </v>
      </c>
      <c r="EB196" s="21" t="str">
        <f t="shared" ref="EB196" si="2740">IF(EB94="",EB197,$C196&amp;" "&amp;EB94&amp;CHAR(10)&amp;EB197)</f>
        <v xml:space="preserve"> </v>
      </c>
      <c r="EC196" s="21" t="str">
        <f t="shared" si="758"/>
        <v xml:space="preserve">for basic literacy(1),  </v>
      </c>
      <c r="ED196" s="21" t="str">
        <f t="shared" si="759"/>
        <v xml:space="preserve">for basic literacy(1,6.25),  </v>
      </c>
      <c r="EE196" s="21" t="str">
        <f t="shared" si="2027"/>
        <v xml:space="preserve">for basic literacy(6.25), </v>
      </c>
      <c r="EF196" s="21" t="str">
        <f t="shared" ref="EF196" si="2741">IF(EF94="",EF197,$C196&amp;" "&amp;EF94&amp;CHAR(10)&amp;EF197)</f>
        <v xml:space="preserve"> </v>
      </c>
      <c r="EG196" s="21" t="str">
        <f t="shared" si="761"/>
        <v xml:space="preserve"> </v>
      </c>
      <c r="EH196" s="21" t="str">
        <f t="shared" ref="EH196" si="2742">IF(EH94="",EH197,$C196&amp;" "&amp;EH94&amp;CHAR(10)&amp;EH197)</f>
        <v xml:space="preserve"> </v>
      </c>
      <c r="EI196" s="21" t="str">
        <f t="shared" si="763"/>
        <v xml:space="preserve">for entrepreneurs(1),  </v>
      </c>
      <c r="EJ196" s="21" t="str">
        <f t="shared" si="764"/>
        <v xml:space="preserve">for entrepreneurs(1,6.25),  </v>
      </c>
      <c r="EK196" s="21" t="str">
        <f t="shared" si="2027"/>
        <v xml:space="preserve">for entrepreneurs(6.25), </v>
      </c>
      <c r="EL196" s="21" t="str">
        <f t="shared" ref="EL196" si="2743">IF(EL94="",EL197,$C196&amp;" "&amp;EL94&amp;CHAR(10)&amp;EL197)</f>
        <v xml:space="preserve"> </v>
      </c>
      <c r="EM196" s="21" t="str">
        <f t="shared" si="766"/>
        <v xml:space="preserve"> </v>
      </c>
      <c r="EN196" s="21" t="str">
        <f t="shared" ref="EN196" si="2744">IF(EN94="",EN197,$C196&amp;" "&amp;EN94&amp;CHAR(10)&amp;EN197)</f>
        <v xml:space="preserve"> </v>
      </c>
      <c r="EO196" s="21" t="str">
        <f t="shared" si="768"/>
        <v xml:space="preserve">for entrepreneurs(1),  </v>
      </c>
      <c r="EP196" s="21" t="str">
        <f t="shared" si="769"/>
        <v xml:space="preserve">for entrepreneurs(1,6.25),  </v>
      </c>
      <c r="EQ196" s="21" t="str">
        <f t="shared" si="2050"/>
        <v xml:space="preserve">for entrepreneurs(6.25), </v>
      </c>
      <c r="ER196" s="21" t="str">
        <f t="shared" ref="ER196" si="2745">IF(ER94="",ER197,$C196&amp;" "&amp;ER94&amp;CHAR(10)&amp;ER197)</f>
        <v xml:space="preserve"> </v>
      </c>
      <c r="ES196" s="21" t="str">
        <f t="shared" si="772"/>
        <v xml:space="preserve"> </v>
      </c>
      <c r="ET196" s="21" t="str">
        <f t="shared" ref="ET196" si="2746">IF(ET94="",ET197,$C196&amp;" "&amp;ET94&amp;CHAR(10)&amp;ET197)</f>
        <v xml:space="preserve"> </v>
      </c>
      <c r="EU196" s="21" t="str">
        <f t="shared" si="774"/>
        <v xml:space="preserve">for entrepreneurs(1),  </v>
      </c>
      <c r="EV196" s="21" t="str">
        <f t="shared" si="775"/>
        <v xml:space="preserve">for entrepreneurs(1,6.25),  </v>
      </c>
      <c r="EW196" s="21" t="str">
        <f t="shared" si="2050"/>
        <v xml:space="preserve">for entrepreneurs(6.25), </v>
      </c>
      <c r="EX196" s="21" t="str">
        <f t="shared" ref="EX196" si="2747">IF(EX94="",EX197,$C196&amp;" "&amp;EX94&amp;CHAR(10)&amp;EX197)</f>
        <v xml:space="preserve"> </v>
      </c>
      <c r="EY196" s="21" t="str">
        <f t="shared" si="777"/>
        <v xml:space="preserve"> </v>
      </c>
      <c r="EZ196" s="21" t="str">
        <f t="shared" ref="EZ196" si="2748">IF(EZ94="",EZ197,$C196&amp;" "&amp;EZ94&amp;CHAR(10)&amp;EZ197)</f>
        <v xml:space="preserve"> </v>
      </c>
      <c r="FA196" s="21" t="str">
        <f t="shared" si="779"/>
        <v xml:space="preserve">for entrepreneurs(1),  </v>
      </c>
      <c r="FB196" s="21" t="str">
        <f t="shared" si="780"/>
        <v xml:space="preserve">for entrepreneurs(1,6.25),  </v>
      </c>
      <c r="FC196" s="21" t="str">
        <f t="shared" si="2050"/>
        <v xml:space="preserve">for entrepreneurs(6.25), </v>
      </c>
      <c r="FD196" s="21" t="str">
        <f t="shared" ref="FD196" si="2749">IF(FD94="",FD197,$C196&amp;" "&amp;FD94&amp;CHAR(10)&amp;FD197)</f>
        <v xml:space="preserve"> </v>
      </c>
      <c r="FE196" s="21" t="str">
        <f t="shared" si="782"/>
        <v xml:space="preserve"> </v>
      </c>
      <c r="FF196" s="21" t="str">
        <f t="shared" ref="FF196" si="2750">IF(FF94="",FF197,$C196&amp;" "&amp;FF94&amp;CHAR(10)&amp;FF197)</f>
        <v xml:space="preserve"> </v>
      </c>
      <c r="FG196" s="21" t="str">
        <f t="shared" si="784"/>
        <v xml:space="preserve">for entrepreneurs(1),  </v>
      </c>
      <c r="FH196" s="21" t="str">
        <f t="shared" si="785"/>
        <v xml:space="preserve">for entrepreneurs(1,6.25),  </v>
      </c>
      <c r="FI196" s="21" t="str">
        <f t="shared" si="2050"/>
        <v xml:space="preserve">for entrepreneurs(6.25), </v>
      </c>
      <c r="FJ196" s="21" t="str">
        <f t="shared" ref="FJ196" si="2751">IF(FJ94="",FJ197,$C196&amp;" "&amp;FJ94&amp;CHAR(10)&amp;FJ197)</f>
        <v xml:space="preserve"> </v>
      </c>
      <c r="FK196" s="21" t="str">
        <f t="shared" si="787"/>
        <v xml:space="preserve"> </v>
      </c>
      <c r="FL196" s="21" t="str">
        <f t="shared" ref="FL196" si="2752">IF(FL94="",FL197,$C196&amp;" "&amp;FL94&amp;CHAR(10)&amp;FL197)</f>
        <v xml:space="preserve"> </v>
      </c>
      <c r="FM196" s="21" t="str">
        <f t="shared" si="789"/>
        <v xml:space="preserve">for entrepreneurs(1),  </v>
      </c>
      <c r="FN196" s="21" t="str">
        <f t="shared" si="790"/>
        <v xml:space="preserve">for entrepreneurs(1,6.25),  </v>
      </c>
      <c r="FO196" s="21" t="str">
        <f t="shared" si="2050"/>
        <v xml:space="preserve">for entrepreneurs(6.25), </v>
      </c>
      <c r="FP196" s="21" t="str">
        <f t="shared" ref="FP196" si="2753">IF(FP94="",FP197,$C196&amp;" "&amp;FP94&amp;CHAR(10)&amp;FP197)</f>
        <v xml:space="preserve"> </v>
      </c>
      <c r="FQ196" s="21" t="str">
        <f t="shared" si="792"/>
        <v xml:space="preserve"> </v>
      </c>
      <c r="FR196" s="21" t="str">
        <f t="shared" ref="FR196" si="2754">IF(FR94="",FR197,$C196&amp;" "&amp;FR94&amp;CHAR(10)&amp;FR197)</f>
        <v xml:space="preserve"> </v>
      </c>
      <c r="FS196" s="21" t="str">
        <f t="shared" si="794"/>
        <v xml:space="preserve">for entrepreneurs(1),  </v>
      </c>
      <c r="FT196" s="21" t="str">
        <f t="shared" si="795"/>
        <v xml:space="preserve">for entrepreneurs(1,6.25),  </v>
      </c>
      <c r="FU196" s="21" t="str">
        <f t="shared" si="2050"/>
        <v xml:space="preserve">for entrepreneurs(6.25), </v>
      </c>
      <c r="FV196" s="21" t="str">
        <f t="shared" ref="FV196" si="2755">IF(FV94="",FV197,$C196&amp;" "&amp;FV94&amp;CHAR(10)&amp;FV197)</f>
        <v xml:space="preserve"> </v>
      </c>
      <c r="FW196" s="21" t="str">
        <f t="shared" si="797"/>
        <v xml:space="preserve"> </v>
      </c>
      <c r="FX196" s="21" t="str">
        <f t="shared" ref="FX196" si="2756">IF(FX94="",FX197,$C196&amp;" "&amp;FX94&amp;CHAR(10)&amp;FX197)</f>
        <v xml:space="preserve"> </v>
      </c>
      <c r="FY196" s="21" t="str">
        <f t="shared" si="799"/>
        <v xml:space="preserve">for entrepreneurs(1),  </v>
      </c>
      <c r="FZ196" s="21" t="str">
        <f t="shared" si="800"/>
        <v xml:space="preserve">for entrepreneurs(1,6.25),  </v>
      </c>
      <c r="GA196" s="21" t="str">
        <f t="shared" si="2050"/>
        <v xml:space="preserve">for entrepreneurs(6.25), </v>
      </c>
      <c r="GB196" s="21" t="str">
        <f t="shared" ref="GB196" si="2757">IF(GB94="",GB197,$C196&amp;" "&amp;GB94&amp;CHAR(10)&amp;GB197)</f>
        <v xml:space="preserve"> </v>
      </c>
      <c r="GC196" s="21" t="str">
        <f t="shared" si="802"/>
        <v xml:space="preserve"> </v>
      </c>
      <c r="GD196" s="21" t="str">
        <f t="shared" ref="GD196" si="2758">IF(GD94="",GD197,$C196&amp;" "&amp;GD94&amp;CHAR(10)&amp;GD197)</f>
        <v xml:space="preserve"> </v>
      </c>
      <c r="GE196" s="21" t="str">
        <f t="shared" si="804"/>
        <v xml:space="preserve">for entrepreneurs(1),  </v>
      </c>
      <c r="GF196" s="21" t="str">
        <f t="shared" si="805"/>
        <v xml:space="preserve">for entrepreneurs(1,6.25),  </v>
      </c>
      <c r="GG196" s="21" t="str">
        <f t="shared" si="2050"/>
        <v xml:space="preserve">for entrepreneurs(6.25), </v>
      </c>
      <c r="GH196" s="21" t="str">
        <f t="shared" ref="GH196" si="2759">IF(GH94="",GH197,$C196&amp;" "&amp;GH94&amp;CHAR(10)&amp;GH197)</f>
        <v xml:space="preserve"> </v>
      </c>
      <c r="GI196" s="21" t="str">
        <f t="shared" si="807"/>
        <v xml:space="preserve"> </v>
      </c>
      <c r="GJ196" s="21" t="str">
        <f t="shared" ref="GJ196" si="2760">IF(GJ94="",GJ197,$C196&amp;" "&amp;GJ94&amp;CHAR(10)&amp;GJ197)</f>
        <v xml:space="preserve"> </v>
      </c>
      <c r="GK196" s="21" t="str">
        <f t="shared" si="809"/>
        <v xml:space="preserve">for entrepreneurs(1),  </v>
      </c>
      <c r="GL196" s="21" t="str">
        <f t="shared" si="810"/>
        <v xml:space="preserve">for entrepreneurs(1,6.25),  </v>
      </c>
      <c r="GM196" s="21" t="str">
        <f t="shared" si="2050"/>
        <v xml:space="preserve">for entrepreneurs(6.25), </v>
      </c>
      <c r="GN196" s="21" t="str">
        <f t="shared" ref="GN196" si="2761">IF(GN94="",GN197,$C196&amp;" "&amp;GN94&amp;CHAR(10)&amp;GN197)</f>
        <v xml:space="preserve"> </v>
      </c>
      <c r="GO196" s="21" t="str">
        <f t="shared" si="812"/>
        <v xml:space="preserve"> </v>
      </c>
      <c r="GP196" s="21" t="str">
        <f t="shared" ref="GP196" si="2762">IF(GP94="",GP197,$C196&amp;" "&amp;GP94&amp;CHAR(10)&amp;GP197)</f>
        <v xml:space="preserve"> </v>
      </c>
      <c r="GQ196" s="21" t="str">
        <f t="shared" si="814"/>
        <v xml:space="preserve">for entrepreneurs(1),  </v>
      </c>
      <c r="GR196" s="21" t="str">
        <f t="shared" si="815"/>
        <v xml:space="preserve">for entrepreneurs(1,6.25),  </v>
      </c>
      <c r="GS196" s="21" t="str">
        <f t="shared" si="2050"/>
        <v xml:space="preserve">for entrepreneurs(6.25), </v>
      </c>
      <c r="GT196" s="21" t="str">
        <f t="shared" ref="GT196" si="2763">IF(GT94="",GT197,$C196&amp;" "&amp;GT94&amp;CHAR(10)&amp;GT197)</f>
        <v xml:space="preserve"> </v>
      </c>
      <c r="GU196" s="21" t="str">
        <f t="shared" si="817"/>
        <v xml:space="preserve"> </v>
      </c>
      <c r="GV196" s="21" t="str">
        <f t="shared" ref="GV196" si="2764">IF(GV94="",GV197,$C196&amp;" "&amp;GV94&amp;CHAR(10)&amp;GV197)</f>
        <v xml:space="preserve"> </v>
      </c>
      <c r="GW196" s="21" t="str">
        <f t="shared" si="819"/>
        <v xml:space="preserve"> </v>
      </c>
      <c r="GX196" s="21" t="str">
        <f t="shared" si="820"/>
        <v xml:space="preserve"> </v>
      </c>
      <c r="GY196" s="21" t="str">
        <f t="shared" si="2050"/>
        <v xml:space="preserve"> </v>
      </c>
      <c r="GZ196" s="21" t="str">
        <f t="shared" ref="GZ196" si="2765">IF(GZ94="",GZ197,$C196&amp;" "&amp;GZ94&amp;CHAR(10)&amp;GZ197)</f>
        <v xml:space="preserve"> </v>
      </c>
      <c r="HA196" s="21" t="str">
        <f t="shared" si="822"/>
        <v xml:space="preserve"> </v>
      </c>
      <c r="HB196" s="21" t="str">
        <f t="shared" ref="HB196" si="2766">IF(HB94="",HB197,$C196&amp;" "&amp;HB94&amp;CHAR(10)&amp;HB197)</f>
        <v xml:space="preserve"> </v>
      </c>
      <c r="HC196" s="21" t="str">
        <f t="shared" si="824"/>
        <v xml:space="preserve"> </v>
      </c>
      <c r="HD196" s="21" t="str">
        <f t="shared" si="825"/>
        <v xml:space="preserve">start-up with customers(1,6.25), for basic literacy(1,6.25),  </v>
      </c>
      <c r="HE196" s="21" t="str">
        <f t="shared" si="2073"/>
        <v xml:space="preserve">start-up with customers(6.25),for basic literacy(6.25), </v>
      </c>
      <c r="HF196" s="21" t="str">
        <f t="shared" ref="HF196" si="2767">IF(HF94="",HF197,$C196&amp;" "&amp;HF94&amp;CHAR(10)&amp;HF197)</f>
        <v xml:space="preserve"> </v>
      </c>
      <c r="HG196" s="21" t="str">
        <f t="shared" si="828"/>
        <v xml:space="preserve"> </v>
      </c>
      <c r="HH196" s="21" t="str">
        <f t="shared" ref="HH196" si="2768">IF(HH94="",HH197,$C196&amp;" "&amp;HH94&amp;CHAR(10)&amp;HH197)</f>
        <v xml:space="preserve"> </v>
      </c>
      <c r="HI196" s="21" t="str">
        <f t="shared" si="830"/>
        <v xml:space="preserve"> </v>
      </c>
      <c r="HJ196" s="21" t="str">
        <f t="shared" si="831"/>
        <v xml:space="preserve">start-up with customers(1,6.25),  </v>
      </c>
      <c r="HK196" s="21" t="str">
        <f t="shared" si="2073"/>
        <v xml:space="preserve">start-up with customers(6.25), </v>
      </c>
      <c r="HL196" s="21" t="str">
        <f t="shared" ref="HL196" si="2769">IF(HL94="",HL197,$C196&amp;" "&amp;HL94&amp;CHAR(10)&amp;HL197)</f>
        <v xml:space="preserve"> </v>
      </c>
      <c r="HM196" s="21" t="str">
        <f t="shared" si="833"/>
        <v xml:space="preserve"> </v>
      </c>
      <c r="HN196" s="21" t="str">
        <f t="shared" ref="HN196" si="2770">IF(HN94="",HN197,$C196&amp;" "&amp;HN94&amp;CHAR(10)&amp;HN197)</f>
        <v xml:space="preserve"> </v>
      </c>
      <c r="HO196" s="21" t="str">
        <f t="shared" si="835"/>
        <v xml:space="preserve"> </v>
      </c>
      <c r="HP196" s="21" t="str">
        <f t="shared" si="836"/>
        <v xml:space="preserve"> </v>
      </c>
      <c r="HQ196" s="47" t="str">
        <f t="shared" si="2073"/>
        <v xml:space="preserve"> </v>
      </c>
      <c r="HR196" s="47" t="str">
        <f t="shared" ref="HR196:HW196" si="2771">IF(HR94="",HR197,$C196&amp;"("&amp;HR94&amp;"),"&amp;HR197)</f>
        <v xml:space="preserve"> </v>
      </c>
      <c r="HS196" s="47" t="str">
        <f t="shared" si="2771"/>
        <v xml:space="preserve"> </v>
      </c>
      <c r="HT196" s="47" t="str">
        <f t="shared" si="2771"/>
        <v xml:space="preserve"> </v>
      </c>
      <c r="HU196" s="47" t="str">
        <f t="shared" si="2771"/>
        <v xml:space="preserve">start-up with mvp(1), </v>
      </c>
      <c r="HV196" s="47" t="str">
        <f t="shared" si="2771"/>
        <v xml:space="preserve"> </v>
      </c>
      <c r="HW196" s="47" t="str">
        <f t="shared" si="2771"/>
        <v xml:space="preserve"> </v>
      </c>
      <c r="HX196" s="47" t="str">
        <f t="shared" ref="HX196:IU196" si="2772">IF(HX94="",HX197,$C196&amp;"("&amp;HX94&amp;"),"&amp;HX197)</f>
        <v xml:space="preserve"> </v>
      </c>
      <c r="HY196" s="47" t="str">
        <f t="shared" si="2772"/>
        <v xml:space="preserve"> </v>
      </c>
      <c r="HZ196" s="47" t="str">
        <f t="shared" si="2772"/>
        <v xml:space="preserve"> </v>
      </c>
      <c r="IA196" s="47" t="str">
        <f t="shared" si="2772"/>
        <v xml:space="preserve"> </v>
      </c>
      <c r="IB196" s="47" t="str">
        <f t="shared" si="2772"/>
        <v xml:space="preserve"> </v>
      </c>
      <c r="IC196" s="47" t="str">
        <f t="shared" si="2772"/>
        <v xml:space="preserve"> </v>
      </c>
      <c r="ID196" s="47" t="str">
        <f t="shared" si="2772"/>
        <v xml:space="preserve"> </v>
      </c>
      <c r="IE196" s="47" t="str">
        <f t="shared" si="2772"/>
        <v xml:space="preserve"> </v>
      </c>
      <c r="IF196" s="47" t="str">
        <f t="shared" si="2772"/>
        <v xml:space="preserve"> </v>
      </c>
      <c r="IG196" s="47" t="str">
        <f t="shared" si="2772"/>
        <v xml:space="preserve"> </v>
      </c>
      <c r="IH196" s="47" t="str">
        <f t="shared" si="2772"/>
        <v xml:space="preserve"> </v>
      </c>
      <c r="II196" s="47" t="str">
        <f t="shared" si="2772"/>
        <v xml:space="preserve"> </v>
      </c>
      <c r="IJ196" s="47" t="str">
        <f t="shared" si="2772"/>
        <v xml:space="preserve"> </v>
      </c>
      <c r="IK196" s="47" t="str">
        <f t="shared" si="2772"/>
        <v xml:space="preserve"> </v>
      </c>
      <c r="IL196" s="47" t="str">
        <f t="shared" si="2772"/>
        <v xml:space="preserve"> </v>
      </c>
      <c r="IM196" s="47" t="str">
        <f t="shared" si="2772"/>
        <v xml:space="preserve"> </v>
      </c>
      <c r="IN196" s="47" t="str">
        <f t="shared" si="2772"/>
        <v xml:space="preserve"> </v>
      </c>
      <c r="IO196" s="47" t="str">
        <f t="shared" si="2772"/>
        <v xml:space="preserve"> </v>
      </c>
      <c r="IP196" s="57" t="str">
        <f t="shared" si="2772"/>
        <v xml:space="preserve"> </v>
      </c>
      <c r="IQ196" s="47" t="str">
        <f t="shared" si="2772"/>
        <v xml:space="preserve"> </v>
      </c>
      <c r="IR196" s="47" t="str">
        <f t="shared" si="2772"/>
        <v xml:space="preserve"> </v>
      </c>
      <c r="IS196" s="47" t="str">
        <f t="shared" si="2772"/>
        <v xml:space="preserve"> </v>
      </c>
      <c r="IT196" s="47" t="str">
        <f t="shared" si="2772"/>
        <v xml:space="preserve"> </v>
      </c>
      <c r="IU196" s="47" t="str">
        <f t="shared" si="2772"/>
        <v xml:space="preserve"> </v>
      </c>
      <c r="IV196" s="57" t="str">
        <f t="shared" ref="IV196:LG196" si="2773">IF(IV94="",IV197,$C196&amp;"("&amp;IV94&amp;"),"&amp;IV197)</f>
        <v xml:space="preserve"> </v>
      </c>
      <c r="IW196" s="47" t="str">
        <f t="shared" si="2773"/>
        <v xml:space="preserve"> </v>
      </c>
      <c r="IX196" s="47" t="str">
        <f t="shared" si="2773"/>
        <v xml:space="preserve"> </v>
      </c>
      <c r="IY196" s="47" t="str">
        <f t="shared" si="2773"/>
        <v xml:space="preserve"> </v>
      </c>
      <c r="IZ196" s="47" t="str">
        <f t="shared" si="2773"/>
        <v xml:space="preserve"> </v>
      </c>
      <c r="JA196" s="47" t="str">
        <f t="shared" si="2773"/>
        <v xml:space="preserve"> </v>
      </c>
      <c r="JB196" s="47" t="str">
        <f t="shared" si="2773"/>
        <v xml:space="preserve"> </v>
      </c>
      <c r="JC196" s="47" t="str">
        <f t="shared" si="2773"/>
        <v xml:space="preserve"> </v>
      </c>
      <c r="JD196" s="47" t="str">
        <f t="shared" si="2773"/>
        <v xml:space="preserve"> </v>
      </c>
      <c r="JE196" s="47" t="str">
        <f t="shared" si="2773"/>
        <v xml:space="preserve"> </v>
      </c>
      <c r="JF196" s="47" t="str">
        <f t="shared" si="2773"/>
        <v xml:space="preserve"> </v>
      </c>
      <c r="JG196" s="47" t="str">
        <f t="shared" si="2773"/>
        <v xml:space="preserve"> </v>
      </c>
      <c r="JH196" s="47" t="str">
        <f t="shared" si="2773"/>
        <v xml:space="preserve"> </v>
      </c>
      <c r="JI196" s="47" t="str">
        <f t="shared" si="2773"/>
        <v xml:space="preserve"> </v>
      </c>
      <c r="JJ196" s="47" t="str">
        <f t="shared" si="2773"/>
        <v xml:space="preserve"> </v>
      </c>
      <c r="JK196" s="47" t="str">
        <f t="shared" si="2773"/>
        <v xml:space="preserve">job creation(1),business(1),start-up(1),start-up with mvp(1),start-up with customers(1),for basic literacy(1),for the elites(1),for entrepreneurs(1), </v>
      </c>
      <c r="JL196" s="47" t="str">
        <f t="shared" si="2773"/>
        <v xml:space="preserve"> </v>
      </c>
      <c r="JM196" s="47" t="str">
        <f t="shared" si="2773"/>
        <v xml:space="preserve"> </v>
      </c>
      <c r="JN196" s="47" t="str">
        <f t="shared" si="2773"/>
        <v xml:space="preserve"> </v>
      </c>
      <c r="JO196" s="47" t="str">
        <f t="shared" si="2773"/>
        <v xml:space="preserve"> </v>
      </c>
      <c r="JP196" s="47" t="str">
        <f t="shared" si="2773"/>
        <v xml:space="preserve"> </v>
      </c>
      <c r="JQ196" s="47" t="str">
        <f t="shared" si="2773"/>
        <v xml:space="preserve">job creation(1),business(1),start-up(1),start-up with mvp(1),start-up with customers(1),for basic literacy(1),for the elites(1),for entrepreneurs(1), </v>
      </c>
      <c r="JR196" s="47" t="str">
        <f t="shared" si="2773"/>
        <v xml:space="preserve"> </v>
      </c>
      <c r="JS196" s="47" t="str">
        <f t="shared" si="2773"/>
        <v xml:space="preserve"> </v>
      </c>
      <c r="JT196" s="47" t="str">
        <f t="shared" si="2773"/>
        <v xml:space="preserve"> </v>
      </c>
      <c r="JU196" s="47" t="str">
        <f t="shared" si="2773"/>
        <v xml:space="preserve"> </v>
      </c>
      <c r="JV196" s="47" t="str">
        <f t="shared" si="2773"/>
        <v xml:space="preserve"> </v>
      </c>
      <c r="JW196" s="47" t="str">
        <f t="shared" si="2773"/>
        <v xml:space="preserve">job creation(1),business(1),start-up(2),start-up with mvp(1),start-up with customers(1),for basic literacy(2),for the elites(1),for entrepreneurs(1), </v>
      </c>
      <c r="JX196" s="47" t="str">
        <f t="shared" si="2773"/>
        <v xml:space="preserve"> </v>
      </c>
      <c r="JY196" s="47" t="str">
        <f t="shared" si="2773"/>
        <v xml:space="preserve"> </v>
      </c>
      <c r="JZ196" s="47" t="str">
        <f t="shared" si="2773"/>
        <v xml:space="preserve"> </v>
      </c>
      <c r="KA196" s="47" t="str">
        <f t="shared" si="2773"/>
        <v xml:space="preserve"> </v>
      </c>
      <c r="KB196" s="47" t="str">
        <f t="shared" si="2773"/>
        <v xml:space="preserve"> </v>
      </c>
      <c r="KC196" s="47" t="str">
        <f t="shared" si="2773"/>
        <v xml:space="preserve">job creation(1),business(1),start-up(2),start-up with mvp(1),start-up with customers(1),for basic literacy(2),for the elites(1),for entrepreneurs(1), </v>
      </c>
      <c r="KD196" s="47" t="str">
        <f t="shared" si="2773"/>
        <v xml:space="preserve"> </v>
      </c>
      <c r="KE196" s="47" t="str">
        <f t="shared" si="2773"/>
        <v xml:space="preserve"> </v>
      </c>
      <c r="KF196" s="47" t="str">
        <f t="shared" si="2773"/>
        <v xml:space="preserve"> </v>
      </c>
      <c r="KG196" s="47" t="str">
        <f t="shared" si="2773"/>
        <v xml:space="preserve"> </v>
      </c>
      <c r="KH196" s="47" t="str">
        <f t="shared" si="2773"/>
        <v xml:space="preserve"> </v>
      </c>
      <c r="KI196" s="47" t="str">
        <f t="shared" si="2773"/>
        <v xml:space="preserve"> </v>
      </c>
      <c r="KJ196" s="47" t="str">
        <f t="shared" si="2773"/>
        <v xml:space="preserve"> </v>
      </c>
      <c r="KK196" s="47" t="str">
        <f t="shared" si="2773"/>
        <v xml:space="preserve"> </v>
      </c>
      <c r="KL196" s="57" t="str">
        <f t="shared" si="2773"/>
        <v xml:space="preserve"> </v>
      </c>
      <c r="KM196" s="47" t="str">
        <f t="shared" si="2773"/>
        <v xml:space="preserve"> </v>
      </c>
      <c r="KN196" s="47" t="str">
        <f t="shared" si="2773"/>
        <v xml:space="preserve"> </v>
      </c>
      <c r="KO196" s="47" t="str">
        <f t="shared" si="2773"/>
        <v xml:space="preserve"> </v>
      </c>
      <c r="KP196" s="47" t="str">
        <f t="shared" si="2773"/>
        <v xml:space="preserve"> </v>
      </c>
      <c r="KQ196" s="47" t="str">
        <f t="shared" si="2773"/>
        <v xml:space="preserve"> </v>
      </c>
      <c r="KR196" s="57" t="str">
        <f t="shared" si="2773"/>
        <v xml:space="preserve"> </v>
      </c>
      <c r="KS196" s="47" t="str">
        <f t="shared" si="2773"/>
        <v xml:space="preserve"> </v>
      </c>
      <c r="KT196" s="47" t="str">
        <f t="shared" si="2773"/>
        <v xml:space="preserve"> </v>
      </c>
      <c r="KU196" s="47" t="str">
        <f t="shared" si="2773"/>
        <v xml:space="preserve"> </v>
      </c>
      <c r="KV196" s="47" t="str">
        <f t="shared" si="2773"/>
        <v xml:space="preserve"> </v>
      </c>
      <c r="KW196" s="47" t="str">
        <f t="shared" si="2773"/>
        <v xml:space="preserve"> </v>
      </c>
      <c r="KX196" s="57" t="str">
        <f t="shared" si="2773"/>
        <v xml:space="preserve"> </v>
      </c>
      <c r="KY196" s="47" t="str">
        <f t="shared" si="2773"/>
        <v xml:space="preserve"> </v>
      </c>
      <c r="KZ196" s="47" t="str">
        <f t="shared" si="2773"/>
        <v xml:space="preserve"> </v>
      </c>
      <c r="LA196" s="47" t="str">
        <f t="shared" si="2773"/>
        <v xml:space="preserve"> </v>
      </c>
      <c r="LB196" s="47" t="str">
        <f t="shared" si="2773"/>
        <v xml:space="preserve"> </v>
      </c>
      <c r="LC196" s="47" t="str">
        <f t="shared" si="2773"/>
        <v xml:space="preserve"> </v>
      </c>
      <c r="LD196" s="57" t="str">
        <f t="shared" si="2773"/>
        <v xml:space="preserve"> </v>
      </c>
      <c r="LE196" s="47" t="str">
        <f t="shared" si="2773"/>
        <v xml:space="preserve"> </v>
      </c>
      <c r="LF196" s="47" t="str">
        <f t="shared" si="2773"/>
        <v xml:space="preserve"> </v>
      </c>
      <c r="LG196" s="47" t="str">
        <f t="shared" si="2773"/>
        <v xml:space="preserve"> </v>
      </c>
      <c r="LH196" s="47" t="str">
        <f t="shared" ref="LH196:NM196" si="2774">IF(LH94="",LH197,$C196&amp;"("&amp;LH94&amp;"),"&amp;LH197)</f>
        <v xml:space="preserve"> </v>
      </c>
      <c r="LI196" s="47" t="str">
        <f t="shared" si="2774"/>
        <v xml:space="preserve"> </v>
      </c>
      <c r="LJ196" s="57" t="str">
        <f t="shared" si="2774"/>
        <v xml:space="preserve"> </v>
      </c>
      <c r="LK196" s="47" t="str">
        <f t="shared" si="2774"/>
        <v xml:space="preserve"> </v>
      </c>
      <c r="LL196" s="47" t="str">
        <f t="shared" si="2774"/>
        <v xml:space="preserve"> </v>
      </c>
      <c r="LM196" s="47" t="str">
        <f t="shared" si="2774"/>
        <v xml:space="preserve"> </v>
      </c>
      <c r="LN196" s="47" t="str">
        <f t="shared" si="2774"/>
        <v xml:space="preserve"> </v>
      </c>
      <c r="LO196" s="47" t="str">
        <f t="shared" si="2774"/>
        <v xml:space="preserve"> </v>
      </c>
      <c r="LP196" s="57" t="str">
        <f t="shared" si="2774"/>
        <v xml:space="preserve"> </v>
      </c>
      <c r="LQ196" s="47" t="str">
        <f t="shared" si="2774"/>
        <v xml:space="preserve"> </v>
      </c>
      <c r="LR196" s="47" t="str">
        <f t="shared" si="2774"/>
        <v xml:space="preserve"> </v>
      </c>
      <c r="LS196" s="47" t="str">
        <f t="shared" si="2774"/>
        <v xml:space="preserve"> </v>
      </c>
      <c r="LT196" s="47" t="str">
        <f t="shared" si="2774"/>
        <v xml:space="preserve"> </v>
      </c>
      <c r="LU196" s="47" t="str">
        <f t="shared" si="2774"/>
        <v xml:space="preserve"> </v>
      </c>
      <c r="LV196" s="57" t="str">
        <f t="shared" si="2774"/>
        <v xml:space="preserve"> </v>
      </c>
      <c r="LW196" s="47" t="str">
        <f t="shared" si="2774"/>
        <v xml:space="preserve"> </v>
      </c>
      <c r="LX196" s="47" t="str">
        <f t="shared" si="2774"/>
        <v xml:space="preserve"> </v>
      </c>
      <c r="LY196" s="47" t="str">
        <f t="shared" si="2774"/>
        <v xml:space="preserve"> </v>
      </c>
      <c r="LZ196" s="47" t="str">
        <f t="shared" si="2774"/>
        <v xml:space="preserve"> </v>
      </c>
      <c r="MA196" s="47" t="str">
        <f t="shared" si="2774"/>
        <v xml:space="preserve"> </v>
      </c>
      <c r="MB196" s="57" t="str">
        <f t="shared" si="2774"/>
        <v xml:space="preserve"> </v>
      </c>
      <c r="MC196" s="47" t="str">
        <f t="shared" si="2774"/>
        <v xml:space="preserve"> </v>
      </c>
      <c r="MD196" s="47" t="str">
        <f t="shared" si="2774"/>
        <v xml:space="preserve"> </v>
      </c>
      <c r="ME196" s="47" t="str">
        <f t="shared" si="2774"/>
        <v xml:space="preserve"> </v>
      </c>
      <c r="MF196" s="47" t="str">
        <f t="shared" si="2774"/>
        <v xml:space="preserve"> </v>
      </c>
      <c r="MG196" s="47" t="str">
        <f t="shared" si="2774"/>
        <v xml:space="preserve"> </v>
      </c>
      <c r="MH196" s="57" t="str">
        <f t="shared" si="2774"/>
        <v xml:space="preserve"> </v>
      </c>
      <c r="MI196" s="47" t="str">
        <f t="shared" si="2774"/>
        <v xml:space="preserve"> </v>
      </c>
      <c r="MJ196" s="47" t="str">
        <f t="shared" si="2774"/>
        <v xml:space="preserve"> </v>
      </c>
      <c r="MK196" s="47" t="str">
        <f t="shared" si="2774"/>
        <v xml:space="preserve"> </v>
      </c>
      <c r="ML196" s="47" t="str">
        <f t="shared" si="2774"/>
        <v xml:space="preserve"> </v>
      </c>
      <c r="MM196" s="47" t="str">
        <f t="shared" si="2774"/>
        <v xml:space="preserve"> </v>
      </c>
      <c r="MN196" s="57" t="str">
        <f t="shared" si="2774"/>
        <v xml:space="preserve"> </v>
      </c>
      <c r="MO196" s="47" t="str">
        <f t="shared" si="2774"/>
        <v xml:space="preserve"> </v>
      </c>
      <c r="MP196" s="47" t="str">
        <f t="shared" si="2774"/>
        <v xml:space="preserve"> </v>
      </c>
      <c r="MQ196" s="47" t="str">
        <f t="shared" si="2774"/>
        <v xml:space="preserve"> </v>
      </c>
      <c r="MR196" s="47" t="str">
        <f t="shared" si="2774"/>
        <v xml:space="preserve"> </v>
      </c>
      <c r="MS196" s="47" t="str">
        <f t="shared" si="2774"/>
        <v xml:space="preserve"> </v>
      </c>
      <c r="MT196" s="57" t="str">
        <f t="shared" si="2774"/>
        <v xml:space="preserve"> </v>
      </c>
      <c r="MU196" s="47" t="str">
        <f t="shared" si="2774"/>
        <v xml:space="preserve"> </v>
      </c>
      <c r="MV196" s="47" t="str">
        <f t="shared" si="2774"/>
        <v xml:space="preserve"> </v>
      </c>
      <c r="MW196" s="47" t="str">
        <f t="shared" si="2774"/>
        <v xml:space="preserve"> </v>
      </c>
      <c r="MX196" s="47" t="str">
        <f t="shared" si="2774"/>
        <v xml:space="preserve"> </v>
      </c>
      <c r="MY196" s="47" t="str">
        <f t="shared" si="2774"/>
        <v xml:space="preserve"> </v>
      </c>
      <c r="MZ196" s="57" t="str">
        <f t="shared" si="2774"/>
        <v xml:space="preserve"> </v>
      </c>
      <c r="NA196" s="47" t="str">
        <f t="shared" si="2774"/>
        <v xml:space="preserve"> </v>
      </c>
      <c r="NB196" s="47" t="str">
        <f t="shared" si="2774"/>
        <v xml:space="preserve"> </v>
      </c>
      <c r="NC196" s="47" t="str">
        <f t="shared" si="2774"/>
        <v xml:space="preserve"> </v>
      </c>
      <c r="ND196" s="47" t="str">
        <f t="shared" si="2774"/>
        <v xml:space="preserve"> </v>
      </c>
      <c r="NE196" s="47" t="str">
        <f t="shared" si="2774"/>
        <v xml:space="preserve"> </v>
      </c>
      <c r="NF196" s="57" t="str">
        <f t="shared" si="2774"/>
        <v xml:space="preserve"> </v>
      </c>
      <c r="NG196" s="47" t="str">
        <f t="shared" si="2774"/>
        <v xml:space="preserve"> </v>
      </c>
      <c r="NH196" s="47" t="str">
        <f t="shared" si="2774"/>
        <v xml:space="preserve"> </v>
      </c>
      <c r="NI196" s="47" t="str">
        <f t="shared" si="2774"/>
        <v xml:space="preserve"> </v>
      </c>
      <c r="NJ196" s="47" t="str">
        <f t="shared" si="2774"/>
        <v xml:space="preserve"> </v>
      </c>
      <c r="NK196" s="47" t="str">
        <f t="shared" si="2774"/>
        <v xml:space="preserve"> </v>
      </c>
      <c r="NL196" s="57" t="str">
        <f t="shared" si="2774"/>
        <v xml:space="preserve"> </v>
      </c>
      <c r="NM196" s="47" t="str">
        <f t="shared" si="2774"/>
        <v xml:space="preserve"> </v>
      </c>
    </row>
    <row r="197" spans="2:377" ht="15.75" customHeight="1">
      <c r="C197" s="7" t="str">
        <f t="shared" si="841"/>
        <v>business</v>
      </c>
      <c r="D197" s="21" t="str">
        <f t="shared" si="2000"/>
        <v xml:space="preserve"> </v>
      </c>
      <c r="E197" s="21" t="str">
        <f t="shared" si="842"/>
        <v xml:space="preserve"> </v>
      </c>
      <c r="F197" s="21" t="str">
        <f t="shared" si="2000"/>
        <v xml:space="preserve"> </v>
      </c>
      <c r="G197" s="21" t="str">
        <f t="shared" si="843"/>
        <v xml:space="preserve"> </v>
      </c>
      <c r="H197" s="21" t="str">
        <f t="shared" si="844"/>
        <v xml:space="preserve"> </v>
      </c>
      <c r="I197" s="21" t="str">
        <f t="shared" ref="I197" si="2775">IF(I95="",I198,$C197&amp;"("&amp;I95&amp;"),"&amp;I198)</f>
        <v xml:space="preserve"> </v>
      </c>
      <c r="J197" s="21" t="str">
        <f t="shared" ref="J197" si="2776">IF(J95="",J198,$C197&amp;" "&amp;J95&amp;CHAR(10)&amp;J198)</f>
        <v xml:space="preserve"> </v>
      </c>
      <c r="K197" s="21" t="str">
        <f t="shared" si="654"/>
        <v xml:space="preserve"> </v>
      </c>
      <c r="L197" s="21" t="str">
        <f t="shared" ref="L197" si="2777">IF(L95="",L198,$C197&amp;" "&amp;L95&amp;CHAR(10)&amp;L198)</f>
        <v xml:space="preserve"> </v>
      </c>
      <c r="M197" s="21" t="str">
        <f t="shared" si="656"/>
        <v xml:space="preserve"> </v>
      </c>
      <c r="N197" s="21" t="str">
        <f t="shared" si="657"/>
        <v xml:space="preserve"> </v>
      </c>
      <c r="O197" s="21" t="str">
        <f t="shared" si="2004"/>
        <v xml:space="preserve"> </v>
      </c>
      <c r="P197" s="21" t="str">
        <f t="shared" ref="P197" si="2778">IF(P95="",P198,$C197&amp;" "&amp;P95&amp;CHAR(10)&amp;P198)</f>
        <v xml:space="preserve"> </v>
      </c>
      <c r="Q197" s="21" t="str">
        <f t="shared" si="660"/>
        <v xml:space="preserve"> </v>
      </c>
      <c r="R197" s="21" t="str">
        <f t="shared" ref="R197" si="2779">IF(R95="",R198,$C197&amp;" "&amp;R95&amp;CHAR(10)&amp;R198)</f>
        <v xml:space="preserve"> </v>
      </c>
      <c r="S197" s="21" t="str">
        <f t="shared" si="662"/>
        <v xml:space="preserve">business(1), start-up(1),  </v>
      </c>
      <c r="T197" s="21" t="str">
        <f t="shared" si="663"/>
        <v xml:space="preserve"> </v>
      </c>
      <c r="U197" s="21" t="str">
        <f t="shared" si="2004"/>
        <v xml:space="preserve"> </v>
      </c>
      <c r="V197" s="21" t="str">
        <f t="shared" ref="V197" si="2780">IF(V95="",V198,$C197&amp;" "&amp;V95&amp;CHAR(10)&amp;V198)</f>
        <v xml:space="preserve"> </v>
      </c>
      <c r="W197" s="21" t="str">
        <f t="shared" si="665"/>
        <v xml:space="preserve"> </v>
      </c>
      <c r="X197" s="21" t="str">
        <f t="shared" ref="X197" si="2781">IF(X95="",X198,$C197&amp;" "&amp;X95&amp;CHAR(10)&amp;X198)</f>
        <v xml:space="preserve"> </v>
      </c>
      <c r="Y197" s="21" t="str">
        <f t="shared" si="667"/>
        <v xml:space="preserve">business(1),  </v>
      </c>
      <c r="Z197" s="21" t="str">
        <f t="shared" si="668"/>
        <v xml:space="preserve"> </v>
      </c>
      <c r="AA197" s="21" t="str">
        <f t="shared" si="2004"/>
        <v xml:space="preserve"> </v>
      </c>
      <c r="AB197" s="21" t="str">
        <f t="shared" ref="AB197" si="2782">IF(AB95="",AB198,$C197&amp;" "&amp;AB95&amp;CHAR(10)&amp;AB198)</f>
        <v xml:space="preserve"> </v>
      </c>
      <c r="AC197" s="21" t="str">
        <f t="shared" si="670"/>
        <v xml:space="preserve"> </v>
      </c>
      <c r="AD197" s="21" t="str">
        <f t="shared" ref="AD197" si="2783">IF(AD95="",AD198,$C197&amp;" "&amp;AD95&amp;CHAR(10)&amp;AD198)</f>
        <v xml:space="preserve"> </v>
      </c>
      <c r="AE197" s="21" t="str">
        <f t="shared" si="672"/>
        <v xml:space="preserve"> </v>
      </c>
      <c r="AF197" s="21" t="str">
        <f t="shared" si="673"/>
        <v xml:space="preserve"> </v>
      </c>
      <c r="AG197" s="21" t="str">
        <f t="shared" si="2004"/>
        <v xml:space="preserve"> </v>
      </c>
      <c r="AH197" s="21" t="str">
        <f t="shared" ref="AH197" si="2784">IF(AH95="",AH198,$C197&amp;" "&amp;AH95&amp;CHAR(10)&amp;AH198)</f>
        <v xml:space="preserve"> </v>
      </c>
      <c r="AI197" s="21" t="str">
        <f t="shared" si="675"/>
        <v xml:space="preserve"> </v>
      </c>
      <c r="AJ197" s="21" t="str">
        <f t="shared" ref="AJ197" si="2785">IF(AJ95="",AJ198,$C197&amp;" "&amp;AJ95&amp;CHAR(10)&amp;AJ198)</f>
        <v xml:space="preserve"> </v>
      </c>
      <c r="AK197" s="21" t="str">
        <f t="shared" si="677"/>
        <v xml:space="preserve"> </v>
      </c>
      <c r="AL197" s="21" t="str">
        <f t="shared" si="678"/>
        <v xml:space="preserve"> </v>
      </c>
      <c r="AM197" s="21" t="str">
        <f t="shared" si="2004"/>
        <v xml:space="preserve"> </v>
      </c>
      <c r="AN197" s="21" t="str">
        <f t="shared" ref="AN197" si="2786">IF(AN95="",AN198,$C197&amp;" "&amp;AN95&amp;CHAR(10)&amp;AN198)</f>
        <v xml:space="preserve"> </v>
      </c>
      <c r="AO197" s="21" t="str">
        <f t="shared" si="680"/>
        <v xml:space="preserve"> </v>
      </c>
      <c r="AP197" s="21" t="str">
        <f t="shared" ref="AP197" si="2787">IF(AP95="",AP198,$C197&amp;" "&amp;AP95&amp;CHAR(10)&amp;AP198)</f>
        <v xml:space="preserve"> </v>
      </c>
      <c r="AQ197" s="21" t="str">
        <f t="shared" si="682"/>
        <v xml:space="preserve">start-up(1), start-up with mvp(1), start-up with customers(1),  </v>
      </c>
      <c r="AR197" s="21" t="str">
        <f t="shared" si="683"/>
        <v xml:space="preserve"> </v>
      </c>
      <c r="AS197" s="21" t="str">
        <f t="shared" si="2004"/>
        <v xml:space="preserve"> </v>
      </c>
      <c r="AT197" s="21" t="str">
        <f t="shared" ref="AT197" si="2788">IF(AT95="",AT198,$C197&amp;" "&amp;AT95&amp;CHAR(10)&amp;AT198)</f>
        <v xml:space="preserve"> </v>
      </c>
      <c r="AU197" s="21" t="str">
        <f t="shared" si="685"/>
        <v xml:space="preserve"> </v>
      </c>
      <c r="AV197" s="21" t="str">
        <f t="shared" ref="AV197" si="2789">IF(AV95="",AV198,$C197&amp;" "&amp;AV95&amp;CHAR(10)&amp;AV198)</f>
        <v xml:space="preserve"> </v>
      </c>
      <c r="AW197" s="21" t="str">
        <f t="shared" si="687"/>
        <v xml:space="preserve"> </v>
      </c>
      <c r="AX197" s="21" t="str">
        <f t="shared" si="688"/>
        <v xml:space="preserve"> </v>
      </c>
      <c r="AY197" s="21" t="str">
        <f t="shared" si="2004"/>
        <v xml:space="preserve"> </v>
      </c>
      <c r="AZ197" s="21" t="str">
        <f t="shared" ref="AZ197" si="2790">IF(AZ95="",AZ198,$C197&amp;" "&amp;AZ95&amp;CHAR(10)&amp;AZ198)</f>
        <v xml:space="preserve"> </v>
      </c>
      <c r="BA197" s="21" t="str">
        <f t="shared" si="690"/>
        <v xml:space="preserve"> </v>
      </c>
      <c r="BB197" s="21" t="str">
        <f t="shared" ref="BB197" si="2791">IF(BB95="",BB198,$C197&amp;" "&amp;BB95&amp;CHAR(10)&amp;BB198)</f>
        <v xml:space="preserve"> </v>
      </c>
      <c r="BC197" s="21" t="str">
        <f t="shared" si="692"/>
        <v xml:space="preserve"> </v>
      </c>
      <c r="BD197" s="21" t="str">
        <f t="shared" si="693"/>
        <v xml:space="preserve"> </v>
      </c>
      <c r="BE197" s="21" t="str">
        <f t="shared" si="2004"/>
        <v xml:space="preserve"> </v>
      </c>
      <c r="BF197" s="21" t="str">
        <f t="shared" ref="BF197" si="2792">IF(BF95="",BF198,$C197&amp;" "&amp;BF95&amp;CHAR(10)&amp;BF198)</f>
        <v xml:space="preserve"> </v>
      </c>
      <c r="BG197" s="21" t="str">
        <f t="shared" si="695"/>
        <v xml:space="preserve"> </v>
      </c>
      <c r="BH197" s="21" t="str">
        <f t="shared" ref="BH197" si="2793">IF(BH95="",BH198,$C197&amp;" "&amp;BH95&amp;CHAR(10)&amp;BH198)</f>
        <v xml:space="preserve"> </v>
      </c>
      <c r="BI197" s="21" t="str">
        <f t="shared" si="697"/>
        <v xml:space="preserve"> </v>
      </c>
      <c r="BJ197" s="21" t="str">
        <f t="shared" si="698"/>
        <v xml:space="preserve"> </v>
      </c>
      <c r="BK197" s="21" t="str">
        <f t="shared" si="2004"/>
        <v xml:space="preserve"> </v>
      </c>
      <c r="BL197" s="21" t="str">
        <f t="shared" ref="BL197" si="2794">IF(BL95="",BL198,$C197&amp;" "&amp;BL95&amp;CHAR(10)&amp;BL198)</f>
        <v xml:space="preserve"> </v>
      </c>
      <c r="BM197" s="21" t="str">
        <f t="shared" si="700"/>
        <v xml:space="preserve"> </v>
      </c>
      <c r="BN197" s="21" t="str">
        <f t="shared" ref="BN197" si="2795">IF(BN95="",BN198,$C197&amp;" "&amp;BN95&amp;CHAR(10)&amp;BN198)</f>
        <v xml:space="preserve"> </v>
      </c>
      <c r="BO197" s="21" t="str">
        <f t="shared" si="702"/>
        <v xml:space="preserve"> </v>
      </c>
      <c r="BP197" s="21" t="str">
        <f t="shared" si="703"/>
        <v xml:space="preserve"> </v>
      </c>
      <c r="BQ197" s="21" t="str">
        <f t="shared" si="2004"/>
        <v xml:space="preserve"> </v>
      </c>
      <c r="BR197" s="21" t="str">
        <f t="shared" ref="BR197" si="2796">IF(BR95="",BR198,$C197&amp;" "&amp;BR95&amp;CHAR(10)&amp;BR198)</f>
        <v xml:space="preserve"> </v>
      </c>
      <c r="BS197" s="21" t="str">
        <f t="shared" si="705"/>
        <v xml:space="preserve"> </v>
      </c>
      <c r="BT197" s="21" t="str">
        <f t="shared" ref="BT197" si="2797">IF(BT95="",BT198,$C197&amp;" "&amp;BT95&amp;CHAR(10)&amp;BT198)</f>
        <v xml:space="preserve"> </v>
      </c>
      <c r="BU197" s="21" t="str">
        <f t="shared" si="707"/>
        <v xml:space="preserve"> </v>
      </c>
      <c r="BV197" s="21" t="str">
        <f t="shared" si="708"/>
        <v xml:space="preserve"> </v>
      </c>
      <c r="BW197" s="21" t="str">
        <f t="shared" si="2004"/>
        <v xml:space="preserve"> </v>
      </c>
      <c r="BX197" s="21" t="str">
        <f t="shared" ref="BX197" si="2798">IF(BX95="",BX198,$C197&amp;" "&amp;BX95&amp;CHAR(10)&amp;BX198)</f>
        <v xml:space="preserve"> </v>
      </c>
      <c r="BY197" s="21" t="str">
        <f t="shared" si="710"/>
        <v xml:space="preserve"> </v>
      </c>
      <c r="BZ197" s="21" t="str">
        <f t="shared" ref="BZ197" si="2799">IF(BZ95="",BZ198,$C197&amp;" "&amp;BZ95&amp;CHAR(10)&amp;BZ198)</f>
        <v xml:space="preserve"> </v>
      </c>
      <c r="CA197" s="21" t="str">
        <f t="shared" si="712"/>
        <v xml:space="preserve"> </v>
      </c>
      <c r="CB197" s="21" t="str">
        <f t="shared" si="713"/>
        <v xml:space="preserve"> </v>
      </c>
      <c r="CC197" s="21" t="str">
        <f t="shared" si="2027"/>
        <v xml:space="preserve"> </v>
      </c>
      <c r="CD197" s="21" t="str">
        <f t="shared" ref="CD197" si="2800">IF(CD95="",CD198,$C197&amp;" "&amp;CD95&amp;CHAR(10)&amp;CD198)</f>
        <v xml:space="preserve"> </v>
      </c>
      <c r="CE197" s="21" t="str">
        <f t="shared" si="716"/>
        <v xml:space="preserve"> </v>
      </c>
      <c r="CF197" s="21" t="str">
        <f t="shared" ref="CF197" si="2801">IF(CF95="",CF198,$C197&amp;" "&amp;CF95&amp;CHAR(10)&amp;CF198)</f>
        <v xml:space="preserve"> </v>
      </c>
      <c r="CG197" s="21" t="str">
        <f t="shared" si="718"/>
        <v xml:space="preserve">for basic literacy(1), for the elites(1), for entrepreneurs(1),  </v>
      </c>
      <c r="CH197" s="21" t="str">
        <f t="shared" si="719"/>
        <v xml:space="preserve"> </v>
      </c>
      <c r="CI197" s="21" t="str">
        <f t="shared" si="2027"/>
        <v xml:space="preserve"> </v>
      </c>
      <c r="CJ197" s="21" t="str">
        <f t="shared" ref="CJ197" si="2802">IF(CJ95="",CJ198,$C197&amp;" "&amp;CJ95&amp;CHAR(10)&amp;CJ198)</f>
        <v xml:space="preserve"> </v>
      </c>
      <c r="CK197" s="21" t="str">
        <f t="shared" si="721"/>
        <v xml:space="preserve"> </v>
      </c>
      <c r="CL197" s="21" t="str">
        <f t="shared" ref="CL197" si="2803">IF(CL95="",CL198,$C197&amp;" "&amp;CL95&amp;CHAR(10)&amp;CL198)</f>
        <v xml:space="preserve"> </v>
      </c>
      <c r="CM197" s="21" t="str">
        <f t="shared" si="723"/>
        <v xml:space="preserve"> </v>
      </c>
      <c r="CN197" s="21" t="str">
        <f t="shared" si="724"/>
        <v xml:space="preserve"> </v>
      </c>
      <c r="CO197" s="21" t="str">
        <f t="shared" si="2027"/>
        <v xml:space="preserve"> </v>
      </c>
      <c r="CP197" s="21" t="str">
        <f t="shared" ref="CP197" si="2804">IF(CP95="",CP198,$C197&amp;" "&amp;CP95&amp;CHAR(10)&amp;CP198)</f>
        <v xml:space="preserve"> </v>
      </c>
      <c r="CQ197" s="21" t="str">
        <f t="shared" si="726"/>
        <v xml:space="preserve"> </v>
      </c>
      <c r="CR197" s="21" t="str">
        <f t="shared" ref="CR197" si="2805">IF(CR95="",CR198,$C197&amp;" "&amp;CR95&amp;CHAR(10)&amp;CR198)</f>
        <v xml:space="preserve"> </v>
      </c>
      <c r="CS197" s="21" t="str">
        <f t="shared" si="728"/>
        <v xml:space="preserve"> </v>
      </c>
      <c r="CT197" s="21" t="str">
        <f t="shared" si="729"/>
        <v xml:space="preserve"> </v>
      </c>
      <c r="CU197" s="21" t="str">
        <f t="shared" si="2027"/>
        <v xml:space="preserve"> </v>
      </c>
      <c r="CV197" s="21" t="str">
        <f t="shared" ref="CV197" si="2806">IF(CV95="",CV198,$C197&amp;" "&amp;CV95&amp;CHAR(10)&amp;CV198)</f>
        <v xml:space="preserve"> </v>
      </c>
      <c r="CW197" s="21" t="str">
        <f t="shared" si="731"/>
        <v xml:space="preserve"> </v>
      </c>
      <c r="CX197" s="21" t="str">
        <f t="shared" ref="CX197" si="2807">IF(CX95="",CX198,$C197&amp;" "&amp;CX95&amp;CHAR(10)&amp;CX198)</f>
        <v xml:space="preserve"> </v>
      </c>
      <c r="CY197" s="21" t="str">
        <f t="shared" si="733"/>
        <v xml:space="preserve"> </v>
      </c>
      <c r="CZ197" s="21" t="str">
        <f t="shared" si="734"/>
        <v xml:space="preserve"> </v>
      </c>
      <c r="DA197" s="21" t="str">
        <f t="shared" si="2027"/>
        <v xml:space="preserve"> </v>
      </c>
      <c r="DB197" s="21" t="str">
        <f t="shared" ref="DB197" si="2808">IF(DB95="",DB198,$C197&amp;" "&amp;DB95&amp;CHAR(10)&amp;DB198)</f>
        <v xml:space="preserve"> </v>
      </c>
      <c r="DC197" s="21" t="str">
        <f t="shared" si="736"/>
        <v xml:space="preserve"> </v>
      </c>
      <c r="DD197" s="21" t="str">
        <f t="shared" ref="DD197" si="2809">IF(DD95="",DD198,$C197&amp;" "&amp;DD95&amp;CHAR(10)&amp;DD198)</f>
        <v xml:space="preserve"> </v>
      </c>
      <c r="DE197" s="21" t="str">
        <f t="shared" si="738"/>
        <v xml:space="preserve">business(1), start-up(1), start-up with mvp(1), start-up with customers(1), for entrepreneurs(2),  </v>
      </c>
      <c r="DF197" s="21" t="str">
        <f t="shared" si="739"/>
        <v xml:space="preserve"> </v>
      </c>
      <c r="DG197" s="21" t="str">
        <f t="shared" si="2027"/>
        <v xml:space="preserve"> </v>
      </c>
      <c r="DH197" s="21" t="str">
        <f t="shared" ref="DH197" si="2810">IF(DH95="",DH198,$C197&amp;" "&amp;DH95&amp;CHAR(10)&amp;DH198)</f>
        <v xml:space="preserve"> </v>
      </c>
      <c r="DI197" s="21" t="str">
        <f t="shared" si="741"/>
        <v xml:space="preserve"> </v>
      </c>
      <c r="DJ197" s="21" t="str">
        <f t="shared" ref="DJ197" si="2811">IF(DJ95="",DJ198,$C197&amp;" "&amp;DJ95&amp;CHAR(10)&amp;DJ198)</f>
        <v xml:space="preserve"> </v>
      </c>
      <c r="DK197" s="21" t="str">
        <f t="shared" si="743"/>
        <v xml:space="preserve"> </v>
      </c>
      <c r="DL197" s="21" t="str">
        <f t="shared" si="744"/>
        <v xml:space="preserve"> </v>
      </c>
      <c r="DM197" s="21" t="str">
        <f t="shared" si="2027"/>
        <v xml:space="preserve"> </v>
      </c>
      <c r="DN197" s="21" t="str">
        <f t="shared" ref="DN197" si="2812">IF(DN95="",DN198,$C197&amp;" "&amp;DN95&amp;CHAR(10)&amp;DN198)</f>
        <v xml:space="preserve"> </v>
      </c>
      <c r="DO197" s="21" t="str">
        <f t="shared" si="746"/>
        <v xml:space="preserve"> </v>
      </c>
      <c r="DP197" s="21" t="str">
        <f t="shared" ref="DP197" si="2813">IF(DP95="",DP198,$C197&amp;" "&amp;DP95&amp;CHAR(10)&amp;DP198)</f>
        <v xml:space="preserve"> </v>
      </c>
      <c r="DQ197" s="21" t="str">
        <f t="shared" si="748"/>
        <v xml:space="preserve">business(1), start-up(1), start-up with mvp(1), start-up with customers(1), for entrepreneurs(1),  </v>
      </c>
      <c r="DR197" s="21" t="str">
        <f t="shared" si="749"/>
        <v xml:space="preserve"> </v>
      </c>
      <c r="DS197" s="21" t="str">
        <f t="shared" si="2027"/>
        <v xml:space="preserve"> </v>
      </c>
      <c r="DT197" s="21" t="str">
        <f t="shared" ref="DT197" si="2814">IF(DT95="",DT198,$C197&amp;" "&amp;DT95&amp;CHAR(10)&amp;DT198)</f>
        <v xml:space="preserve"> </v>
      </c>
      <c r="DU197" s="21" t="str">
        <f t="shared" si="751"/>
        <v xml:space="preserve"> </v>
      </c>
      <c r="DV197" s="21" t="str">
        <f t="shared" ref="DV197" si="2815">IF(DV95="",DV198,$C197&amp;" "&amp;DV95&amp;CHAR(10)&amp;DV198)</f>
        <v xml:space="preserve"> </v>
      </c>
      <c r="DW197" s="21" t="str">
        <f t="shared" si="753"/>
        <v xml:space="preserve">for basic literacy(1),  </v>
      </c>
      <c r="DX197" s="21" t="str">
        <f t="shared" si="754"/>
        <v xml:space="preserve">for basic literacy(1,6.25),  </v>
      </c>
      <c r="DY197" s="21" t="str">
        <f t="shared" si="2027"/>
        <v xml:space="preserve">for basic literacy(6.25), </v>
      </c>
      <c r="DZ197" s="21" t="str">
        <f t="shared" ref="DZ197" si="2816">IF(DZ95="",DZ198,$C197&amp;" "&amp;DZ95&amp;CHAR(10)&amp;DZ198)</f>
        <v xml:space="preserve"> </v>
      </c>
      <c r="EA197" s="21" t="str">
        <f t="shared" si="756"/>
        <v xml:space="preserve"> </v>
      </c>
      <c r="EB197" s="21" t="str">
        <f t="shared" ref="EB197" si="2817">IF(EB95="",EB198,$C197&amp;" "&amp;EB95&amp;CHAR(10)&amp;EB198)</f>
        <v xml:space="preserve"> </v>
      </c>
      <c r="EC197" s="21" t="str">
        <f t="shared" si="758"/>
        <v xml:space="preserve">for basic literacy(1),  </v>
      </c>
      <c r="ED197" s="21" t="str">
        <f t="shared" si="759"/>
        <v xml:space="preserve">for basic literacy(1,6.25),  </v>
      </c>
      <c r="EE197" s="21" t="str">
        <f t="shared" si="2027"/>
        <v xml:space="preserve">for basic literacy(6.25), </v>
      </c>
      <c r="EF197" s="21" t="str">
        <f t="shared" ref="EF197" si="2818">IF(EF95="",EF198,$C197&amp;" "&amp;EF95&amp;CHAR(10)&amp;EF198)</f>
        <v xml:space="preserve"> </v>
      </c>
      <c r="EG197" s="21" t="str">
        <f t="shared" si="761"/>
        <v xml:space="preserve"> </v>
      </c>
      <c r="EH197" s="21" t="str">
        <f t="shared" ref="EH197" si="2819">IF(EH95="",EH198,$C197&amp;" "&amp;EH95&amp;CHAR(10)&amp;EH198)</f>
        <v xml:space="preserve"> </v>
      </c>
      <c r="EI197" s="21" t="str">
        <f t="shared" si="763"/>
        <v xml:space="preserve">for entrepreneurs(1),  </v>
      </c>
      <c r="EJ197" s="21" t="str">
        <f t="shared" si="764"/>
        <v xml:space="preserve">for entrepreneurs(1,6.25),  </v>
      </c>
      <c r="EK197" s="21" t="str">
        <f t="shared" si="2027"/>
        <v xml:space="preserve">for entrepreneurs(6.25), </v>
      </c>
      <c r="EL197" s="21" t="str">
        <f t="shared" ref="EL197" si="2820">IF(EL95="",EL198,$C197&amp;" "&amp;EL95&amp;CHAR(10)&amp;EL198)</f>
        <v xml:space="preserve"> </v>
      </c>
      <c r="EM197" s="21" t="str">
        <f t="shared" si="766"/>
        <v xml:space="preserve"> </v>
      </c>
      <c r="EN197" s="21" t="str">
        <f t="shared" ref="EN197" si="2821">IF(EN95="",EN198,$C197&amp;" "&amp;EN95&amp;CHAR(10)&amp;EN198)</f>
        <v xml:space="preserve"> </v>
      </c>
      <c r="EO197" s="21" t="str">
        <f t="shared" si="768"/>
        <v xml:space="preserve">for entrepreneurs(1),  </v>
      </c>
      <c r="EP197" s="21" t="str">
        <f t="shared" si="769"/>
        <v xml:space="preserve">for entrepreneurs(1,6.25),  </v>
      </c>
      <c r="EQ197" s="21" t="str">
        <f t="shared" si="2050"/>
        <v xml:space="preserve">for entrepreneurs(6.25), </v>
      </c>
      <c r="ER197" s="21" t="str">
        <f t="shared" ref="ER197" si="2822">IF(ER95="",ER198,$C197&amp;" "&amp;ER95&amp;CHAR(10)&amp;ER198)</f>
        <v xml:space="preserve"> </v>
      </c>
      <c r="ES197" s="21" t="str">
        <f t="shared" si="772"/>
        <v xml:space="preserve"> </v>
      </c>
      <c r="ET197" s="21" t="str">
        <f t="shared" ref="ET197" si="2823">IF(ET95="",ET198,$C197&amp;" "&amp;ET95&amp;CHAR(10)&amp;ET198)</f>
        <v xml:space="preserve"> </v>
      </c>
      <c r="EU197" s="21" t="str">
        <f t="shared" si="774"/>
        <v xml:space="preserve">for entrepreneurs(1),  </v>
      </c>
      <c r="EV197" s="21" t="str">
        <f t="shared" si="775"/>
        <v xml:space="preserve">for entrepreneurs(1,6.25),  </v>
      </c>
      <c r="EW197" s="21" t="str">
        <f t="shared" si="2050"/>
        <v xml:space="preserve">for entrepreneurs(6.25), </v>
      </c>
      <c r="EX197" s="21" t="str">
        <f t="shared" ref="EX197" si="2824">IF(EX95="",EX198,$C197&amp;" "&amp;EX95&amp;CHAR(10)&amp;EX198)</f>
        <v xml:space="preserve"> </v>
      </c>
      <c r="EY197" s="21" t="str">
        <f t="shared" si="777"/>
        <v xml:space="preserve"> </v>
      </c>
      <c r="EZ197" s="21" t="str">
        <f t="shared" ref="EZ197" si="2825">IF(EZ95="",EZ198,$C197&amp;" "&amp;EZ95&amp;CHAR(10)&amp;EZ198)</f>
        <v xml:space="preserve"> </v>
      </c>
      <c r="FA197" s="21" t="str">
        <f t="shared" si="779"/>
        <v xml:space="preserve">for entrepreneurs(1),  </v>
      </c>
      <c r="FB197" s="21" t="str">
        <f t="shared" si="780"/>
        <v xml:space="preserve">for entrepreneurs(1,6.25),  </v>
      </c>
      <c r="FC197" s="21" t="str">
        <f t="shared" si="2050"/>
        <v xml:space="preserve">for entrepreneurs(6.25), </v>
      </c>
      <c r="FD197" s="21" t="str">
        <f t="shared" ref="FD197" si="2826">IF(FD95="",FD198,$C197&amp;" "&amp;FD95&amp;CHAR(10)&amp;FD198)</f>
        <v xml:space="preserve"> </v>
      </c>
      <c r="FE197" s="21" t="str">
        <f t="shared" si="782"/>
        <v xml:space="preserve"> </v>
      </c>
      <c r="FF197" s="21" t="str">
        <f t="shared" ref="FF197" si="2827">IF(FF95="",FF198,$C197&amp;" "&amp;FF95&amp;CHAR(10)&amp;FF198)</f>
        <v xml:space="preserve"> </v>
      </c>
      <c r="FG197" s="21" t="str">
        <f t="shared" si="784"/>
        <v xml:space="preserve">for entrepreneurs(1),  </v>
      </c>
      <c r="FH197" s="21" t="str">
        <f t="shared" si="785"/>
        <v xml:space="preserve">for entrepreneurs(1,6.25),  </v>
      </c>
      <c r="FI197" s="21" t="str">
        <f t="shared" si="2050"/>
        <v xml:space="preserve">for entrepreneurs(6.25), </v>
      </c>
      <c r="FJ197" s="21" t="str">
        <f t="shared" ref="FJ197" si="2828">IF(FJ95="",FJ198,$C197&amp;" "&amp;FJ95&amp;CHAR(10)&amp;FJ198)</f>
        <v xml:space="preserve"> </v>
      </c>
      <c r="FK197" s="21" t="str">
        <f t="shared" si="787"/>
        <v xml:space="preserve"> </v>
      </c>
      <c r="FL197" s="21" t="str">
        <f t="shared" ref="FL197" si="2829">IF(FL95="",FL198,$C197&amp;" "&amp;FL95&amp;CHAR(10)&amp;FL198)</f>
        <v xml:space="preserve"> </v>
      </c>
      <c r="FM197" s="21" t="str">
        <f t="shared" si="789"/>
        <v xml:space="preserve">for entrepreneurs(1),  </v>
      </c>
      <c r="FN197" s="21" t="str">
        <f t="shared" si="790"/>
        <v xml:space="preserve">for entrepreneurs(1,6.25),  </v>
      </c>
      <c r="FO197" s="21" t="str">
        <f t="shared" si="2050"/>
        <v xml:space="preserve">for entrepreneurs(6.25), </v>
      </c>
      <c r="FP197" s="21" t="str">
        <f t="shared" ref="FP197" si="2830">IF(FP95="",FP198,$C197&amp;" "&amp;FP95&amp;CHAR(10)&amp;FP198)</f>
        <v xml:space="preserve"> </v>
      </c>
      <c r="FQ197" s="21" t="str">
        <f t="shared" si="792"/>
        <v xml:space="preserve"> </v>
      </c>
      <c r="FR197" s="21" t="str">
        <f t="shared" ref="FR197" si="2831">IF(FR95="",FR198,$C197&amp;" "&amp;FR95&amp;CHAR(10)&amp;FR198)</f>
        <v xml:space="preserve"> </v>
      </c>
      <c r="FS197" s="21" t="str">
        <f t="shared" si="794"/>
        <v xml:space="preserve">for entrepreneurs(1),  </v>
      </c>
      <c r="FT197" s="21" t="str">
        <f t="shared" si="795"/>
        <v xml:space="preserve">for entrepreneurs(1,6.25),  </v>
      </c>
      <c r="FU197" s="21" t="str">
        <f t="shared" si="2050"/>
        <v xml:space="preserve">for entrepreneurs(6.25), </v>
      </c>
      <c r="FV197" s="21" t="str">
        <f t="shared" ref="FV197" si="2832">IF(FV95="",FV198,$C197&amp;" "&amp;FV95&amp;CHAR(10)&amp;FV198)</f>
        <v xml:space="preserve"> </v>
      </c>
      <c r="FW197" s="21" t="str">
        <f t="shared" si="797"/>
        <v xml:space="preserve"> </v>
      </c>
      <c r="FX197" s="21" t="str">
        <f t="shared" ref="FX197" si="2833">IF(FX95="",FX198,$C197&amp;" "&amp;FX95&amp;CHAR(10)&amp;FX198)</f>
        <v xml:space="preserve"> </v>
      </c>
      <c r="FY197" s="21" t="str">
        <f t="shared" si="799"/>
        <v xml:space="preserve">for entrepreneurs(1),  </v>
      </c>
      <c r="FZ197" s="21" t="str">
        <f t="shared" si="800"/>
        <v xml:space="preserve">for entrepreneurs(1,6.25),  </v>
      </c>
      <c r="GA197" s="21" t="str">
        <f t="shared" si="2050"/>
        <v xml:space="preserve">for entrepreneurs(6.25), </v>
      </c>
      <c r="GB197" s="21" t="str">
        <f t="shared" ref="GB197" si="2834">IF(GB95="",GB198,$C197&amp;" "&amp;GB95&amp;CHAR(10)&amp;GB198)</f>
        <v xml:space="preserve"> </v>
      </c>
      <c r="GC197" s="21" t="str">
        <f t="shared" si="802"/>
        <v xml:space="preserve"> </v>
      </c>
      <c r="GD197" s="21" t="str">
        <f t="shared" ref="GD197" si="2835">IF(GD95="",GD198,$C197&amp;" "&amp;GD95&amp;CHAR(10)&amp;GD198)</f>
        <v xml:space="preserve"> </v>
      </c>
      <c r="GE197" s="21" t="str">
        <f t="shared" si="804"/>
        <v xml:space="preserve">for entrepreneurs(1),  </v>
      </c>
      <c r="GF197" s="21" t="str">
        <f t="shared" si="805"/>
        <v xml:space="preserve">for entrepreneurs(1,6.25),  </v>
      </c>
      <c r="GG197" s="21" t="str">
        <f t="shared" si="2050"/>
        <v xml:space="preserve">for entrepreneurs(6.25), </v>
      </c>
      <c r="GH197" s="21" t="str">
        <f t="shared" ref="GH197" si="2836">IF(GH95="",GH198,$C197&amp;" "&amp;GH95&amp;CHAR(10)&amp;GH198)</f>
        <v xml:space="preserve"> </v>
      </c>
      <c r="GI197" s="21" t="str">
        <f t="shared" si="807"/>
        <v xml:space="preserve"> </v>
      </c>
      <c r="GJ197" s="21" t="str">
        <f t="shared" ref="GJ197" si="2837">IF(GJ95="",GJ198,$C197&amp;" "&amp;GJ95&amp;CHAR(10)&amp;GJ198)</f>
        <v xml:space="preserve"> </v>
      </c>
      <c r="GK197" s="21" t="str">
        <f t="shared" si="809"/>
        <v xml:space="preserve">for entrepreneurs(1),  </v>
      </c>
      <c r="GL197" s="21" t="str">
        <f t="shared" si="810"/>
        <v xml:space="preserve">for entrepreneurs(1,6.25),  </v>
      </c>
      <c r="GM197" s="21" t="str">
        <f t="shared" si="2050"/>
        <v xml:space="preserve">for entrepreneurs(6.25), </v>
      </c>
      <c r="GN197" s="21" t="str">
        <f t="shared" ref="GN197" si="2838">IF(GN95="",GN198,$C197&amp;" "&amp;GN95&amp;CHAR(10)&amp;GN198)</f>
        <v xml:space="preserve"> </v>
      </c>
      <c r="GO197" s="21" t="str">
        <f t="shared" si="812"/>
        <v xml:space="preserve"> </v>
      </c>
      <c r="GP197" s="21" t="str">
        <f t="shared" ref="GP197" si="2839">IF(GP95="",GP198,$C197&amp;" "&amp;GP95&amp;CHAR(10)&amp;GP198)</f>
        <v xml:space="preserve"> </v>
      </c>
      <c r="GQ197" s="21" t="str">
        <f t="shared" si="814"/>
        <v xml:space="preserve">for entrepreneurs(1),  </v>
      </c>
      <c r="GR197" s="21" t="str">
        <f t="shared" si="815"/>
        <v xml:space="preserve">for entrepreneurs(1,6.25),  </v>
      </c>
      <c r="GS197" s="21" t="str">
        <f t="shared" si="2050"/>
        <v xml:space="preserve">for entrepreneurs(6.25), </v>
      </c>
      <c r="GT197" s="21" t="str">
        <f t="shared" ref="GT197" si="2840">IF(GT95="",GT198,$C197&amp;" "&amp;GT95&amp;CHAR(10)&amp;GT198)</f>
        <v xml:space="preserve"> </v>
      </c>
      <c r="GU197" s="21" t="str">
        <f t="shared" si="817"/>
        <v xml:space="preserve"> </v>
      </c>
      <c r="GV197" s="21" t="str">
        <f t="shared" ref="GV197" si="2841">IF(GV95="",GV198,$C197&amp;" "&amp;GV95&amp;CHAR(10)&amp;GV198)</f>
        <v xml:space="preserve"> </v>
      </c>
      <c r="GW197" s="21" t="str">
        <f t="shared" si="819"/>
        <v xml:space="preserve"> </v>
      </c>
      <c r="GX197" s="21" t="str">
        <f t="shared" si="820"/>
        <v xml:space="preserve"> </v>
      </c>
      <c r="GY197" s="21" t="str">
        <f t="shared" si="2050"/>
        <v xml:space="preserve"> </v>
      </c>
      <c r="GZ197" s="21" t="str">
        <f t="shared" ref="GZ197" si="2842">IF(GZ95="",GZ198,$C197&amp;" "&amp;GZ95&amp;CHAR(10)&amp;GZ198)</f>
        <v xml:space="preserve"> </v>
      </c>
      <c r="HA197" s="21" t="str">
        <f t="shared" si="822"/>
        <v xml:space="preserve"> </v>
      </c>
      <c r="HB197" s="21" t="str">
        <f t="shared" ref="HB197" si="2843">IF(HB95="",HB198,$C197&amp;" "&amp;HB95&amp;CHAR(10)&amp;HB198)</f>
        <v xml:space="preserve"> </v>
      </c>
      <c r="HC197" s="21" t="str">
        <f t="shared" si="824"/>
        <v xml:space="preserve"> </v>
      </c>
      <c r="HD197" s="21" t="str">
        <f t="shared" si="825"/>
        <v xml:space="preserve">start-up with customers(1,6.25), for basic literacy(1,6.25),  </v>
      </c>
      <c r="HE197" s="21" t="str">
        <f t="shared" si="2073"/>
        <v xml:space="preserve">start-up with customers(6.25),for basic literacy(6.25), </v>
      </c>
      <c r="HF197" s="21" t="str">
        <f t="shared" ref="HF197" si="2844">IF(HF95="",HF198,$C197&amp;" "&amp;HF95&amp;CHAR(10)&amp;HF198)</f>
        <v xml:space="preserve"> </v>
      </c>
      <c r="HG197" s="21" t="str">
        <f t="shared" si="828"/>
        <v xml:space="preserve"> </v>
      </c>
      <c r="HH197" s="21" t="str">
        <f t="shared" ref="HH197" si="2845">IF(HH95="",HH198,$C197&amp;" "&amp;HH95&amp;CHAR(10)&amp;HH198)</f>
        <v xml:space="preserve"> </v>
      </c>
      <c r="HI197" s="21" t="str">
        <f t="shared" si="830"/>
        <v xml:space="preserve"> </v>
      </c>
      <c r="HJ197" s="21" t="str">
        <f t="shared" si="831"/>
        <v xml:space="preserve">start-up with customers(1,6.25),  </v>
      </c>
      <c r="HK197" s="21" t="str">
        <f t="shared" si="2073"/>
        <v xml:space="preserve">start-up with customers(6.25), </v>
      </c>
      <c r="HL197" s="21" t="str">
        <f t="shared" ref="HL197" si="2846">IF(HL95="",HL198,$C197&amp;" "&amp;HL95&amp;CHAR(10)&amp;HL198)</f>
        <v xml:space="preserve"> </v>
      </c>
      <c r="HM197" s="21" t="str">
        <f t="shared" si="833"/>
        <v xml:space="preserve"> </v>
      </c>
      <c r="HN197" s="21" t="str">
        <f t="shared" ref="HN197" si="2847">IF(HN95="",HN198,$C197&amp;" "&amp;HN95&amp;CHAR(10)&amp;HN198)</f>
        <v xml:space="preserve"> </v>
      </c>
      <c r="HO197" s="21" t="str">
        <f t="shared" si="835"/>
        <v xml:space="preserve"> </v>
      </c>
      <c r="HP197" s="21" t="str">
        <f t="shared" si="836"/>
        <v xml:space="preserve"> </v>
      </c>
      <c r="HQ197" s="47" t="str">
        <f t="shared" si="2073"/>
        <v xml:space="preserve"> </v>
      </c>
      <c r="HR197" s="47" t="str">
        <f t="shared" ref="HR197:HW197" si="2848">IF(HR95="",HR198,$C197&amp;"("&amp;HR95&amp;"),"&amp;HR198)</f>
        <v xml:space="preserve"> </v>
      </c>
      <c r="HS197" s="47" t="str">
        <f t="shared" si="2848"/>
        <v xml:space="preserve"> </v>
      </c>
      <c r="HT197" s="47" t="str">
        <f t="shared" si="2848"/>
        <v xml:space="preserve"> </v>
      </c>
      <c r="HU197" s="47" t="str">
        <f t="shared" si="2848"/>
        <v xml:space="preserve">start-up with mvp(1), </v>
      </c>
      <c r="HV197" s="47" t="str">
        <f t="shared" si="2848"/>
        <v xml:space="preserve"> </v>
      </c>
      <c r="HW197" s="47" t="str">
        <f t="shared" si="2848"/>
        <v xml:space="preserve"> </v>
      </c>
      <c r="HX197" s="47" t="str">
        <f t="shared" ref="HX197:IU197" si="2849">IF(HX95="",HX198,$C197&amp;"("&amp;HX95&amp;"),"&amp;HX198)</f>
        <v xml:space="preserve"> </v>
      </c>
      <c r="HY197" s="47" t="str">
        <f t="shared" si="2849"/>
        <v xml:space="preserve"> </v>
      </c>
      <c r="HZ197" s="47" t="str">
        <f t="shared" si="2849"/>
        <v xml:space="preserve"> </v>
      </c>
      <c r="IA197" s="47" t="str">
        <f t="shared" si="2849"/>
        <v xml:space="preserve"> </v>
      </c>
      <c r="IB197" s="47" t="str">
        <f t="shared" si="2849"/>
        <v xml:space="preserve"> </v>
      </c>
      <c r="IC197" s="47" t="str">
        <f t="shared" si="2849"/>
        <v xml:space="preserve"> </v>
      </c>
      <c r="ID197" s="47" t="str">
        <f t="shared" si="2849"/>
        <v xml:space="preserve"> </v>
      </c>
      <c r="IE197" s="47" t="str">
        <f t="shared" si="2849"/>
        <v xml:space="preserve"> </v>
      </c>
      <c r="IF197" s="47" t="str">
        <f t="shared" si="2849"/>
        <v xml:space="preserve"> </v>
      </c>
      <c r="IG197" s="47" t="str">
        <f t="shared" si="2849"/>
        <v xml:space="preserve"> </v>
      </c>
      <c r="IH197" s="47" t="str">
        <f t="shared" si="2849"/>
        <v xml:space="preserve"> </v>
      </c>
      <c r="II197" s="47" t="str">
        <f t="shared" si="2849"/>
        <v xml:space="preserve"> </v>
      </c>
      <c r="IJ197" s="47" t="str">
        <f t="shared" si="2849"/>
        <v xml:space="preserve"> </v>
      </c>
      <c r="IK197" s="47" t="str">
        <f t="shared" si="2849"/>
        <v xml:space="preserve"> </v>
      </c>
      <c r="IL197" s="47" t="str">
        <f t="shared" si="2849"/>
        <v xml:space="preserve"> </v>
      </c>
      <c r="IM197" s="47" t="str">
        <f t="shared" si="2849"/>
        <v xml:space="preserve"> </v>
      </c>
      <c r="IN197" s="47" t="str">
        <f t="shared" si="2849"/>
        <v xml:space="preserve"> </v>
      </c>
      <c r="IO197" s="47" t="str">
        <f t="shared" si="2849"/>
        <v xml:space="preserve"> </v>
      </c>
      <c r="IP197" s="57" t="str">
        <f t="shared" si="2849"/>
        <v xml:space="preserve"> </v>
      </c>
      <c r="IQ197" s="47" t="str">
        <f t="shared" si="2849"/>
        <v xml:space="preserve"> </v>
      </c>
      <c r="IR197" s="47" t="str">
        <f t="shared" si="2849"/>
        <v xml:space="preserve"> </v>
      </c>
      <c r="IS197" s="47" t="str">
        <f t="shared" si="2849"/>
        <v xml:space="preserve"> </v>
      </c>
      <c r="IT197" s="47" t="str">
        <f t="shared" si="2849"/>
        <v xml:space="preserve"> </v>
      </c>
      <c r="IU197" s="47" t="str">
        <f t="shared" si="2849"/>
        <v xml:space="preserve"> </v>
      </c>
      <c r="IV197" s="57" t="str">
        <f t="shared" ref="IV197:LG197" si="2850">IF(IV95="",IV198,$C197&amp;"("&amp;IV95&amp;"),"&amp;IV198)</f>
        <v xml:space="preserve"> </v>
      </c>
      <c r="IW197" s="47" t="str">
        <f t="shared" si="2850"/>
        <v xml:space="preserve"> </v>
      </c>
      <c r="IX197" s="47" t="str">
        <f t="shared" si="2850"/>
        <v xml:space="preserve"> </v>
      </c>
      <c r="IY197" s="47" t="str">
        <f t="shared" si="2850"/>
        <v xml:space="preserve"> </v>
      </c>
      <c r="IZ197" s="47" t="str">
        <f t="shared" si="2850"/>
        <v xml:space="preserve"> </v>
      </c>
      <c r="JA197" s="47" t="str">
        <f t="shared" si="2850"/>
        <v xml:space="preserve"> </v>
      </c>
      <c r="JB197" s="47" t="str">
        <f t="shared" si="2850"/>
        <v xml:space="preserve"> </v>
      </c>
      <c r="JC197" s="47" t="str">
        <f t="shared" si="2850"/>
        <v xml:space="preserve"> </v>
      </c>
      <c r="JD197" s="47" t="str">
        <f t="shared" si="2850"/>
        <v xml:space="preserve"> </v>
      </c>
      <c r="JE197" s="47" t="str">
        <f t="shared" si="2850"/>
        <v xml:space="preserve"> </v>
      </c>
      <c r="JF197" s="47" t="str">
        <f t="shared" si="2850"/>
        <v xml:space="preserve"> </v>
      </c>
      <c r="JG197" s="47" t="str">
        <f t="shared" si="2850"/>
        <v xml:space="preserve"> </v>
      </c>
      <c r="JH197" s="47" t="str">
        <f t="shared" si="2850"/>
        <v xml:space="preserve"> </v>
      </c>
      <c r="JI197" s="47" t="str">
        <f t="shared" si="2850"/>
        <v xml:space="preserve"> </v>
      </c>
      <c r="JJ197" s="47" t="str">
        <f t="shared" si="2850"/>
        <v xml:space="preserve"> </v>
      </c>
      <c r="JK197" s="47" t="str">
        <f t="shared" si="2850"/>
        <v xml:space="preserve">business(1),start-up(1),start-up with mvp(1),start-up with customers(1),for basic literacy(1),for the elites(1),for entrepreneurs(1), </v>
      </c>
      <c r="JL197" s="47" t="str">
        <f t="shared" si="2850"/>
        <v xml:space="preserve"> </v>
      </c>
      <c r="JM197" s="47" t="str">
        <f t="shared" si="2850"/>
        <v xml:space="preserve"> </v>
      </c>
      <c r="JN197" s="47" t="str">
        <f t="shared" si="2850"/>
        <v xml:space="preserve"> </v>
      </c>
      <c r="JO197" s="47" t="str">
        <f t="shared" si="2850"/>
        <v xml:space="preserve"> </v>
      </c>
      <c r="JP197" s="47" t="str">
        <f t="shared" si="2850"/>
        <v xml:space="preserve"> </v>
      </c>
      <c r="JQ197" s="47" t="str">
        <f t="shared" si="2850"/>
        <v xml:space="preserve">business(1),start-up(1),start-up with mvp(1),start-up with customers(1),for basic literacy(1),for the elites(1),for entrepreneurs(1), </v>
      </c>
      <c r="JR197" s="47" t="str">
        <f t="shared" si="2850"/>
        <v xml:space="preserve"> </v>
      </c>
      <c r="JS197" s="47" t="str">
        <f t="shared" si="2850"/>
        <v xml:space="preserve"> </v>
      </c>
      <c r="JT197" s="47" t="str">
        <f t="shared" si="2850"/>
        <v xml:space="preserve"> </v>
      </c>
      <c r="JU197" s="47" t="str">
        <f t="shared" si="2850"/>
        <v xml:space="preserve"> </v>
      </c>
      <c r="JV197" s="47" t="str">
        <f t="shared" si="2850"/>
        <v xml:space="preserve"> </v>
      </c>
      <c r="JW197" s="47" t="str">
        <f t="shared" si="2850"/>
        <v xml:space="preserve">business(1),start-up(2),start-up with mvp(1),start-up with customers(1),for basic literacy(2),for the elites(1),for entrepreneurs(1), </v>
      </c>
      <c r="JX197" s="47" t="str">
        <f t="shared" si="2850"/>
        <v xml:space="preserve"> </v>
      </c>
      <c r="JY197" s="47" t="str">
        <f t="shared" si="2850"/>
        <v xml:space="preserve"> </v>
      </c>
      <c r="JZ197" s="47" t="str">
        <f t="shared" si="2850"/>
        <v xml:space="preserve"> </v>
      </c>
      <c r="KA197" s="47" t="str">
        <f t="shared" si="2850"/>
        <v xml:space="preserve"> </v>
      </c>
      <c r="KB197" s="47" t="str">
        <f t="shared" si="2850"/>
        <v xml:space="preserve"> </v>
      </c>
      <c r="KC197" s="47" t="str">
        <f t="shared" si="2850"/>
        <v xml:space="preserve">business(1),start-up(2),start-up with mvp(1),start-up with customers(1),for basic literacy(2),for the elites(1),for entrepreneurs(1), </v>
      </c>
      <c r="KD197" s="47" t="str">
        <f t="shared" si="2850"/>
        <v xml:space="preserve"> </v>
      </c>
      <c r="KE197" s="47" t="str">
        <f t="shared" si="2850"/>
        <v xml:space="preserve"> </v>
      </c>
      <c r="KF197" s="47" t="str">
        <f t="shared" si="2850"/>
        <v xml:space="preserve"> </v>
      </c>
      <c r="KG197" s="47" t="str">
        <f t="shared" si="2850"/>
        <v xml:space="preserve"> </v>
      </c>
      <c r="KH197" s="47" t="str">
        <f t="shared" si="2850"/>
        <v xml:space="preserve"> </v>
      </c>
      <c r="KI197" s="47" t="str">
        <f t="shared" si="2850"/>
        <v xml:space="preserve"> </v>
      </c>
      <c r="KJ197" s="47" t="str">
        <f t="shared" si="2850"/>
        <v xml:space="preserve"> </v>
      </c>
      <c r="KK197" s="47" t="str">
        <f t="shared" si="2850"/>
        <v xml:space="preserve"> </v>
      </c>
      <c r="KL197" s="57" t="str">
        <f t="shared" si="2850"/>
        <v xml:space="preserve"> </v>
      </c>
      <c r="KM197" s="47" t="str">
        <f t="shared" si="2850"/>
        <v xml:space="preserve"> </v>
      </c>
      <c r="KN197" s="47" t="str">
        <f t="shared" si="2850"/>
        <v xml:space="preserve"> </v>
      </c>
      <c r="KO197" s="47" t="str">
        <f t="shared" si="2850"/>
        <v xml:space="preserve"> </v>
      </c>
      <c r="KP197" s="47" t="str">
        <f t="shared" si="2850"/>
        <v xml:space="preserve"> </v>
      </c>
      <c r="KQ197" s="47" t="str">
        <f t="shared" si="2850"/>
        <v xml:space="preserve"> </v>
      </c>
      <c r="KR197" s="57" t="str">
        <f t="shared" si="2850"/>
        <v xml:space="preserve"> </v>
      </c>
      <c r="KS197" s="47" t="str">
        <f t="shared" si="2850"/>
        <v xml:space="preserve"> </v>
      </c>
      <c r="KT197" s="47" t="str">
        <f t="shared" si="2850"/>
        <v xml:space="preserve"> </v>
      </c>
      <c r="KU197" s="47" t="str">
        <f t="shared" si="2850"/>
        <v xml:space="preserve"> </v>
      </c>
      <c r="KV197" s="47" t="str">
        <f t="shared" si="2850"/>
        <v xml:space="preserve"> </v>
      </c>
      <c r="KW197" s="47" t="str">
        <f t="shared" si="2850"/>
        <v xml:space="preserve"> </v>
      </c>
      <c r="KX197" s="57" t="str">
        <f t="shared" si="2850"/>
        <v xml:space="preserve"> </v>
      </c>
      <c r="KY197" s="47" t="str">
        <f t="shared" si="2850"/>
        <v xml:space="preserve"> </v>
      </c>
      <c r="KZ197" s="47" t="str">
        <f t="shared" si="2850"/>
        <v xml:space="preserve"> </v>
      </c>
      <c r="LA197" s="47" t="str">
        <f t="shared" si="2850"/>
        <v xml:space="preserve"> </v>
      </c>
      <c r="LB197" s="47" t="str">
        <f t="shared" si="2850"/>
        <v xml:space="preserve"> </v>
      </c>
      <c r="LC197" s="47" t="str">
        <f t="shared" si="2850"/>
        <v xml:space="preserve"> </v>
      </c>
      <c r="LD197" s="57" t="str">
        <f t="shared" si="2850"/>
        <v xml:space="preserve"> </v>
      </c>
      <c r="LE197" s="47" t="str">
        <f t="shared" si="2850"/>
        <v xml:space="preserve"> </v>
      </c>
      <c r="LF197" s="47" t="str">
        <f t="shared" si="2850"/>
        <v xml:space="preserve"> </v>
      </c>
      <c r="LG197" s="47" t="str">
        <f t="shared" si="2850"/>
        <v xml:space="preserve"> </v>
      </c>
      <c r="LH197" s="47" t="str">
        <f t="shared" ref="LH197:NM197" si="2851">IF(LH95="",LH198,$C197&amp;"("&amp;LH95&amp;"),"&amp;LH198)</f>
        <v xml:space="preserve"> </v>
      </c>
      <c r="LI197" s="47" t="str">
        <f t="shared" si="2851"/>
        <v xml:space="preserve"> </v>
      </c>
      <c r="LJ197" s="57" t="str">
        <f t="shared" si="2851"/>
        <v xml:space="preserve"> </v>
      </c>
      <c r="LK197" s="47" t="str">
        <f t="shared" si="2851"/>
        <v xml:space="preserve"> </v>
      </c>
      <c r="LL197" s="47" t="str">
        <f t="shared" si="2851"/>
        <v xml:space="preserve"> </v>
      </c>
      <c r="LM197" s="47" t="str">
        <f t="shared" si="2851"/>
        <v xml:space="preserve"> </v>
      </c>
      <c r="LN197" s="47" t="str">
        <f t="shared" si="2851"/>
        <v xml:space="preserve"> </v>
      </c>
      <c r="LO197" s="47" t="str">
        <f t="shared" si="2851"/>
        <v xml:space="preserve"> </v>
      </c>
      <c r="LP197" s="57" t="str">
        <f t="shared" si="2851"/>
        <v xml:space="preserve"> </v>
      </c>
      <c r="LQ197" s="47" t="str">
        <f t="shared" si="2851"/>
        <v xml:space="preserve"> </v>
      </c>
      <c r="LR197" s="47" t="str">
        <f t="shared" si="2851"/>
        <v xml:space="preserve"> </v>
      </c>
      <c r="LS197" s="47" t="str">
        <f t="shared" si="2851"/>
        <v xml:space="preserve"> </v>
      </c>
      <c r="LT197" s="47" t="str">
        <f t="shared" si="2851"/>
        <v xml:space="preserve"> </v>
      </c>
      <c r="LU197" s="47" t="str">
        <f t="shared" si="2851"/>
        <v xml:space="preserve"> </v>
      </c>
      <c r="LV197" s="57" t="str">
        <f t="shared" si="2851"/>
        <v xml:space="preserve"> </v>
      </c>
      <c r="LW197" s="47" t="str">
        <f t="shared" si="2851"/>
        <v xml:space="preserve"> </v>
      </c>
      <c r="LX197" s="47" t="str">
        <f t="shared" si="2851"/>
        <v xml:space="preserve"> </v>
      </c>
      <c r="LY197" s="47" t="str">
        <f t="shared" si="2851"/>
        <v xml:space="preserve"> </v>
      </c>
      <c r="LZ197" s="47" t="str">
        <f t="shared" si="2851"/>
        <v xml:space="preserve"> </v>
      </c>
      <c r="MA197" s="47" t="str">
        <f t="shared" si="2851"/>
        <v xml:space="preserve"> </v>
      </c>
      <c r="MB197" s="57" t="str">
        <f t="shared" si="2851"/>
        <v xml:space="preserve"> </v>
      </c>
      <c r="MC197" s="47" t="str">
        <f t="shared" si="2851"/>
        <v xml:space="preserve"> </v>
      </c>
      <c r="MD197" s="47" t="str">
        <f t="shared" si="2851"/>
        <v xml:space="preserve"> </v>
      </c>
      <c r="ME197" s="47" t="str">
        <f t="shared" si="2851"/>
        <v xml:space="preserve"> </v>
      </c>
      <c r="MF197" s="47" t="str">
        <f t="shared" si="2851"/>
        <v xml:space="preserve"> </v>
      </c>
      <c r="MG197" s="47" t="str">
        <f t="shared" si="2851"/>
        <v xml:space="preserve"> </v>
      </c>
      <c r="MH197" s="57" t="str">
        <f t="shared" si="2851"/>
        <v xml:space="preserve"> </v>
      </c>
      <c r="MI197" s="47" t="str">
        <f t="shared" si="2851"/>
        <v xml:space="preserve"> </v>
      </c>
      <c r="MJ197" s="47" t="str">
        <f t="shared" si="2851"/>
        <v xml:space="preserve"> </v>
      </c>
      <c r="MK197" s="47" t="str">
        <f t="shared" si="2851"/>
        <v xml:space="preserve"> </v>
      </c>
      <c r="ML197" s="47" t="str">
        <f t="shared" si="2851"/>
        <v xml:space="preserve"> </v>
      </c>
      <c r="MM197" s="47" t="str">
        <f t="shared" si="2851"/>
        <v xml:space="preserve"> </v>
      </c>
      <c r="MN197" s="57" t="str">
        <f t="shared" si="2851"/>
        <v xml:space="preserve"> </v>
      </c>
      <c r="MO197" s="47" t="str">
        <f t="shared" si="2851"/>
        <v xml:space="preserve"> </v>
      </c>
      <c r="MP197" s="47" t="str">
        <f t="shared" si="2851"/>
        <v xml:space="preserve"> </v>
      </c>
      <c r="MQ197" s="47" t="str">
        <f t="shared" si="2851"/>
        <v xml:space="preserve"> </v>
      </c>
      <c r="MR197" s="47" t="str">
        <f t="shared" si="2851"/>
        <v xml:space="preserve"> </v>
      </c>
      <c r="MS197" s="47" t="str">
        <f t="shared" si="2851"/>
        <v xml:space="preserve"> </v>
      </c>
      <c r="MT197" s="57" t="str">
        <f t="shared" si="2851"/>
        <v xml:space="preserve"> </v>
      </c>
      <c r="MU197" s="47" t="str">
        <f t="shared" si="2851"/>
        <v xml:space="preserve"> </v>
      </c>
      <c r="MV197" s="47" t="str">
        <f t="shared" si="2851"/>
        <v xml:space="preserve"> </v>
      </c>
      <c r="MW197" s="47" t="str">
        <f t="shared" si="2851"/>
        <v xml:space="preserve"> </v>
      </c>
      <c r="MX197" s="47" t="str">
        <f t="shared" si="2851"/>
        <v xml:space="preserve"> </v>
      </c>
      <c r="MY197" s="47" t="str">
        <f t="shared" si="2851"/>
        <v xml:space="preserve"> </v>
      </c>
      <c r="MZ197" s="57" t="str">
        <f t="shared" si="2851"/>
        <v xml:space="preserve"> </v>
      </c>
      <c r="NA197" s="47" t="str">
        <f t="shared" si="2851"/>
        <v xml:space="preserve"> </v>
      </c>
      <c r="NB197" s="47" t="str">
        <f t="shared" si="2851"/>
        <v xml:space="preserve"> </v>
      </c>
      <c r="NC197" s="47" t="str">
        <f t="shared" si="2851"/>
        <v xml:space="preserve"> </v>
      </c>
      <c r="ND197" s="47" t="str">
        <f t="shared" si="2851"/>
        <v xml:space="preserve"> </v>
      </c>
      <c r="NE197" s="47" t="str">
        <f t="shared" si="2851"/>
        <v xml:space="preserve"> </v>
      </c>
      <c r="NF197" s="57" t="str">
        <f t="shared" si="2851"/>
        <v xml:space="preserve"> </v>
      </c>
      <c r="NG197" s="47" t="str">
        <f t="shared" si="2851"/>
        <v xml:space="preserve"> </v>
      </c>
      <c r="NH197" s="47" t="str">
        <f t="shared" si="2851"/>
        <v xml:space="preserve"> </v>
      </c>
      <c r="NI197" s="47" t="str">
        <f t="shared" si="2851"/>
        <v xml:space="preserve"> </v>
      </c>
      <c r="NJ197" s="47" t="str">
        <f t="shared" si="2851"/>
        <v xml:space="preserve"> </v>
      </c>
      <c r="NK197" s="47" t="str">
        <f t="shared" si="2851"/>
        <v xml:space="preserve"> </v>
      </c>
      <c r="NL197" s="57" t="str">
        <f t="shared" si="2851"/>
        <v xml:space="preserve"> </v>
      </c>
      <c r="NM197" s="47" t="str">
        <f t="shared" si="2851"/>
        <v xml:space="preserve"> </v>
      </c>
    </row>
    <row r="198" spans="2:377" ht="15.75" customHeight="1">
      <c r="C198" s="7" t="str">
        <f t="shared" si="841"/>
        <v>start-up</v>
      </c>
      <c r="D198" s="21" t="str">
        <f t="shared" si="2000"/>
        <v xml:space="preserve"> </v>
      </c>
      <c r="E198" s="21" t="str">
        <f t="shared" si="842"/>
        <v xml:space="preserve"> </v>
      </c>
      <c r="F198" s="21" t="str">
        <f t="shared" si="2000"/>
        <v xml:space="preserve"> </v>
      </c>
      <c r="G198" s="21" t="str">
        <f t="shared" si="843"/>
        <v xml:space="preserve"> </v>
      </c>
      <c r="H198" s="21" t="str">
        <f t="shared" si="844"/>
        <v xml:space="preserve"> </v>
      </c>
      <c r="I198" s="21" t="str">
        <f t="shared" ref="I198" si="2852">IF(I96="",I199,$C198&amp;"("&amp;I96&amp;"),"&amp;I199)</f>
        <v xml:space="preserve"> </v>
      </c>
      <c r="J198" s="21" t="str">
        <f t="shared" ref="J198" si="2853">IF(J96="",J199,$C198&amp;" "&amp;J96&amp;CHAR(10)&amp;J199)</f>
        <v xml:space="preserve"> </v>
      </c>
      <c r="K198" s="21" t="str">
        <f t="shared" si="654"/>
        <v xml:space="preserve"> </v>
      </c>
      <c r="L198" s="21" t="str">
        <f t="shared" ref="L198" si="2854">IF(L96="",L199,$C198&amp;" "&amp;L96&amp;CHAR(10)&amp;L199)</f>
        <v xml:space="preserve"> </v>
      </c>
      <c r="M198" s="21" t="str">
        <f t="shared" si="656"/>
        <v xml:space="preserve"> </v>
      </c>
      <c r="N198" s="21" t="str">
        <f t="shared" si="657"/>
        <v xml:space="preserve"> </v>
      </c>
      <c r="O198" s="21" t="str">
        <f t="shared" si="2004"/>
        <v xml:space="preserve"> </v>
      </c>
      <c r="P198" s="21" t="str">
        <f t="shared" ref="P198" si="2855">IF(P96="",P199,$C198&amp;" "&amp;P96&amp;CHAR(10)&amp;P199)</f>
        <v xml:space="preserve"> </v>
      </c>
      <c r="Q198" s="21" t="str">
        <f t="shared" si="660"/>
        <v xml:space="preserve"> </v>
      </c>
      <c r="R198" s="21" t="str">
        <f t="shared" ref="R198" si="2856">IF(R96="",R199,$C198&amp;" "&amp;R96&amp;CHAR(10)&amp;R199)</f>
        <v xml:space="preserve"> </v>
      </c>
      <c r="S198" s="21" t="str">
        <f t="shared" si="662"/>
        <v xml:space="preserve">start-up(1),  </v>
      </c>
      <c r="T198" s="21" t="str">
        <f t="shared" si="663"/>
        <v xml:space="preserve"> </v>
      </c>
      <c r="U198" s="21" t="str">
        <f t="shared" si="2004"/>
        <v xml:space="preserve"> </v>
      </c>
      <c r="V198" s="21" t="str">
        <f t="shared" ref="V198" si="2857">IF(V96="",V199,$C198&amp;" "&amp;V96&amp;CHAR(10)&amp;V199)</f>
        <v xml:space="preserve"> </v>
      </c>
      <c r="W198" s="21" t="str">
        <f t="shared" si="665"/>
        <v xml:space="preserve"> </v>
      </c>
      <c r="X198" s="21" t="str">
        <f t="shared" ref="X198" si="2858">IF(X96="",X199,$C198&amp;" "&amp;X96&amp;CHAR(10)&amp;X199)</f>
        <v xml:space="preserve"> </v>
      </c>
      <c r="Y198" s="21" t="str">
        <f t="shared" si="667"/>
        <v xml:space="preserve"> </v>
      </c>
      <c r="Z198" s="21" t="str">
        <f t="shared" si="668"/>
        <v xml:space="preserve"> </v>
      </c>
      <c r="AA198" s="21" t="str">
        <f t="shared" si="2004"/>
        <v xml:space="preserve"> </v>
      </c>
      <c r="AB198" s="21" t="str">
        <f t="shared" ref="AB198" si="2859">IF(AB96="",AB199,$C198&amp;" "&amp;AB96&amp;CHAR(10)&amp;AB199)</f>
        <v xml:space="preserve"> </v>
      </c>
      <c r="AC198" s="21" t="str">
        <f t="shared" si="670"/>
        <v xml:space="preserve"> </v>
      </c>
      <c r="AD198" s="21" t="str">
        <f t="shared" ref="AD198" si="2860">IF(AD96="",AD199,$C198&amp;" "&amp;AD96&amp;CHAR(10)&amp;AD199)</f>
        <v xml:space="preserve"> </v>
      </c>
      <c r="AE198" s="21" t="str">
        <f t="shared" si="672"/>
        <v xml:space="preserve"> </v>
      </c>
      <c r="AF198" s="21" t="str">
        <f t="shared" si="673"/>
        <v xml:space="preserve"> </v>
      </c>
      <c r="AG198" s="21" t="str">
        <f t="shared" si="2004"/>
        <v xml:space="preserve"> </v>
      </c>
      <c r="AH198" s="21" t="str">
        <f t="shared" ref="AH198" si="2861">IF(AH96="",AH199,$C198&amp;" "&amp;AH96&amp;CHAR(10)&amp;AH199)</f>
        <v xml:space="preserve"> </v>
      </c>
      <c r="AI198" s="21" t="str">
        <f t="shared" si="675"/>
        <v xml:space="preserve"> </v>
      </c>
      <c r="AJ198" s="21" t="str">
        <f t="shared" ref="AJ198" si="2862">IF(AJ96="",AJ199,$C198&amp;" "&amp;AJ96&amp;CHAR(10)&amp;AJ199)</f>
        <v xml:space="preserve"> </v>
      </c>
      <c r="AK198" s="21" t="str">
        <f t="shared" si="677"/>
        <v xml:space="preserve"> </v>
      </c>
      <c r="AL198" s="21" t="str">
        <f t="shared" si="678"/>
        <v xml:space="preserve"> </v>
      </c>
      <c r="AM198" s="21" t="str">
        <f t="shared" si="2004"/>
        <v xml:space="preserve"> </v>
      </c>
      <c r="AN198" s="21" t="str">
        <f t="shared" ref="AN198" si="2863">IF(AN96="",AN199,$C198&amp;" "&amp;AN96&amp;CHAR(10)&amp;AN199)</f>
        <v xml:space="preserve"> </v>
      </c>
      <c r="AO198" s="21" t="str">
        <f t="shared" si="680"/>
        <v xml:space="preserve"> </v>
      </c>
      <c r="AP198" s="21" t="str">
        <f t="shared" ref="AP198" si="2864">IF(AP96="",AP199,$C198&amp;" "&amp;AP96&amp;CHAR(10)&amp;AP199)</f>
        <v xml:space="preserve"> </v>
      </c>
      <c r="AQ198" s="21" t="str">
        <f t="shared" si="682"/>
        <v xml:space="preserve">start-up(1), start-up with mvp(1), start-up with customers(1),  </v>
      </c>
      <c r="AR198" s="21" t="str">
        <f t="shared" si="683"/>
        <v xml:space="preserve"> </v>
      </c>
      <c r="AS198" s="21" t="str">
        <f t="shared" si="2004"/>
        <v xml:space="preserve"> </v>
      </c>
      <c r="AT198" s="21" t="str">
        <f t="shared" ref="AT198" si="2865">IF(AT96="",AT199,$C198&amp;" "&amp;AT96&amp;CHAR(10)&amp;AT199)</f>
        <v xml:space="preserve"> </v>
      </c>
      <c r="AU198" s="21" t="str">
        <f t="shared" si="685"/>
        <v xml:space="preserve"> </v>
      </c>
      <c r="AV198" s="21" t="str">
        <f t="shared" ref="AV198" si="2866">IF(AV96="",AV199,$C198&amp;" "&amp;AV96&amp;CHAR(10)&amp;AV199)</f>
        <v xml:space="preserve"> </v>
      </c>
      <c r="AW198" s="21" t="str">
        <f t="shared" si="687"/>
        <v xml:space="preserve"> </v>
      </c>
      <c r="AX198" s="21" t="str">
        <f t="shared" si="688"/>
        <v xml:space="preserve"> </v>
      </c>
      <c r="AY198" s="21" t="str">
        <f t="shared" si="2004"/>
        <v xml:space="preserve"> </v>
      </c>
      <c r="AZ198" s="21" t="str">
        <f t="shared" ref="AZ198" si="2867">IF(AZ96="",AZ199,$C198&amp;" "&amp;AZ96&amp;CHAR(10)&amp;AZ199)</f>
        <v xml:space="preserve"> </v>
      </c>
      <c r="BA198" s="21" t="str">
        <f t="shared" si="690"/>
        <v xml:space="preserve"> </v>
      </c>
      <c r="BB198" s="21" t="str">
        <f t="shared" ref="BB198" si="2868">IF(BB96="",BB199,$C198&amp;" "&amp;BB96&amp;CHAR(10)&amp;BB199)</f>
        <v xml:space="preserve"> </v>
      </c>
      <c r="BC198" s="21" t="str">
        <f t="shared" si="692"/>
        <v xml:space="preserve"> </v>
      </c>
      <c r="BD198" s="21" t="str">
        <f t="shared" si="693"/>
        <v xml:space="preserve"> </v>
      </c>
      <c r="BE198" s="21" t="str">
        <f t="shared" si="2004"/>
        <v xml:space="preserve"> </v>
      </c>
      <c r="BF198" s="21" t="str">
        <f t="shared" ref="BF198" si="2869">IF(BF96="",BF199,$C198&amp;" "&amp;BF96&amp;CHAR(10)&amp;BF199)</f>
        <v xml:space="preserve"> </v>
      </c>
      <c r="BG198" s="21" t="str">
        <f t="shared" si="695"/>
        <v xml:space="preserve"> </v>
      </c>
      <c r="BH198" s="21" t="str">
        <f t="shared" ref="BH198" si="2870">IF(BH96="",BH199,$C198&amp;" "&amp;BH96&amp;CHAR(10)&amp;BH199)</f>
        <v xml:space="preserve"> </v>
      </c>
      <c r="BI198" s="21" t="str">
        <f t="shared" si="697"/>
        <v xml:space="preserve"> </v>
      </c>
      <c r="BJ198" s="21" t="str">
        <f t="shared" si="698"/>
        <v xml:space="preserve"> </v>
      </c>
      <c r="BK198" s="21" t="str">
        <f t="shared" si="2004"/>
        <v xml:space="preserve"> </v>
      </c>
      <c r="BL198" s="21" t="str">
        <f t="shared" ref="BL198" si="2871">IF(BL96="",BL199,$C198&amp;" "&amp;BL96&amp;CHAR(10)&amp;BL199)</f>
        <v xml:space="preserve"> </v>
      </c>
      <c r="BM198" s="21" t="str">
        <f t="shared" si="700"/>
        <v xml:space="preserve"> </v>
      </c>
      <c r="BN198" s="21" t="str">
        <f t="shared" ref="BN198" si="2872">IF(BN96="",BN199,$C198&amp;" "&amp;BN96&amp;CHAR(10)&amp;BN199)</f>
        <v xml:space="preserve"> </v>
      </c>
      <c r="BO198" s="21" t="str">
        <f t="shared" si="702"/>
        <v xml:space="preserve"> </v>
      </c>
      <c r="BP198" s="21" t="str">
        <f t="shared" si="703"/>
        <v xml:space="preserve"> </v>
      </c>
      <c r="BQ198" s="21" t="str">
        <f t="shared" si="2004"/>
        <v xml:space="preserve"> </v>
      </c>
      <c r="BR198" s="21" t="str">
        <f t="shared" ref="BR198" si="2873">IF(BR96="",BR199,$C198&amp;" "&amp;BR96&amp;CHAR(10)&amp;BR199)</f>
        <v xml:space="preserve"> </v>
      </c>
      <c r="BS198" s="21" t="str">
        <f t="shared" si="705"/>
        <v xml:space="preserve"> </v>
      </c>
      <c r="BT198" s="21" t="str">
        <f t="shared" ref="BT198" si="2874">IF(BT96="",BT199,$C198&amp;" "&amp;BT96&amp;CHAR(10)&amp;BT199)</f>
        <v xml:space="preserve"> </v>
      </c>
      <c r="BU198" s="21" t="str">
        <f t="shared" si="707"/>
        <v xml:space="preserve"> </v>
      </c>
      <c r="BV198" s="21" t="str">
        <f t="shared" si="708"/>
        <v xml:space="preserve"> </v>
      </c>
      <c r="BW198" s="21" t="str">
        <f t="shared" si="2004"/>
        <v xml:space="preserve"> </v>
      </c>
      <c r="BX198" s="21" t="str">
        <f t="shared" ref="BX198" si="2875">IF(BX96="",BX199,$C198&amp;" "&amp;BX96&amp;CHAR(10)&amp;BX199)</f>
        <v xml:space="preserve"> </v>
      </c>
      <c r="BY198" s="21" t="str">
        <f t="shared" si="710"/>
        <v xml:space="preserve"> </v>
      </c>
      <c r="BZ198" s="21" t="str">
        <f t="shared" ref="BZ198" si="2876">IF(BZ96="",BZ199,$C198&amp;" "&amp;BZ96&amp;CHAR(10)&amp;BZ199)</f>
        <v xml:space="preserve"> </v>
      </c>
      <c r="CA198" s="21" t="str">
        <f t="shared" si="712"/>
        <v xml:space="preserve"> </v>
      </c>
      <c r="CB198" s="21" t="str">
        <f t="shared" si="713"/>
        <v xml:space="preserve"> </v>
      </c>
      <c r="CC198" s="21" t="str">
        <f t="shared" si="2027"/>
        <v xml:space="preserve"> </v>
      </c>
      <c r="CD198" s="21" t="str">
        <f t="shared" ref="CD198" si="2877">IF(CD96="",CD199,$C198&amp;" "&amp;CD96&amp;CHAR(10)&amp;CD199)</f>
        <v xml:space="preserve"> </v>
      </c>
      <c r="CE198" s="21" t="str">
        <f t="shared" si="716"/>
        <v xml:space="preserve"> </v>
      </c>
      <c r="CF198" s="21" t="str">
        <f t="shared" ref="CF198" si="2878">IF(CF96="",CF199,$C198&amp;" "&amp;CF96&amp;CHAR(10)&amp;CF199)</f>
        <v xml:space="preserve"> </v>
      </c>
      <c r="CG198" s="21" t="str">
        <f t="shared" si="718"/>
        <v xml:space="preserve">for basic literacy(1), for the elites(1), for entrepreneurs(1),  </v>
      </c>
      <c r="CH198" s="21" t="str">
        <f t="shared" si="719"/>
        <v xml:space="preserve"> </v>
      </c>
      <c r="CI198" s="21" t="str">
        <f t="shared" si="2027"/>
        <v xml:space="preserve"> </v>
      </c>
      <c r="CJ198" s="21" t="str">
        <f t="shared" ref="CJ198" si="2879">IF(CJ96="",CJ199,$C198&amp;" "&amp;CJ96&amp;CHAR(10)&amp;CJ199)</f>
        <v xml:space="preserve"> </v>
      </c>
      <c r="CK198" s="21" t="str">
        <f t="shared" si="721"/>
        <v xml:space="preserve"> </v>
      </c>
      <c r="CL198" s="21" t="str">
        <f t="shared" ref="CL198" si="2880">IF(CL96="",CL199,$C198&amp;" "&amp;CL96&amp;CHAR(10)&amp;CL199)</f>
        <v xml:space="preserve"> </v>
      </c>
      <c r="CM198" s="21" t="str">
        <f t="shared" si="723"/>
        <v xml:space="preserve"> </v>
      </c>
      <c r="CN198" s="21" t="str">
        <f t="shared" si="724"/>
        <v xml:space="preserve"> </v>
      </c>
      <c r="CO198" s="21" t="str">
        <f t="shared" si="2027"/>
        <v xml:space="preserve"> </v>
      </c>
      <c r="CP198" s="21" t="str">
        <f t="shared" ref="CP198" si="2881">IF(CP96="",CP199,$C198&amp;" "&amp;CP96&amp;CHAR(10)&amp;CP199)</f>
        <v xml:space="preserve"> </v>
      </c>
      <c r="CQ198" s="21" t="str">
        <f t="shared" si="726"/>
        <v xml:space="preserve"> </v>
      </c>
      <c r="CR198" s="21" t="str">
        <f t="shared" ref="CR198" si="2882">IF(CR96="",CR199,$C198&amp;" "&amp;CR96&amp;CHAR(10)&amp;CR199)</f>
        <v xml:space="preserve"> </v>
      </c>
      <c r="CS198" s="21" t="str">
        <f t="shared" si="728"/>
        <v xml:space="preserve"> </v>
      </c>
      <c r="CT198" s="21" t="str">
        <f t="shared" si="729"/>
        <v xml:space="preserve"> </v>
      </c>
      <c r="CU198" s="21" t="str">
        <f t="shared" si="2027"/>
        <v xml:space="preserve"> </v>
      </c>
      <c r="CV198" s="21" t="str">
        <f t="shared" ref="CV198" si="2883">IF(CV96="",CV199,$C198&amp;" "&amp;CV96&amp;CHAR(10)&amp;CV199)</f>
        <v xml:space="preserve"> </v>
      </c>
      <c r="CW198" s="21" t="str">
        <f t="shared" si="731"/>
        <v xml:space="preserve"> </v>
      </c>
      <c r="CX198" s="21" t="str">
        <f t="shared" ref="CX198" si="2884">IF(CX96="",CX199,$C198&amp;" "&amp;CX96&amp;CHAR(10)&amp;CX199)</f>
        <v xml:space="preserve"> </v>
      </c>
      <c r="CY198" s="21" t="str">
        <f t="shared" si="733"/>
        <v xml:space="preserve"> </v>
      </c>
      <c r="CZ198" s="21" t="str">
        <f t="shared" si="734"/>
        <v xml:space="preserve"> </v>
      </c>
      <c r="DA198" s="21" t="str">
        <f t="shared" si="2027"/>
        <v xml:space="preserve"> </v>
      </c>
      <c r="DB198" s="21" t="str">
        <f t="shared" ref="DB198" si="2885">IF(DB96="",DB199,$C198&amp;" "&amp;DB96&amp;CHAR(10)&amp;DB199)</f>
        <v xml:space="preserve"> </v>
      </c>
      <c r="DC198" s="21" t="str">
        <f t="shared" si="736"/>
        <v xml:space="preserve"> </v>
      </c>
      <c r="DD198" s="21" t="str">
        <f t="shared" ref="DD198" si="2886">IF(DD96="",DD199,$C198&amp;" "&amp;DD96&amp;CHAR(10)&amp;DD199)</f>
        <v xml:space="preserve"> </v>
      </c>
      <c r="DE198" s="21" t="str">
        <f t="shared" si="738"/>
        <v xml:space="preserve">start-up(1), start-up with mvp(1), start-up with customers(1), for entrepreneurs(2),  </v>
      </c>
      <c r="DF198" s="21" t="str">
        <f t="shared" si="739"/>
        <v xml:space="preserve"> </v>
      </c>
      <c r="DG198" s="21" t="str">
        <f t="shared" si="2027"/>
        <v xml:space="preserve"> </v>
      </c>
      <c r="DH198" s="21" t="str">
        <f t="shared" ref="DH198" si="2887">IF(DH96="",DH199,$C198&amp;" "&amp;DH96&amp;CHAR(10)&amp;DH199)</f>
        <v xml:space="preserve"> </v>
      </c>
      <c r="DI198" s="21" t="str">
        <f t="shared" si="741"/>
        <v xml:space="preserve"> </v>
      </c>
      <c r="DJ198" s="21" t="str">
        <f t="shared" ref="DJ198" si="2888">IF(DJ96="",DJ199,$C198&amp;" "&amp;DJ96&amp;CHAR(10)&amp;DJ199)</f>
        <v xml:space="preserve"> </v>
      </c>
      <c r="DK198" s="21" t="str">
        <f t="shared" si="743"/>
        <v xml:space="preserve"> </v>
      </c>
      <c r="DL198" s="21" t="str">
        <f t="shared" si="744"/>
        <v xml:space="preserve"> </v>
      </c>
      <c r="DM198" s="21" t="str">
        <f t="shared" si="2027"/>
        <v xml:space="preserve"> </v>
      </c>
      <c r="DN198" s="21" t="str">
        <f t="shared" ref="DN198" si="2889">IF(DN96="",DN199,$C198&amp;" "&amp;DN96&amp;CHAR(10)&amp;DN199)</f>
        <v xml:space="preserve"> </v>
      </c>
      <c r="DO198" s="21" t="str">
        <f t="shared" si="746"/>
        <v xml:space="preserve"> </v>
      </c>
      <c r="DP198" s="21" t="str">
        <f t="shared" ref="DP198" si="2890">IF(DP96="",DP199,$C198&amp;" "&amp;DP96&amp;CHAR(10)&amp;DP199)</f>
        <v xml:space="preserve"> </v>
      </c>
      <c r="DQ198" s="21" t="str">
        <f t="shared" si="748"/>
        <v xml:space="preserve">start-up(1), start-up with mvp(1), start-up with customers(1), for entrepreneurs(1),  </v>
      </c>
      <c r="DR198" s="21" t="str">
        <f t="shared" si="749"/>
        <v xml:space="preserve"> </v>
      </c>
      <c r="DS198" s="21" t="str">
        <f t="shared" si="2027"/>
        <v xml:space="preserve"> </v>
      </c>
      <c r="DT198" s="21" t="str">
        <f t="shared" ref="DT198" si="2891">IF(DT96="",DT199,$C198&amp;" "&amp;DT96&amp;CHAR(10)&amp;DT199)</f>
        <v xml:space="preserve"> </v>
      </c>
      <c r="DU198" s="21" t="str">
        <f t="shared" si="751"/>
        <v xml:space="preserve"> </v>
      </c>
      <c r="DV198" s="21" t="str">
        <f t="shared" ref="DV198" si="2892">IF(DV96="",DV199,$C198&amp;" "&amp;DV96&amp;CHAR(10)&amp;DV199)</f>
        <v xml:space="preserve"> </v>
      </c>
      <c r="DW198" s="21" t="str">
        <f t="shared" si="753"/>
        <v xml:space="preserve">for basic literacy(1),  </v>
      </c>
      <c r="DX198" s="21" t="str">
        <f t="shared" si="754"/>
        <v xml:space="preserve">for basic literacy(1,6.25),  </v>
      </c>
      <c r="DY198" s="21" t="str">
        <f t="shared" si="2027"/>
        <v xml:space="preserve">for basic literacy(6.25), </v>
      </c>
      <c r="DZ198" s="21" t="str">
        <f t="shared" ref="DZ198" si="2893">IF(DZ96="",DZ199,$C198&amp;" "&amp;DZ96&amp;CHAR(10)&amp;DZ199)</f>
        <v xml:space="preserve"> </v>
      </c>
      <c r="EA198" s="21" t="str">
        <f t="shared" si="756"/>
        <v xml:space="preserve"> </v>
      </c>
      <c r="EB198" s="21" t="str">
        <f t="shared" ref="EB198" si="2894">IF(EB96="",EB199,$C198&amp;" "&amp;EB96&amp;CHAR(10)&amp;EB199)</f>
        <v xml:space="preserve"> </v>
      </c>
      <c r="EC198" s="21" t="str">
        <f t="shared" si="758"/>
        <v xml:space="preserve">for basic literacy(1),  </v>
      </c>
      <c r="ED198" s="21" t="str">
        <f t="shared" si="759"/>
        <v xml:space="preserve">for basic literacy(1,6.25),  </v>
      </c>
      <c r="EE198" s="21" t="str">
        <f t="shared" si="2027"/>
        <v xml:space="preserve">for basic literacy(6.25), </v>
      </c>
      <c r="EF198" s="21" t="str">
        <f t="shared" ref="EF198" si="2895">IF(EF96="",EF199,$C198&amp;" "&amp;EF96&amp;CHAR(10)&amp;EF199)</f>
        <v xml:space="preserve"> </v>
      </c>
      <c r="EG198" s="21" t="str">
        <f t="shared" si="761"/>
        <v xml:space="preserve"> </v>
      </c>
      <c r="EH198" s="21" t="str">
        <f t="shared" ref="EH198" si="2896">IF(EH96="",EH199,$C198&amp;" "&amp;EH96&amp;CHAR(10)&amp;EH199)</f>
        <v xml:space="preserve"> </v>
      </c>
      <c r="EI198" s="21" t="str">
        <f t="shared" si="763"/>
        <v xml:space="preserve">for entrepreneurs(1),  </v>
      </c>
      <c r="EJ198" s="21" t="str">
        <f t="shared" si="764"/>
        <v xml:space="preserve">for entrepreneurs(1,6.25),  </v>
      </c>
      <c r="EK198" s="21" t="str">
        <f t="shared" si="2027"/>
        <v xml:space="preserve">for entrepreneurs(6.25), </v>
      </c>
      <c r="EL198" s="21" t="str">
        <f t="shared" ref="EL198" si="2897">IF(EL96="",EL199,$C198&amp;" "&amp;EL96&amp;CHAR(10)&amp;EL199)</f>
        <v xml:space="preserve"> </v>
      </c>
      <c r="EM198" s="21" t="str">
        <f t="shared" si="766"/>
        <v xml:space="preserve"> </v>
      </c>
      <c r="EN198" s="21" t="str">
        <f t="shared" ref="EN198" si="2898">IF(EN96="",EN199,$C198&amp;" "&amp;EN96&amp;CHAR(10)&amp;EN199)</f>
        <v xml:space="preserve"> </v>
      </c>
      <c r="EO198" s="21" t="str">
        <f t="shared" si="768"/>
        <v xml:space="preserve">for entrepreneurs(1),  </v>
      </c>
      <c r="EP198" s="21" t="str">
        <f t="shared" si="769"/>
        <v xml:space="preserve">for entrepreneurs(1,6.25),  </v>
      </c>
      <c r="EQ198" s="21" t="str">
        <f t="shared" si="2050"/>
        <v xml:space="preserve">for entrepreneurs(6.25), </v>
      </c>
      <c r="ER198" s="21" t="str">
        <f t="shared" ref="ER198" si="2899">IF(ER96="",ER199,$C198&amp;" "&amp;ER96&amp;CHAR(10)&amp;ER199)</f>
        <v xml:space="preserve"> </v>
      </c>
      <c r="ES198" s="21" t="str">
        <f t="shared" si="772"/>
        <v xml:space="preserve"> </v>
      </c>
      <c r="ET198" s="21" t="str">
        <f t="shared" ref="ET198" si="2900">IF(ET96="",ET199,$C198&amp;" "&amp;ET96&amp;CHAR(10)&amp;ET199)</f>
        <v xml:space="preserve"> </v>
      </c>
      <c r="EU198" s="21" t="str">
        <f t="shared" si="774"/>
        <v xml:space="preserve">for entrepreneurs(1),  </v>
      </c>
      <c r="EV198" s="21" t="str">
        <f t="shared" si="775"/>
        <v xml:space="preserve">for entrepreneurs(1,6.25),  </v>
      </c>
      <c r="EW198" s="21" t="str">
        <f t="shared" si="2050"/>
        <v xml:space="preserve">for entrepreneurs(6.25), </v>
      </c>
      <c r="EX198" s="21" t="str">
        <f t="shared" ref="EX198" si="2901">IF(EX96="",EX199,$C198&amp;" "&amp;EX96&amp;CHAR(10)&amp;EX199)</f>
        <v xml:space="preserve"> </v>
      </c>
      <c r="EY198" s="21" t="str">
        <f t="shared" si="777"/>
        <v xml:space="preserve"> </v>
      </c>
      <c r="EZ198" s="21" t="str">
        <f t="shared" ref="EZ198" si="2902">IF(EZ96="",EZ199,$C198&amp;" "&amp;EZ96&amp;CHAR(10)&amp;EZ199)</f>
        <v xml:space="preserve"> </v>
      </c>
      <c r="FA198" s="21" t="str">
        <f t="shared" si="779"/>
        <v xml:space="preserve">for entrepreneurs(1),  </v>
      </c>
      <c r="FB198" s="21" t="str">
        <f t="shared" si="780"/>
        <v xml:space="preserve">for entrepreneurs(1,6.25),  </v>
      </c>
      <c r="FC198" s="21" t="str">
        <f t="shared" si="2050"/>
        <v xml:space="preserve">for entrepreneurs(6.25), </v>
      </c>
      <c r="FD198" s="21" t="str">
        <f t="shared" ref="FD198" si="2903">IF(FD96="",FD199,$C198&amp;" "&amp;FD96&amp;CHAR(10)&amp;FD199)</f>
        <v xml:space="preserve"> </v>
      </c>
      <c r="FE198" s="21" t="str">
        <f t="shared" si="782"/>
        <v xml:space="preserve"> </v>
      </c>
      <c r="FF198" s="21" t="str">
        <f t="shared" ref="FF198" si="2904">IF(FF96="",FF199,$C198&amp;" "&amp;FF96&amp;CHAR(10)&amp;FF199)</f>
        <v xml:space="preserve"> </v>
      </c>
      <c r="FG198" s="21" t="str">
        <f t="shared" si="784"/>
        <v xml:space="preserve">for entrepreneurs(1),  </v>
      </c>
      <c r="FH198" s="21" t="str">
        <f t="shared" si="785"/>
        <v xml:space="preserve">for entrepreneurs(1,6.25),  </v>
      </c>
      <c r="FI198" s="21" t="str">
        <f t="shared" si="2050"/>
        <v xml:space="preserve">for entrepreneurs(6.25), </v>
      </c>
      <c r="FJ198" s="21" t="str">
        <f t="shared" ref="FJ198" si="2905">IF(FJ96="",FJ199,$C198&amp;" "&amp;FJ96&amp;CHAR(10)&amp;FJ199)</f>
        <v xml:space="preserve"> </v>
      </c>
      <c r="FK198" s="21" t="str">
        <f t="shared" si="787"/>
        <v xml:space="preserve"> </v>
      </c>
      <c r="FL198" s="21" t="str">
        <f t="shared" ref="FL198" si="2906">IF(FL96="",FL199,$C198&amp;" "&amp;FL96&amp;CHAR(10)&amp;FL199)</f>
        <v xml:space="preserve"> </v>
      </c>
      <c r="FM198" s="21" t="str">
        <f t="shared" si="789"/>
        <v xml:space="preserve">for entrepreneurs(1),  </v>
      </c>
      <c r="FN198" s="21" t="str">
        <f t="shared" si="790"/>
        <v xml:space="preserve">for entrepreneurs(1,6.25),  </v>
      </c>
      <c r="FO198" s="21" t="str">
        <f t="shared" si="2050"/>
        <v xml:space="preserve">for entrepreneurs(6.25), </v>
      </c>
      <c r="FP198" s="21" t="str">
        <f t="shared" ref="FP198" si="2907">IF(FP96="",FP199,$C198&amp;" "&amp;FP96&amp;CHAR(10)&amp;FP199)</f>
        <v xml:space="preserve"> </v>
      </c>
      <c r="FQ198" s="21" t="str">
        <f t="shared" si="792"/>
        <v xml:space="preserve"> </v>
      </c>
      <c r="FR198" s="21" t="str">
        <f t="shared" ref="FR198" si="2908">IF(FR96="",FR199,$C198&amp;" "&amp;FR96&amp;CHAR(10)&amp;FR199)</f>
        <v xml:space="preserve"> </v>
      </c>
      <c r="FS198" s="21" t="str">
        <f t="shared" si="794"/>
        <v xml:space="preserve">for entrepreneurs(1),  </v>
      </c>
      <c r="FT198" s="21" t="str">
        <f t="shared" si="795"/>
        <v xml:space="preserve">for entrepreneurs(1,6.25),  </v>
      </c>
      <c r="FU198" s="21" t="str">
        <f t="shared" si="2050"/>
        <v xml:space="preserve">for entrepreneurs(6.25), </v>
      </c>
      <c r="FV198" s="21" t="str">
        <f t="shared" ref="FV198" si="2909">IF(FV96="",FV199,$C198&amp;" "&amp;FV96&amp;CHAR(10)&amp;FV199)</f>
        <v xml:space="preserve"> </v>
      </c>
      <c r="FW198" s="21" t="str">
        <f t="shared" si="797"/>
        <v xml:space="preserve"> </v>
      </c>
      <c r="FX198" s="21" t="str">
        <f t="shared" ref="FX198" si="2910">IF(FX96="",FX199,$C198&amp;" "&amp;FX96&amp;CHAR(10)&amp;FX199)</f>
        <v xml:space="preserve"> </v>
      </c>
      <c r="FY198" s="21" t="str">
        <f t="shared" si="799"/>
        <v xml:space="preserve">for entrepreneurs(1),  </v>
      </c>
      <c r="FZ198" s="21" t="str">
        <f t="shared" si="800"/>
        <v xml:space="preserve">for entrepreneurs(1,6.25),  </v>
      </c>
      <c r="GA198" s="21" t="str">
        <f t="shared" si="2050"/>
        <v xml:space="preserve">for entrepreneurs(6.25), </v>
      </c>
      <c r="GB198" s="21" t="str">
        <f t="shared" ref="GB198" si="2911">IF(GB96="",GB199,$C198&amp;" "&amp;GB96&amp;CHAR(10)&amp;GB199)</f>
        <v xml:space="preserve"> </v>
      </c>
      <c r="GC198" s="21" t="str">
        <f t="shared" si="802"/>
        <v xml:space="preserve"> </v>
      </c>
      <c r="GD198" s="21" t="str">
        <f t="shared" ref="GD198" si="2912">IF(GD96="",GD199,$C198&amp;" "&amp;GD96&amp;CHAR(10)&amp;GD199)</f>
        <v xml:space="preserve"> </v>
      </c>
      <c r="GE198" s="21" t="str">
        <f t="shared" si="804"/>
        <v xml:space="preserve">for entrepreneurs(1),  </v>
      </c>
      <c r="GF198" s="21" t="str">
        <f t="shared" si="805"/>
        <v xml:space="preserve">for entrepreneurs(1,6.25),  </v>
      </c>
      <c r="GG198" s="21" t="str">
        <f t="shared" si="2050"/>
        <v xml:space="preserve">for entrepreneurs(6.25), </v>
      </c>
      <c r="GH198" s="21" t="str">
        <f t="shared" ref="GH198" si="2913">IF(GH96="",GH199,$C198&amp;" "&amp;GH96&amp;CHAR(10)&amp;GH199)</f>
        <v xml:space="preserve"> </v>
      </c>
      <c r="GI198" s="21" t="str">
        <f t="shared" si="807"/>
        <v xml:space="preserve"> </v>
      </c>
      <c r="GJ198" s="21" t="str">
        <f t="shared" ref="GJ198" si="2914">IF(GJ96="",GJ199,$C198&amp;" "&amp;GJ96&amp;CHAR(10)&amp;GJ199)</f>
        <v xml:space="preserve"> </v>
      </c>
      <c r="GK198" s="21" t="str">
        <f t="shared" si="809"/>
        <v xml:space="preserve">for entrepreneurs(1),  </v>
      </c>
      <c r="GL198" s="21" t="str">
        <f t="shared" si="810"/>
        <v xml:space="preserve">for entrepreneurs(1,6.25),  </v>
      </c>
      <c r="GM198" s="21" t="str">
        <f t="shared" si="2050"/>
        <v xml:space="preserve">for entrepreneurs(6.25), </v>
      </c>
      <c r="GN198" s="21" t="str">
        <f t="shared" ref="GN198" si="2915">IF(GN96="",GN199,$C198&amp;" "&amp;GN96&amp;CHAR(10)&amp;GN199)</f>
        <v xml:space="preserve"> </v>
      </c>
      <c r="GO198" s="21" t="str">
        <f t="shared" si="812"/>
        <v xml:space="preserve"> </v>
      </c>
      <c r="GP198" s="21" t="str">
        <f t="shared" ref="GP198" si="2916">IF(GP96="",GP199,$C198&amp;" "&amp;GP96&amp;CHAR(10)&amp;GP199)</f>
        <v xml:space="preserve"> </v>
      </c>
      <c r="GQ198" s="21" t="str">
        <f t="shared" si="814"/>
        <v xml:space="preserve">for entrepreneurs(1),  </v>
      </c>
      <c r="GR198" s="21" t="str">
        <f t="shared" si="815"/>
        <v xml:space="preserve">for entrepreneurs(1,6.25),  </v>
      </c>
      <c r="GS198" s="21" t="str">
        <f t="shared" si="2050"/>
        <v xml:space="preserve">for entrepreneurs(6.25), </v>
      </c>
      <c r="GT198" s="21" t="str">
        <f t="shared" ref="GT198" si="2917">IF(GT96="",GT199,$C198&amp;" "&amp;GT96&amp;CHAR(10)&amp;GT199)</f>
        <v xml:space="preserve"> </v>
      </c>
      <c r="GU198" s="21" t="str">
        <f t="shared" si="817"/>
        <v xml:space="preserve"> </v>
      </c>
      <c r="GV198" s="21" t="str">
        <f t="shared" ref="GV198" si="2918">IF(GV96="",GV199,$C198&amp;" "&amp;GV96&amp;CHAR(10)&amp;GV199)</f>
        <v xml:space="preserve"> </v>
      </c>
      <c r="GW198" s="21" t="str">
        <f t="shared" si="819"/>
        <v xml:space="preserve"> </v>
      </c>
      <c r="GX198" s="21" t="str">
        <f t="shared" si="820"/>
        <v xml:space="preserve"> </v>
      </c>
      <c r="GY198" s="21" t="str">
        <f t="shared" si="2050"/>
        <v xml:space="preserve"> </v>
      </c>
      <c r="GZ198" s="21" t="str">
        <f t="shared" ref="GZ198" si="2919">IF(GZ96="",GZ199,$C198&amp;" "&amp;GZ96&amp;CHAR(10)&amp;GZ199)</f>
        <v xml:space="preserve"> </v>
      </c>
      <c r="HA198" s="21" t="str">
        <f t="shared" si="822"/>
        <v xml:space="preserve"> </v>
      </c>
      <c r="HB198" s="21" t="str">
        <f t="shared" ref="HB198" si="2920">IF(HB96="",HB199,$C198&amp;" "&amp;HB96&amp;CHAR(10)&amp;HB199)</f>
        <v xml:space="preserve"> </v>
      </c>
      <c r="HC198" s="21" t="str">
        <f t="shared" si="824"/>
        <v xml:space="preserve"> </v>
      </c>
      <c r="HD198" s="21" t="str">
        <f t="shared" si="825"/>
        <v xml:space="preserve">start-up with customers(1,6.25), for basic literacy(1,6.25),  </v>
      </c>
      <c r="HE198" s="21" t="str">
        <f t="shared" si="2073"/>
        <v xml:space="preserve">start-up with customers(6.25),for basic literacy(6.25), </v>
      </c>
      <c r="HF198" s="21" t="str">
        <f t="shared" ref="HF198" si="2921">IF(HF96="",HF199,$C198&amp;" "&amp;HF96&amp;CHAR(10)&amp;HF199)</f>
        <v xml:space="preserve"> </v>
      </c>
      <c r="HG198" s="21" t="str">
        <f t="shared" si="828"/>
        <v xml:space="preserve"> </v>
      </c>
      <c r="HH198" s="21" t="str">
        <f t="shared" ref="HH198" si="2922">IF(HH96="",HH199,$C198&amp;" "&amp;HH96&amp;CHAR(10)&amp;HH199)</f>
        <v xml:space="preserve"> </v>
      </c>
      <c r="HI198" s="21" t="str">
        <f t="shared" si="830"/>
        <v xml:space="preserve"> </v>
      </c>
      <c r="HJ198" s="21" t="str">
        <f t="shared" si="831"/>
        <v xml:space="preserve">start-up with customers(1,6.25),  </v>
      </c>
      <c r="HK198" s="21" t="str">
        <f t="shared" si="2073"/>
        <v xml:space="preserve">start-up with customers(6.25), </v>
      </c>
      <c r="HL198" s="21" t="str">
        <f t="shared" ref="HL198" si="2923">IF(HL96="",HL199,$C198&amp;" "&amp;HL96&amp;CHAR(10)&amp;HL199)</f>
        <v xml:space="preserve"> </v>
      </c>
      <c r="HM198" s="21" t="str">
        <f t="shared" si="833"/>
        <v xml:space="preserve"> </v>
      </c>
      <c r="HN198" s="21" t="str">
        <f t="shared" ref="HN198" si="2924">IF(HN96="",HN199,$C198&amp;" "&amp;HN96&amp;CHAR(10)&amp;HN199)</f>
        <v xml:space="preserve"> </v>
      </c>
      <c r="HO198" s="21" t="str">
        <f t="shared" si="835"/>
        <v xml:space="preserve"> </v>
      </c>
      <c r="HP198" s="21" t="str">
        <f t="shared" si="836"/>
        <v xml:space="preserve"> </v>
      </c>
      <c r="HQ198" s="47" t="str">
        <f t="shared" si="2073"/>
        <v xml:space="preserve"> </v>
      </c>
      <c r="HR198" s="47" t="str">
        <f t="shared" ref="HR198:HW198" si="2925">IF(HR96="",HR199,$C198&amp;"("&amp;HR96&amp;"),"&amp;HR199)</f>
        <v xml:space="preserve"> </v>
      </c>
      <c r="HS198" s="47" t="str">
        <f t="shared" si="2925"/>
        <v xml:space="preserve"> </v>
      </c>
      <c r="HT198" s="47" t="str">
        <f t="shared" si="2925"/>
        <v xml:space="preserve"> </v>
      </c>
      <c r="HU198" s="47" t="str">
        <f t="shared" si="2925"/>
        <v xml:space="preserve">start-up with mvp(1), </v>
      </c>
      <c r="HV198" s="47" t="str">
        <f t="shared" si="2925"/>
        <v xml:space="preserve"> </v>
      </c>
      <c r="HW198" s="47" t="str">
        <f t="shared" si="2925"/>
        <v xml:space="preserve"> </v>
      </c>
      <c r="HX198" s="47" t="str">
        <f t="shared" ref="HX198:IU198" si="2926">IF(HX96="",HX199,$C198&amp;"("&amp;HX96&amp;"),"&amp;HX199)</f>
        <v xml:space="preserve"> </v>
      </c>
      <c r="HY198" s="47" t="str">
        <f t="shared" si="2926"/>
        <v xml:space="preserve"> </v>
      </c>
      <c r="HZ198" s="47" t="str">
        <f t="shared" si="2926"/>
        <v xml:space="preserve"> </v>
      </c>
      <c r="IA198" s="47" t="str">
        <f t="shared" si="2926"/>
        <v xml:space="preserve"> </v>
      </c>
      <c r="IB198" s="47" t="str">
        <f t="shared" si="2926"/>
        <v xml:space="preserve"> </v>
      </c>
      <c r="IC198" s="47" t="str">
        <f t="shared" si="2926"/>
        <v xml:space="preserve"> </v>
      </c>
      <c r="ID198" s="47" t="str">
        <f t="shared" si="2926"/>
        <v xml:space="preserve"> </v>
      </c>
      <c r="IE198" s="47" t="str">
        <f t="shared" si="2926"/>
        <v xml:space="preserve"> </v>
      </c>
      <c r="IF198" s="47" t="str">
        <f t="shared" si="2926"/>
        <v xml:space="preserve"> </v>
      </c>
      <c r="IG198" s="47" t="str">
        <f t="shared" si="2926"/>
        <v xml:space="preserve"> </v>
      </c>
      <c r="IH198" s="47" t="str">
        <f t="shared" si="2926"/>
        <v xml:space="preserve"> </v>
      </c>
      <c r="II198" s="47" t="str">
        <f t="shared" si="2926"/>
        <v xml:space="preserve"> </v>
      </c>
      <c r="IJ198" s="47" t="str">
        <f t="shared" si="2926"/>
        <v xml:space="preserve"> </v>
      </c>
      <c r="IK198" s="47" t="str">
        <f t="shared" si="2926"/>
        <v xml:space="preserve"> </v>
      </c>
      <c r="IL198" s="47" t="str">
        <f t="shared" si="2926"/>
        <v xml:space="preserve"> </v>
      </c>
      <c r="IM198" s="47" t="str">
        <f t="shared" si="2926"/>
        <v xml:space="preserve"> </v>
      </c>
      <c r="IN198" s="47" t="str">
        <f t="shared" si="2926"/>
        <v xml:space="preserve"> </v>
      </c>
      <c r="IO198" s="47" t="str">
        <f t="shared" si="2926"/>
        <v xml:space="preserve"> </v>
      </c>
      <c r="IP198" s="57" t="str">
        <f t="shared" si="2926"/>
        <v xml:space="preserve"> </v>
      </c>
      <c r="IQ198" s="47" t="str">
        <f t="shared" si="2926"/>
        <v xml:space="preserve"> </v>
      </c>
      <c r="IR198" s="47" t="str">
        <f t="shared" si="2926"/>
        <v xml:space="preserve"> </v>
      </c>
      <c r="IS198" s="47" t="str">
        <f t="shared" si="2926"/>
        <v xml:space="preserve"> </v>
      </c>
      <c r="IT198" s="47" t="str">
        <f t="shared" si="2926"/>
        <v xml:space="preserve"> </v>
      </c>
      <c r="IU198" s="47" t="str">
        <f t="shared" si="2926"/>
        <v xml:space="preserve"> </v>
      </c>
      <c r="IV198" s="57" t="str">
        <f t="shared" ref="IV198:LG198" si="2927">IF(IV96="",IV199,$C198&amp;"("&amp;IV96&amp;"),"&amp;IV199)</f>
        <v xml:space="preserve"> </v>
      </c>
      <c r="IW198" s="47" t="str">
        <f t="shared" si="2927"/>
        <v xml:space="preserve"> </v>
      </c>
      <c r="IX198" s="47" t="str">
        <f t="shared" si="2927"/>
        <v xml:space="preserve"> </v>
      </c>
      <c r="IY198" s="47" t="str">
        <f t="shared" si="2927"/>
        <v xml:space="preserve"> </v>
      </c>
      <c r="IZ198" s="47" t="str">
        <f t="shared" si="2927"/>
        <v xml:space="preserve"> </v>
      </c>
      <c r="JA198" s="47" t="str">
        <f t="shared" si="2927"/>
        <v xml:space="preserve"> </v>
      </c>
      <c r="JB198" s="47" t="str">
        <f t="shared" si="2927"/>
        <v xml:space="preserve"> </v>
      </c>
      <c r="JC198" s="47" t="str">
        <f t="shared" si="2927"/>
        <v xml:space="preserve"> </v>
      </c>
      <c r="JD198" s="47" t="str">
        <f t="shared" si="2927"/>
        <v xml:space="preserve"> </v>
      </c>
      <c r="JE198" s="47" t="str">
        <f t="shared" si="2927"/>
        <v xml:space="preserve"> </v>
      </c>
      <c r="JF198" s="47" t="str">
        <f t="shared" si="2927"/>
        <v xml:space="preserve"> </v>
      </c>
      <c r="JG198" s="47" t="str">
        <f t="shared" si="2927"/>
        <v xml:space="preserve"> </v>
      </c>
      <c r="JH198" s="47" t="str">
        <f t="shared" si="2927"/>
        <v xml:space="preserve"> </v>
      </c>
      <c r="JI198" s="47" t="str">
        <f t="shared" si="2927"/>
        <v xml:space="preserve"> </v>
      </c>
      <c r="JJ198" s="47" t="str">
        <f t="shared" si="2927"/>
        <v xml:space="preserve"> </v>
      </c>
      <c r="JK198" s="47" t="str">
        <f t="shared" si="2927"/>
        <v xml:space="preserve">start-up(1),start-up with mvp(1),start-up with customers(1),for basic literacy(1),for the elites(1),for entrepreneurs(1), </v>
      </c>
      <c r="JL198" s="47" t="str">
        <f t="shared" si="2927"/>
        <v xml:space="preserve"> </v>
      </c>
      <c r="JM198" s="47" t="str">
        <f t="shared" si="2927"/>
        <v xml:space="preserve"> </v>
      </c>
      <c r="JN198" s="47" t="str">
        <f t="shared" si="2927"/>
        <v xml:space="preserve"> </v>
      </c>
      <c r="JO198" s="47" t="str">
        <f t="shared" si="2927"/>
        <v xml:space="preserve"> </v>
      </c>
      <c r="JP198" s="47" t="str">
        <f t="shared" si="2927"/>
        <v xml:space="preserve"> </v>
      </c>
      <c r="JQ198" s="47" t="str">
        <f t="shared" si="2927"/>
        <v xml:space="preserve">start-up(1),start-up with mvp(1),start-up with customers(1),for basic literacy(1),for the elites(1),for entrepreneurs(1), </v>
      </c>
      <c r="JR198" s="47" t="str">
        <f t="shared" si="2927"/>
        <v xml:space="preserve"> </v>
      </c>
      <c r="JS198" s="47" t="str">
        <f t="shared" si="2927"/>
        <v xml:space="preserve"> </v>
      </c>
      <c r="JT198" s="47" t="str">
        <f t="shared" si="2927"/>
        <v xml:space="preserve"> </v>
      </c>
      <c r="JU198" s="47" t="str">
        <f t="shared" si="2927"/>
        <v xml:space="preserve"> </v>
      </c>
      <c r="JV198" s="47" t="str">
        <f t="shared" si="2927"/>
        <v xml:space="preserve"> </v>
      </c>
      <c r="JW198" s="47" t="str">
        <f t="shared" si="2927"/>
        <v xml:space="preserve">start-up(2),start-up with mvp(1),start-up with customers(1),for basic literacy(2),for the elites(1),for entrepreneurs(1), </v>
      </c>
      <c r="JX198" s="47" t="str">
        <f t="shared" si="2927"/>
        <v xml:space="preserve"> </v>
      </c>
      <c r="JY198" s="47" t="str">
        <f t="shared" si="2927"/>
        <v xml:space="preserve"> </v>
      </c>
      <c r="JZ198" s="47" t="str">
        <f t="shared" si="2927"/>
        <v xml:space="preserve"> </v>
      </c>
      <c r="KA198" s="47" t="str">
        <f t="shared" si="2927"/>
        <v xml:space="preserve"> </v>
      </c>
      <c r="KB198" s="47" t="str">
        <f t="shared" si="2927"/>
        <v xml:space="preserve"> </v>
      </c>
      <c r="KC198" s="47" t="str">
        <f t="shared" si="2927"/>
        <v xml:space="preserve">start-up(2),start-up with mvp(1),start-up with customers(1),for basic literacy(2),for the elites(1),for entrepreneurs(1), </v>
      </c>
      <c r="KD198" s="47" t="str">
        <f t="shared" si="2927"/>
        <v xml:space="preserve"> </v>
      </c>
      <c r="KE198" s="47" t="str">
        <f t="shared" si="2927"/>
        <v xml:space="preserve"> </v>
      </c>
      <c r="KF198" s="47" t="str">
        <f t="shared" si="2927"/>
        <v xml:space="preserve"> </v>
      </c>
      <c r="KG198" s="47" t="str">
        <f t="shared" si="2927"/>
        <v xml:space="preserve"> </v>
      </c>
      <c r="KH198" s="47" t="str">
        <f t="shared" si="2927"/>
        <v xml:space="preserve"> </v>
      </c>
      <c r="KI198" s="47" t="str">
        <f t="shared" si="2927"/>
        <v xml:space="preserve"> </v>
      </c>
      <c r="KJ198" s="47" t="str">
        <f t="shared" si="2927"/>
        <v xml:space="preserve"> </v>
      </c>
      <c r="KK198" s="47" t="str">
        <f t="shared" si="2927"/>
        <v xml:space="preserve"> </v>
      </c>
      <c r="KL198" s="57" t="str">
        <f t="shared" si="2927"/>
        <v xml:space="preserve"> </v>
      </c>
      <c r="KM198" s="47" t="str">
        <f t="shared" si="2927"/>
        <v xml:space="preserve"> </v>
      </c>
      <c r="KN198" s="47" t="str">
        <f t="shared" si="2927"/>
        <v xml:space="preserve"> </v>
      </c>
      <c r="KO198" s="47" t="str">
        <f t="shared" si="2927"/>
        <v xml:space="preserve"> </v>
      </c>
      <c r="KP198" s="47" t="str">
        <f t="shared" si="2927"/>
        <v xml:space="preserve"> </v>
      </c>
      <c r="KQ198" s="47" t="str">
        <f t="shared" si="2927"/>
        <v xml:space="preserve"> </v>
      </c>
      <c r="KR198" s="57" t="str">
        <f t="shared" si="2927"/>
        <v xml:space="preserve"> </v>
      </c>
      <c r="KS198" s="47" t="str">
        <f t="shared" si="2927"/>
        <v xml:space="preserve"> </v>
      </c>
      <c r="KT198" s="47" t="str">
        <f t="shared" si="2927"/>
        <v xml:space="preserve"> </v>
      </c>
      <c r="KU198" s="47" t="str">
        <f t="shared" si="2927"/>
        <v xml:space="preserve"> </v>
      </c>
      <c r="KV198" s="47" t="str">
        <f t="shared" si="2927"/>
        <v xml:space="preserve"> </v>
      </c>
      <c r="KW198" s="47" t="str">
        <f t="shared" si="2927"/>
        <v xml:space="preserve"> </v>
      </c>
      <c r="KX198" s="57" t="str">
        <f t="shared" si="2927"/>
        <v xml:space="preserve"> </v>
      </c>
      <c r="KY198" s="47" t="str">
        <f t="shared" si="2927"/>
        <v xml:space="preserve"> </v>
      </c>
      <c r="KZ198" s="47" t="str">
        <f t="shared" si="2927"/>
        <v xml:space="preserve"> </v>
      </c>
      <c r="LA198" s="47" t="str">
        <f t="shared" si="2927"/>
        <v xml:space="preserve"> </v>
      </c>
      <c r="LB198" s="47" t="str">
        <f t="shared" si="2927"/>
        <v xml:space="preserve"> </v>
      </c>
      <c r="LC198" s="47" t="str">
        <f t="shared" si="2927"/>
        <v xml:space="preserve"> </v>
      </c>
      <c r="LD198" s="57" t="str">
        <f t="shared" si="2927"/>
        <v xml:space="preserve"> </v>
      </c>
      <c r="LE198" s="47" t="str">
        <f t="shared" si="2927"/>
        <v xml:space="preserve"> </v>
      </c>
      <c r="LF198" s="47" t="str">
        <f t="shared" si="2927"/>
        <v xml:space="preserve"> </v>
      </c>
      <c r="LG198" s="47" t="str">
        <f t="shared" si="2927"/>
        <v xml:space="preserve"> </v>
      </c>
      <c r="LH198" s="47" t="str">
        <f t="shared" ref="LH198:NM198" si="2928">IF(LH96="",LH199,$C198&amp;"("&amp;LH96&amp;"),"&amp;LH199)</f>
        <v xml:space="preserve"> </v>
      </c>
      <c r="LI198" s="47" t="str">
        <f t="shared" si="2928"/>
        <v xml:space="preserve"> </v>
      </c>
      <c r="LJ198" s="57" t="str">
        <f t="shared" si="2928"/>
        <v xml:space="preserve"> </v>
      </c>
      <c r="LK198" s="47" t="str">
        <f t="shared" si="2928"/>
        <v xml:space="preserve"> </v>
      </c>
      <c r="LL198" s="47" t="str">
        <f t="shared" si="2928"/>
        <v xml:space="preserve"> </v>
      </c>
      <c r="LM198" s="47" t="str">
        <f t="shared" si="2928"/>
        <v xml:space="preserve"> </v>
      </c>
      <c r="LN198" s="47" t="str">
        <f t="shared" si="2928"/>
        <v xml:space="preserve"> </v>
      </c>
      <c r="LO198" s="47" t="str">
        <f t="shared" si="2928"/>
        <v xml:space="preserve"> </v>
      </c>
      <c r="LP198" s="57" t="str">
        <f t="shared" si="2928"/>
        <v xml:space="preserve"> </v>
      </c>
      <c r="LQ198" s="47" t="str">
        <f t="shared" si="2928"/>
        <v xml:space="preserve"> </v>
      </c>
      <c r="LR198" s="47" t="str">
        <f t="shared" si="2928"/>
        <v xml:space="preserve"> </v>
      </c>
      <c r="LS198" s="47" t="str">
        <f t="shared" si="2928"/>
        <v xml:space="preserve"> </v>
      </c>
      <c r="LT198" s="47" t="str">
        <f t="shared" si="2928"/>
        <v xml:space="preserve"> </v>
      </c>
      <c r="LU198" s="47" t="str">
        <f t="shared" si="2928"/>
        <v xml:space="preserve"> </v>
      </c>
      <c r="LV198" s="57" t="str">
        <f t="shared" si="2928"/>
        <v xml:space="preserve"> </v>
      </c>
      <c r="LW198" s="47" t="str">
        <f t="shared" si="2928"/>
        <v xml:space="preserve"> </v>
      </c>
      <c r="LX198" s="47" t="str">
        <f t="shared" si="2928"/>
        <v xml:space="preserve"> </v>
      </c>
      <c r="LY198" s="47" t="str">
        <f t="shared" si="2928"/>
        <v xml:space="preserve"> </v>
      </c>
      <c r="LZ198" s="47" t="str">
        <f t="shared" si="2928"/>
        <v xml:space="preserve"> </v>
      </c>
      <c r="MA198" s="47" t="str">
        <f t="shared" si="2928"/>
        <v xml:space="preserve"> </v>
      </c>
      <c r="MB198" s="57" t="str">
        <f t="shared" si="2928"/>
        <v xml:space="preserve"> </v>
      </c>
      <c r="MC198" s="47" t="str">
        <f t="shared" si="2928"/>
        <v xml:space="preserve"> </v>
      </c>
      <c r="MD198" s="47" t="str">
        <f t="shared" si="2928"/>
        <v xml:space="preserve"> </v>
      </c>
      <c r="ME198" s="47" t="str">
        <f t="shared" si="2928"/>
        <v xml:space="preserve"> </v>
      </c>
      <c r="MF198" s="47" t="str">
        <f t="shared" si="2928"/>
        <v xml:space="preserve"> </v>
      </c>
      <c r="MG198" s="47" t="str">
        <f t="shared" si="2928"/>
        <v xml:space="preserve"> </v>
      </c>
      <c r="MH198" s="57" t="str">
        <f t="shared" si="2928"/>
        <v xml:space="preserve"> </v>
      </c>
      <c r="MI198" s="47" t="str">
        <f t="shared" si="2928"/>
        <v xml:space="preserve"> </v>
      </c>
      <c r="MJ198" s="47" t="str">
        <f t="shared" si="2928"/>
        <v xml:space="preserve"> </v>
      </c>
      <c r="MK198" s="47" t="str">
        <f t="shared" si="2928"/>
        <v xml:space="preserve"> </v>
      </c>
      <c r="ML198" s="47" t="str">
        <f t="shared" si="2928"/>
        <v xml:space="preserve"> </v>
      </c>
      <c r="MM198" s="47" t="str">
        <f t="shared" si="2928"/>
        <v xml:space="preserve"> </v>
      </c>
      <c r="MN198" s="57" t="str">
        <f t="shared" si="2928"/>
        <v xml:space="preserve"> </v>
      </c>
      <c r="MO198" s="47" t="str">
        <f t="shared" si="2928"/>
        <v xml:space="preserve"> </v>
      </c>
      <c r="MP198" s="47" t="str">
        <f t="shared" si="2928"/>
        <v xml:space="preserve"> </v>
      </c>
      <c r="MQ198" s="47" t="str">
        <f t="shared" si="2928"/>
        <v xml:space="preserve"> </v>
      </c>
      <c r="MR198" s="47" t="str">
        <f t="shared" si="2928"/>
        <v xml:space="preserve"> </v>
      </c>
      <c r="MS198" s="47" t="str">
        <f t="shared" si="2928"/>
        <v xml:space="preserve"> </v>
      </c>
      <c r="MT198" s="57" t="str">
        <f t="shared" si="2928"/>
        <v xml:space="preserve"> </v>
      </c>
      <c r="MU198" s="47" t="str">
        <f t="shared" si="2928"/>
        <v xml:space="preserve"> </v>
      </c>
      <c r="MV198" s="47" t="str">
        <f t="shared" si="2928"/>
        <v xml:space="preserve"> </v>
      </c>
      <c r="MW198" s="47" t="str">
        <f t="shared" si="2928"/>
        <v xml:space="preserve"> </v>
      </c>
      <c r="MX198" s="47" t="str">
        <f t="shared" si="2928"/>
        <v xml:space="preserve"> </v>
      </c>
      <c r="MY198" s="47" t="str">
        <f t="shared" si="2928"/>
        <v xml:space="preserve"> </v>
      </c>
      <c r="MZ198" s="57" t="str">
        <f t="shared" si="2928"/>
        <v xml:space="preserve"> </v>
      </c>
      <c r="NA198" s="47" t="str">
        <f t="shared" si="2928"/>
        <v xml:space="preserve"> </v>
      </c>
      <c r="NB198" s="47" t="str">
        <f t="shared" si="2928"/>
        <v xml:space="preserve"> </v>
      </c>
      <c r="NC198" s="47" t="str">
        <f t="shared" si="2928"/>
        <v xml:space="preserve"> </v>
      </c>
      <c r="ND198" s="47" t="str">
        <f t="shared" si="2928"/>
        <v xml:space="preserve"> </v>
      </c>
      <c r="NE198" s="47" t="str">
        <f t="shared" si="2928"/>
        <v xml:space="preserve"> </v>
      </c>
      <c r="NF198" s="57" t="str">
        <f t="shared" si="2928"/>
        <v xml:space="preserve"> </v>
      </c>
      <c r="NG198" s="47" t="str">
        <f t="shared" si="2928"/>
        <v xml:space="preserve"> </v>
      </c>
      <c r="NH198" s="47" t="str">
        <f t="shared" si="2928"/>
        <v xml:space="preserve"> </v>
      </c>
      <c r="NI198" s="47" t="str">
        <f t="shared" si="2928"/>
        <v xml:space="preserve"> </v>
      </c>
      <c r="NJ198" s="47" t="str">
        <f t="shared" si="2928"/>
        <v xml:space="preserve"> </v>
      </c>
      <c r="NK198" s="47" t="str">
        <f t="shared" si="2928"/>
        <v xml:space="preserve"> </v>
      </c>
      <c r="NL198" s="57" t="str">
        <f t="shared" si="2928"/>
        <v xml:space="preserve"> </v>
      </c>
      <c r="NM198" s="47" t="str">
        <f t="shared" si="2928"/>
        <v xml:space="preserve"> </v>
      </c>
    </row>
    <row r="199" spans="2:377" ht="15.75" customHeight="1">
      <c r="C199" s="7" t="str">
        <f t="shared" si="841"/>
        <v>start-up with mvp</v>
      </c>
      <c r="D199" s="21" t="str">
        <f t="shared" si="2000"/>
        <v xml:space="preserve"> </v>
      </c>
      <c r="E199" s="21" t="str">
        <f t="shared" si="842"/>
        <v xml:space="preserve"> </v>
      </c>
      <c r="F199" s="21" t="str">
        <f t="shared" si="2000"/>
        <v xml:space="preserve"> </v>
      </c>
      <c r="G199" s="21" t="str">
        <f t="shared" si="843"/>
        <v xml:space="preserve"> </v>
      </c>
      <c r="H199" s="21" t="str">
        <f t="shared" si="844"/>
        <v xml:space="preserve"> </v>
      </c>
      <c r="I199" s="21" t="str">
        <f t="shared" ref="I199" si="2929">IF(I97="",I200,$C199&amp;"("&amp;I97&amp;"),"&amp;I200)</f>
        <v xml:space="preserve"> </v>
      </c>
      <c r="J199" s="21" t="str">
        <f t="shared" ref="J199" si="2930">IF(J97="",J200,$C199&amp;" "&amp;J97&amp;CHAR(10)&amp;J200)</f>
        <v xml:space="preserve"> </v>
      </c>
      <c r="K199" s="21" t="str">
        <f t="shared" si="654"/>
        <v xml:space="preserve"> </v>
      </c>
      <c r="L199" s="21" t="str">
        <f t="shared" ref="L199" si="2931">IF(L97="",L200,$C199&amp;" "&amp;L97&amp;CHAR(10)&amp;L200)</f>
        <v xml:space="preserve"> </v>
      </c>
      <c r="M199" s="21" t="str">
        <f t="shared" si="656"/>
        <v xml:space="preserve"> </v>
      </c>
      <c r="N199" s="21" t="str">
        <f t="shared" si="657"/>
        <v xml:space="preserve"> </v>
      </c>
      <c r="O199" s="21" t="str">
        <f t="shared" si="2004"/>
        <v xml:space="preserve"> </v>
      </c>
      <c r="P199" s="21" t="str">
        <f t="shared" ref="P199" si="2932">IF(P97="",P200,$C199&amp;" "&amp;P97&amp;CHAR(10)&amp;P200)</f>
        <v xml:space="preserve"> </v>
      </c>
      <c r="Q199" s="21" t="str">
        <f t="shared" si="660"/>
        <v xml:space="preserve"> </v>
      </c>
      <c r="R199" s="21" t="str">
        <f t="shared" ref="R199" si="2933">IF(R97="",R200,$C199&amp;" "&amp;R97&amp;CHAR(10)&amp;R200)</f>
        <v xml:space="preserve"> </v>
      </c>
      <c r="S199" s="21" t="str">
        <f t="shared" si="662"/>
        <v xml:space="preserve"> </v>
      </c>
      <c r="T199" s="21" t="str">
        <f t="shared" si="663"/>
        <v xml:space="preserve"> </v>
      </c>
      <c r="U199" s="21" t="str">
        <f t="shared" si="2004"/>
        <v xml:space="preserve"> </v>
      </c>
      <c r="V199" s="21" t="str">
        <f t="shared" ref="V199" si="2934">IF(V97="",V200,$C199&amp;" "&amp;V97&amp;CHAR(10)&amp;V200)</f>
        <v xml:space="preserve"> </v>
      </c>
      <c r="W199" s="21" t="str">
        <f t="shared" si="665"/>
        <v xml:space="preserve"> </v>
      </c>
      <c r="X199" s="21" t="str">
        <f t="shared" ref="X199" si="2935">IF(X97="",X200,$C199&amp;" "&amp;X97&amp;CHAR(10)&amp;X200)</f>
        <v xml:space="preserve"> </v>
      </c>
      <c r="Y199" s="21" t="str">
        <f t="shared" si="667"/>
        <v xml:space="preserve"> </v>
      </c>
      <c r="Z199" s="21" t="str">
        <f t="shared" si="668"/>
        <v xml:space="preserve"> </v>
      </c>
      <c r="AA199" s="21" t="str">
        <f t="shared" si="2004"/>
        <v xml:space="preserve"> </v>
      </c>
      <c r="AB199" s="21" t="str">
        <f t="shared" ref="AB199" si="2936">IF(AB97="",AB200,$C199&amp;" "&amp;AB97&amp;CHAR(10)&amp;AB200)</f>
        <v xml:space="preserve"> </v>
      </c>
      <c r="AC199" s="21" t="str">
        <f t="shared" si="670"/>
        <v xml:space="preserve"> </v>
      </c>
      <c r="AD199" s="21" t="str">
        <f t="shared" ref="AD199" si="2937">IF(AD97="",AD200,$C199&amp;" "&amp;AD97&amp;CHAR(10)&amp;AD200)</f>
        <v xml:space="preserve"> </v>
      </c>
      <c r="AE199" s="21" t="str">
        <f t="shared" si="672"/>
        <v xml:space="preserve"> </v>
      </c>
      <c r="AF199" s="21" t="str">
        <f t="shared" si="673"/>
        <v xml:space="preserve"> </v>
      </c>
      <c r="AG199" s="21" t="str">
        <f t="shared" si="2004"/>
        <v xml:space="preserve"> </v>
      </c>
      <c r="AH199" s="21" t="str">
        <f t="shared" ref="AH199" si="2938">IF(AH97="",AH200,$C199&amp;" "&amp;AH97&amp;CHAR(10)&amp;AH200)</f>
        <v xml:space="preserve"> </v>
      </c>
      <c r="AI199" s="21" t="str">
        <f t="shared" si="675"/>
        <v xml:space="preserve"> </v>
      </c>
      <c r="AJ199" s="21" t="str">
        <f t="shared" ref="AJ199" si="2939">IF(AJ97="",AJ200,$C199&amp;" "&amp;AJ97&amp;CHAR(10)&amp;AJ200)</f>
        <v xml:space="preserve"> </v>
      </c>
      <c r="AK199" s="21" t="str">
        <f t="shared" si="677"/>
        <v xml:space="preserve"> </v>
      </c>
      <c r="AL199" s="21" t="str">
        <f t="shared" si="678"/>
        <v xml:space="preserve"> </v>
      </c>
      <c r="AM199" s="21" t="str">
        <f t="shared" si="2004"/>
        <v xml:space="preserve"> </v>
      </c>
      <c r="AN199" s="21" t="str">
        <f t="shared" ref="AN199" si="2940">IF(AN97="",AN200,$C199&amp;" "&amp;AN97&amp;CHAR(10)&amp;AN200)</f>
        <v xml:space="preserve"> </v>
      </c>
      <c r="AO199" s="21" t="str">
        <f t="shared" si="680"/>
        <v xml:space="preserve"> </v>
      </c>
      <c r="AP199" s="21" t="str">
        <f t="shared" ref="AP199" si="2941">IF(AP97="",AP200,$C199&amp;" "&amp;AP97&amp;CHAR(10)&amp;AP200)</f>
        <v xml:space="preserve"> </v>
      </c>
      <c r="AQ199" s="21" t="str">
        <f t="shared" si="682"/>
        <v xml:space="preserve">start-up with mvp(1), start-up with customers(1),  </v>
      </c>
      <c r="AR199" s="21" t="str">
        <f t="shared" si="683"/>
        <v xml:space="preserve"> </v>
      </c>
      <c r="AS199" s="21" t="str">
        <f t="shared" si="2004"/>
        <v xml:space="preserve"> </v>
      </c>
      <c r="AT199" s="21" t="str">
        <f t="shared" ref="AT199" si="2942">IF(AT97="",AT200,$C199&amp;" "&amp;AT97&amp;CHAR(10)&amp;AT200)</f>
        <v xml:space="preserve"> </v>
      </c>
      <c r="AU199" s="21" t="str">
        <f t="shared" si="685"/>
        <v xml:space="preserve"> </v>
      </c>
      <c r="AV199" s="21" t="str">
        <f t="shared" ref="AV199" si="2943">IF(AV97="",AV200,$C199&amp;" "&amp;AV97&amp;CHAR(10)&amp;AV200)</f>
        <v xml:space="preserve"> </v>
      </c>
      <c r="AW199" s="21" t="str">
        <f t="shared" si="687"/>
        <v xml:space="preserve"> </v>
      </c>
      <c r="AX199" s="21" t="str">
        <f t="shared" si="688"/>
        <v xml:space="preserve"> </v>
      </c>
      <c r="AY199" s="21" t="str">
        <f t="shared" si="2004"/>
        <v xml:space="preserve"> </v>
      </c>
      <c r="AZ199" s="21" t="str">
        <f t="shared" ref="AZ199" si="2944">IF(AZ97="",AZ200,$C199&amp;" "&amp;AZ97&amp;CHAR(10)&amp;AZ200)</f>
        <v xml:space="preserve"> </v>
      </c>
      <c r="BA199" s="21" t="str">
        <f t="shared" si="690"/>
        <v xml:space="preserve"> </v>
      </c>
      <c r="BB199" s="21" t="str">
        <f t="shared" ref="BB199" si="2945">IF(BB97="",BB200,$C199&amp;" "&amp;BB97&amp;CHAR(10)&amp;BB200)</f>
        <v xml:space="preserve"> </v>
      </c>
      <c r="BC199" s="21" t="str">
        <f t="shared" si="692"/>
        <v xml:space="preserve"> </v>
      </c>
      <c r="BD199" s="21" t="str">
        <f t="shared" si="693"/>
        <v xml:space="preserve"> </v>
      </c>
      <c r="BE199" s="21" t="str">
        <f t="shared" si="2004"/>
        <v xml:space="preserve"> </v>
      </c>
      <c r="BF199" s="21" t="str">
        <f t="shared" ref="BF199" si="2946">IF(BF97="",BF200,$C199&amp;" "&amp;BF97&amp;CHAR(10)&amp;BF200)</f>
        <v xml:space="preserve"> </v>
      </c>
      <c r="BG199" s="21" t="str">
        <f t="shared" si="695"/>
        <v xml:space="preserve"> </v>
      </c>
      <c r="BH199" s="21" t="str">
        <f t="shared" ref="BH199" si="2947">IF(BH97="",BH200,$C199&amp;" "&amp;BH97&amp;CHAR(10)&amp;BH200)</f>
        <v xml:space="preserve"> </v>
      </c>
      <c r="BI199" s="21" t="str">
        <f t="shared" si="697"/>
        <v xml:space="preserve"> </v>
      </c>
      <c r="BJ199" s="21" t="str">
        <f t="shared" si="698"/>
        <v xml:space="preserve"> </v>
      </c>
      <c r="BK199" s="21" t="str">
        <f t="shared" si="2004"/>
        <v xml:space="preserve"> </v>
      </c>
      <c r="BL199" s="21" t="str">
        <f t="shared" ref="BL199" si="2948">IF(BL97="",BL200,$C199&amp;" "&amp;BL97&amp;CHAR(10)&amp;BL200)</f>
        <v xml:space="preserve"> </v>
      </c>
      <c r="BM199" s="21" t="str">
        <f t="shared" si="700"/>
        <v xml:space="preserve"> </v>
      </c>
      <c r="BN199" s="21" t="str">
        <f t="shared" ref="BN199" si="2949">IF(BN97="",BN200,$C199&amp;" "&amp;BN97&amp;CHAR(10)&amp;BN200)</f>
        <v xml:space="preserve"> </v>
      </c>
      <c r="BO199" s="21" t="str">
        <f t="shared" si="702"/>
        <v xml:space="preserve"> </v>
      </c>
      <c r="BP199" s="21" t="str">
        <f t="shared" si="703"/>
        <v xml:space="preserve"> </v>
      </c>
      <c r="BQ199" s="21" t="str">
        <f t="shared" si="2004"/>
        <v xml:space="preserve"> </v>
      </c>
      <c r="BR199" s="21" t="str">
        <f t="shared" ref="BR199" si="2950">IF(BR97="",BR200,$C199&amp;" "&amp;BR97&amp;CHAR(10)&amp;BR200)</f>
        <v xml:space="preserve"> </v>
      </c>
      <c r="BS199" s="21" t="str">
        <f t="shared" si="705"/>
        <v xml:space="preserve"> </v>
      </c>
      <c r="BT199" s="21" t="str">
        <f t="shared" ref="BT199" si="2951">IF(BT97="",BT200,$C199&amp;" "&amp;BT97&amp;CHAR(10)&amp;BT200)</f>
        <v xml:space="preserve"> </v>
      </c>
      <c r="BU199" s="21" t="str">
        <f t="shared" si="707"/>
        <v xml:space="preserve"> </v>
      </c>
      <c r="BV199" s="21" t="str">
        <f t="shared" si="708"/>
        <v xml:space="preserve"> </v>
      </c>
      <c r="BW199" s="21" t="str">
        <f t="shared" si="2004"/>
        <v xml:space="preserve"> </v>
      </c>
      <c r="BX199" s="21" t="str">
        <f t="shared" ref="BX199" si="2952">IF(BX97="",BX200,$C199&amp;" "&amp;BX97&amp;CHAR(10)&amp;BX200)</f>
        <v xml:space="preserve"> </v>
      </c>
      <c r="BY199" s="21" t="str">
        <f t="shared" si="710"/>
        <v xml:space="preserve"> </v>
      </c>
      <c r="BZ199" s="21" t="str">
        <f t="shared" ref="BZ199" si="2953">IF(BZ97="",BZ200,$C199&amp;" "&amp;BZ97&amp;CHAR(10)&amp;BZ200)</f>
        <v xml:space="preserve"> </v>
      </c>
      <c r="CA199" s="21" t="str">
        <f t="shared" si="712"/>
        <v xml:space="preserve"> </v>
      </c>
      <c r="CB199" s="21" t="str">
        <f t="shared" si="713"/>
        <v xml:space="preserve"> </v>
      </c>
      <c r="CC199" s="21" t="str">
        <f t="shared" si="2027"/>
        <v xml:space="preserve"> </v>
      </c>
      <c r="CD199" s="21" t="str">
        <f t="shared" ref="CD199" si="2954">IF(CD97="",CD200,$C199&amp;" "&amp;CD97&amp;CHAR(10)&amp;CD200)</f>
        <v xml:space="preserve"> </v>
      </c>
      <c r="CE199" s="21" t="str">
        <f t="shared" si="716"/>
        <v xml:space="preserve"> </v>
      </c>
      <c r="CF199" s="21" t="str">
        <f t="shared" ref="CF199" si="2955">IF(CF97="",CF200,$C199&amp;" "&amp;CF97&amp;CHAR(10)&amp;CF200)</f>
        <v xml:space="preserve"> </v>
      </c>
      <c r="CG199" s="21" t="str">
        <f t="shared" si="718"/>
        <v xml:space="preserve">for basic literacy(1), for the elites(1), for entrepreneurs(1),  </v>
      </c>
      <c r="CH199" s="21" t="str">
        <f t="shared" si="719"/>
        <v xml:space="preserve"> </v>
      </c>
      <c r="CI199" s="21" t="str">
        <f t="shared" si="2027"/>
        <v xml:space="preserve"> </v>
      </c>
      <c r="CJ199" s="21" t="str">
        <f t="shared" ref="CJ199" si="2956">IF(CJ97="",CJ200,$C199&amp;" "&amp;CJ97&amp;CHAR(10)&amp;CJ200)</f>
        <v xml:space="preserve"> </v>
      </c>
      <c r="CK199" s="21" t="str">
        <f t="shared" si="721"/>
        <v xml:space="preserve"> </v>
      </c>
      <c r="CL199" s="21" t="str">
        <f t="shared" ref="CL199" si="2957">IF(CL97="",CL200,$C199&amp;" "&amp;CL97&amp;CHAR(10)&amp;CL200)</f>
        <v xml:space="preserve"> </v>
      </c>
      <c r="CM199" s="21" t="str">
        <f t="shared" si="723"/>
        <v xml:space="preserve"> </v>
      </c>
      <c r="CN199" s="21" t="str">
        <f t="shared" si="724"/>
        <v xml:space="preserve"> </v>
      </c>
      <c r="CO199" s="21" t="str">
        <f t="shared" si="2027"/>
        <v xml:space="preserve"> </v>
      </c>
      <c r="CP199" s="21" t="str">
        <f t="shared" ref="CP199" si="2958">IF(CP97="",CP200,$C199&amp;" "&amp;CP97&amp;CHAR(10)&amp;CP200)</f>
        <v xml:space="preserve"> </v>
      </c>
      <c r="CQ199" s="21" t="str">
        <f t="shared" si="726"/>
        <v xml:space="preserve"> </v>
      </c>
      <c r="CR199" s="21" t="str">
        <f t="shared" ref="CR199" si="2959">IF(CR97="",CR200,$C199&amp;" "&amp;CR97&amp;CHAR(10)&amp;CR200)</f>
        <v xml:space="preserve"> </v>
      </c>
      <c r="CS199" s="21" t="str">
        <f t="shared" si="728"/>
        <v xml:space="preserve"> </v>
      </c>
      <c r="CT199" s="21" t="str">
        <f t="shared" si="729"/>
        <v xml:space="preserve"> </v>
      </c>
      <c r="CU199" s="21" t="str">
        <f t="shared" si="2027"/>
        <v xml:space="preserve"> </v>
      </c>
      <c r="CV199" s="21" t="str">
        <f t="shared" ref="CV199" si="2960">IF(CV97="",CV200,$C199&amp;" "&amp;CV97&amp;CHAR(10)&amp;CV200)</f>
        <v xml:space="preserve"> </v>
      </c>
      <c r="CW199" s="21" t="str">
        <f t="shared" si="731"/>
        <v xml:space="preserve"> </v>
      </c>
      <c r="CX199" s="21" t="str">
        <f t="shared" ref="CX199" si="2961">IF(CX97="",CX200,$C199&amp;" "&amp;CX97&amp;CHAR(10)&amp;CX200)</f>
        <v xml:space="preserve"> </v>
      </c>
      <c r="CY199" s="21" t="str">
        <f t="shared" si="733"/>
        <v xml:space="preserve"> </v>
      </c>
      <c r="CZ199" s="21" t="str">
        <f t="shared" si="734"/>
        <v xml:space="preserve"> </v>
      </c>
      <c r="DA199" s="21" t="str">
        <f t="shared" si="2027"/>
        <v xml:space="preserve"> </v>
      </c>
      <c r="DB199" s="21" t="str">
        <f t="shared" ref="DB199" si="2962">IF(DB97="",DB200,$C199&amp;" "&amp;DB97&amp;CHAR(10)&amp;DB200)</f>
        <v xml:space="preserve"> </v>
      </c>
      <c r="DC199" s="21" t="str">
        <f t="shared" si="736"/>
        <v xml:space="preserve"> </v>
      </c>
      <c r="DD199" s="21" t="str">
        <f t="shared" ref="DD199" si="2963">IF(DD97="",DD200,$C199&amp;" "&amp;DD97&amp;CHAR(10)&amp;DD200)</f>
        <v xml:space="preserve"> </v>
      </c>
      <c r="DE199" s="21" t="str">
        <f t="shared" si="738"/>
        <v xml:space="preserve">start-up with mvp(1), start-up with customers(1), for entrepreneurs(2),  </v>
      </c>
      <c r="DF199" s="21" t="str">
        <f t="shared" si="739"/>
        <v xml:space="preserve"> </v>
      </c>
      <c r="DG199" s="21" t="str">
        <f t="shared" si="2027"/>
        <v xml:space="preserve"> </v>
      </c>
      <c r="DH199" s="21" t="str">
        <f t="shared" ref="DH199" si="2964">IF(DH97="",DH200,$C199&amp;" "&amp;DH97&amp;CHAR(10)&amp;DH200)</f>
        <v xml:space="preserve"> </v>
      </c>
      <c r="DI199" s="21" t="str">
        <f t="shared" si="741"/>
        <v xml:space="preserve"> </v>
      </c>
      <c r="DJ199" s="21" t="str">
        <f t="shared" ref="DJ199" si="2965">IF(DJ97="",DJ200,$C199&amp;" "&amp;DJ97&amp;CHAR(10)&amp;DJ200)</f>
        <v xml:space="preserve"> </v>
      </c>
      <c r="DK199" s="21" t="str">
        <f t="shared" si="743"/>
        <v xml:space="preserve"> </v>
      </c>
      <c r="DL199" s="21" t="str">
        <f t="shared" si="744"/>
        <v xml:space="preserve"> </v>
      </c>
      <c r="DM199" s="21" t="str">
        <f t="shared" si="2027"/>
        <v xml:space="preserve"> </v>
      </c>
      <c r="DN199" s="21" t="str">
        <f t="shared" ref="DN199" si="2966">IF(DN97="",DN200,$C199&amp;" "&amp;DN97&amp;CHAR(10)&amp;DN200)</f>
        <v xml:space="preserve"> </v>
      </c>
      <c r="DO199" s="21" t="str">
        <f t="shared" si="746"/>
        <v xml:space="preserve"> </v>
      </c>
      <c r="DP199" s="21" t="str">
        <f t="shared" ref="DP199" si="2967">IF(DP97="",DP200,$C199&amp;" "&amp;DP97&amp;CHAR(10)&amp;DP200)</f>
        <v xml:space="preserve"> </v>
      </c>
      <c r="DQ199" s="21" t="str">
        <f t="shared" si="748"/>
        <v xml:space="preserve">start-up with mvp(1), start-up with customers(1), for entrepreneurs(1),  </v>
      </c>
      <c r="DR199" s="21" t="str">
        <f t="shared" si="749"/>
        <v xml:space="preserve"> </v>
      </c>
      <c r="DS199" s="21" t="str">
        <f t="shared" si="2027"/>
        <v xml:space="preserve"> </v>
      </c>
      <c r="DT199" s="21" t="str">
        <f t="shared" ref="DT199" si="2968">IF(DT97="",DT200,$C199&amp;" "&amp;DT97&amp;CHAR(10)&amp;DT200)</f>
        <v xml:space="preserve"> </v>
      </c>
      <c r="DU199" s="21" t="str">
        <f t="shared" si="751"/>
        <v xml:space="preserve"> </v>
      </c>
      <c r="DV199" s="21" t="str">
        <f t="shared" ref="DV199" si="2969">IF(DV97="",DV200,$C199&amp;" "&amp;DV97&amp;CHAR(10)&amp;DV200)</f>
        <v xml:space="preserve"> </v>
      </c>
      <c r="DW199" s="21" t="str">
        <f t="shared" si="753"/>
        <v xml:space="preserve">for basic literacy(1),  </v>
      </c>
      <c r="DX199" s="21" t="str">
        <f t="shared" si="754"/>
        <v xml:space="preserve">for basic literacy(1,6.25),  </v>
      </c>
      <c r="DY199" s="21" t="str">
        <f t="shared" si="2027"/>
        <v xml:space="preserve">for basic literacy(6.25), </v>
      </c>
      <c r="DZ199" s="21" t="str">
        <f t="shared" ref="DZ199" si="2970">IF(DZ97="",DZ200,$C199&amp;" "&amp;DZ97&amp;CHAR(10)&amp;DZ200)</f>
        <v xml:space="preserve"> </v>
      </c>
      <c r="EA199" s="21" t="str">
        <f t="shared" si="756"/>
        <v xml:space="preserve"> </v>
      </c>
      <c r="EB199" s="21" t="str">
        <f t="shared" ref="EB199" si="2971">IF(EB97="",EB200,$C199&amp;" "&amp;EB97&amp;CHAR(10)&amp;EB200)</f>
        <v xml:space="preserve"> </v>
      </c>
      <c r="EC199" s="21" t="str">
        <f t="shared" si="758"/>
        <v xml:space="preserve">for basic literacy(1),  </v>
      </c>
      <c r="ED199" s="21" t="str">
        <f t="shared" si="759"/>
        <v xml:space="preserve">for basic literacy(1,6.25),  </v>
      </c>
      <c r="EE199" s="21" t="str">
        <f t="shared" si="2027"/>
        <v xml:space="preserve">for basic literacy(6.25), </v>
      </c>
      <c r="EF199" s="21" t="str">
        <f t="shared" ref="EF199" si="2972">IF(EF97="",EF200,$C199&amp;" "&amp;EF97&amp;CHAR(10)&amp;EF200)</f>
        <v xml:space="preserve"> </v>
      </c>
      <c r="EG199" s="21" t="str">
        <f t="shared" si="761"/>
        <v xml:space="preserve"> </v>
      </c>
      <c r="EH199" s="21" t="str">
        <f t="shared" ref="EH199" si="2973">IF(EH97="",EH200,$C199&amp;" "&amp;EH97&amp;CHAR(10)&amp;EH200)</f>
        <v xml:space="preserve"> </v>
      </c>
      <c r="EI199" s="21" t="str">
        <f t="shared" si="763"/>
        <v xml:space="preserve">for entrepreneurs(1),  </v>
      </c>
      <c r="EJ199" s="21" t="str">
        <f t="shared" si="764"/>
        <v xml:space="preserve">for entrepreneurs(1,6.25),  </v>
      </c>
      <c r="EK199" s="21" t="str">
        <f t="shared" si="2027"/>
        <v xml:space="preserve">for entrepreneurs(6.25), </v>
      </c>
      <c r="EL199" s="21" t="str">
        <f t="shared" ref="EL199" si="2974">IF(EL97="",EL200,$C199&amp;" "&amp;EL97&amp;CHAR(10)&amp;EL200)</f>
        <v xml:space="preserve"> </v>
      </c>
      <c r="EM199" s="21" t="str">
        <f t="shared" si="766"/>
        <v xml:space="preserve"> </v>
      </c>
      <c r="EN199" s="21" t="str">
        <f t="shared" ref="EN199" si="2975">IF(EN97="",EN200,$C199&amp;" "&amp;EN97&amp;CHAR(10)&amp;EN200)</f>
        <v xml:space="preserve"> </v>
      </c>
      <c r="EO199" s="21" t="str">
        <f t="shared" si="768"/>
        <v xml:space="preserve">for entrepreneurs(1),  </v>
      </c>
      <c r="EP199" s="21" t="str">
        <f t="shared" si="769"/>
        <v xml:space="preserve">for entrepreneurs(1,6.25),  </v>
      </c>
      <c r="EQ199" s="21" t="str">
        <f t="shared" si="2050"/>
        <v xml:space="preserve">for entrepreneurs(6.25), </v>
      </c>
      <c r="ER199" s="21" t="str">
        <f t="shared" ref="ER199" si="2976">IF(ER97="",ER200,$C199&amp;" "&amp;ER97&amp;CHAR(10)&amp;ER200)</f>
        <v xml:space="preserve"> </v>
      </c>
      <c r="ES199" s="21" t="str">
        <f t="shared" si="772"/>
        <v xml:space="preserve"> </v>
      </c>
      <c r="ET199" s="21" t="str">
        <f t="shared" ref="ET199" si="2977">IF(ET97="",ET200,$C199&amp;" "&amp;ET97&amp;CHAR(10)&amp;ET200)</f>
        <v xml:space="preserve"> </v>
      </c>
      <c r="EU199" s="21" t="str">
        <f t="shared" si="774"/>
        <v xml:space="preserve">for entrepreneurs(1),  </v>
      </c>
      <c r="EV199" s="21" t="str">
        <f t="shared" si="775"/>
        <v xml:space="preserve">for entrepreneurs(1,6.25),  </v>
      </c>
      <c r="EW199" s="21" t="str">
        <f t="shared" si="2050"/>
        <v xml:space="preserve">for entrepreneurs(6.25), </v>
      </c>
      <c r="EX199" s="21" t="str">
        <f t="shared" ref="EX199" si="2978">IF(EX97="",EX200,$C199&amp;" "&amp;EX97&amp;CHAR(10)&amp;EX200)</f>
        <v xml:space="preserve"> </v>
      </c>
      <c r="EY199" s="21" t="str">
        <f t="shared" si="777"/>
        <v xml:space="preserve"> </v>
      </c>
      <c r="EZ199" s="21" t="str">
        <f t="shared" ref="EZ199" si="2979">IF(EZ97="",EZ200,$C199&amp;" "&amp;EZ97&amp;CHAR(10)&amp;EZ200)</f>
        <v xml:space="preserve"> </v>
      </c>
      <c r="FA199" s="21" t="str">
        <f t="shared" si="779"/>
        <v xml:space="preserve">for entrepreneurs(1),  </v>
      </c>
      <c r="FB199" s="21" t="str">
        <f t="shared" si="780"/>
        <v xml:space="preserve">for entrepreneurs(1,6.25),  </v>
      </c>
      <c r="FC199" s="21" t="str">
        <f t="shared" si="2050"/>
        <v xml:space="preserve">for entrepreneurs(6.25), </v>
      </c>
      <c r="FD199" s="21" t="str">
        <f t="shared" ref="FD199" si="2980">IF(FD97="",FD200,$C199&amp;" "&amp;FD97&amp;CHAR(10)&amp;FD200)</f>
        <v xml:space="preserve"> </v>
      </c>
      <c r="FE199" s="21" t="str">
        <f t="shared" si="782"/>
        <v xml:space="preserve"> </v>
      </c>
      <c r="FF199" s="21" t="str">
        <f t="shared" ref="FF199" si="2981">IF(FF97="",FF200,$C199&amp;" "&amp;FF97&amp;CHAR(10)&amp;FF200)</f>
        <v xml:space="preserve"> </v>
      </c>
      <c r="FG199" s="21" t="str">
        <f t="shared" si="784"/>
        <v xml:space="preserve">for entrepreneurs(1),  </v>
      </c>
      <c r="FH199" s="21" t="str">
        <f t="shared" si="785"/>
        <v xml:space="preserve">for entrepreneurs(1,6.25),  </v>
      </c>
      <c r="FI199" s="21" t="str">
        <f t="shared" si="2050"/>
        <v xml:space="preserve">for entrepreneurs(6.25), </v>
      </c>
      <c r="FJ199" s="21" t="str">
        <f t="shared" ref="FJ199" si="2982">IF(FJ97="",FJ200,$C199&amp;" "&amp;FJ97&amp;CHAR(10)&amp;FJ200)</f>
        <v xml:space="preserve"> </v>
      </c>
      <c r="FK199" s="21" t="str">
        <f t="shared" si="787"/>
        <v xml:space="preserve"> </v>
      </c>
      <c r="FL199" s="21" t="str">
        <f t="shared" ref="FL199" si="2983">IF(FL97="",FL200,$C199&amp;" "&amp;FL97&amp;CHAR(10)&amp;FL200)</f>
        <v xml:space="preserve"> </v>
      </c>
      <c r="FM199" s="21" t="str">
        <f t="shared" si="789"/>
        <v xml:space="preserve">for entrepreneurs(1),  </v>
      </c>
      <c r="FN199" s="21" t="str">
        <f t="shared" si="790"/>
        <v xml:space="preserve">for entrepreneurs(1,6.25),  </v>
      </c>
      <c r="FO199" s="21" t="str">
        <f t="shared" si="2050"/>
        <v xml:space="preserve">for entrepreneurs(6.25), </v>
      </c>
      <c r="FP199" s="21" t="str">
        <f t="shared" ref="FP199" si="2984">IF(FP97="",FP200,$C199&amp;" "&amp;FP97&amp;CHAR(10)&amp;FP200)</f>
        <v xml:space="preserve"> </v>
      </c>
      <c r="FQ199" s="21" t="str">
        <f t="shared" si="792"/>
        <v xml:space="preserve"> </v>
      </c>
      <c r="FR199" s="21" t="str">
        <f t="shared" ref="FR199" si="2985">IF(FR97="",FR200,$C199&amp;" "&amp;FR97&amp;CHAR(10)&amp;FR200)</f>
        <v xml:space="preserve"> </v>
      </c>
      <c r="FS199" s="21" t="str">
        <f t="shared" si="794"/>
        <v xml:space="preserve">for entrepreneurs(1),  </v>
      </c>
      <c r="FT199" s="21" t="str">
        <f t="shared" si="795"/>
        <v xml:space="preserve">for entrepreneurs(1,6.25),  </v>
      </c>
      <c r="FU199" s="21" t="str">
        <f t="shared" si="2050"/>
        <v xml:space="preserve">for entrepreneurs(6.25), </v>
      </c>
      <c r="FV199" s="21" t="str">
        <f t="shared" ref="FV199" si="2986">IF(FV97="",FV200,$C199&amp;" "&amp;FV97&amp;CHAR(10)&amp;FV200)</f>
        <v xml:space="preserve"> </v>
      </c>
      <c r="FW199" s="21" t="str">
        <f t="shared" si="797"/>
        <v xml:space="preserve"> </v>
      </c>
      <c r="FX199" s="21" t="str">
        <f t="shared" ref="FX199" si="2987">IF(FX97="",FX200,$C199&amp;" "&amp;FX97&amp;CHAR(10)&amp;FX200)</f>
        <v xml:space="preserve"> </v>
      </c>
      <c r="FY199" s="21" t="str">
        <f t="shared" si="799"/>
        <v xml:space="preserve">for entrepreneurs(1),  </v>
      </c>
      <c r="FZ199" s="21" t="str">
        <f t="shared" si="800"/>
        <v xml:space="preserve">for entrepreneurs(1,6.25),  </v>
      </c>
      <c r="GA199" s="21" t="str">
        <f t="shared" si="2050"/>
        <v xml:space="preserve">for entrepreneurs(6.25), </v>
      </c>
      <c r="GB199" s="21" t="str">
        <f t="shared" ref="GB199" si="2988">IF(GB97="",GB200,$C199&amp;" "&amp;GB97&amp;CHAR(10)&amp;GB200)</f>
        <v xml:space="preserve"> </v>
      </c>
      <c r="GC199" s="21" t="str">
        <f t="shared" si="802"/>
        <v xml:space="preserve"> </v>
      </c>
      <c r="GD199" s="21" t="str">
        <f t="shared" ref="GD199" si="2989">IF(GD97="",GD200,$C199&amp;" "&amp;GD97&amp;CHAR(10)&amp;GD200)</f>
        <v xml:space="preserve"> </v>
      </c>
      <c r="GE199" s="21" t="str">
        <f t="shared" si="804"/>
        <v xml:space="preserve">for entrepreneurs(1),  </v>
      </c>
      <c r="GF199" s="21" t="str">
        <f t="shared" si="805"/>
        <v xml:space="preserve">for entrepreneurs(1,6.25),  </v>
      </c>
      <c r="GG199" s="21" t="str">
        <f t="shared" si="2050"/>
        <v xml:space="preserve">for entrepreneurs(6.25), </v>
      </c>
      <c r="GH199" s="21" t="str">
        <f t="shared" ref="GH199" si="2990">IF(GH97="",GH200,$C199&amp;" "&amp;GH97&amp;CHAR(10)&amp;GH200)</f>
        <v xml:space="preserve"> </v>
      </c>
      <c r="GI199" s="21" t="str">
        <f t="shared" si="807"/>
        <v xml:space="preserve"> </v>
      </c>
      <c r="GJ199" s="21" t="str">
        <f t="shared" ref="GJ199" si="2991">IF(GJ97="",GJ200,$C199&amp;" "&amp;GJ97&amp;CHAR(10)&amp;GJ200)</f>
        <v xml:space="preserve"> </v>
      </c>
      <c r="GK199" s="21" t="str">
        <f t="shared" si="809"/>
        <v xml:space="preserve">for entrepreneurs(1),  </v>
      </c>
      <c r="GL199" s="21" t="str">
        <f t="shared" si="810"/>
        <v xml:space="preserve">for entrepreneurs(1,6.25),  </v>
      </c>
      <c r="GM199" s="21" t="str">
        <f t="shared" si="2050"/>
        <v xml:space="preserve">for entrepreneurs(6.25), </v>
      </c>
      <c r="GN199" s="21" t="str">
        <f t="shared" ref="GN199" si="2992">IF(GN97="",GN200,$C199&amp;" "&amp;GN97&amp;CHAR(10)&amp;GN200)</f>
        <v xml:space="preserve"> </v>
      </c>
      <c r="GO199" s="21" t="str">
        <f t="shared" si="812"/>
        <v xml:space="preserve"> </v>
      </c>
      <c r="GP199" s="21" t="str">
        <f t="shared" ref="GP199" si="2993">IF(GP97="",GP200,$C199&amp;" "&amp;GP97&amp;CHAR(10)&amp;GP200)</f>
        <v xml:space="preserve"> </v>
      </c>
      <c r="GQ199" s="21" t="str">
        <f t="shared" si="814"/>
        <v xml:space="preserve">for entrepreneurs(1),  </v>
      </c>
      <c r="GR199" s="21" t="str">
        <f t="shared" si="815"/>
        <v xml:space="preserve">for entrepreneurs(1,6.25),  </v>
      </c>
      <c r="GS199" s="21" t="str">
        <f t="shared" si="2050"/>
        <v xml:space="preserve">for entrepreneurs(6.25), </v>
      </c>
      <c r="GT199" s="21" t="str">
        <f t="shared" ref="GT199" si="2994">IF(GT97="",GT200,$C199&amp;" "&amp;GT97&amp;CHAR(10)&amp;GT200)</f>
        <v xml:space="preserve"> </v>
      </c>
      <c r="GU199" s="21" t="str">
        <f t="shared" si="817"/>
        <v xml:space="preserve"> </v>
      </c>
      <c r="GV199" s="21" t="str">
        <f t="shared" ref="GV199" si="2995">IF(GV97="",GV200,$C199&amp;" "&amp;GV97&amp;CHAR(10)&amp;GV200)</f>
        <v xml:space="preserve"> </v>
      </c>
      <c r="GW199" s="21" t="str">
        <f t="shared" si="819"/>
        <v xml:space="preserve"> </v>
      </c>
      <c r="GX199" s="21" t="str">
        <f t="shared" si="820"/>
        <v xml:space="preserve"> </v>
      </c>
      <c r="GY199" s="21" t="str">
        <f t="shared" si="2050"/>
        <v xml:space="preserve"> </v>
      </c>
      <c r="GZ199" s="21" t="str">
        <f t="shared" ref="GZ199" si="2996">IF(GZ97="",GZ200,$C199&amp;" "&amp;GZ97&amp;CHAR(10)&amp;GZ200)</f>
        <v xml:space="preserve"> </v>
      </c>
      <c r="HA199" s="21" t="str">
        <f t="shared" si="822"/>
        <v xml:space="preserve"> </v>
      </c>
      <c r="HB199" s="21" t="str">
        <f t="shared" ref="HB199" si="2997">IF(HB97="",HB200,$C199&amp;" "&amp;HB97&amp;CHAR(10)&amp;HB200)</f>
        <v xml:space="preserve"> </v>
      </c>
      <c r="HC199" s="21" t="str">
        <f t="shared" si="824"/>
        <v xml:space="preserve"> </v>
      </c>
      <c r="HD199" s="21" t="str">
        <f t="shared" si="825"/>
        <v xml:space="preserve">start-up with customers(1,6.25), for basic literacy(1,6.25),  </v>
      </c>
      <c r="HE199" s="21" t="str">
        <f t="shared" si="2073"/>
        <v xml:space="preserve">start-up with customers(6.25),for basic literacy(6.25), </v>
      </c>
      <c r="HF199" s="21" t="str">
        <f t="shared" ref="HF199" si="2998">IF(HF97="",HF200,$C199&amp;" "&amp;HF97&amp;CHAR(10)&amp;HF200)</f>
        <v xml:space="preserve"> </v>
      </c>
      <c r="HG199" s="21" t="str">
        <f t="shared" si="828"/>
        <v xml:space="preserve"> </v>
      </c>
      <c r="HH199" s="21" t="str">
        <f t="shared" ref="HH199" si="2999">IF(HH97="",HH200,$C199&amp;" "&amp;HH97&amp;CHAR(10)&amp;HH200)</f>
        <v xml:space="preserve"> </v>
      </c>
      <c r="HI199" s="21" t="str">
        <f t="shared" si="830"/>
        <v xml:space="preserve"> </v>
      </c>
      <c r="HJ199" s="21" t="str">
        <f t="shared" si="831"/>
        <v xml:space="preserve">start-up with customers(1,6.25),  </v>
      </c>
      <c r="HK199" s="21" t="str">
        <f t="shared" si="2073"/>
        <v xml:space="preserve">start-up with customers(6.25), </v>
      </c>
      <c r="HL199" s="21" t="str">
        <f t="shared" ref="HL199" si="3000">IF(HL97="",HL200,$C199&amp;" "&amp;HL97&amp;CHAR(10)&amp;HL200)</f>
        <v xml:space="preserve"> </v>
      </c>
      <c r="HM199" s="21" t="str">
        <f t="shared" si="833"/>
        <v xml:space="preserve"> </v>
      </c>
      <c r="HN199" s="21" t="str">
        <f t="shared" ref="HN199" si="3001">IF(HN97="",HN200,$C199&amp;" "&amp;HN97&amp;CHAR(10)&amp;HN200)</f>
        <v xml:space="preserve"> </v>
      </c>
      <c r="HO199" s="21" t="str">
        <f t="shared" si="835"/>
        <v xml:space="preserve"> </v>
      </c>
      <c r="HP199" s="21" t="str">
        <f t="shared" si="836"/>
        <v xml:space="preserve"> </v>
      </c>
      <c r="HQ199" s="47" t="str">
        <f t="shared" si="2073"/>
        <v xml:space="preserve"> </v>
      </c>
      <c r="HR199" s="47" t="str">
        <f t="shared" ref="HR199:HW199" si="3002">IF(HR97="",HR200,$C199&amp;"("&amp;HR97&amp;"),"&amp;HR200)</f>
        <v xml:space="preserve"> </v>
      </c>
      <c r="HS199" s="47" t="str">
        <f t="shared" si="3002"/>
        <v xml:space="preserve"> </v>
      </c>
      <c r="HT199" s="47" t="str">
        <f t="shared" si="3002"/>
        <v xml:space="preserve"> </v>
      </c>
      <c r="HU199" s="47" t="str">
        <f t="shared" si="3002"/>
        <v xml:space="preserve">start-up with mvp(1), </v>
      </c>
      <c r="HV199" s="47" t="str">
        <f t="shared" si="3002"/>
        <v xml:space="preserve"> </v>
      </c>
      <c r="HW199" s="47" t="str">
        <f t="shared" si="3002"/>
        <v xml:space="preserve"> </v>
      </c>
      <c r="HX199" s="47" t="str">
        <f t="shared" ref="HX199:IU199" si="3003">IF(HX97="",HX200,$C199&amp;"("&amp;HX97&amp;"),"&amp;HX200)</f>
        <v xml:space="preserve"> </v>
      </c>
      <c r="HY199" s="47" t="str">
        <f t="shared" si="3003"/>
        <v xml:space="preserve"> </v>
      </c>
      <c r="HZ199" s="47" t="str">
        <f t="shared" si="3003"/>
        <v xml:space="preserve"> </v>
      </c>
      <c r="IA199" s="47" t="str">
        <f t="shared" si="3003"/>
        <v xml:space="preserve"> </v>
      </c>
      <c r="IB199" s="47" t="str">
        <f t="shared" si="3003"/>
        <v xml:space="preserve"> </v>
      </c>
      <c r="IC199" s="47" t="str">
        <f t="shared" si="3003"/>
        <v xml:space="preserve"> </v>
      </c>
      <c r="ID199" s="47" t="str">
        <f t="shared" si="3003"/>
        <v xml:space="preserve"> </v>
      </c>
      <c r="IE199" s="47" t="str">
        <f t="shared" si="3003"/>
        <v xml:space="preserve"> </v>
      </c>
      <c r="IF199" s="47" t="str">
        <f t="shared" si="3003"/>
        <v xml:space="preserve"> </v>
      </c>
      <c r="IG199" s="47" t="str">
        <f t="shared" si="3003"/>
        <v xml:space="preserve"> </v>
      </c>
      <c r="IH199" s="47" t="str">
        <f t="shared" si="3003"/>
        <v xml:space="preserve"> </v>
      </c>
      <c r="II199" s="47" t="str">
        <f t="shared" si="3003"/>
        <v xml:space="preserve"> </v>
      </c>
      <c r="IJ199" s="47" t="str">
        <f t="shared" si="3003"/>
        <v xml:space="preserve"> </v>
      </c>
      <c r="IK199" s="47" t="str">
        <f t="shared" si="3003"/>
        <v xml:space="preserve"> </v>
      </c>
      <c r="IL199" s="47" t="str">
        <f t="shared" si="3003"/>
        <v xml:space="preserve"> </v>
      </c>
      <c r="IM199" s="47" t="str">
        <f t="shared" si="3003"/>
        <v xml:space="preserve"> </v>
      </c>
      <c r="IN199" s="47" t="str">
        <f t="shared" si="3003"/>
        <v xml:space="preserve"> </v>
      </c>
      <c r="IO199" s="47" t="str">
        <f t="shared" si="3003"/>
        <v xml:space="preserve"> </v>
      </c>
      <c r="IP199" s="57" t="str">
        <f t="shared" si="3003"/>
        <v xml:space="preserve"> </v>
      </c>
      <c r="IQ199" s="47" t="str">
        <f t="shared" si="3003"/>
        <v xml:space="preserve"> </v>
      </c>
      <c r="IR199" s="47" t="str">
        <f t="shared" si="3003"/>
        <v xml:space="preserve"> </v>
      </c>
      <c r="IS199" s="47" t="str">
        <f t="shared" si="3003"/>
        <v xml:space="preserve"> </v>
      </c>
      <c r="IT199" s="47" t="str">
        <f t="shared" si="3003"/>
        <v xml:space="preserve"> </v>
      </c>
      <c r="IU199" s="47" t="str">
        <f t="shared" si="3003"/>
        <v xml:space="preserve"> </v>
      </c>
      <c r="IV199" s="57" t="str">
        <f t="shared" ref="IV199:LG199" si="3004">IF(IV97="",IV200,$C199&amp;"("&amp;IV97&amp;"),"&amp;IV200)</f>
        <v xml:space="preserve"> </v>
      </c>
      <c r="IW199" s="47" t="str">
        <f t="shared" si="3004"/>
        <v xml:space="preserve"> </v>
      </c>
      <c r="IX199" s="47" t="str">
        <f t="shared" si="3004"/>
        <v xml:space="preserve"> </v>
      </c>
      <c r="IY199" s="47" t="str">
        <f t="shared" si="3004"/>
        <v xml:space="preserve"> </v>
      </c>
      <c r="IZ199" s="47" t="str">
        <f t="shared" si="3004"/>
        <v xml:space="preserve"> </v>
      </c>
      <c r="JA199" s="47" t="str">
        <f t="shared" si="3004"/>
        <v xml:space="preserve"> </v>
      </c>
      <c r="JB199" s="47" t="str">
        <f t="shared" si="3004"/>
        <v xml:space="preserve"> </v>
      </c>
      <c r="JC199" s="47" t="str">
        <f t="shared" si="3004"/>
        <v xml:space="preserve"> </v>
      </c>
      <c r="JD199" s="47" t="str">
        <f t="shared" si="3004"/>
        <v xml:space="preserve"> </v>
      </c>
      <c r="JE199" s="47" t="str">
        <f t="shared" si="3004"/>
        <v xml:space="preserve"> </v>
      </c>
      <c r="JF199" s="47" t="str">
        <f t="shared" si="3004"/>
        <v xml:space="preserve"> </v>
      </c>
      <c r="JG199" s="47" t="str">
        <f t="shared" si="3004"/>
        <v xml:space="preserve"> </v>
      </c>
      <c r="JH199" s="47" t="str">
        <f t="shared" si="3004"/>
        <v xml:space="preserve"> </v>
      </c>
      <c r="JI199" s="47" t="str">
        <f t="shared" si="3004"/>
        <v xml:space="preserve"> </v>
      </c>
      <c r="JJ199" s="47" t="str">
        <f t="shared" si="3004"/>
        <v xml:space="preserve"> </v>
      </c>
      <c r="JK199" s="47" t="str">
        <f t="shared" si="3004"/>
        <v xml:space="preserve">start-up with mvp(1),start-up with customers(1),for basic literacy(1),for the elites(1),for entrepreneurs(1), </v>
      </c>
      <c r="JL199" s="47" t="str">
        <f t="shared" si="3004"/>
        <v xml:space="preserve"> </v>
      </c>
      <c r="JM199" s="47" t="str">
        <f t="shared" si="3004"/>
        <v xml:space="preserve"> </v>
      </c>
      <c r="JN199" s="47" t="str">
        <f t="shared" si="3004"/>
        <v xml:space="preserve"> </v>
      </c>
      <c r="JO199" s="47" t="str">
        <f t="shared" si="3004"/>
        <v xml:space="preserve"> </v>
      </c>
      <c r="JP199" s="47" t="str">
        <f t="shared" si="3004"/>
        <v xml:space="preserve"> </v>
      </c>
      <c r="JQ199" s="47" t="str">
        <f t="shared" si="3004"/>
        <v xml:space="preserve">start-up with mvp(1),start-up with customers(1),for basic literacy(1),for the elites(1),for entrepreneurs(1), </v>
      </c>
      <c r="JR199" s="47" t="str">
        <f t="shared" si="3004"/>
        <v xml:space="preserve"> </v>
      </c>
      <c r="JS199" s="47" t="str">
        <f t="shared" si="3004"/>
        <v xml:space="preserve"> </v>
      </c>
      <c r="JT199" s="47" t="str">
        <f t="shared" si="3004"/>
        <v xml:space="preserve"> </v>
      </c>
      <c r="JU199" s="47" t="str">
        <f t="shared" si="3004"/>
        <v xml:space="preserve"> </v>
      </c>
      <c r="JV199" s="47" t="str">
        <f t="shared" si="3004"/>
        <v xml:space="preserve"> </v>
      </c>
      <c r="JW199" s="47" t="str">
        <f t="shared" si="3004"/>
        <v xml:space="preserve">start-up with mvp(1),start-up with customers(1),for basic literacy(2),for the elites(1),for entrepreneurs(1), </v>
      </c>
      <c r="JX199" s="47" t="str">
        <f t="shared" si="3004"/>
        <v xml:space="preserve"> </v>
      </c>
      <c r="JY199" s="47" t="str">
        <f t="shared" si="3004"/>
        <v xml:space="preserve"> </v>
      </c>
      <c r="JZ199" s="47" t="str">
        <f t="shared" si="3004"/>
        <v xml:space="preserve"> </v>
      </c>
      <c r="KA199" s="47" t="str">
        <f t="shared" si="3004"/>
        <v xml:space="preserve"> </v>
      </c>
      <c r="KB199" s="47" t="str">
        <f t="shared" si="3004"/>
        <v xml:space="preserve"> </v>
      </c>
      <c r="KC199" s="47" t="str">
        <f t="shared" si="3004"/>
        <v xml:space="preserve">start-up with mvp(1),start-up with customers(1),for basic literacy(2),for the elites(1),for entrepreneurs(1), </v>
      </c>
      <c r="KD199" s="47" t="str">
        <f t="shared" si="3004"/>
        <v xml:space="preserve"> </v>
      </c>
      <c r="KE199" s="47" t="str">
        <f t="shared" si="3004"/>
        <v xml:space="preserve"> </v>
      </c>
      <c r="KF199" s="47" t="str">
        <f t="shared" si="3004"/>
        <v xml:space="preserve"> </v>
      </c>
      <c r="KG199" s="47" t="str">
        <f t="shared" si="3004"/>
        <v xml:space="preserve"> </v>
      </c>
      <c r="KH199" s="47" t="str">
        <f t="shared" si="3004"/>
        <v xml:space="preserve"> </v>
      </c>
      <c r="KI199" s="47" t="str">
        <f t="shared" si="3004"/>
        <v xml:space="preserve"> </v>
      </c>
      <c r="KJ199" s="47" t="str">
        <f t="shared" si="3004"/>
        <v xml:space="preserve"> </v>
      </c>
      <c r="KK199" s="47" t="str">
        <f t="shared" si="3004"/>
        <v xml:space="preserve"> </v>
      </c>
      <c r="KL199" s="57" t="str">
        <f t="shared" si="3004"/>
        <v xml:space="preserve"> </v>
      </c>
      <c r="KM199" s="47" t="str">
        <f t="shared" si="3004"/>
        <v xml:space="preserve"> </v>
      </c>
      <c r="KN199" s="47" t="str">
        <f t="shared" si="3004"/>
        <v xml:space="preserve"> </v>
      </c>
      <c r="KO199" s="47" t="str">
        <f t="shared" si="3004"/>
        <v xml:space="preserve"> </v>
      </c>
      <c r="KP199" s="47" t="str">
        <f t="shared" si="3004"/>
        <v xml:space="preserve"> </v>
      </c>
      <c r="KQ199" s="47" t="str">
        <f t="shared" si="3004"/>
        <v xml:space="preserve"> </v>
      </c>
      <c r="KR199" s="57" t="str">
        <f t="shared" si="3004"/>
        <v xml:space="preserve"> </v>
      </c>
      <c r="KS199" s="47" t="str">
        <f t="shared" si="3004"/>
        <v xml:space="preserve"> </v>
      </c>
      <c r="KT199" s="47" t="str">
        <f t="shared" si="3004"/>
        <v xml:space="preserve"> </v>
      </c>
      <c r="KU199" s="47" t="str">
        <f t="shared" si="3004"/>
        <v xml:space="preserve"> </v>
      </c>
      <c r="KV199" s="47" t="str">
        <f t="shared" si="3004"/>
        <v xml:space="preserve"> </v>
      </c>
      <c r="KW199" s="47" t="str">
        <f t="shared" si="3004"/>
        <v xml:space="preserve"> </v>
      </c>
      <c r="KX199" s="57" t="str">
        <f t="shared" si="3004"/>
        <v xml:space="preserve"> </v>
      </c>
      <c r="KY199" s="47" t="str">
        <f t="shared" si="3004"/>
        <v xml:space="preserve"> </v>
      </c>
      <c r="KZ199" s="47" t="str">
        <f t="shared" si="3004"/>
        <v xml:space="preserve"> </v>
      </c>
      <c r="LA199" s="47" t="str">
        <f t="shared" si="3004"/>
        <v xml:space="preserve"> </v>
      </c>
      <c r="LB199" s="47" t="str">
        <f t="shared" si="3004"/>
        <v xml:space="preserve"> </v>
      </c>
      <c r="LC199" s="47" t="str">
        <f t="shared" si="3004"/>
        <v xml:space="preserve"> </v>
      </c>
      <c r="LD199" s="57" t="str">
        <f t="shared" si="3004"/>
        <v xml:space="preserve"> </v>
      </c>
      <c r="LE199" s="47" t="str">
        <f t="shared" si="3004"/>
        <v xml:space="preserve"> </v>
      </c>
      <c r="LF199" s="47" t="str">
        <f t="shared" si="3004"/>
        <v xml:space="preserve"> </v>
      </c>
      <c r="LG199" s="47" t="str">
        <f t="shared" si="3004"/>
        <v xml:space="preserve"> </v>
      </c>
      <c r="LH199" s="47" t="str">
        <f t="shared" ref="LH199:NM199" si="3005">IF(LH97="",LH200,$C199&amp;"("&amp;LH97&amp;"),"&amp;LH200)</f>
        <v xml:space="preserve"> </v>
      </c>
      <c r="LI199" s="47" t="str">
        <f t="shared" si="3005"/>
        <v xml:space="preserve"> </v>
      </c>
      <c r="LJ199" s="57" t="str">
        <f t="shared" si="3005"/>
        <v xml:space="preserve"> </v>
      </c>
      <c r="LK199" s="47" t="str">
        <f t="shared" si="3005"/>
        <v xml:space="preserve"> </v>
      </c>
      <c r="LL199" s="47" t="str">
        <f t="shared" si="3005"/>
        <v xml:space="preserve"> </v>
      </c>
      <c r="LM199" s="47" t="str">
        <f t="shared" si="3005"/>
        <v xml:space="preserve"> </v>
      </c>
      <c r="LN199" s="47" t="str">
        <f t="shared" si="3005"/>
        <v xml:space="preserve"> </v>
      </c>
      <c r="LO199" s="47" t="str">
        <f t="shared" si="3005"/>
        <v xml:space="preserve"> </v>
      </c>
      <c r="LP199" s="57" t="str">
        <f t="shared" si="3005"/>
        <v xml:space="preserve"> </v>
      </c>
      <c r="LQ199" s="47" t="str">
        <f t="shared" si="3005"/>
        <v xml:space="preserve"> </v>
      </c>
      <c r="LR199" s="47" t="str">
        <f t="shared" si="3005"/>
        <v xml:space="preserve"> </v>
      </c>
      <c r="LS199" s="47" t="str">
        <f t="shared" si="3005"/>
        <v xml:space="preserve"> </v>
      </c>
      <c r="LT199" s="47" t="str">
        <f t="shared" si="3005"/>
        <v xml:space="preserve"> </v>
      </c>
      <c r="LU199" s="47" t="str">
        <f t="shared" si="3005"/>
        <v xml:space="preserve"> </v>
      </c>
      <c r="LV199" s="57" t="str">
        <f t="shared" si="3005"/>
        <v xml:space="preserve"> </v>
      </c>
      <c r="LW199" s="47" t="str">
        <f t="shared" si="3005"/>
        <v xml:space="preserve"> </v>
      </c>
      <c r="LX199" s="47" t="str">
        <f t="shared" si="3005"/>
        <v xml:space="preserve"> </v>
      </c>
      <c r="LY199" s="47" t="str">
        <f t="shared" si="3005"/>
        <v xml:space="preserve"> </v>
      </c>
      <c r="LZ199" s="47" t="str">
        <f t="shared" si="3005"/>
        <v xml:space="preserve"> </v>
      </c>
      <c r="MA199" s="47" t="str">
        <f t="shared" si="3005"/>
        <v xml:space="preserve"> </v>
      </c>
      <c r="MB199" s="57" t="str">
        <f t="shared" si="3005"/>
        <v xml:space="preserve"> </v>
      </c>
      <c r="MC199" s="47" t="str">
        <f t="shared" si="3005"/>
        <v xml:space="preserve"> </v>
      </c>
      <c r="MD199" s="47" t="str">
        <f t="shared" si="3005"/>
        <v xml:space="preserve"> </v>
      </c>
      <c r="ME199" s="47" t="str">
        <f t="shared" si="3005"/>
        <v xml:space="preserve"> </v>
      </c>
      <c r="MF199" s="47" t="str">
        <f t="shared" si="3005"/>
        <v xml:space="preserve"> </v>
      </c>
      <c r="MG199" s="47" t="str">
        <f t="shared" si="3005"/>
        <v xml:space="preserve"> </v>
      </c>
      <c r="MH199" s="57" t="str">
        <f t="shared" si="3005"/>
        <v xml:space="preserve"> </v>
      </c>
      <c r="MI199" s="47" t="str">
        <f t="shared" si="3005"/>
        <v xml:space="preserve"> </v>
      </c>
      <c r="MJ199" s="47" t="str">
        <f t="shared" si="3005"/>
        <v xml:space="preserve"> </v>
      </c>
      <c r="MK199" s="47" t="str">
        <f t="shared" si="3005"/>
        <v xml:space="preserve"> </v>
      </c>
      <c r="ML199" s="47" t="str">
        <f t="shared" si="3005"/>
        <v xml:space="preserve"> </v>
      </c>
      <c r="MM199" s="47" t="str">
        <f t="shared" si="3005"/>
        <v xml:space="preserve"> </v>
      </c>
      <c r="MN199" s="57" t="str">
        <f t="shared" si="3005"/>
        <v xml:space="preserve"> </v>
      </c>
      <c r="MO199" s="47" t="str">
        <f t="shared" si="3005"/>
        <v xml:space="preserve"> </v>
      </c>
      <c r="MP199" s="47" t="str">
        <f t="shared" si="3005"/>
        <v xml:space="preserve"> </v>
      </c>
      <c r="MQ199" s="47" t="str">
        <f t="shared" si="3005"/>
        <v xml:space="preserve"> </v>
      </c>
      <c r="MR199" s="47" t="str">
        <f t="shared" si="3005"/>
        <v xml:space="preserve"> </v>
      </c>
      <c r="MS199" s="47" t="str">
        <f t="shared" si="3005"/>
        <v xml:space="preserve"> </v>
      </c>
      <c r="MT199" s="57" t="str">
        <f t="shared" si="3005"/>
        <v xml:space="preserve"> </v>
      </c>
      <c r="MU199" s="47" t="str">
        <f t="shared" si="3005"/>
        <v xml:space="preserve"> </v>
      </c>
      <c r="MV199" s="47" t="str">
        <f t="shared" si="3005"/>
        <v xml:space="preserve"> </v>
      </c>
      <c r="MW199" s="47" t="str">
        <f t="shared" si="3005"/>
        <v xml:space="preserve"> </v>
      </c>
      <c r="MX199" s="47" t="str">
        <f t="shared" si="3005"/>
        <v xml:space="preserve"> </v>
      </c>
      <c r="MY199" s="47" t="str">
        <f t="shared" si="3005"/>
        <v xml:space="preserve"> </v>
      </c>
      <c r="MZ199" s="57" t="str">
        <f t="shared" si="3005"/>
        <v xml:space="preserve"> </v>
      </c>
      <c r="NA199" s="47" t="str">
        <f t="shared" si="3005"/>
        <v xml:space="preserve"> </v>
      </c>
      <c r="NB199" s="47" t="str">
        <f t="shared" si="3005"/>
        <v xml:space="preserve"> </v>
      </c>
      <c r="NC199" s="47" t="str">
        <f t="shared" si="3005"/>
        <v xml:space="preserve"> </v>
      </c>
      <c r="ND199" s="47" t="str">
        <f t="shared" si="3005"/>
        <v xml:space="preserve"> </v>
      </c>
      <c r="NE199" s="47" t="str">
        <f t="shared" si="3005"/>
        <v xml:space="preserve"> </v>
      </c>
      <c r="NF199" s="57" t="str">
        <f t="shared" si="3005"/>
        <v xml:space="preserve"> </v>
      </c>
      <c r="NG199" s="47" t="str">
        <f t="shared" si="3005"/>
        <v xml:space="preserve"> </v>
      </c>
      <c r="NH199" s="47" t="str">
        <f t="shared" si="3005"/>
        <v xml:space="preserve"> </v>
      </c>
      <c r="NI199" s="47" t="str">
        <f t="shared" si="3005"/>
        <v xml:space="preserve"> </v>
      </c>
      <c r="NJ199" s="47" t="str">
        <f t="shared" si="3005"/>
        <v xml:space="preserve"> </v>
      </c>
      <c r="NK199" s="47" t="str">
        <f t="shared" si="3005"/>
        <v xml:space="preserve"> </v>
      </c>
      <c r="NL199" s="57" t="str">
        <f t="shared" si="3005"/>
        <v xml:space="preserve"> </v>
      </c>
      <c r="NM199" s="47" t="str">
        <f t="shared" si="3005"/>
        <v xml:space="preserve"> </v>
      </c>
    </row>
    <row r="200" spans="2:377" ht="15.75" customHeight="1">
      <c r="C200" s="7" t="str">
        <f t="shared" si="841"/>
        <v>start-up with customers</v>
      </c>
      <c r="D200" s="21" t="str">
        <f t="shared" si="2000"/>
        <v xml:space="preserve"> </v>
      </c>
      <c r="E200" s="21" t="str">
        <f t="shared" si="842"/>
        <v xml:space="preserve"> </v>
      </c>
      <c r="F200" s="21" t="str">
        <f t="shared" si="2000"/>
        <v xml:space="preserve"> </v>
      </c>
      <c r="G200" s="21" t="str">
        <f t="shared" si="843"/>
        <v xml:space="preserve"> </v>
      </c>
      <c r="H200" s="21" t="str">
        <f t="shared" si="844"/>
        <v xml:space="preserve"> </v>
      </c>
      <c r="I200" s="21" t="str">
        <f t="shared" ref="I200" si="3006">IF(I98="",I201,$C200&amp;"("&amp;I98&amp;"),"&amp;I201)</f>
        <v xml:space="preserve"> </v>
      </c>
      <c r="J200" s="21" t="str">
        <f t="shared" ref="J200" si="3007">IF(J98="",J201,$C200&amp;" "&amp;J98&amp;CHAR(10)&amp;J201)</f>
        <v xml:space="preserve"> </v>
      </c>
      <c r="K200" s="21" t="str">
        <f t="shared" si="654"/>
        <v xml:space="preserve"> </v>
      </c>
      <c r="L200" s="21" t="str">
        <f t="shared" ref="L200" si="3008">IF(L98="",L201,$C200&amp;" "&amp;L98&amp;CHAR(10)&amp;L201)</f>
        <v xml:space="preserve"> </v>
      </c>
      <c r="M200" s="21" t="str">
        <f t="shared" si="656"/>
        <v xml:space="preserve"> </v>
      </c>
      <c r="N200" s="21" t="str">
        <f t="shared" si="657"/>
        <v xml:space="preserve"> </v>
      </c>
      <c r="O200" s="21" t="str">
        <f t="shared" si="2004"/>
        <v xml:space="preserve"> </v>
      </c>
      <c r="P200" s="21" t="str">
        <f t="shared" ref="P200" si="3009">IF(P98="",P201,$C200&amp;" "&amp;P98&amp;CHAR(10)&amp;P201)</f>
        <v xml:space="preserve"> </v>
      </c>
      <c r="Q200" s="21" t="str">
        <f t="shared" si="660"/>
        <v xml:space="preserve"> </v>
      </c>
      <c r="R200" s="21" t="str">
        <f t="shared" ref="R200" si="3010">IF(R98="",R201,$C200&amp;" "&amp;R98&amp;CHAR(10)&amp;R201)</f>
        <v xml:space="preserve"> </v>
      </c>
      <c r="S200" s="21" t="str">
        <f t="shared" si="662"/>
        <v xml:space="preserve"> </v>
      </c>
      <c r="T200" s="21" t="str">
        <f t="shared" si="663"/>
        <v xml:space="preserve"> </v>
      </c>
      <c r="U200" s="21" t="str">
        <f t="shared" si="2004"/>
        <v xml:space="preserve"> </v>
      </c>
      <c r="V200" s="21" t="str">
        <f t="shared" ref="V200" si="3011">IF(V98="",V201,$C200&amp;" "&amp;V98&amp;CHAR(10)&amp;V201)</f>
        <v xml:space="preserve"> </v>
      </c>
      <c r="W200" s="21" t="str">
        <f t="shared" si="665"/>
        <v xml:space="preserve"> </v>
      </c>
      <c r="X200" s="21" t="str">
        <f t="shared" ref="X200" si="3012">IF(X98="",X201,$C200&amp;" "&amp;X98&amp;CHAR(10)&amp;X201)</f>
        <v xml:space="preserve"> </v>
      </c>
      <c r="Y200" s="21" t="str">
        <f t="shared" si="667"/>
        <v xml:space="preserve"> </v>
      </c>
      <c r="Z200" s="21" t="str">
        <f t="shared" si="668"/>
        <v xml:space="preserve"> </v>
      </c>
      <c r="AA200" s="21" t="str">
        <f t="shared" si="2004"/>
        <v xml:space="preserve"> </v>
      </c>
      <c r="AB200" s="21" t="str">
        <f t="shared" ref="AB200" si="3013">IF(AB98="",AB201,$C200&amp;" "&amp;AB98&amp;CHAR(10)&amp;AB201)</f>
        <v xml:space="preserve"> </v>
      </c>
      <c r="AC200" s="21" t="str">
        <f t="shared" si="670"/>
        <v xml:space="preserve"> </v>
      </c>
      <c r="AD200" s="21" t="str">
        <f t="shared" ref="AD200" si="3014">IF(AD98="",AD201,$C200&amp;" "&amp;AD98&amp;CHAR(10)&amp;AD201)</f>
        <v xml:space="preserve"> </v>
      </c>
      <c r="AE200" s="21" t="str">
        <f t="shared" si="672"/>
        <v xml:space="preserve"> </v>
      </c>
      <c r="AF200" s="21" t="str">
        <f t="shared" si="673"/>
        <v xml:space="preserve"> </v>
      </c>
      <c r="AG200" s="21" t="str">
        <f t="shared" si="2004"/>
        <v xml:space="preserve"> </v>
      </c>
      <c r="AH200" s="21" t="str">
        <f t="shared" ref="AH200" si="3015">IF(AH98="",AH201,$C200&amp;" "&amp;AH98&amp;CHAR(10)&amp;AH201)</f>
        <v xml:space="preserve"> </v>
      </c>
      <c r="AI200" s="21" t="str">
        <f t="shared" si="675"/>
        <v xml:space="preserve"> </v>
      </c>
      <c r="AJ200" s="21" t="str">
        <f t="shared" ref="AJ200" si="3016">IF(AJ98="",AJ201,$C200&amp;" "&amp;AJ98&amp;CHAR(10)&amp;AJ201)</f>
        <v xml:space="preserve"> </v>
      </c>
      <c r="AK200" s="21" t="str">
        <f t="shared" si="677"/>
        <v xml:space="preserve"> </v>
      </c>
      <c r="AL200" s="21" t="str">
        <f t="shared" si="678"/>
        <v xml:space="preserve"> </v>
      </c>
      <c r="AM200" s="21" t="str">
        <f t="shared" si="2004"/>
        <v xml:space="preserve"> </v>
      </c>
      <c r="AN200" s="21" t="str">
        <f t="shared" ref="AN200" si="3017">IF(AN98="",AN201,$C200&amp;" "&amp;AN98&amp;CHAR(10)&amp;AN201)</f>
        <v xml:space="preserve"> </v>
      </c>
      <c r="AO200" s="21" t="str">
        <f t="shared" si="680"/>
        <v xml:space="preserve"> </v>
      </c>
      <c r="AP200" s="21" t="str">
        <f t="shared" ref="AP200" si="3018">IF(AP98="",AP201,$C200&amp;" "&amp;AP98&amp;CHAR(10)&amp;AP201)</f>
        <v xml:space="preserve"> </v>
      </c>
      <c r="AQ200" s="21" t="str">
        <f t="shared" si="682"/>
        <v xml:space="preserve">start-up with customers(1),  </v>
      </c>
      <c r="AR200" s="21" t="str">
        <f t="shared" si="683"/>
        <v xml:space="preserve"> </v>
      </c>
      <c r="AS200" s="21" t="str">
        <f t="shared" si="2004"/>
        <v xml:space="preserve"> </v>
      </c>
      <c r="AT200" s="21" t="str">
        <f t="shared" ref="AT200" si="3019">IF(AT98="",AT201,$C200&amp;" "&amp;AT98&amp;CHAR(10)&amp;AT201)</f>
        <v xml:space="preserve"> </v>
      </c>
      <c r="AU200" s="21" t="str">
        <f t="shared" si="685"/>
        <v xml:space="preserve"> </v>
      </c>
      <c r="AV200" s="21" t="str">
        <f t="shared" ref="AV200" si="3020">IF(AV98="",AV201,$C200&amp;" "&amp;AV98&amp;CHAR(10)&amp;AV201)</f>
        <v xml:space="preserve"> </v>
      </c>
      <c r="AW200" s="21" t="str">
        <f t="shared" si="687"/>
        <v xml:space="preserve"> </v>
      </c>
      <c r="AX200" s="21" t="str">
        <f t="shared" si="688"/>
        <v xml:space="preserve"> </v>
      </c>
      <c r="AY200" s="21" t="str">
        <f t="shared" si="2004"/>
        <v xml:space="preserve"> </v>
      </c>
      <c r="AZ200" s="21" t="str">
        <f t="shared" ref="AZ200" si="3021">IF(AZ98="",AZ201,$C200&amp;" "&amp;AZ98&amp;CHAR(10)&amp;AZ201)</f>
        <v xml:space="preserve"> </v>
      </c>
      <c r="BA200" s="21" t="str">
        <f t="shared" si="690"/>
        <v xml:space="preserve"> </v>
      </c>
      <c r="BB200" s="21" t="str">
        <f t="shared" ref="BB200" si="3022">IF(BB98="",BB201,$C200&amp;" "&amp;BB98&amp;CHAR(10)&amp;BB201)</f>
        <v xml:space="preserve"> </v>
      </c>
      <c r="BC200" s="21" t="str">
        <f t="shared" si="692"/>
        <v xml:space="preserve"> </v>
      </c>
      <c r="BD200" s="21" t="str">
        <f t="shared" si="693"/>
        <v xml:space="preserve"> </v>
      </c>
      <c r="BE200" s="21" t="str">
        <f t="shared" si="2004"/>
        <v xml:space="preserve"> </v>
      </c>
      <c r="BF200" s="21" t="str">
        <f t="shared" ref="BF200" si="3023">IF(BF98="",BF201,$C200&amp;" "&amp;BF98&amp;CHAR(10)&amp;BF201)</f>
        <v xml:space="preserve"> </v>
      </c>
      <c r="BG200" s="21" t="str">
        <f t="shared" si="695"/>
        <v xml:space="preserve"> </v>
      </c>
      <c r="BH200" s="21" t="str">
        <f t="shared" ref="BH200" si="3024">IF(BH98="",BH201,$C200&amp;" "&amp;BH98&amp;CHAR(10)&amp;BH201)</f>
        <v xml:space="preserve"> </v>
      </c>
      <c r="BI200" s="21" t="str">
        <f t="shared" si="697"/>
        <v xml:space="preserve"> </v>
      </c>
      <c r="BJ200" s="21" t="str">
        <f t="shared" si="698"/>
        <v xml:space="preserve"> </v>
      </c>
      <c r="BK200" s="21" t="str">
        <f t="shared" si="2004"/>
        <v xml:space="preserve"> </v>
      </c>
      <c r="BL200" s="21" t="str">
        <f t="shared" ref="BL200" si="3025">IF(BL98="",BL201,$C200&amp;" "&amp;BL98&amp;CHAR(10)&amp;BL201)</f>
        <v xml:space="preserve"> </v>
      </c>
      <c r="BM200" s="21" t="str">
        <f t="shared" si="700"/>
        <v xml:space="preserve"> </v>
      </c>
      <c r="BN200" s="21" t="str">
        <f t="shared" ref="BN200" si="3026">IF(BN98="",BN201,$C200&amp;" "&amp;BN98&amp;CHAR(10)&amp;BN201)</f>
        <v xml:space="preserve"> </v>
      </c>
      <c r="BO200" s="21" t="str">
        <f t="shared" si="702"/>
        <v xml:space="preserve"> </v>
      </c>
      <c r="BP200" s="21" t="str">
        <f t="shared" si="703"/>
        <v xml:space="preserve"> </v>
      </c>
      <c r="BQ200" s="21" t="str">
        <f t="shared" si="2004"/>
        <v xml:space="preserve"> </v>
      </c>
      <c r="BR200" s="21" t="str">
        <f t="shared" ref="BR200" si="3027">IF(BR98="",BR201,$C200&amp;" "&amp;BR98&amp;CHAR(10)&amp;BR201)</f>
        <v xml:space="preserve"> </v>
      </c>
      <c r="BS200" s="21" t="str">
        <f t="shared" si="705"/>
        <v xml:space="preserve"> </v>
      </c>
      <c r="BT200" s="21" t="str">
        <f t="shared" ref="BT200" si="3028">IF(BT98="",BT201,$C200&amp;" "&amp;BT98&amp;CHAR(10)&amp;BT201)</f>
        <v xml:space="preserve"> </v>
      </c>
      <c r="BU200" s="21" t="str">
        <f t="shared" si="707"/>
        <v xml:space="preserve"> </v>
      </c>
      <c r="BV200" s="21" t="str">
        <f t="shared" si="708"/>
        <v xml:space="preserve"> </v>
      </c>
      <c r="BW200" s="21" t="str">
        <f t="shared" si="2004"/>
        <v xml:space="preserve"> </v>
      </c>
      <c r="BX200" s="21" t="str">
        <f t="shared" ref="BX200" si="3029">IF(BX98="",BX201,$C200&amp;" "&amp;BX98&amp;CHAR(10)&amp;BX201)</f>
        <v xml:space="preserve"> </v>
      </c>
      <c r="BY200" s="21" t="str">
        <f t="shared" si="710"/>
        <v xml:space="preserve"> </v>
      </c>
      <c r="BZ200" s="21" t="str">
        <f t="shared" ref="BZ200" si="3030">IF(BZ98="",BZ201,$C200&amp;" "&amp;BZ98&amp;CHAR(10)&amp;BZ201)</f>
        <v xml:space="preserve"> </v>
      </c>
      <c r="CA200" s="21" t="str">
        <f t="shared" si="712"/>
        <v xml:space="preserve"> </v>
      </c>
      <c r="CB200" s="21" t="str">
        <f t="shared" si="713"/>
        <v xml:space="preserve"> </v>
      </c>
      <c r="CC200" s="21" t="str">
        <f t="shared" si="2027"/>
        <v xml:space="preserve"> </v>
      </c>
      <c r="CD200" s="21" t="str">
        <f t="shared" ref="CD200" si="3031">IF(CD98="",CD201,$C200&amp;" "&amp;CD98&amp;CHAR(10)&amp;CD201)</f>
        <v xml:space="preserve"> </v>
      </c>
      <c r="CE200" s="21" t="str">
        <f t="shared" si="716"/>
        <v xml:space="preserve"> </v>
      </c>
      <c r="CF200" s="21" t="str">
        <f t="shared" ref="CF200" si="3032">IF(CF98="",CF201,$C200&amp;" "&amp;CF98&amp;CHAR(10)&amp;CF201)</f>
        <v xml:space="preserve"> </v>
      </c>
      <c r="CG200" s="21" t="str">
        <f t="shared" si="718"/>
        <v xml:space="preserve">for basic literacy(1), for the elites(1), for entrepreneurs(1),  </v>
      </c>
      <c r="CH200" s="21" t="str">
        <f t="shared" si="719"/>
        <v xml:space="preserve"> </v>
      </c>
      <c r="CI200" s="21" t="str">
        <f t="shared" si="2027"/>
        <v xml:space="preserve"> </v>
      </c>
      <c r="CJ200" s="21" t="str">
        <f t="shared" ref="CJ200" si="3033">IF(CJ98="",CJ201,$C200&amp;" "&amp;CJ98&amp;CHAR(10)&amp;CJ201)</f>
        <v xml:space="preserve"> </v>
      </c>
      <c r="CK200" s="21" t="str">
        <f t="shared" si="721"/>
        <v xml:space="preserve"> </v>
      </c>
      <c r="CL200" s="21" t="str">
        <f t="shared" ref="CL200" si="3034">IF(CL98="",CL201,$C200&amp;" "&amp;CL98&amp;CHAR(10)&amp;CL201)</f>
        <v xml:space="preserve"> </v>
      </c>
      <c r="CM200" s="21" t="str">
        <f t="shared" si="723"/>
        <v xml:space="preserve"> </v>
      </c>
      <c r="CN200" s="21" t="str">
        <f t="shared" si="724"/>
        <v xml:space="preserve"> </v>
      </c>
      <c r="CO200" s="21" t="str">
        <f t="shared" si="2027"/>
        <v xml:space="preserve"> </v>
      </c>
      <c r="CP200" s="21" t="str">
        <f t="shared" ref="CP200" si="3035">IF(CP98="",CP201,$C200&amp;" "&amp;CP98&amp;CHAR(10)&amp;CP201)</f>
        <v xml:space="preserve"> </v>
      </c>
      <c r="CQ200" s="21" t="str">
        <f t="shared" si="726"/>
        <v xml:space="preserve"> </v>
      </c>
      <c r="CR200" s="21" t="str">
        <f t="shared" ref="CR200" si="3036">IF(CR98="",CR201,$C200&amp;" "&amp;CR98&amp;CHAR(10)&amp;CR201)</f>
        <v xml:space="preserve"> </v>
      </c>
      <c r="CS200" s="21" t="str">
        <f t="shared" si="728"/>
        <v xml:space="preserve"> </v>
      </c>
      <c r="CT200" s="21" t="str">
        <f t="shared" si="729"/>
        <v xml:space="preserve"> </v>
      </c>
      <c r="CU200" s="21" t="str">
        <f t="shared" si="2027"/>
        <v xml:space="preserve"> </v>
      </c>
      <c r="CV200" s="21" t="str">
        <f t="shared" ref="CV200" si="3037">IF(CV98="",CV201,$C200&amp;" "&amp;CV98&amp;CHAR(10)&amp;CV201)</f>
        <v xml:space="preserve"> </v>
      </c>
      <c r="CW200" s="21" t="str">
        <f t="shared" si="731"/>
        <v xml:space="preserve"> </v>
      </c>
      <c r="CX200" s="21" t="str">
        <f t="shared" ref="CX200" si="3038">IF(CX98="",CX201,$C200&amp;" "&amp;CX98&amp;CHAR(10)&amp;CX201)</f>
        <v xml:space="preserve"> </v>
      </c>
      <c r="CY200" s="21" t="str">
        <f t="shared" si="733"/>
        <v xml:space="preserve"> </v>
      </c>
      <c r="CZ200" s="21" t="str">
        <f t="shared" si="734"/>
        <v xml:space="preserve"> </v>
      </c>
      <c r="DA200" s="21" t="str">
        <f t="shared" si="2027"/>
        <v xml:space="preserve"> </v>
      </c>
      <c r="DB200" s="21" t="str">
        <f t="shared" ref="DB200" si="3039">IF(DB98="",DB201,$C200&amp;" "&amp;DB98&amp;CHAR(10)&amp;DB201)</f>
        <v xml:space="preserve"> </v>
      </c>
      <c r="DC200" s="21" t="str">
        <f t="shared" si="736"/>
        <v xml:space="preserve"> </v>
      </c>
      <c r="DD200" s="21" t="str">
        <f t="shared" ref="DD200" si="3040">IF(DD98="",DD201,$C200&amp;" "&amp;DD98&amp;CHAR(10)&amp;DD201)</f>
        <v xml:space="preserve"> </v>
      </c>
      <c r="DE200" s="21" t="str">
        <f t="shared" si="738"/>
        <v xml:space="preserve">start-up with customers(1), for entrepreneurs(2),  </v>
      </c>
      <c r="DF200" s="21" t="str">
        <f t="shared" si="739"/>
        <v xml:space="preserve"> </v>
      </c>
      <c r="DG200" s="21" t="str">
        <f t="shared" si="2027"/>
        <v xml:space="preserve"> </v>
      </c>
      <c r="DH200" s="21" t="str">
        <f t="shared" ref="DH200" si="3041">IF(DH98="",DH201,$C200&amp;" "&amp;DH98&amp;CHAR(10)&amp;DH201)</f>
        <v xml:space="preserve"> </v>
      </c>
      <c r="DI200" s="21" t="str">
        <f t="shared" si="741"/>
        <v xml:space="preserve"> </v>
      </c>
      <c r="DJ200" s="21" t="str">
        <f t="shared" ref="DJ200" si="3042">IF(DJ98="",DJ201,$C200&amp;" "&amp;DJ98&amp;CHAR(10)&amp;DJ201)</f>
        <v xml:space="preserve"> </v>
      </c>
      <c r="DK200" s="21" t="str">
        <f t="shared" si="743"/>
        <v xml:space="preserve"> </v>
      </c>
      <c r="DL200" s="21" t="str">
        <f t="shared" si="744"/>
        <v xml:space="preserve"> </v>
      </c>
      <c r="DM200" s="21" t="str">
        <f t="shared" si="2027"/>
        <v xml:space="preserve"> </v>
      </c>
      <c r="DN200" s="21" t="str">
        <f t="shared" ref="DN200" si="3043">IF(DN98="",DN201,$C200&amp;" "&amp;DN98&amp;CHAR(10)&amp;DN201)</f>
        <v xml:space="preserve"> </v>
      </c>
      <c r="DO200" s="21" t="str">
        <f t="shared" si="746"/>
        <v xml:space="preserve"> </v>
      </c>
      <c r="DP200" s="21" t="str">
        <f t="shared" ref="DP200" si="3044">IF(DP98="",DP201,$C200&amp;" "&amp;DP98&amp;CHAR(10)&amp;DP201)</f>
        <v xml:space="preserve"> </v>
      </c>
      <c r="DQ200" s="21" t="str">
        <f t="shared" si="748"/>
        <v xml:space="preserve">start-up with customers(1), for entrepreneurs(1),  </v>
      </c>
      <c r="DR200" s="21" t="str">
        <f t="shared" si="749"/>
        <v xml:space="preserve"> </v>
      </c>
      <c r="DS200" s="21" t="str">
        <f t="shared" si="2027"/>
        <v xml:space="preserve"> </v>
      </c>
      <c r="DT200" s="21" t="str">
        <f t="shared" ref="DT200" si="3045">IF(DT98="",DT201,$C200&amp;" "&amp;DT98&amp;CHAR(10)&amp;DT201)</f>
        <v xml:space="preserve"> </v>
      </c>
      <c r="DU200" s="21" t="str">
        <f t="shared" si="751"/>
        <v xml:space="preserve"> </v>
      </c>
      <c r="DV200" s="21" t="str">
        <f t="shared" ref="DV200" si="3046">IF(DV98="",DV201,$C200&amp;" "&amp;DV98&amp;CHAR(10)&amp;DV201)</f>
        <v xml:space="preserve"> </v>
      </c>
      <c r="DW200" s="21" t="str">
        <f t="shared" si="753"/>
        <v xml:space="preserve">for basic literacy(1),  </v>
      </c>
      <c r="DX200" s="21" t="str">
        <f t="shared" si="754"/>
        <v xml:space="preserve">for basic literacy(1,6.25),  </v>
      </c>
      <c r="DY200" s="21" t="str">
        <f t="shared" si="2027"/>
        <v xml:space="preserve">for basic literacy(6.25), </v>
      </c>
      <c r="DZ200" s="21" t="str">
        <f t="shared" ref="DZ200" si="3047">IF(DZ98="",DZ201,$C200&amp;" "&amp;DZ98&amp;CHAR(10)&amp;DZ201)</f>
        <v xml:space="preserve"> </v>
      </c>
      <c r="EA200" s="21" t="str">
        <f t="shared" si="756"/>
        <v xml:space="preserve"> </v>
      </c>
      <c r="EB200" s="21" t="str">
        <f t="shared" ref="EB200" si="3048">IF(EB98="",EB201,$C200&amp;" "&amp;EB98&amp;CHAR(10)&amp;EB201)</f>
        <v xml:space="preserve"> </v>
      </c>
      <c r="EC200" s="21" t="str">
        <f t="shared" si="758"/>
        <v xml:space="preserve">for basic literacy(1),  </v>
      </c>
      <c r="ED200" s="21" t="str">
        <f t="shared" si="759"/>
        <v xml:space="preserve">for basic literacy(1,6.25),  </v>
      </c>
      <c r="EE200" s="21" t="str">
        <f t="shared" si="2027"/>
        <v xml:space="preserve">for basic literacy(6.25), </v>
      </c>
      <c r="EF200" s="21" t="str">
        <f t="shared" ref="EF200" si="3049">IF(EF98="",EF201,$C200&amp;" "&amp;EF98&amp;CHAR(10)&amp;EF201)</f>
        <v xml:space="preserve"> </v>
      </c>
      <c r="EG200" s="21" t="str">
        <f t="shared" si="761"/>
        <v xml:space="preserve"> </v>
      </c>
      <c r="EH200" s="21" t="str">
        <f t="shared" ref="EH200" si="3050">IF(EH98="",EH201,$C200&amp;" "&amp;EH98&amp;CHAR(10)&amp;EH201)</f>
        <v xml:space="preserve"> </v>
      </c>
      <c r="EI200" s="21" t="str">
        <f t="shared" si="763"/>
        <v xml:space="preserve">for entrepreneurs(1),  </v>
      </c>
      <c r="EJ200" s="21" t="str">
        <f t="shared" si="764"/>
        <v xml:space="preserve">for entrepreneurs(1,6.25),  </v>
      </c>
      <c r="EK200" s="21" t="str">
        <f t="shared" si="2027"/>
        <v xml:space="preserve">for entrepreneurs(6.25), </v>
      </c>
      <c r="EL200" s="21" t="str">
        <f t="shared" ref="EL200" si="3051">IF(EL98="",EL201,$C200&amp;" "&amp;EL98&amp;CHAR(10)&amp;EL201)</f>
        <v xml:space="preserve"> </v>
      </c>
      <c r="EM200" s="21" t="str">
        <f t="shared" si="766"/>
        <v xml:space="preserve"> </v>
      </c>
      <c r="EN200" s="21" t="str">
        <f t="shared" ref="EN200" si="3052">IF(EN98="",EN201,$C200&amp;" "&amp;EN98&amp;CHAR(10)&amp;EN201)</f>
        <v xml:space="preserve"> </v>
      </c>
      <c r="EO200" s="21" t="str">
        <f t="shared" si="768"/>
        <v xml:space="preserve">for entrepreneurs(1),  </v>
      </c>
      <c r="EP200" s="21" t="str">
        <f t="shared" si="769"/>
        <v xml:space="preserve">for entrepreneurs(1,6.25),  </v>
      </c>
      <c r="EQ200" s="21" t="str">
        <f t="shared" si="2050"/>
        <v xml:space="preserve">for entrepreneurs(6.25), </v>
      </c>
      <c r="ER200" s="21" t="str">
        <f t="shared" ref="ER200" si="3053">IF(ER98="",ER201,$C200&amp;" "&amp;ER98&amp;CHAR(10)&amp;ER201)</f>
        <v xml:space="preserve"> </v>
      </c>
      <c r="ES200" s="21" t="str">
        <f t="shared" si="772"/>
        <v xml:space="preserve"> </v>
      </c>
      <c r="ET200" s="21" t="str">
        <f t="shared" ref="ET200" si="3054">IF(ET98="",ET201,$C200&amp;" "&amp;ET98&amp;CHAR(10)&amp;ET201)</f>
        <v xml:space="preserve"> </v>
      </c>
      <c r="EU200" s="21" t="str">
        <f t="shared" si="774"/>
        <v xml:space="preserve">for entrepreneurs(1),  </v>
      </c>
      <c r="EV200" s="21" t="str">
        <f t="shared" si="775"/>
        <v xml:space="preserve">for entrepreneurs(1,6.25),  </v>
      </c>
      <c r="EW200" s="21" t="str">
        <f t="shared" si="2050"/>
        <v xml:space="preserve">for entrepreneurs(6.25), </v>
      </c>
      <c r="EX200" s="21" t="str">
        <f t="shared" ref="EX200" si="3055">IF(EX98="",EX201,$C200&amp;" "&amp;EX98&amp;CHAR(10)&amp;EX201)</f>
        <v xml:space="preserve"> </v>
      </c>
      <c r="EY200" s="21" t="str">
        <f t="shared" si="777"/>
        <v xml:space="preserve"> </v>
      </c>
      <c r="EZ200" s="21" t="str">
        <f t="shared" ref="EZ200" si="3056">IF(EZ98="",EZ201,$C200&amp;" "&amp;EZ98&amp;CHAR(10)&amp;EZ201)</f>
        <v xml:space="preserve"> </v>
      </c>
      <c r="FA200" s="21" t="str">
        <f t="shared" si="779"/>
        <v xml:space="preserve">for entrepreneurs(1),  </v>
      </c>
      <c r="FB200" s="21" t="str">
        <f t="shared" si="780"/>
        <v xml:space="preserve">for entrepreneurs(1,6.25),  </v>
      </c>
      <c r="FC200" s="21" t="str">
        <f t="shared" si="2050"/>
        <v xml:space="preserve">for entrepreneurs(6.25), </v>
      </c>
      <c r="FD200" s="21" t="str">
        <f t="shared" ref="FD200" si="3057">IF(FD98="",FD201,$C200&amp;" "&amp;FD98&amp;CHAR(10)&amp;FD201)</f>
        <v xml:space="preserve"> </v>
      </c>
      <c r="FE200" s="21" t="str">
        <f t="shared" si="782"/>
        <v xml:space="preserve"> </v>
      </c>
      <c r="FF200" s="21" t="str">
        <f t="shared" ref="FF200" si="3058">IF(FF98="",FF201,$C200&amp;" "&amp;FF98&amp;CHAR(10)&amp;FF201)</f>
        <v xml:space="preserve"> </v>
      </c>
      <c r="FG200" s="21" t="str">
        <f t="shared" si="784"/>
        <v xml:space="preserve">for entrepreneurs(1),  </v>
      </c>
      <c r="FH200" s="21" t="str">
        <f t="shared" si="785"/>
        <v xml:space="preserve">for entrepreneurs(1,6.25),  </v>
      </c>
      <c r="FI200" s="21" t="str">
        <f t="shared" si="2050"/>
        <v xml:space="preserve">for entrepreneurs(6.25), </v>
      </c>
      <c r="FJ200" s="21" t="str">
        <f t="shared" ref="FJ200" si="3059">IF(FJ98="",FJ201,$C200&amp;" "&amp;FJ98&amp;CHAR(10)&amp;FJ201)</f>
        <v xml:space="preserve"> </v>
      </c>
      <c r="FK200" s="21" t="str">
        <f t="shared" si="787"/>
        <v xml:space="preserve"> </v>
      </c>
      <c r="FL200" s="21" t="str">
        <f t="shared" ref="FL200" si="3060">IF(FL98="",FL201,$C200&amp;" "&amp;FL98&amp;CHAR(10)&amp;FL201)</f>
        <v xml:space="preserve"> </v>
      </c>
      <c r="FM200" s="21" t="str">
        <f t="shared" si="789"/>
        <v xml:space="preserve">for entrepreneurs(1),  </v>
      </c>
      <c r="FN200" s="21" t="str">
        <f t="shared" si="790"/>
        <v xml:space="preserve">for entrepreneurs(1,6.25),  </v>
      </c>
      <c r="FO200" s="21" t="str">
        <f t="shared" si="2050"/>
        <v xml:space="preserve">for entrepreneurs(6.25), </v>
      </c>
      <c r="FP200" s="21" t="str">
        <f t="shared" ref="FP200" si="3061">IF(FP98="",FP201,$C200&amp;" "&amp;FP98&amp;CHAR(10)&amp;FP201)</f>
        <v xml:space="preserve"> </v>
      </c>
      <c r="FQ200" s="21" t="str">
        <f t="shared" si="792"/>
        <v xml:space="preserve"> </v>
      </c>
      <c r="FR200" s="21" t="str">
        <f t="shared" ref="FR200" si="3062">IF(FR98="",FR201,$C200&amp;" "&amp;FR98&amp;CHAR(10)&amp;FR201)</f>
        <v xml:space="preserve"> </v>
      </c>
      <c r="FS200" s="21" t="str">
        <f t="shared" si="794"/>
        <v xml:space="preserve">for entrepreneurs(1),  </v>
      </c>
      <c r="FT200" s="21" t="str">
        <f t="shared" si="795"/>
        <v xml:space="preserve">for entrepreneurs(1,6.25),  </v>
      </c>
      <c r="FU200" s="21" t="str">
        <f t="shared" si="2050"/>
        <v xml:space="preserve">for entrepreneurs(6.25), </v>
      </c>
      <c r="FV200" s="21" t="str">
        <f t="shared" ref="FV200" si="3063">IF(FV98="",FV201,$C200&amp;" "&amp;FV98&amp;CHAR(10)&amp;FV201)</f>
        <v xml:space="preserve"> </v>
      </c>
      <c r="FW200" s="21" t="str">
        <f t="shared" si="797"/>
        <v xml:space="preserve"> </v>
      </c>
      <c r="FX200" s="21" t="str">
        <f t="shared" ref="FX200" si="3064">IF(FX98="",FX201,$C200&amp;" "&amp;FX98&amp;CHAR(10)&amp;FX201)</f>
        <v xml:space="preserve"> </v>
      </c>
      <c r="FY200" s="21" t="str">
        <f t="shared" si="799"/>
        <v xml:space="preserve">for entrepreneurs(1),  </v>
      </c>
      <c r="FZ200" s="21" t="str">
        <f t="shared" si="800"/>
        <v xml:space="preserve">for entrepreneurs(1,6.25),  </v>
      </c>
      <c r="GA200" s="21" t="str">
        <f t="shared" si="2050"/>
        <v xml:space="preserve">for entrepreneurs(6.25), </v>
      </c>
      <c r="GB200" s="21" t="str">
        <f t="shared" ref="GB200" si="3065">IF(GB98="",GB201,$C200&amp;" "&amp;GB98&amp;CHAR(10)&amp;GB201)</f>
        <v xml:space="preserve"> </v>
      </c>
      <c r="GC200" s="21" t="str">
        <f t="shared" si="802"/>
        <v xml:space="preserve"> </v>
      </c>
      <c r="GD200" s="21" t="str">
        <f t="shared" ref="GD200" si="3066">IF(GD98="",GD201,$C200&amp;" "&amp;GD98&amp;CHAR(10)&amp;GD201)</f>
        <v xml:space="preserve"> </v>
      </c>
      <c r="GE200" s="21" t="str">
        <f t="shared" si="804"/>
        <v xml:space="preserve">for entrepreneurs(1),  </v>
      </c>
      <c r="GF200" s="21" t="str">
        <f t="shared" si="805"/>
        <v xml:space="preserve">for entrepreneurs(1,6.25),  </v>
      </c>
      <c r="GG200" s="21" t="str">
        <f t="shared" si="2050"/>
        <v xml:space="preserve">for entrepreneurs(6.25), </v>
      </c>
      <c r="GH200" s="21" t="str">
        <f t="shared" ref="GH200" si="3067">IF(GH98="",GH201,$C200&amp;" "&amp;GH98&amp;CHAR(10)&amp;GH201)</f>
        <v xml:space="preserve"> </v>
      </c>
      <c r="GI200" s="21" t="str">
        <f t="shared" si="807"/>
        <v xml:space="preserve"> </v>
      </c>
      <c r="GJ200" s="21" t="str">
        <f t="shared" ref="GJ200" si="3068">IF(GJ98="",GJ201,$C200&amp;" "&amp;GJ98&amp;CHAR(10)&amp;GJ201)</f>
        <v xml:space="preserve"> </v>
      </c>
      <c r="GK200" s="21" t="str">
        <f t="shared" si="809"/>
        <v xml:space="preserve">for entrepreneurs(1),  </v>
      </c>
      <c r="GL200" s="21" t="str">
        <f t="shared" si="810"/>
        <v xml:space="preserve">for entrepreneurs(1,6.25),  </v>
      </c>
      <c r="GM200" s="21" t="str">
        <f t="shared" si="2050"/>
        <v xml:space="preserve">for entrepreneurs(6.25), </v>
      </c>
      <c r="GN200" s="21" t="str">
        <f t="shared" ref="GN200" si="3069">IF(GN98="",GN201,$C200&amp;" "&amp;GN98&amp;CHAR(10)&amp;GN201)</f>
        <v xml:space="preserve"> </v>
      </c>
      <c r="GO200" s="21" t="str">
        <f t="shared" si="812"/>
        <v xml:space="preserve"> </v>
      </c>
      <c r="GP200" s="21" t="str">
        <f t="shared" ref="GP200" si="3070">IF(GP98="",GP201,$C200&amp;" "&amp;GP98&amp;CHAR(10)&amp;GP201)</f>
        <v xml:space="preserve"> </v>
      </c>
      <c r="GQ200" s="21" t="str">
        <f t="shared" si="814"/>
        <v xml:space="preserve">for entrepreneurs(1),  </v>
      </c>
      <c r="GR200" s="21" t="str">
        <f t="shared" si="815"/>
        <v xml:space="preserve">for entrepreneurs(1,6.25),  </v>
      </c>
      <c r="GS200" s="21" t="str">
        <f t="shared" si="2050"/>
        <v xml:space="preserve">for entrepreneurs(6.25), </v>
      </c>
      <c r="GT200" s="21" t="str">
        <f t="shared" ref="GT200" si="3071">IF(GT98="",GT201,$C200&amp;" "&amp;GT98&amp;CHAR(10)&amp;GT201)</f>
        <v xml:space="preserve"> </v>
      </c>
      <c r="GU200" s="21" t="str">
        <f t="shared" si="817"/>
        <v xml:space="preserve"> </v>
      </c>
      <c r="GV200" s="21" t="str">
        <f t="shared" ref="GV200" si="3072">IF(GV98="",GV201,$C200&amp;" "&amp;GV98&amp;CHAR(10)&amp;GV201)</f>
        <v xml:space="preserve"> </v>
      </c>
      <c r="GW200" s="21" t="str">
        <f t="shared" si="819"/>
        <v xml:space="preserve"> </v>
      </c>
      <c r="GX200" s="21" t="str">
        <f t="shared" si="820"/>
        <v xml:space="preserve"> </v>
      </c>
      <c r="GY200" s="21" t="str">
        <f t="shared" si="2050"/>
        <v xml:space="preserve"> </v>
      </c>
      <c r="GZ200" s="21" t="str">
        <f t="shared" ref="GZ200" si="3073">IF(GZ98="",GZ201,$C200&amp;" "&amp;GZ98&amp;CHAR(10)&amp;GZ201)</f>
        <v xml:space="preserve"> </v>
      </c>
      <c r="HA200" s="21" t="str">
        <f t="shared" si="822"/>
        <v xml:space="preserve"> </v>
      </c>
      <c r="HB200" s="21" t="str">
        <f t="shared" ref="HB200" si="3074">IF(HB98="",HB201,$C200&amp;" "&amp;HB98&amp;CHAR(10)&amp;HB201)</f>
        <v xml:space="preserve"> </v>
      </c>
      <c r="HC200" s="21" t="str">
        <f t="shared" si="824"/>
        <v xml:space="preserve"> </v>
      </c>
      <c r="HD200" s="21" t="str">
        <f t="shared" si="825"/>
        <v xml:space="preserve">start-up with customers(1,6.25), for basic literacy(1,6.25),  </v>
      </c>
      <c r="HE200" s="21" t="str">
        <f t="shared" si="2073"/>
        <v xml:space="preserve">start-up with customers(6.25),for basic literacy(6.25), </v>
      </c>
      <c r="HF200" s="21" t="str">
        <f t="shared" ref="HF200" si="3075">IF(HF98="",HF201,$C200&amp;" "&amp;HF98&amp;CHAR(10)&amp;HF201)</f>
        <v xml:space="preserve"> </v>
      </c>
      <c r="HG200" s="21" t="str">
        <f t="shared" si="828"/>
        <v xml:space="preserve"> </v>
      </c>
      <c r="HH200" s="21" t="str">
        <f t="shared" ref="HH200" si="3076">IF(HH98="",HH201,$C200&amp;" "&amp;HH98&amp;CHAR(10)&amp;HH201)</f>
        <v xml:space="preserve"> </v>
      </c>
      <c r="HI200" s="21" t="str">
        <f t="shared" si="830"/>
        <v xml:space="preserve"> </v>
      </c>
      <c r="HJ200" s="21" t="str">
        <f t="shared" si="831"/>
        <v xml:space="preserve">start-up with customers(1,6.25),  </v>
      </c>
      <c r="HK200" s="21" t="str">
        <f t="shared" si="2073"/>
        <v xml:space="preserve">start-up with customers(6.25), </v>
      </c>
      <c r="HL200" s="21" t="str">
        <f t="shared" ref="HL200" si="3077">IF(HL98="",HL201,$C200&amp;" "&amp;HL98&amp;CHAR(10)&amp;HL201)</f>
        <v xml:space="preserve"> </v>
      </c>
      <c r="HM200" s="21" t="str">
        <f t="shared" si="833"/>
        <v xml:space="preserve"> </v>
      </c>
      <c r="HN200" s="21" t="str">
        <f t="shared" ref="HN200" si="3078">IF(HN98="",HN201,$C200&amp;" "&amp;HN98&amp;CHAR(10)&amp;HN201)</f>
        <v xml:space="preserve"> </v>
      </c>
      <c r="HO200" s="21" t="str">
        <f t="shared" si="835"/>
        <v xml:space="preserve"> </v>
      </c>
      <c r="HP200" s="21" t="str">
        <f t="shared" si="836"/>
        <v xml:space="preserve"> </v>
      </c>
      <c r="HQ200" s="47" t="str">
        <f t="shared" si="2073"/>
        <v xml:space="preserve"> </v>
      </c>
      <c r="HR200" s="47" t="str">
        <f t="shared" ref="HR200:HW200" si="3079">IF(HR98="",HR201,$C200&amp;"("&amp;HR98&amp;"),"&amp;HR201)</f>
        <v xml:space="preserve"> </v>
      </c>
      <c r="HS200" s="47" t="str">
        <f t="shared" si="3079"/>
        <v xml:space="preserve"> </v>
      </c>
      <c r="HT200" s="47" t="str">
        <f t="shared" si="3079"/>
        <v xml:space="preserve"> </v>
      </c>
      <c r="HU200" s="47" t="str">
        <f t="shared" si="3079"/>
        <v xml:space="preserve"> </v>
      </c>
      <c r="HV200" s="47" t="str">
        <f t="shared" si="3079"/>
        <v xml:space="preserve"> </v>
      </c>
      <c r="HW200" s="47" t="str">
        <f t="shared" si="3079"/>
        <v xml:space="preserve"> </v>
      </c>
      <c r="HX200" s="47" t="str">
        <f t="shared" ref="HX200:IU200" si="3080">IF(HX98="",HX201,$C200&amp;"("&amp;HX98&amp;"),"&amp;HX201)</f>
        <v xml:space="preserve"> </v>
      </c>
      <c r="HY200" s="47" t="str">
        <f t="shared" si="3080"/>
        <v xml:space="preserve"> </v>
      </c>
      <c r="HZ200" s="47" t="str">
        <f t="shared" si="3080"/>
        <v xml:space="preserve"> </v>
      </c>
      <c r="IA200" s="47" t="str">
        <f t="shared" si="3080"/>
        <v xml:space="preserve"> </v>
      </c>
      <c r="IB200" s="47" t="str">
        <f t="shared" si="3080"/>
        <v xml:space="preserve"> </v>
      </c>
      <c r="IC200" s="47" t="str">
        <f t="shared" si="3080"/>
        <v xml:space="preserve"> </v>
      </c>
      <c r="ID200" s="47" t="str">
        <f t="shared" si="3080"/>
        <v xml:space="preserve"> </v>
      </c>
      <c r="IE200" s="47" t="str">
        <f t="shared" si="3080"/>
        <v xml:space="preserve"> </v>
      </c>
      <c r="IF200" s="47" t="str">
        <f t="shared" si="3080"/>
        <v xml:space="preserve"> </v>
      </c>
      <c r="IG200" s="47" t="str">
        <f t="shared" si="3080"/>
        <v xml:space="preserve"> </v>
      </c>
      <c r="IH200" s="47" t="str">
        <f t="shared" si="3080"/>
        <v xml:space="preserve"> </v>
      </c>
      <c r="II200" s="47" t="str">
        <f t="shared" si="3080"/>
        <v xml:space="preserve"> </v>
      </c>
      <c r="IJ200" s="47" t="str">
        <f t="shared" si="3080"/>
        <v xml:space="preserve"> </v>
      </c>
      <c r="IK200" s="47" t="str">
        <f t="shared" si="3080"/>
        <v xml:space="preserve"> </v>
      </c>
      <c r="IL200" s="47" t="str">
        <f t="shared" si="3080"/>
        <v xml:space="preserve"> </v>
      </c>
      <c r="IM200" s="47" t="str">
        <f t="shared" si="3080"/>
        <v xml:space="preserve"> </v>
      </c>
      <c r="IN200" s="47" t="str">
        <f t="shared" si="3080"/>
        <v xml:space="preserve"> </v>
      </c>
      <c r="IO200" s="47" t="str">
        <f t="shared" si="3080"/>
        <v xml:space="preserve"> </v>
      </c>
      <c r="IP200" s="57" t="str">
        <f t="shared" si="3080"/>
        <v xml:space="preserve"> </v>
      </c>
      <c r="IQ200" s="47" t="str">
        <f t="shared" si="3080"/>
        <v xml:space="preserve"> </v>
      </c>
      <c r="IR200" s="47" t="str">
        <f t="shared" si="3080"/>
        <v xml:space="preserve"> </v>
      </c>
      <c r="IS200" s="47" t="str">
        <f t="shared" si="3080"/>
        <v xml:space="preserve"> </v>
      </c>
      <c r="IT200" s="47" t="str">
        <f t="shared" si="3080"/>
        <v xml:space="preserve"> </v>
      </c>
      <c r="IU200" s="47" t="str">
        <f t="shared" si="3080"/>
        <v xml:space="preserve"> </v>
      </c>
      <c r="IV200" s="57" t="str">
        <f t="shared" ref="IV200:LG200" si="3081">IF(IV98="",IV201,$C200&amp;"("&amp;IV98&amp;"),"&amp;IV201)</f>
        <v xml:space="preserve"> </v>
      </c>
      <c r="IW200" s="47" t="str">
        <f t="shared" si="3081"/>
        <v xml:space="preserve"> </v>
      </c>
      <c r="IX200" s="47" t="str">
        <f t="shared" si="3081"/>
        <v xml:space="preserve"> </v>
      </c>
      <c r="IY200" s="47" t="str">
        <f t="shared" si="3081"/>
        <v xml:space="preserve"> </v>
      </c>
      <c r="IZ200" s="47" t="str">
        <f t="shared" si="3081"/>
        <v xml:space="preserve"> </v>
      </c>
      <c r="JA200" s="47" t="str">
        <f t="shared" si="3081"/>
        <v xml:space="preserve"> </v>
      </c>
      <c r="JB200" s="47" t="str">
        <f t="shared" si="3081"/>
        <v xml:space="preserve"> </v>
      </c>
      <c r="JC200" s="47" t="str">
        <f t="shared" si="3081"/>
        <v xml:space="preserve"> </v>
      </c>
      <c r="JD200" s="47" t="str">
        <f t="shared" si="3081"/>
        <v xml:space="preserve"> </v>
      </c>
      <c r="JE200" s="47" t="str">
        <f t="shared" si="3081"/>
        <v xml:space="preserve"> </v>
      </c>
      <c r="JF200" s="47" t="str">
        <f t="shared" si="3081"/>
        <v xml:space="preserve"> </v>
      </c>
      <c r="JG200" s="47" t="str">
        <f t="shared" si="3081"/>
        <v xml:space="preserve"> </v>
      </c>
      <c r="JH200" s="47" t="str">
        <f t="shared" si="3081"/>
        <v xml:space="preserve"> </v>
      </c>
      <c r="JI200" s="47" t="str">
        <f t="shared" si="3081"/>
        <v xml:space="preserve"> </v>
      </c>
      <c r="JJ200" s="47" t="str">
        <f t="shared" si="3081"/>
        <v xml:space="preserve"> </v>
      </c>
      <c r="JK200" s="47" t="str">
        <f t="shared" si="3081"/>
        <v xml:space="preserve">start-up with customers(1),for basic literacy(1),for the elites(1),for entrepreneurs(1), </v>
      </c>
      <c r="JL200" s="47" t="str">
        <f t="shared" si="3081"/>
        <v xml:space="preserve"> </v>
      </c>
      <c r="JM200" s="47" t="str">
        <f t="shared" si="3081"/>
        <v xml:space="preserve"> </v>
      </c>
      <c r="JN200" s="47" t="str">
        <f t="shared" si="3081"/>
        <v xml:space="preserve"> </v>
      </c>
      <c r="JO200" s="47" t="str">
        <f t="shared" si="3081"/>
        <v xml:space="preserve"> </v>
      </c>
      <c r="JP200" s="47" t="str">
        <f t="shared" si="3081"/>
        <v xml:space="preserve"> </v>
      </c>
      <c r="JQ200" s="47" t="str">
        <f t="shared" si="3081"/>
        <v xml:space="preserve">start-up with customers(1),for basic literacy(1),for the elites(1),for entrepreneurs(1), </v>
      </c>
      <c r="JR200" s="47" t="str">
        <f t="shared" si="3081"/>
        <v xml:space="preserve"> </v>
      </c>
      <c r="JS200" s="47" t="str">
        <f t="shared" si="3081"/>
        <v xml:space="preserve"> </v>
      </c>
      <c r="JT200" s="47" t="str">
        <f t="shared" si="3081"/>
        <v xml:space="preserve"> </v>
      </c>
      <c r="JU200" s="47" t="str">
        <f t="shared" si="3081"/>
        <v xml:space="preserve"> </v>
      </c>
      <c r="JV200" s="47" t="str">
        <f t="shared" si="3081"/>
        <v xml:space="preserve"> </v>
      </c>
      <c r="JW200" s="47" t="str">
        <f t="shared" si="3081"/>
        <v xml:space="preserve">start-up with customers(1),for basic literacy(2),for the elites(1),for entrepreneurs(1), </v>
      </c>
      <c r="JX200" s="47" t="str">
        <f t="shared" si="3081"/>
        <v xml:space="preserve"> </v>
      </c>
      <c r="JY200" s="47" t="str">
        <f t="shared" si="3081"/>
        <v xml:space="preserve"> </v>
      </c>
      <c r="JZ200" s="47" t="str">
        <f t="shared" si="3081"/>
        <v xml:space="preserve"> </v>
      </c>
      <c r="KA200" s="47" t="str">
        <f t="shared" si="3081"/>
        <v xml:space="preserve"> </v>
      </c>
      <c r="KB200" s="47" t="str">
        <f t="shared" si="3081"/>
        <v xml:space="preserve"> </v>
      </c>
      <c r="KC200" s="47" t="str">
        <f t="shared" si="3081"/>
        <v xml:space="preserve">start-up with customers(1),for basic literacy(2),for the elites(1),for entrepreneurs(1), </v>
      </c>
      <c r="KD200" s="47" t="str">
        <f t="shared" si="3081"/>
        <v xml:space="preserve"> </v>
      </c>
      <c r="KE200" s="47" t="str">
        <f t="shared" si="3081"/>
        <v xml:space="preserve"> </v>
      </c>
      <c r="KF200" s="47" t="str">
        <f t="shared" si="3081"/>
        <v xml:space="preserve"> </v>
      </c>
      <c r="KG200" s="47" t="str">
        <f t="shared" si="3081"/>
        <v xml:space="preserve"> </v>
      </c>
      <c r="KH200" s="47" t="str">
        <f t="shared" si="3081"/>
        <v xml:space="preserve"> </v>
      </c>
      <c r="KI200" s="47" t="str">
        <f t="shared" si="3081"/>
        <v xml:space="preserve"> </v>
      </c>
      <c r="KJ200" s="47" t="str">
        <f t="shared" si="3081"/>
        <v xml:space="preserve"> </v>
      </c>
      <c r="KK200" s="47" t="str">
        <f t="shared" si="3081"/>
        <v xml:space="preserve"> </v>
      </c>
      <c r="KL200" s="57" t="str">
        <f t="shared" si="3081"/>
        <v xml:space="preserve"> </v>
      </c>
      <c r="KM200" s="47" t="str">
        <f t="shared" si="3081"/>
        <v xml:space="preserve"> </v>
      </c>
      <c r="KN200" s="47" t="str">
        <f t="shared" si="3081"/>
        <v xml:space="preserve"> </v>
      </c>
      <c r="KO200" s="47" t="str">
        <f t="shared" si="3081"/>
        <v xml:space="preserve"> </v>
      </c>
      <c r="KP200" s="47" t="str">
        <f t="shared" si="3081"/>
        <v xml:space="preserve"> </v>
      </c>
      <c r="KQ200" s="47" t="str">
        <f t="shared" si="3081"/>
        <v xml:space="preserve"> </v>
      </c>
      <c r="KR200" s="57" t="str">
        <f t="shared" si="3081"/>
        <v xml:space="preserve"> </v>
      </c>
      <c r="KS200" s="47" t="str">
        <f t="shared" si="3081"/>
        <v xml:space="preserve"> </v>
      </c>
      <c r="KT200" s="47" t="str">
        <f t="shared" si="3081"/>
        <v xml:space="preserve"> </v>
      </c>
      <c r="KU200" s="47" t="str">
        <f t="shared" si="3081"/>
        <v xml:space="preserve"> </v>
      </c>
      <c r="KV200" s="47" t="str">
        <f t="shared" si="3081"/>
        <v xml:space="preserve"> </v>
      </c>
      <c r="KW200" s="47" t="str">
        <f t="shared" si="3081"/>
        <v xml:space="preserve"> </v>
      </c>
      <c r="KX200" s="57" t="str">
        <f t="shared" si="3081"/>
        <v xml:space="preserve"> </v>
      </c>
      <c r="KY200" s="47" t="str">
        <f t="shared" si="3081"/>
        <v xml:space="preserve"> </v>
      </c>
      <c r="KZ200" s="47" t="str">
        <f t="shared" si="3081"/>
        <v xml:space="preserve"> </v>
      </c>
      <c r="LA200" s="47" t="str">
        <f t="shared" si="3081"/>
        <v xml:space="preserve"> </v>
      </c>
      <c r="LB200" s="47" t="str">
        <f t="shared" si="3081"/>
        <v xml:space="preserve"> </v>
      </c>
      <c r="LC200" s="47" t="str">
        <f t="shared" si="3081"/>
        <v xml:space="preserve"> </v>
      </c>
      <c r="LD200" s="57" t="str">
        <f t="shared" si="3081"/>
        <v xml:space="preserve"> </v>
      </c>
      <c r="LE200" s="47" t="str">
        <f t="shared" si="3081"/>
        <v xml:space="preserve"> </v>
      </c>
      <c r="LF200" s="47" t="str">
        <f t="shared" si="3081"/>
        <v xml:space="preserve"> </v>
      </c>
      <c r="LG200" s="47" t="str">
        <f t="shared" si="3081"/>
        <v xml:space="preserve"> </v>
      </c>
      <c r="LH200" s="47" t="str">
        <f t="shared" ref="LH200:NM200" si="3082">IF(LH98="",LH201,$C200&amp;"("&amp;LH98&amp;"),"&amp;LH201)</f>
        <v xml:space="preserve"> </v>
      </c>
      <c r="LI200" s="47" t="str">
        <f t="shared" si="3082"/>
        <v xml:space="preserve"> </v>
      </c>
      <c r="LJ200" s="57" t="str">
        <f t="shared" si="3082"/>
        <v xml:space="preserve"> </v>
      </c>
      <c r="LK200" s="47" t="str">
        <f t="shared" si="3082"/>
        <v xml:space="preserve"> </v>
      </c>
      <c r="LL200" s="47" t="str">
        <f t="shared" si="3082"/>
        <v xml:space="preserve"> </v>
      </c>
      <c r="LM200" s="47" t="str">
        <f t="shared" si="3082"/>
        <v xml:space="preserve"> </v>
      </c>
      <c r="LN200" s="47" t="str">
        <f t="shared" si="3082"/>
        <v xml:space="preserve"> </v>
      </c>
      <c r="LO200" s="47" t="str">
        <f t="shared" si="3082"/>
        <v xml:space="preserve"> </v>
      </c>
      <c r="LP200" s="57" t="str">
        <f t="shared" si="3082"/>
        <v xml:space="preserve"> </v>
      </c>
      <c r="LQ200" s="47" t="str">
        <f t="shared" si="3082"/>
        <v xml:space="preserve"> </v>
      </c>
      <c r="LR200" s="47" t="str">
        <f t="shared" si="3082"/>
        <v xml:space="preserve"> </v>
      </c>
      <c r="LS200" s="47" t="str">
        <f t="shared" si="3082"/>
        <v xml:space="preserve"> </v>
      </c>
      <c r="LT200" s="47" t="str">
        <f t="shared" si="3082"/>
        <v xml:space="preserve"> </v>
      </c>
      <c r="LU200" s="47" t="str">
        <f t="shared" si="3082"/>
        <v xml:space="preserve"> </v>
      </c>
      <c r="LV200" s="57" t="str">
        <f t="shared" si="3082"/>
        <v xml:space="preserve"> </v>
      </c>
      <c r="LW200" s="47" t="str">
        <f t="shared" si="3082"/>
        <v xml:space="preserve"> </v>
      </c>
      <c r="LX200" s="47" t="str">
        <f t="shared" si="3082"/>
        <v xml:space="preserve"> </v>
      </c>
      <c r="LY200" s="47" t="str">
        <f t="shared" si="3082"/>
        <v xml:space="preserve"> </v>
      </c>
      <c r="LZ200" s="47" t="str">
        <f t="shared" si="3082"/>
        <v xml:space="preserve"> </v>
      </c>
      <c r="MA200" s="47" t="str">
        <f t="shared" si="3082"/>
        <v xml:space="preserve"> </v>
      </c>
      <c r="MB200" s="57" t="str">
        <f t="shared" si="3082"/>
        <v xml:space="preserve"> </v>
      </c>
      <c r="MC200" s="47" t="str">
        <f t="shared" si="3082"/>
        <v xml:space="preserve"> </v>
      </c>
      <c r="MD200" s="47" t="str">
        <f t="shared" si="3082"/>
        <v xml:space="preserve"> </v>
      </c>
      <c r="ME200" s="47" t="str">
        <f t="shared" si="3082"/>
        <v xml:space="preserve"> </v>
      </c>
      <c r="MF200" s="47" t="str">
        <f t="shared" si="3082"/>
        <v xml:space="preserve"> </v>
      </c>
      <c r="MG200" s="47" t="str">
        <f t="shared" si="3082"/>
        <v xml:space="preserve"> </v>
      </c>
      <c r="MH200" s="57" t="str">
        <f t="shared" si="3082"/>
        <v xml:space="preserve"> </v>
      </c>
      <c r="MI200" s="47" t="str">
        <f t="shared" si="3082"/>
        <v xml:space="preserve"> </v>
      </c>
      <c r="MJ200" s="47" t="str">
        <f t="shared" si="3082"/>
        <v xml:space="preserve"> </v>
      </c>
      <c r="MK200" s="47" t="str">
        <f t="shared" si="3082"/>
        <v xml:space="preserve"> </v>
      </c>
      <c r="ML200" s="47" t="str">
        <f t="shared" si="3082"/>
        <v xml:space="preserve"> </v>
      </c>
      <c r="MM200" s="47" t="str">
        <f t="shared" si="3082"/>
        <v xml:space="preserve"> </v>
      </c>
      <c r="MN200" s="57" t="str">
        <f t="shared" si="3082"/>
        <v xml:space="preserve"> </v>
      </c>
      <c r="MO200" s="47" t="str">
        <f t="shared" si="3082"/>
        <v xml:space="preserve"> </v>
      </c>
      <c r="MP200" s="47" t="str">
        <f t="shared" si="3082"/>
        <v xml:space="preserve"> </v>
      </c>
      <c r="MQ200" s="47" t="str">
        <f t="shared" si="3082"/>
        <v xml:space="preserve"> </v>
      </c>
      <c r="MR200" s="47" t="str">
        <f t="shared" si="3082"/>
        <v xml:space="preserve"> </v>
      </c>
      <c r="MS200" s="47" t="str">
        <f t="shared" si="3082"/>
        <v xml:space="preserve"> </v>
      </c>
      <c r="MT200" s="57" t="str">
        <f t="shared" si="3082"/>
        <v xml:space="preserve"> </v>
      </c>
      <c r="MU200" s="47" t="str">
        <f t="shared" si="3082"/>
        <v xml:space="preserve"> </v>
      </c>
      <c r="MV200" s="47" t="str">
        <f t="shared" si="3082"/>
        <v xml:space="preserve"> </v>
      </c>
      <c r="MW200" s="47" t="str">
        <f t="shared" si="3082"/>
        <v xml:space="preserve"> </v>
      </c>
      <c r="MX200" s="47" t="str">
        <f t="shared" si="3082"/>
        <v xml:space="preserve"> </v>
      </c>
      <c r="MY200" s="47" t="str">
        <f t="shared" si="3082"/>
        <v xml:space="preserve"> </v>
      </c>
      <c r="MZ200" s="57" t="str">
        <f t="shared" si="3082"/>
        <v xml:space="preserve"> </v>
      </c>
      <c r="NA200" s="47" t="str">
        <f t="shared" si="3082"/>
        <v xml:space="preserve"> </v>
      </c>
      <c r="NB200" s="47" t="str">
        <f t="shared" si="3082"/>
        <v xml:space="preserve"> </v>
      </c>
      <c r="NC200" s="47" t="str">
        <f t="shared" si="3082"/>
        <v xml:space="preserve"> </v>
      </c>
      <c r="ND200" s="47" t="str">
        <f t="shared" si="3082"/>
        <v xml:space="preserve"> </v>
      </c>
      <c r="NE200" s="47" t="str">
        <f t="shared" si="3082"/>
        <v xml:space="preserve"> </v>
      </c>
      <c r="NF200" s="57" t="str">
        <f t="shared" si="3082"/>
        <v xml:space="preserve"> </v>
      </c>
      <c r="NG200" s="47" t="str">
        <f t="shared" si="3082"/>
        <v xml:space="preserve"> </v>
      </c>
      <c r="NH200" s="47" t="str">
        <f t="shared" si="3082"/>
        <v xml:space="preserve"> </v>
      </c>
      <c r="NI200" s="47" t="str">
        <f t="shared" si="3082"/>
        <v xml:space="preserve"> </v>
      </c>
      <c r="NJ200" s="47" t="str">
        <f t="shared" si="3082"/>
        <v xml:space="preserve"> </v>
      </c>
      <c r="NK200" s="47" t="str">
        <f t="shared" si="3082"/>
        <v xml:space="preserve"> </v>
      </c>
      <c r="NL200" s="57" t="str">
        <f t="shared" si="3082"/>
        <v xml:space="preserve"> </v>
      </c>
      <c r="NM200" s="47" t="str">
        <f t="shared" si="3082"/>
        <v xml:space="preserve"> </v>
      </c>
    </row>
    <row r="201" spans="2:377" ht="15.75" customHeight="1">
      <c r="C201" s="7" t="str">
        <f t="shared" si="841"/>
        <v>for basic literacy</v>
      </c>
      <c r="D201" s="21" t="str">
        <f t="shared" si="2000"/>
        <v xml:space="preserve"> </v>
      </c>
      <c r="E201" s="21" t="str">
        <f t="shared" si="842"/>
        <v xml:space="preserve"> </v>
      </c>
      <c r="F201" s="21" t="str">
        <f t="shared" si="2000"/>
        <v xml:space="preserve"> </v>
      </c>
      <c r="G201" s="21" t="str">
        <f t="shared" si="843"/>
        <v xml:space="preserve"> </v>
      </c>
      <c r="H201" s="21" t="str">
        <f t="shared" si="844"/>
        <v xml:space="preserve"> </v>
      </c>
      <c r="I201" s="21" t="str">
        <f t="shared" ref="I201" si="3083">IF(I99="",I202,$C201&amp;"("&amp;I99&amp;"),"&amp;I202)</f>
        <v xml:space="preserve"> </v>
      </c>
      <c r="J201" s="21" t="str">
        <f t="shared" ref="J201" si="3084">IF(J99="",J202,$C201&amp;" "&amp;J99&amp;CHAR(10)&amp;J202)</f>
        <v xml:space="preserve"> </v>
      </c>
      <c r="K201" s="21" t="str">
        <f t="shared" si="654"/>
        <v xml:space="preserve"> </v>
      </c>
      <c r="L201" s="21" t="str">
        <f t="shared" ref="L201" si="3085">IF(L99="",L202,$C201&amp;" "&amp;L99&amp;CHAR(10)&amp;L202)</f>
        <v xml:space="preserve"> </v>
      </c>
      <c r="M201" s="21" t="str">
        <f t="shared" si="656"/>
        <v xml:space="preserve"> </v>
      </c>
      <c r="N201" s="21" t="str">
        <f t="shared" si="657"/>
        <v xml:space="preserve"> </v>
      </c>
      <c r="O201" s="21" t="str">
        <f t="shared" si="2004"/>
        <v xml:space="preserve"> </v>
      </c>
      <c r="P201" s="21" t="str">
        <f t="shared" ref="P201" si="3086">IF(P99="",P202,$C201&amp;" "&amp;P99&amp;CHAR(10)&amp;P202)</f>
        <v xml:space="preserve"> </v>
      </c>
      <c r="Q201" s="21" t="str">
        <f t="shared" si="660"/>
        <v xml:space="preserve"> </v>
      </c>
      <c r="R201" s="21" t="str">
        <f t="shared" ref="R201" si="3087">IF(R99="",R202,$C201&amp;" "&amp;R99&amp;CHAR(10)&amp;R202)</f>
        <v xml:space="preserve"> </v>
      </c>
      <c r="S201" s="21" t="str">
        <f t="shared" si="662"/>
        <v xml:space="preserve"> </v>
      </c>
      <c r="T201" s="21" t="str">
        <f t="shared" si="663"/>
        <v xml:space="preserve"> </v>
      </c>
      <c r="U201" s="21" t="str">
        <f t="shared" si="2004"/>
        <v xml:space="preserve"> </v>
      </c>
      <c r="V201" s="21" t="str">
        <f t="shared" ref="V201" si="3088">IF(V99="",V202,$C201&amp;" "&amp;V99&amp;CHAR(10)&amp;V202)</f>
        <v xml:space="preserve"> </v>
      </c>
      <c r="W201" s="21" t="str">
        <f t="shared" si="665"/>
        <v xml:space="preserve"> </v>
      </c>
      <c r="X201" s="21" t="str">
        <f t="shared" ref="X201" si="3089">IF(X99="",X202,$C201&amp;" "&amp;X99&amp;CHAR(10)&amp;X202)</f>
        <v xml:space="preserve"> </v>
      </c>
      <c r="Y201" s="21" t="str">
        <f t="shared" si="667"/>
        <v xml:space="preserve"> </v>
      </c>
      <c r="Z201" s="21" t="str">
        <f t="shared" si="668"/>
        <v xml:space="preserve"> </v>
      </c>
      <c r="AA201" s="21" t="str">
        <f t="shared" si="2004"/>
        <v xml:space="preserve"> </v>
      </c>
      <c r="AB201" s="21" t="str">
        <f t="shared" ref="AB201" si="3090">IF(AB99="",AB202,$C201&amp;" "&amp;AB99&amp;CHAR(10)&amp;AB202)</f>
        <v xml:space="preserve"> </v>
      </c>
      <c r="AC201" s="21" t="str">
        <f t="shared" si="670"/>
        <v xml:space="preserve"> </v>
      </c>
      <c r="AD201" s="21" t="str">
        <f t="shared" ref="AD201" si="3091">IF(AD99="",AD202,$C201&amp;" "&amp;AD99&amp;CHAR(10)&amp;AD202)</f>
        <v xml:space="preserve"> </v>
      </c>
      <c r="AE201" s="21" t="str">
        <f t="shared" si="672"/>
        <v xml:space="preserve"> </v>
      </c>
      <c r="AF201" s="21" t="str">
        <f t="shared" si="673"/>
        <v xml:space="preserve"> </v>
      </c>
      <c r="AG201" s="21" t="str">
        <f t="shared" si="2004"/>
        <v xml:space="preserve"> </v>
      </c>
      <c r="AH201" s="21" t="str">
        <f t="shared" ref="AH201" si="3092">IF(AH99="",AH202,$C201&amp;" "&amp;AH99&amp;CHAR(10)&amp;AH202)</f>
        <v xml:space="preserve"> </v>
      </c>
      <c r="AI201" s="21" t="str">
        <f t="shared" si="675"/>
        <v xml:space="preserve"> </v>
      </c>
      <c r="AJ201" s="21" t="str">
        <f t="shared" ref="AJ201" si="3093">IF(AJ99="",AJ202,$C201&amp;" "&amp;AJ99&amp;CHAR(10)&amp;AJ202)</f>
        <v xml:space="preserve"> </v>
      </c>
      <c r="AK201" s="21" t="str">
        <f t="shared" si="677"/>
        <v xml:space="preserve"> </v>
      </c>
      <c r="AL201" s="21" t="str">
        <f t="shared" si="678"/>
        <v xml:space="preserve"> </v>
      </c>
      <c r="AM201" s="21" t="str">
        <f t="shared" si="2004"/>
        <v xml:space="preserve"> </v>
      </c>
      <c r="AN201" s="21" t="str">
        <f t="shared" ref="AN201" si="3094">IF(AN99="",AN202,$C201&amp;" "&amp;AN99&amp;CHAR(10)&amp;AN202)</f>
        <v xml:space="preserve"> </v>
      </c>
      <c r="AO201" s="21" t="str">
        <f t="shared" si="680"/>
        <v xml:space="preserve"> </v>
      </c>
      <c r="AP201" s="21" t="str">
        <f t="shared" ref="AP201" si="3095">IF(AP99="",AP202,$C201&amp;" "&amp;AP99&amp;CHAR(10)&amp;AP202)</f>
        <v xml:space="preserve"> </v>
      </c>
      <c r="AQ201" s="21" t="str">
        <f t="shared" si="682"/>
        <v xml:space="preserve"> </v>
      </c>
      <c r="AR201" s="21" t="str">
        <f t="shared" si="683"/>
        <v xml:space="preserve"> </v>
      </c>
      <c r="AS201" s="21" t="str">
        <f t="shared" si="2004"/>
        <v xml:space="preserve"> </v>
      </c>
      <c r="AT201" s="21" t="str">
        <f t="shared" ref="AT201" si="3096">IF(AT99="",AT202,$C201&amp;" "&amp;AT99&amp;CHAR(10)&amp;AT202)</f>
        <v xml:space="preserve"> </v>
      </c>
      <c r="AU201" s="21" t="str">
        <f t="shared" si="685"/>
        <v xml:space="preserve"> </v>
      </c>
      <c r="AV201" s="21" t="str">
        <f t="shared" ref="AV201" si="3097">IF(AV99="",AV202,$C201&amp;" "&amp;AV99&amp;CHAR(10)&amp;AV202)</f>
        <v xml:space="preserve"> </v>
      </c>
      <c r="AW201" s="21" t="str">
        <f t="shared" si="687"/>
        <v xml:space="preserve"> </v>
      </c>
      <c r="AX201" s="21" t="str">
        <f t="shared" si="688"/>
        <v xml:space="preserve"> </v>
      </c>
      <c r="AY201" s="21" t="str">
        <f t="shared" si="2004"/>
        <v xml:space="preserve"> </v>
      </c>
      <c r="AZ201" s="21" t="str">
        <f t="shared" ref="AZ201" si="3098">IF(AZ99="",AZ202,$C201&amp;" "&amp;AZ99&amp;CHAR(10)&amp;AZ202)</f>
        <v xml:space="preserve"> </v>
      </c>
      <c r="BA201" s="21" t="str">
        <f t="shared" si="690"/>
        <v xml:space="preserve"> </v>
      </c>
      <c r="BB201" s="21" t="str">
        <f t="shared" ref="BB201" si="3099">IF(BB99="",BB202,$C201&amp;" "&amp;BB99&amp;CHAR(10)&amp;BB202)</f>
        <v xml:space="preserve"> </v>
      </c>
      <c r="BC201" s="21" t="str">
        <f t="shared" si="692"/>
        <v xml:space="preserve"> </v>
      </c>
      <c r="BD201" s="21" t="str">
        <f t="shared" si="693"/>
        <v xml:space="preserve"> </v>
      </c>
      <c r="BE201" s="21" t="str">
        <f t="shared" si="2004"/>
        <v xml:space="preserve"> </v>
      </c>
      <c r="BF201" s="21" t="str">
        <f t="shared" ref="BF201" si="3100">IF(BF99="",BF202,$C201&amp;" "&amp;BF99&amp;CHAR(10)&amp;BF202)</f>
        <v xml:space="preserve"> </v>
      </c>
      <c r="BG201" s="21" t="str">
        <f t="shared" si="695"/>
        <v xml:space="preserve"> </v>
      </c>
      <c r="BH201" s="21" t="str">
        <f t="shared" ref="BH201" si="3101">IF(BH99="",BH202,$C201&amp;" "&amp;BH99&amp;CHAR(10)&amp;BH202)</f>
        <v xml:space="preserve"> </v>
      </c>
      <c r="BI201" s="21" t="str">
        <f t="shared" si="697"/>
        <v xml:space="preserve"> </v>
      </c>
      <c r="BJ201" s="21" t="str">
        <f t="shared" si="698"/>
        <v xml:space="preserve"> </v>
      </c>
      <c r="BK201" s="21" t="str">
        <f t="shared" si="2004"/>
        <v xml:space="preserve"> </v>
      </c>
      <c r="BL201" s="21" t="str">
        <f t="shared" ref="BL201" si="3102">IF(BL99="",BL202,$C201&amp;" "&amp;BL99&amp;CHAR(10)&amp;BL202)</f>
        <v xml:space="preserve"> </v>
      </c>
      <c r="BM201" s="21" t="str">
        <f t="shared" si="700"/>
        <v xml:space="preserve"> </v>
      </c>
      <c r="BN201" s="21" t="str">
        <f t="shared" ref="BN201" si="3103">IF(BN99="",BN202,$C201&amp;" "&amp;BN99&amp;CHAR(10)&amp;BN202)</f>
        <v xml:space="preserve"> </v>
      </c>
      <c r="BO201" s="21" t="str">
        <f t="shared" si="702"/>
        <v xml:space="preserve"> </v>
      </c>
      <c r="BP201" s="21" t="str">
        <f t="shared" si="703"/>
        <v xml:space="preserve"> </v>
      </c>
      <c r="BQ201" s="21" t="str">
        <f t="shared" si="2004"/>
        <v xml:space="preserve"> </v>
      </c>
      <c r="BR201" s="21" t="str">
        <f t="shared" ref="BR201" si="3104">IF(BR99="",BR202,$C201&amp;" "&amp;BR99&amp;CHAR(10)&amp;BR202)</f>
        <v xml:space="preserve"> </v>
      </c>
      <c r="BS201" s="21" t="str">
        <f t="shared" si="705"/>
        <v xml:space="preserve"> </v>
      </c>
      <c r="BT201" s="21" t="str">
        <f t="shared" ref="BT201" si="3105">IF(BT99="",BT202,$C201&amp;" "&amp;BT99&amp;CHAR(10)&amp;BT202)</f>
        <v xml:space="preserve"> </v>
      </c>
      <c r="BU201" s="21" t="str">
        <f t="shared" si="707"/>
        <v xml:space="preserve"> </v>
      </c>
      <c r="BV201" s="21" t="str">
        <f t="shared" si="708"/>
        <v xml:space="preserve"> </v>
      </c>
      <c r="BW201" s="21" t="str">
        <f t="shared" si="2004"/>
        <v xml:space="preserve"> </v>
      </c>
      <c r="BX201" s="21" t="str">
        <f t="shared" ref="BX201" si="3106">IF(BX99="",BX202,$C201&amp;" "&amp;BX99&amp;CHAR(10)&amp;BX202)</f>
        <v xml:space="preserve"> </v>
      </c>
      <c r="BY201" s="21" t="str">
        <f t="shared" si="710"/>
        <v xml:space="preserve"> </v>
      </c>
      <c r="BZ201" s="21" t="str">
        <f t="shared" ref="BZ201" si="3107">IF(BZ99="",BZ202,$C201&amp;" "&amp;BZ99&amp;CHAR(10)&amp;BZ202)</f>
        <v xml:space="preserve"> </v>
      </c>
      <c r="CA201" s="21" t="str">
        <f t="shared" si="712"/>
        <v xml:space="preserve"> </v>
      </c>
      <c r="CB201" s="21" t="str">
        <f t="shared" si="713"/>
        <v xml:space="preserve"> </v>
      </c>
      <c r="CC201" s="21" t="str">
        <f t="shared" si="2027"/>
        <v xml:space="preserve"> </v>
      </c>
      <c r="CD201" s="21" t="str">
        <f t="shared" ref="CD201" si="3108">IF(CD99="",CD202,$C201&amp;" "&amp;CD99&amp;CHAR(10)&amp;CD202)</f>
        <v xml:space="preserve"> </v>
      </c>
      <c r="CE201" s="21" t="str">
        <f t="shared" si="716"/>
        <v xml:space="preserve"> </v>
      </c>
      <c r="CF201" s="21" t="str">
        <f t="shared" ref="CF201" si="3109">IF(CF99="",CF202,$C201&amp;" "&amp;CF99&amp;CHAR(10)&amp;CF202)</f>
        <v xml:space="preserve"> </v>
      </c>
      <c r="CG201" s="21" t="str">
        <f t="shared" si="718"/>
        <v xml:space="preserve">for basic literacy(1), for the elites(1), for entrepreneurs(1),  </v>
      </c>
      <c r="CH201" s="21" t="str">
        <f t="shared" si="719"/>
        <v xml:space="preserve"> </v>
      </c>
      <c r="CI201" s="21" t="str">
        <f t="shared" si="2027"/>
        <v xml:space="preserve"> </v>
      </c>
      <c r="CJ201" s="21" t="str">
        <f t="shared" ref="CJ201" si="3110">IF(CJ99="",CJ202,$C201&amp;" "&amp;CJ99&amp;CHAR(10)&amp;CJ202)</f>
        <v xml:space="preserve"> </v>
      </c>
      <c r="CK201" s="21" t="str">
        <f t="shared" si="721"/>
        <v xml:space="preserve"> </v>
      </c>
      <c r="CL201" s="21" t="str">
        <f t="shared" ref="CL201" si="3111">IF(CL99="",CL202,$C201&amp;" "&amp;CL99&amp;CHAR(10)&amp;CL202)</f>
        <v xml:space="preserve"> </v>
      </c>
      <c r="CM201" s="21" t="str">
        <f t="shared" si="723"/>
        <v xml:space="preserve"> </v>
      </c>
      <c r="CN201" s="21" t="str">
        <f t="shared" si="724"/>
        <v xml:space="preserve"> </v>
      </c>
      <c r="CO201" s="21" t="str">
        <f t="shared" si="2027"/>
        <v xml:space="preserve"> </v>
      </c>
      <c r="CP201" s="21" t="str">
        <f t="shared" ref="CP201" si="3112">IF(CP99="",CP202,$C201&amp;" "&amp;CP99&amp;CHAR(10)&amp;CP202)</f>
        <v xml:space="preserve"> </v>
      </c>
      <c r="CQ201" s="21" t="str">
        <f t="shared" si="726"/>
        <v xml:space="preserve"> </v>
      </c>
      <c r="CR201" s="21" t="str">
        <f t="shared" ref="CR201" si="3113">IF(CR99="",CR202,$C201&amp;" "&amp;CR99&amp;CHAR(10)&amp;CR202)</f>
        <v xml:space="preserve"> </v>
      </c>
      <c r="CS201" s="21" t="str">
        <f t="shared" si="728"/>
        <v xml:space="preserve"> </v>
      </c>
      <c r="CT201" s="21" t="str">
        <f t="shared" si="729"/>
        <v xml:space="preserve"> </v>
      </c>
      <c r="CU201" s="21" t="str">
        <f t="shared" si="2027"/>
        <v xml:space="preserve"> </v>
      </c>
      <c r="CV201" s="21" t="str">
        <f t="shared" ref="CV201" si="3114">IF(CV99="",CV202,$C201&amp;" "&amp;CV99&amp;CHAR(10)&amp;CV202)</f>
        <v xml:space="preserve"> </v>
      </c>
      <c r="CW201" s="21" t="str">
        <f t="shared" si="731"/>
        <v xml:space="preserve"> </v>
      </c>
      <c r="CX201" s="21" t="str">
        <f t="shared" ref="CX201" si="3115">IF(CX99="",CX202,$C201&amp;" "&amp;CX99&amp;CHAR(10)&amp;CX202)</f>
        <v xml:space="preserve"> </v>
      </c>
      <c r="CY201" s="21" t="str">
        <f t="shared" si="733"/>
        <v xml:space="preserve"> </v>
      </c>
      <c r="CZ201" s="21" t="str">
        <f t="shared" si="734"/>
        <v xml:space="preserve"> </v>
      </c>
      <c r="DA201" s="21" t="str">
        <f t="shared" si="2027"/>
        <v xml:space="preserve"> </v>
      </c>
      <c r="DB201" s="21" t="str">
        <f t="shared" ref="DB201" si="3116">IF(DB99="",DB202,$C201&amp;" "&amp;DB99&amp;CHAR(10)&amp;DB202)</f>
        <v xml:space="preserve"> </v>
      </c>
      <c r="DC201" s="21" t="str">
        <f t="shared" si="736"/>
        <v xml:space="preserve"> </v>
      </c>
      <c r="DD201" s="21" t="str">
        <f t="shared" ref="DD201" si="3117">IF(DD99="",DD202,$C201&amp;" "&amp;DD99&amp;CHAR(10)&amp;DD202)</f>
        <v xml:space="preserve"> </v>
      </c>
      <c r="DE201" s="21" t="str">
        <f t="shared" si="738"/>
        <v xml:space="preserve">for entrepreneurs(2),  </v>
      </c>
      <c r="DF201" s="21" t="str">
        <f t="shared" si="739"/>
        <v xml:space="preserve"> </v>
      </c>
      <c r="DG201" s="21" t="str">
        <f t="shared" si="2027"/>
        <v xml:space="preserve"> </v>
      </c>
      <c r="DH201" s="21" t="str">
        <f t="shared" ref="DH201" si="3118">IF(DH99="",DH202,$C201&amp;" "&amp;DH99&amp;CHAR(10)&amp;DH202)</f>
        <v xml:space="preserve"> </v>
      </c>
      <c r="DI201" s="21" t="str">
        <f t="shared" si="741"/>
        <v xml:space="preserve"> </v>
      </c>
      <c r="DJ201" s="21" t="str">
        <f t="shared" ref="DJ201" si="3119">IF(DJ99="",DJ202,$C201&amp;" "&amp;DJ99&amp;CHAR(10)&amp;DJ202)</f>
        <v xml:space="preserve"> </v>
      </c>
      <c r="DK201" s="21" t="str">
        <f t="shared" si="743"/>
        <v xml:space="preserve"> </v>
      </c>
      <c r="DL201" s="21" t="str">
        <f t="shared" si="744"/>
        <v xml:space="preserve"> </v>
      </c>
      <c r="DM201" s="21" t="str">
        <f t="shared" si="2027"/>
        <v xml:space="preserve"> </v>
      </c>
      <c r="DN201" s="21" t="str">
        <f t="shared" ref="DN201" si="3120">IF(DN99="",DN202,$C201&amp;" "&amp;DN99&amp;CHAR(10)&amp;DN202)</f>
        <v xml:space="preserve"> </v>
      </c>
      <c r="DO201" s="21" t="str">
        <f t="shared" si="746"/>
        <v xml:space="preserve"> </v>
      </c>
      <c r="DP201" s="21" t="str">
        <f t="shared" ref="DP201" si="3121">IF(DP99="",DP202,$C201&amp;" "&amp;DP99&amp;CHAR(10)&amp;DP202)</f>
        <v xml:space="preserve"> </v>
      </c>
      <c r="DQ201" s="21" t="str">
        <f t="shared" si="748"/>
        <v xml:space="preserve">for entrepreneurs(1),  </v>
      </c>
      <c r="DR201" s="21" t="str">
        <f t="shared" si="749"/>
        <v xml:space="preserve"> </v>
      </c>
      <c r="DS201" s="21" t="str">
        <f t="shared" si="2027"/>
        <v xml:space="preserve"> </v>
      </c>
      <c r="DT201" s="21" t="str">
        <f t="shared" ref="DT201" si="3122">IF(DT99="",DT202,$C201&amp;" "&amp;DT99&amp;CHAR(10)&amp;DT202)</f>
        <v xml:space="preserve"> </v>
      </c>
      <c r="DU201" s="21" t="str">
        <f t="shared" si="751"/>
        <v xml:space="preserve"> </v>
      </c>
      <c r="DV201" s="21" t="str">
        <f t="shared" ref="DV201" si="3123">IF(DV99="",DV202,$C201&amp;" "&amp;DV99&amp;CHAR(10)&amp;DV202)</f>
        <v xml:space="preserve"> </v>
      </c>
      <c r="DW201" s="21" t="str">
        <f t="shared" si="753"/>
        <v xml:space="preserve">for basic literacy(1),  </v>
      </c>
      <c r="DX201" s="21" t="str">
        <f t="shared" si="754"/>
        <v xml:space="preserve">for basic literacy(1,6.25),  </v>
      </c>
      <c r="DY201" s="21" t="str">
        <f t="shared" si="2027"/>
        <v xml:space="preserve">for basic literacy(6.25), </v>
      </c>
      <c r="DZ201" s="21" t="str">
        <f t="shared" ref="DZ201" si="3124">IF(DZ99="",DZ202,$C201&amp;" "&amp;DZ99&amp;CHAR(10)&amp;DZ202)</f>
        <v xml:space="preserve"> </v>
      </c>
      <c r="EA201" s="21" t="str">
        <f t="shared" si="756"/>
        <v xml:space="preserve"> </v>
      </c>
      <c r="EB201" s="21" t="str">
        <f t="shared" ref="EB201" si="3125">IF(EB99="",EB202,$C201&amp;" "&amp;EB99&amp;CHAR(10)&amp;EB202)</f>
        <v xml:space="preserve"> </v>
      </c>
      <c r="EC201" s="21" t="str">
        <f t="shared" si="758"/>
        <v xml:space="preserve">for basic literacy(1),  </v>
      </c>
      <c r="ED201" s="21" t="str">
        <f t="shared" si="759"/>
        <v xml:space="preserve">for basic literacy(1,6.25),  </v>
      </c>
      <c r="EE201" s="21" t="str">
        <f t="shared" si="2027"/>
        <v xml:space="preserve">for basic literacy(6.25), </v>
      </c>
      <c r="EF201" s="21" t="str">
        <f t="shared" ref="EF201" si="3126">IF(EF99="",EF202,$C201&amp;" "&amp;EF99&amp;CHAR(10)&amp;EF202)</f>
        <v xml:space="preserve"> </v>
      </c>
      <c r="EG201" s="21" t="str">
        <f t="shared" si="761"/>
        <v xml:space="preserve"> </v>
      </c>
      <c r="EH201" s="21" t="str">
        <f t="shared" ref="EH201" si="3127">IF(EH99="",EH202,$C201&amp;" "&amp;EH99&amp;CHAR(10)&amp;EH202)</f>
        <v xml:space="preserve"> </v>
      </c>
      <c r="EI201" s="21" t="str">
        <f t="shared" si="763"/>
        <v xml:space="preserve">for entrepreneurs(1),  </v>
      </c>
      <c r="EJ201" s="21" t="str">
        <f t="shared" si="764"/>
        <v xml:space="preserve">for entrepreneurs(1,6.25),  </v>
      </c>
      <c r="EK201" s="21" t="str">
        <f t="shared" si="2027"/>
        <v xml:space="preserve">for entrepreneurs(6.25), </v>
      </c>
      <c r="EL201" s="21" t="str">
        <f t="shared" ref="EL201" si="3128">IF(EL99="",EL202,$C201&amp;" "&amp;EL99&amp;CHAR(10)&amp;EL202)</f>
        <v xml:space="preserve"> </v>
      </c>
      <c r="EM201" s="21" t="str">
        <f t="shared" si="766"/>
        <v xml:space="preserve"> </v>
      </c>
      <c r="EN201" s="21" t="str">
        <f t="shared" ref="EN201" si="3129">IF(EN99="",EN202,$C201&amp;" "&amp;EN99&amp;CHAR(10)&amp;EN202)</f>
        <v xml:space="preserve"> </v>
      </c>
      <c r="EO201" s="21" t="str">
        <f t="shared" si="768"/>
        <v xml:space="preserve">for entrepreneurs(1),  </v>
      </c>
      <c r="EP201" s="21" t="str">
        <f t="shared" si="769"/>
        <v xml:space="preserve">for entrepreneurs(1,6.25),  </v>
      </c>
      <c r="EQ201" s="21" t="str">
        <f t="shared" si="2050"/>
        <v xml:space="preserve">for entrepreneurs(6.25), </v>
      </c>
      <c r="ER201" s="21" t="str">
        <f t="shared" ref="ER201" si="3130">IF(ER99="",ER202,$C201&amp;" "&amp;ER99&amp;CHAR(10)&amp;ER202)</f>
        <v xml:space="preserve"> </v>
      </c>
      <c r="ES201" s="21" t="str">
        <f t="shared" si="772"/>
        <v xml:space="preserve"> </v>
      </c>
      <c r="ET201" s="21" t="str">
        <f t="shared" ref="ET201" si="3131">IF(ET99="",ET202,$C201&amp;" "&amp;ET99&amp;CHAR(10)&amp;ET202)</f>
        <v xml:space="preserve"> </v>
      </c>
      <c r="EU201" s="21" t="str">
        <f t="shared" si="774"/>
        <v xml:space="preserve">for entrepreneurs(1),  </v>
      </c>
      <c r="EV201" s="21" t="str">
        <f t="shared" si="775"/>
        <v xml:space="preserve">for entrepreneurs(1,6.25),  </v>
      </c>
      <c r="EW201" s="21" t="str">
        <f t="shared" si="2050"/>
        <v xml:space="preserve">for entrepreneurs(6.25), </v>
      </c>
      <c r="EX201" s="21" t="str">
        <f t="shared" ref="EX201" si="3132">IF(EX99="",EX202,$C201&amp;" "&amp;EX99&amp;CHAR(10)&amp;EX202)</f>
        <v xml:space="preserve"> </v>
      </c>
      <c r="EY201" s="21" t="str">
        <f t="shared" si="777"/>
        <v xml:space="preserve"> </v>
      </c>
      <c r="EZ201" s="21" t="str">
        <f t="shared" ref="EZ201" si="3133">IF(EZ99="",EZ202,$C201&amp;" "&amp;EZ99&amp;CHAR(10)&amp;EZ202)</f>
        <v xml:space="preserve"> </v>
      </c>
      <c r="FA201" s="21" t="str">
        <f t="shared" si="779"/>
        <v xml:space="preserve">for entrepreneurs(1),  </v>
      </c>
      <c r="FB201" s="21" t="str">
        <f t="shared" si="780"/>
        <v xml:space="preserve">for entrepreneurs(1,6.25),  </v>
      </c>
      <c r="FC201" s="21" t="str">
        <f t="shared" si="2050"/>
        <v xml:space="preserve">for entrepreneurs(6.25), </v>
      </c>
      <c r="FD201" s="21" t="str">
        <f t="shared" ref="FD201" si="3134">IF(FD99="",FD202,$C201&amp;" "&amp;FD99&amp;CHAR(10)&amp;FD202)</f>
        <v xml:space="preserve"> </v>
      </c>
      <c r="FE201" s="21" t="str">
        <f t="shared" si="782"/>
        <v xml:space="preserve"> </v>
      </c>
      <c r="FF201" s="21" t="str">
        <f t="shared" ref="FF201" si="3135">IF(FF99="",FF202,$C201&amp;" "&amp;FF99&amp;CHAR(10)&amp;FF202)</f>
        <v xml:space="preserve"> </v>
      </c>
      <c r="FG201" s="21" t="str">
        <f t="shared" si="784"/>
        <v xml:space="preserve">for entrepreneurs(1),  </v>
      </c>
      <c r="FH201" s="21" t="str">
        <f t="shared" si="785"/>
        <v xml:space="preserve">for entrepreneurs(1,6.25),  </v>
      </c>
      <c r="FI201" s="21" t="str">
        <f t="shared" si="2050"/>
        <v xml:space="preserve">for entrepreneurs(6.25), </v>
      </c>
      <c r="FJ201" s="21" t="str">
        <f t="shared" ref="FJ201" si="3136">IF(FJ99="",FJ202,$C201&amp;" "&amp;FJ99&amp;CHAR(10)&amp;FJ202)</f>
        <v xml:space="preserve"> </v>
      </c>
      <c r="FK201" s="21" t="str">
        <f t="shared" si="787"/>
        <v xml:space="preserve"> </v>
      </c>
      <c r="FL201" s="21" t="str">
        <f t="shared" ref="FL201" si="3137">IF(FL99="",FL202,$C201&amp;" "&amp;FL99&amp;CHAR(10)&amp;FL202)</f>
        <v xml:space="preserve"> </v>
      </c>
      <c r="FM201" s="21" t="str">
        <f t="shared" si="789"/>
        <v xml:space="preserve">for entrepreneurs(1),  </v>
      </c>
      <c r="FN201" s="21" t="str">
        <f t="shared" si="790"/>
        <v xml:space="preserve">for entrepreneurs(1,6.25),  </v>
      </c>
      <c r="FO201" s="21" t="str">
        <f t="shared" si="2050"/>
        <v xml:space="preserve">for entrepreneurs(6.25), </v>
      </c>
      <c r="FP201" s="21" t="str">
        <f t="shared" ref="FP201" si="3138">IF(FP99="",FP202,$C201&amp;" "&amp;FP99&amp;CHAR(10)&amp;FP202)</f>
        <v xml:space="preserve"> </v>
      </c>
      <c r="FQ201" s="21" t="str">
        <f t="shared" si="792"/>
        <v xml:space="preserve"> </v>
      </c>
      <c r="FR201" s="21" t="str">
        <f t="shared" ref="FR201" si="3139">IF(FR99="",FR202,$C201&amp;" "&amp;FR99&amp;CHAR(10)&amp;FR202)</f>
        <v xml:space="preserve"> </v>
      </c>
      <c r="FS201" s="21" t="str">
        <f t="shared" si="794"/>
        <v xml:space="preserve">for entrepreneurs(1),  </v>
      </c>
      <c r="FT201" s="21" t="str">
        <f t="shared" si="795"/>
        <v xml:space="preserve">for entrepreneurs(1,6.25),  </v>
      </c>
      <c r="FU201" s="21" t="str">
        <f t="shared" si="2050"/>
        <v xml:space="preserve">for entrepreneurs(6.25), </v>
      </c>
      <c r="FV201" s="21" t="str">
        <f t="shared" ref="FV201" si="3140">IF(FV99="",FV202,$C201&amp;" "&amp;FV99&amp;CHAR(10)&amp;FV202)</f>
        <v xml:space="preserve"> </v>
      </c>
      <c r="FW201" s="21" t="str">
        <f t="shared" si="797"/>
        <v xml:space="preserve"> </v>
      </c>
      <c r="FX201" s="21" t="str">
        <f t="shared" ref="FX201" si="3141">IF(FX99="",FX202,$C201&amp;" "&amp;FX99&amp;CHAR(10)&amp;FX202)</f>
        <v xml:space="preserve"> </v>
      </c>
      <c r="FY201" s="21" t="str">
        <f t="shared" si="799"/>
        <v xml:space="preserve">for entrepreneurs(1),  </v>
      </c>
      <c r="FZ201" s="21" t="str">
        <f t="shared" si="800"/>
        <v xml:space="preserve">for entrepreneurs(1,6.25),  </v>
      </c>
      <c r="GA201" s="21" t="str">
        <f t="shared" si="2050"/>
        <v xml:space="preserve">for entrepreneurs(6.25), </v>
      </c>
      <c r="GB201" s="21" t="str">
        <f t="shared" ref="GB201" si="3142">IF(GB99="",GB202,$C201&amp;" "&amp;GB99&amp;CHAR(10)&amp;GB202)</f>
        <v xml:space="preserve"> </v>
      </c>
      <c r="GC201" s="21" t="str">
        <f t="shared" si="802"/>
        <v xml:space="preserve"> </v>
      </c>
      <c r="GD201" s="21" t="str">
        <f t="shared" ref="GD201" si="3143">IF(GD99="",GD202,$C201&amp;" "&amp;GD99&amp;CHAR(10)&amp;GD202)</f>
        <v xml:space="preserve"> </v>
      </c>
      <c r="GE201" s="21" t="str">
        <f t="shared" si="804"/>
        <v xml:space="preserve">for entrepreneurs(1),  </v>
      </c>
      <c r="GF201" s="21" t="str">
        <f t="shared" si="805"/>
        <v xml:space="preserve">for entrepreneurs(1,6.25),  </v>
      </c>
      <c r="GG201" s="21" t="str">
        <f t="shared" si="2050"/>
        <v xml:space="preserve">for entrepreneurs(6.25), </v>
      </c>
      <c r="GH201" s="21" t="str">
        <f t="shared" ref="GH201" si="3144">IF(GH99="",GH202,$C201&amp;" "&amp;GH99&amp;CHAR(10)&amp;GH202)</f>
        <v xml:space="preserve"> </v>
      </c>
      <c r="GI201" s="21" t="str">
        <f t="shared" si="807"/>
        <v xml:space="preserve"> </v>
      </c>
      <c r="GJ201" s="21" t="str">
        <f t="shared" ref="GJ201" si="3145">IF(GJ99="",GJ202,$C201&amp;" "&amp;GJ99&amp;CHAR(10)&amp;GJ202)</f>
        <v xml:space="preserve"> </v>
      </c>
      <c r="GK201" s="21" t="str">
        <f t="shared" si="809"/>
        <v xml:space="preserve">for entrepreneurs(1),  </v>
      </c>
      <c r="GL201" s="21" t="str">
        <f t="shared" si="810"/>
        <v xml:space="preserve">for entrepreneurs(1,6.25),  </v>
      </c>
      <c r="GM201" s="21" t="str">
        <f t="shared" si="2050"/>
        <v xml:space="preserve">for entrepreneurs(6.25), </v>
      </c>
      <c r="GN201" s="21" t="str">
        <f t="shared" ref="GN201" si="3146">IF(GN99="",GN202,$C201&amp;" "&amp;GN99&amp;CHAR(10)&amp;GN202)</f>
        <v xml:space="preserve"> </v>
      </c>
      <c r="GO201" s="21" t="str">
        <f t="shared" si="812"/>
        <v xml:space="preserve"> </v>
      </c>
      <c r="GP201" s="21" t="str">
        <f t="shared" ref="GP201" si="3147">IF(GP99="",GP202,$C201&amp;" "&amp;GP99&amp;CHAR(10)&amp;GP202)</f>
        <v xml:space="preserve"> </v>
      </c>
      <c r="GQ201" s="21" t="str">
        <f t="shared" si="814"/>
        <v xml:space="preserve">for entrepreneurs(1),  </v>
      </c>
      <c r="GR201" s="21" t="str">
        <f t="shared" si="815"/>
        <v xml:space="preserve">for entrepreneurs(1,6.25),  </v>
      </c>
      <c r="GS201" s="21" t="str">
        <f t="shared" si="2050"/>
        <v xml:space="preserve">for entrepreneurs(6.25), </v>
      </c>
      <c r="GT201" s="21" t="str">
        <f t="shared" ref="GT201" si="3148">IF(GT99="",GT202,$C201&amp;" "&amp;GT99&amp;CHAR(10)&amp;GT202)</f>
        <v xml:space="preserve"> </v>
      </c>
      <c r="GU201" s="21" t="str">
        <f t="shared" si="817"/>
        <v xml:space="preserve"> </v>
      </c>
      <c r="GV201" s="21" t="str">
        <f t="shared" ref="GV201" si="3149">IF(GV99="",GV202,$C201&amp;" "&amp;GV99&amp;CHAR(10)&amp;GV202)</f>
        <v xml:space="preserve"> </v>
      </c>
      <c r="GW201" s="21" t="str">
        <f t="shared" si="819"/>
        <v xml:space="preserve"> </v>
      </c>
      <c r="GX201" s="21" t="str">
        <f t="shared" si="820"/>
        <v xml:space="preserve"> </v>
      </c>
      <c r="GY201" s="21" t="str">
        <f t="shared" si="2050"/>
        <v xml:space="preserve"> </v>
      </c>
      <c r="GZ201" s="21" t="str">
        <f t="shared" ref="GZ201" si="3150">IF(GZ99="",GZ202,$C201&amp;" "&amp;GZ99&amp;CHAR(10)&amp;GZ202)</f>
        <v xml:space="preserve"> </v>
      </c>
      <c r="HA201" s="21" t="str">
        <f t="shared" si="822"/>
        <v xml:space="preserve"> </v>
      </c>
      <c r="HB201" s="21" t="str">
        <f t="shared" ref="HB201" si="3151">IF(HB99="",HB202,$C201&amp;" "&amp;HB99&amp;CHAR(10)&amp;HB202)</f>
        <v xml:space="preserve"> </v>
      </c>
      <c r="HC201" s="21" t="str">
        <f t="shared" si="824"/>
        <v xml:space="preserve"> </v>
      </c>
      <c r="HD201" s="21" t="str">
        <f>IF(HD99="",HD202,$C201&amp;"("&amp;HD99&amp;","&amp;HE99&amp;"), "&amp;HD202)</f>
        <v xml:space="preserve">for basic literacy(1,6.25),  </v>
      </c>
      <c r="HE201" s="21" t="str">
        <f>IF(HE99="",HE202,$C201&amp;"("&amp;HE99&amp;"),"&amp;HE202)</f>
        <v xml:space="preserve">for basic literacy(6.25), </v>
      </c>
      <c r="HF201" s="21" t="str">
        <f t="shared" ref="HF201" si="3152">IF(HF99="",HF202,$C201&amp;" "&amp;HF99&amp;CHAR(10)&amp;HF202)</f>
        <v xml:space="preserve"> </v>
      </c>
      <c r="HG201" s="21" t="str">
        <f t="shared" si="828"/>
        <v xml:space="preserve"> </v>
      </c>
      <c r="HH201" s="21" t="str">
        <f t="shared" ref="HH201" si="3153">IF(HH99="",HH202,$C201&amp;" "&amp;HH99&amp;CHAR(10)&amp;HH202)</f>
        <v xml:space="preserve"> </v>
      </c>
      <c r="HI201" s="21" t="str">
        <f t="shared" si="830"/>
        <v xml:space="preserve"> </v>
      </c>
      <c r="HJ201" s="21" t="str">
        <f t="shared" si="831"/>
        <v xml:space="preserve"> </v>
      </c>
      <c r="HK201" s="21" t="str">
        <f t="shared" si="2073"/>
        <v xml:space="preserve"> </v>
      </c>
      <c r="HL201" s="21" t="str">
        <f t="shared" ref="HL201" si="3154">IF(HL99="",HL202,$C201&amp;" "&amp;HL99&amp;CHAR(10)&amp;HL202)</f>
        <v xml:space="preserve"> </v>
      </c>
      <c r="HM201" s="21" t="str">
        <f t="shared" si="833"/>
        <v xml:space="preserve"> </v>
      </c>
      <c r="HN201" s="21" t="str">
        <f t="shared" ref="HN201" si="3155">IF(HN99="",HN202,$C201&amp;" "&amp;HN99&amp;CHAR(10)&amp;HN202)</f>
        <v xml:space="preserve"> </v>
      </c>
      <c r="HO201" s="21" t="str">
        <f t="shared" si="835"/>
        <v xml:space="preserve"> </v>
      </c>
      <c r="HP201" s="21" t="str">
        <f t="shared" si="836"/>
        <v xml:space="preserve"> </v>
      </c>
      <c r="HQ201" s="47" t="str">
        <f t="shared" si="2073"/>
        <v xml:space="preserve"> </v>
      </c>
      <c r="HR201" s="47" t="str">
        <f t="shared" ref="HR201:HW201" si="3156">IF(HR99="",HR202,$C201&amp;"("&amp;HR99&amp;"),"&amp;HR202)</f>
        <v xml:space="preserve"> </v>
      </c>
      <c r="HS201" s="47" t="str">
        <f t="shared" si="3156"/>
        <v xml:space="preserve"> </v>
      </c>
      <c r="HT201" s="47" t="str">
        <f t="shared" si="3156"/>
        <v xml:space="preserve"> </v>
      </c>
      <c r="HU201" s="47" t="str">
        <f t="shared" si="3156"/>
        <v xml:space="preserve"> </v>
      </c>
      <c r="HV201" s="47" t="str">
        <f t="shared" si="3156"/>
        <v xml:space="preserve"> </v>
      </c>
      <c r="HW201" s="47" t="str">
        <f t="shared" si="3156"/>
        <v xml:space="preserve"> </v>
      </c>
      <c r="HX201" s="47" t="str">
        <f t="shared" ref="HX201:IU201" si="3157">IF(HX99="",HX202,$C201&amp;"("&amp;HX99&amp;"),"&amp;HX202)</f>
        <v xml:space="preserve"> </v>
      </c>
      <c r="HY201" s="47" t="str">
        <f t="shared" si="3157"/>
        <v xml:space="preserve"> </v>
      </c>
      <c r="HZ201" s="47" t="str">
        <f t="shared" si="3157"/>
        <v xml:space="preserve"> </v>
      </c>
      <c r="IA201" s="47" t="str">
        <f t="shared" si="3157"/>
        <v xml:space="preserve"> </v>
      </c>
      <c r="IB201" s="47" t="str">
        <f t="shared" si="3157"/>
        <v xml:space="preserve"> </v>
      </c>
      <c r="IC201" s="47" t="str">
        <f t="shared" si="3157"/>
        <v xml:space="preserve"> </v>
      </c>
      <c r="ID201" s="47" t="str">
        <f t="shared" si="3157"/>
        <v xml:space="preserve"> </v>
      </c>
      <c r="IE201" s="47" t="str">
        <f t="shared" si="3157"/>
        <v xml:space="preserve"> </v>
      </c>
      <c r="IF201" s="47" t="str">
        <f t="shared" si="3157"/>
        <v xml:space="preserve"> </v>
      </c>
      <c r="IG201" s="47" t="str">
        <f t="shared" si="3157"/>
        <v xml:space="preserve"> </v>
      </c>
      <c r="IH201" s="47" t="str">
        <f t="shared" si="3157"/>
        <v xml:space="preserve"> </v>
      </c>
      <c r="II201" s="47" t="str">
        <f t="shared" si="3157"/>
        <v xml:space="preserve"> </v>
      </c>
      <c r="IJ201" s="47" t="str">
        <f t="shared" si="3157"/>
        <v xml:space="preserve"> </v>
      </c>
      <c r="IK201" s="47" t="str">
        <f t="shared" si="3157"/>
        <v xml:space="preserve"> </v>
      </c>
      <c r="IL201" s="47" t="str">
        <f t="shared" si="3157"/>
        <v xml:space="preserve"> </v>
      </c>
      <c r="IM201" s="47" t="str">
        <f t="shared" si="3157"/>
        <v xml:space="preserve"> </v>
      </c>
      <c r="IN201" s="47" t="str">
        <f t="shared" si="3157"/>
        <v xml:space="preserve"> </v>
      </c>
      <c r="IO201" s="47" t="str">
        <f t="shared" si="3157"/>
        <v xml:space="preserve"> </v>
      </c>
      <c r="IP201" s="57" t="str">
        <f t="shared" si="3157"/>
        <v xml:space="preserve"> </v>
      </c>
      <c r="IQ201" s="47" t="str">
        <f t="shared" si="3157"/>
        <v xml:space="preserve"> </v>
      </c>
      <c r="IR201" s="47" t="str">
        <f t="shared" si="3157"/>
        <v xml:space="preserve"> </v>
      </c>
      <c r="IS201" s="47" t="str">
        <f t="shared" si="3157"/>
        <v xml:space="preserve"> </v>
      </c>
      <c r="IT201" s="47" t="str">
        <f t="shared" si="3157"/>
        <v xml:space="preserve"> </v>
      </c>
      <c r="IU201" s="47" t="str">
        <f t="shared" si="3157"/>
        <v xml:space="preserve"> </v>
      </c>
      <c r="IV201" s="57" t="str">
        <f t="shared" ref="IV201:LG201" si="3158">IF(IV99="",IV202,$C201&amp;"("&amp;IV99&amp;"),"&amp;IV202)</f>
        <v xml:space="preserve"> </v>
      </c>
      <c r="IW201" s="47" t="str">
        <f t="shared" si="3158"/>
        <v xml:space="preserve"> </v>
      </c>
      <c r="IX201" s="47" t="str">
        <f t="shared" si="3158"/>
        <v xml:space="preserve"> </v>
      </c>
      <c r="IY201" s="47" t="str">
        <f t="shared" si="3158"/>
        <v xml:space="preserve"> </v>
      </c>
      <c r="IZ201" s="47" t="str">
        <f t="shared" si="3158"/>
        <v xml:space="preserve"> </v>
      </c>
      <c r="JA201" s="47" t="str">
        <f t="shared" si="3158"/>
        <v xml:space="preserve"> </v>
      </c>
      <c r="JB201" s="47" t="str">
        <f t="shared" si="3158"/>
        <v xml:space="preserve"> </v>
      </c>
      <c r="JC201" s="47" t="str">
        <f t="shared" si="3158"/>
        <v xml:space="preserve"> </v>
      </c>
      <c r="JD201" s="47" t="str">
        <f t="shared" si="3158"/>
        <v xml:space="preserve"> </v>
      </c>
      <c r="JE201" s="47" t="str">
        <f t="shared" si="3158"/>
        <v xml:space="preserve"> </v>
      </c>
      <c r="JF201" s="47" t="str">
        <f t="shared" si="3158"/>
        <v xml:space="preserve"> </v>
      </c>
      <c r="JG201" s="47" t="str">
        <f t="shared" si="3158"/>
        <v xml:space="preserve"> </v>
      </c>
      <c r="JH201" s="47" t="str">
        <f t="shared" si="3158"/>
        <v xml:space="preserve"> </v>
      </c>
      <c r="JI201" s="47" t="str">
        <f t="shared" si="3158"/>
        <v xml:space="preserve"> </v>
      </c>
      <c r="JJ201" s="47" t="str">
        <f t="shared" si="3158"/>
        <v xml:space="preserve"> </v>
      </c>
      <c r="JK201" s="47" t="str">
        <f t="shared" si="3158"/>
        <v xml:space="preserve">for basic literacy(1),for the elites(1),for entrepreneurs(1), </v>
      </c>
      <c r="JL201" s="47" t="str">
        <f t="shared" si="3158"/>
        <v xml:space="preserve"> </v>
      </c>
      <c r="JM201" s="47" t="str">
        <f t="shared" si="3158"/>
        <v xml:space="preserve"> </v>
      </c>
      <c r="JN201" s="47" t="str">
        <f t="shared" si="3158"/>
        <v xml:space="preserve"> </v>
      </c>
      <c r="JO201" s="47" t="str">
        <f t="shared" si="3158"/>
        <v xml:space="preserve"> </v>
      </c>
      <c r="JP201" s="47" t="str">
        <f t="shared" si="3158"/>
        <v xml:space="preserve"> </v>
      </c>
      <c r="JQ201" s="47" t="str">
        <f t="shared" si="3158"/>
        <v xml:space="preserve">for basic literacy(1),for the elites(1),for entrepreneurs(1), </v>
      </c>
      <c r="JR201" s="47" t="str">
        <f t="shared" si="3158"/>
        <v xml:space="preserve"> </v>
      </c>
      <c r="JS201" s="47" t="str">
        <f t="shared" si="3158"/>
        <v xml:space="preserve"> </v>
      </c>
      <c r="JT201" s="47" t="str">
        <f t="shared" si="3158"/>
        <v xml:space="preserve"> </v>
      </c>
      <c r="JU201" s="47" t="str">
        <f t="shared" si="3158"/>
        <v xml:space="preserve"> </v>
      </c>
      <c r="JV201" s="47" t="str">
        <f t="shared" si="3158"/>
        <v xml:space="preserve"> </v>
      </c>
      <c r="JW201" s="47" t="str">
        <f t="shared" si="3158"/>
        <v xml:space="preserve">for basic literacy(2),for the elites(1),for entrepreneurs(1), </v>
      </c>
      <c r="JX201" s="47" t="str">
        <f t="shared" si="3158"/>
        <v xml:space="preserve"> </v>
      </c>
      <c r="JY201" s="47" t="str">
        <f t="shared" si="3158"/>
        <v xml:space="preserve"> </v>
      </c>
      <c r="JZ201" s="47" t="str">
        <f t="shared" si="3158"/>
        <v xml:space="preserve"> </v>
      </c>
      <c r="KA201" s="47" t="str">
        <f t="shared" si="3158"/>
        <v xml:space="preserve"> </v>
      </c>
      <c r="KB201" s="47" t="str">
        <f t="shared" si="3158"/>
        <v xml:space="preserve"> </v>
      </c>
      <c r="KC201" s="47" t="str">
        <f t="shared" si="3158"/>
        <v xml:space="preserve">for basic literacy(2),for the elites(1),for entrepreneurs(1), </v>
      </c>
      <c r="KD201" s="47" t="str">
        <f t="shared" si="3158"/>
        <v xml:space="preserve"> </v>
      </c>
      <c r="KE201" s="47" t="str">
        <f t="shared" si="3158"/>
        <v xml:space="preserve"> </v>
      </c>
      <c r="KF201" s="47" t="str">
        <f t="shared" si="3158"/>
        <v xml:space="preserve"> </v>
      </c>
      <c r="KG201" s="47" t="str">
        <f t="shared" si="3158"/>
        <v xml:space="preserve"> </v>
      </c>
      <c r="KH201" s="47" t="str">
        <f t="shared" si="3158"/>
        <v xml:space="preserve"> </v>
      </c>
      <c r="KI201" s="47" t="str">
        <f t="shared" si="3158"/>
        <v xml:space="preserve"> </v>
      </c>
      <c r="KJ201" s="47" t="str">
        <f t="shared" si="3158"/>
        <v xml:space="preserve"> </v>
      </c>
      <c r="KK201" s="47" t="str">
        <f t="shared" si="3158"/>
        <v xml:space="preserve"> </v>
      </c>
      <c r="KL201" s="57" t="str">
        <f t="shared" si="3158"/>
        <v xml:space="preserve"> </v>
      </c>
      <c r="KM201" s="47" t="str">
        <f t="shared" si="3158"/>
        <v xml:space="preserve"> </v>
      </c>
      <c r="KN201" s="47" t="str">
        <f t="shared" si="3158"/>
        <v xml:space="preserve"> </v>
      </c>
      <c r="KO201" s="47" t="str">
        <f t="shared" si="3158"/>
        <v xml:space="preserve"> </v>
      </c>
      <c r="KP201" s="47" t="str">
        <f t="shared" si="3158"/>
        <v xml:space="preserve"> </v>
      </c>
      <c r="KQ201" s="47" t="str">
        <f t="shared" si="3158"/>
        <v xml:space="preserve"> </v>
      </c>
      <c r="KR201" s="57" t="str">
        <f t="shared" si="3158"/>
        <v xml:space="preserve"> </v>
      </c>
      <c r="KS201" s="47" t="str">
        <f t="shared" si="3158"/>
        <v xml:space="preserve"> </v>
      </c>
      <c r="KT201" s="47" t="str">
        <f t="shared" si="3158"/>
        <v xml:space="preserve"> </v>
      </c>
      <c r="KU201" s="47" t="str">
        <f t="shared" si="3158"/>
        <v xml:space="preserve"> </v>
      </c>
      <c r="KV201" s="47" t="str">
        <f t="shared" si="3158"/>
        <v xml:space="preserve"> </v>
      </c>
      <c r="KW201" s="47" t="str">
        <f t="shared" si="3158"/>
        <v xml:space="preserve"> </v>
      </c>
      <c r="KX201" s="57" t="str">
        <f t="shared" si="3158"/>
        <v xml:space="preserve"> </v>
      </c>
      <c r="KY201" s="47" t="str">
        <f t="shared" si="3158"/>
        <v xml:space="preserve"> </v>
      </c>
      <c r="KZ201" s="47" t="str">
        <f t="shared" si="3158"/>
        <v xml:space="preserve"> </v>
      </c>
      <c r="LA201" s="47" t="str">
        <f t="shared" si="3158"/>
        <v xml:space="preserve"> </v>
      </c>
      <c r="LB201" s="47" t="str">
        <f t="shared" si="3158"/>
        <v xml:space="preserve"> </v>
      </c>
      <c r="LC201" s="47" t="str">
        <f t="shared" si="3158"/>
        <v xml:space="preserve"> </v>
      </c>
      <c r="LD201" s="57" t="str">
        <f t="shared" si="3158"/>
        <v xml:space="preserve"> </v>
      </c>
      <c r="LE201" s="47" t="str">
        <f t="shared" si="3158"/>
        <v xml:space="preserve"> </v>
      </c>
      <c r="LF201" s="47" t="str">
        <f t="shared" si="3158"/>
        <v xml:space="preserve"> </v>
      </c>
      <c r="LG201" s="47" t="str">
        <f t="shared" si="3158"/>
        <v xml:space="preserve"> </v>
      </c>
      <c r="LH201" s="47" t="str">
        <f t="shared" ref="LH201:NM201" si="3159">IF(LH99="",LH202,$C201&amp;"("&amp;LH99&amp;"),"&amp;LH202)</f>
        <v xml:space="preserve"> </v>
      </c>
      <c r="LI201" s="47" t="str">
        <f t="shared" si="3159"/>
        <v xml:space="preserve"> </v>
      </c>
      <c r="LJ201" s="57" t="str">
        <f t="shared" si="3159"/>
        <v xml:space="preserve"> </v>
      </c>
      <c r="LK201" s="47" t="str">
        <f t="shared" si="3159"/>
        <v xml:space="preserve"> </v>
      </c>
      <c r="LL201" s="47" t="str">
        <f t="shared" si="3159"/>
        <v xml:space="preserve"> </v>
      </c>
      <c r="LM201" s="47" t="str">
        <f t="shared" si="3159"/>
        <v xml:space="preserve"> </v>
      </c>
      <c r="LN201" s="47" t="str">
        <f t="shared" si="3159"/>
        <v xml:space="preserve"> </v>
      </c>
      <c r="LO201" s="47" t="str">
        <f t="shared" si="3159"/>
        <v xml:space="preserve"> </v>
      </c>
      <c r="LP201" s="57" t="str">
        <f t="shared" si="3159"/>
        <v xml:space="preserve"> </v>
      </c>
      <c r="LQ201" s="47" t="str">
        <f t="shared" si="3159"/>
        <v xml:space="preserve"> </v>
      </c>
      <c r="LR201" s="47" t="str">
        <f t="shared" si="3159"/>
        <v xml:space="preserve"> </v>
      </c>
      <c r="LS201" s="47" t="str">
        <f t="shared" si="3159"/>
        <v xml:space="preserve"> </v>
      </c>
      <c r="LT201" s="47" t="str">
        <f t="shared" si="3159"/>
        <v xml:space="preserve"> </v>
      </c>
      <c r="LU201" s="47" t="str">
        <f t="shared" si="3159"/>
        <v xml:space="preserve"> </v>
      </c>
      <c r="LV201" s="57" t="str">
        <f t="shared" si="3159"/>
        <v xml:space="preserve"> </v>
      </c>
      <c r="LW201" s="47" t="str">
        <f t="shared" si="3159"/>
        <v xml:space="preserve"> </v>
      </c>
      <c r="LX201" s="47" t="str">
        <f t="shared" si="3159"/>
        <v xml:space="preserve"> </v>
      </c>
      <c r="LY201" s="47" t="str">
        <f t="shared" si="3159"/>
        <v xml:space="preserve"> </v>
      </c>
      <c r="LZ201" s="47" t="str">
        <f t="shared" si="3159"/>
        <v xml:space="preserve"> </v>
      </c>
      <c r="MA201" s="47" t="str">
        <f t="shared" si="3159"/>
        <v xml:space="preserve"> </v>
      </c>
      <c r="MB201" s="57" t="str">
        <f t="shared" si="3159"/>
        <v xml:space="preserve"> </v>
      </c>
      <c r="MC201" s="47" t="str">
        <f t="shared" si="3159"/>
        <v xml:space="preserve"> </v>
      </c>
      <c r="MD201" s="47" t="str">
        <f t="shared" si="3159"/>
        <v xml:space="preserve"> </v>
      </c>
      <c r="ME201" s="47" t="str">
        <f t="shared" si="3159"/>
        <v xml:space="preserve"> </v>
      </c>
      <c r="MF201" s="47" t="str">
        <f t="shared" si="3159"/>
        <v xml:space="preserve"> </v>
      </c>
      <c r="MG201" s="47" t="str">
        <f t="shared" si="3159"/>
        <v xml:space="preserve"> </v>
      </c>
      <c r="MH201" s="57" t="str">
        <f t="shared" si="3159"/>
        <v xml:space="preserve"> </v>
      </c>
      <c r="MI201" s="47" t="str">
        <f t="shared" si="3159"/>
        <v xml:space="preserve"> </v>
      </c>
      <c r="MJ201" s="47" t="str">
        <f t="shared" si="3159"/>
        <v xml:space="preserve"> </v>
      </c>
      <c r="MK201" s="47" t="str">
        <f t="shared" si="3159"/>
        <v xml:space="preserve"> </v>
      </c>
      <c r="ML201" s="47" t="str">
        <f t="shared" si="3159"/>
        <v xml:space="preserve"> </v>
      </c>
      <c r="MM201" s="47" t="str">
        <f t="shared" si="3159"/>
        <v xml:space="preserve"> </v>
      </c>
      <c r="MN201" s="57" t="str">
        <f t="shared" si="3159"/>
        <v xml:space="preserve"> </v>
      </c>
      <c r="MO201" s="47" t="str">
        <f t="shared" si="3159"/>
        <v xml:space="preserve"> </v>
      </c>
      <c r="MP201" s="47" t="str">
        <f t="shared" si="3159"/>
        <v xml:space="preserve"> </v>
      </c>
      <c r="MQ201" s="47" t="str">
        <f t="shared" si="3159"/>
        <v xml:space="preserve"> </v>
      </c>
      <c r="MR201" s="47" t="str">
        <f t="shared" si="3159"/>
        <v xml:space="preserve"> </v>
      </c>
      <c r="MS201" s="47" t="str">
        <f t="shared" si="3159"/>
        <v xml:space="preserve"> </v>
      </c>
      <c r="MT201" s="57" t="str">
        <f t="shared" si="3159"/>
        <v xml:space="preserve"> </v>
      </c>
      <c r="MU201" s="47" t="str">
        <f t="shared" si="3159"/>
        <v xml:space="preserve"> </v>
      </c>
      <c r="MV201" s="47" t="str">
        <f t="shared" si="3159"/>
        <v xml:space="preserve"> </v>
      </c>
      <c r="MW201" s="47" t="str">
        <f t="shared" si="3159"/>
        <v xml:space="preserve"> </v>
      </c>
      <c r="MX201" s="47" t="str">
        <f t="shared" si="3159"/>
        <v xml:space="preserve"> </v>
      </c>
      <c r="MY201" s="47" t="str">
        <f t="shared" si="3159"/>
        <v xml:space="preserve"> </v>
      </c>
      <c r="MZ201" s="57" t="str">
        <f t="shared" si="3159"/>
        <v xml:space="preserve"> </v>
      </c>
      <c r="NA201" s="47" t="str">
        <f t="shared" si="3159"/>
        <v xml:space="preserve"> </v>
      </c>
      <c r="NB201" s="47" t="str">
        <f t="shared" si="3159"/>
        <v xml:space="preserve"> </v>
      </c>
      <c r="NC201" s="47" t="str">
        <f t="shared" si="3159"/>
        <v xml:space="preserve"> </v>
      </c>
      <c r="ND201" s="47" t="str">
        <f t="shared" si="3159"/>
        <v xml:space="preserve"> </v>
      </c>
      <c r="NE201" s="47" t="str">
        <f t="shared" si="3159"/>
        <v xml:space="preserve"> </v>
      </c>
      <c r="NF201" s="57" t="str">
        <f t="shared" si="3159"/>
        <v xml:space="preserve"> </v>
      </c>
      <c r="NG201" s="47" t="str">
        <f t="shared" si="3159"/>
        <v xml:space="preserve"> </v>
      </c>
      <c r="NH201" s="47" t="str">
        <f t="shared" si="3159"/>
        <v xml:space="preserve"> </v>
      </c>
      <c r="NI201" s="47" t="str">
        <f t="shared" si="3159"/>
        <v xml:space="preserve"> </v>
      </c>
      <c r="NJ201" s="47" t="str">
        <f t="shared" si="3159"/>
        <v xml:space="preserve"> </v>
      </c>
      <c r="NK201" s="47" t="str">
        <f t="shared" si="3159"/>
        <v xml:space="preserve"> </v>
      </c>
      <c r="NL201" s="57" t="str">
        <f t="shared" si="3159"/>
        <v xml:space="preserve"> </v>
      </c>
      <c r="NM201" s="47" t="str">
        <f t="shared" si="3159"/>
        <v xml:space="preserve"> </v>
      </c>
    </row>
    <row r="202" spans="2:377" ht="15.75" customHeight="1">
      <c r="C202" s="7" t="str">
        <f t="shared" si="841"/>
        <v>for the elites</v>
      </c>
      <c r="D202" s="21" t="str">
        <f t="shared" si="2000"/>
        <v xml:space="preserve"> </v>
      </c>
      <c r="E202" s="21" t="str">
        <f t="shared" si="842"/>
        <v xml:space="preserve"> </v>
      </c>
      <c r="F202" s="21" t="str">
        <f t="shared" si="2000"/>
        <v xml:space="preserve"> </v>
      </c>
      <c r="G202" s="21" t="str">
        <f t="shared" si="843"/>
        <v xml:space="preserve"> </v>
      </c>
      <c r="H202" s="21" t="str">
        <f t="shared" si="844"/>
        <v xml:space="preserve"> </v>
      </c>
      <c r="I202" s="21" t="str">
        <f t="shared" ref="I202" si="3160">IF(I100="",I203,$C202&amp;"("&amp;I100&amp;"),"&amp;I203)</f>
        <v xml:space="preserve"> </v>
      </c>
      <c r="J202" s="21" t="str">
        <f t="shared" ref="J202" si="3161">IF(J100="",J203,$C202&amp;" "&amp;J100&amp;CHAR(10)&amp;J203)</f>
        <v xml:space="preserve"> </v>
      </c>
      <c r="K202" s="21" t="str">
        <f t="shared" si="654"/>
        <v xml:space="preserve"> </v>
      </c>
      <c r="L202" s="21" t="str">
        <f t="shared" ref="L202" si="3162">IF(L100="",L203,$C202&amp;" "&amp;L100&amp;CHAR(10)&amp;L203)</f>
        <v xml:space="preserve"> </v>
      </c>
      <c r="M202" s="21" t="str">
        <f t="shared" si="656"/>
        <v xml:space="preserve"> </v>
      </c>
      <c r="N202" s="21" t="str">
        <f t="shared" si="657"/>
        <v xml:space="preserve"> </v>
      </c>
      <c r="O202" s="21" t="str">
        <f t="shared" si="2004"/>
        <v xml:space="preserve"> </v>
      </c>
      <c r="P202" s="21" t="str">
        <f t="shared" ref="P202" si="3163">IF(P100="",P203,$C202&amp;" "&amp;P100&amp;CHAR(10)&amp;P203)</f>
        <v xml:space="preserve"> </v>
      </c>
      <c r="Q202" s="21" t="str">
        <f t="shared" si="660"/>
        <v xml:space="preserve"> </v>
      </c>
      <c r="R202" s="21" t="str">
        <f t="shared" ref="R202" si="3164">IF(R100="",R203,$C202&amp;" "&amp;R100&amp;CHAR(10)&amp;R203)</f>
        <v xml:space="preserve"> </v>
      </c>
      <c r="S202" s="21" t="str">
        <f t="shared" si="662"/>
        <v xml:space="preserve"> </v>
      </c>
      <c r="T202" s="21" t="str">
        <f t="shared" si="663"/>
        <v xml:space="preserve"> </v>
      </c>
      <c r="U202" s="21" t="str">
        <f t="shared" si="2004"/>
        <v xml:space="preserve"> </v>
      </c>
      <c r="V202" s="21" t="str">
        <f t="shared" ref="V202" si="3165">IF(V100="",V203,$C202&amp;" "&amp;V100&amp;CHAR(10)&amp;V203)</f>
        <v xml:space="preserve"> </v>
      </c>
      <c r="W202" s="21" t="str">
        <f t="shared" si="665"/>
        <v xml:space="preserve"> </v>
      </c>
      <c r="X202" s="21" t="str">
        <f t="shared" ref="X202" si="3166">IF(X100="",X203,$C202&amp;" "&amp;X100&amp;CHAR(10)&amp;X203)</f>
        <v xml:space="preserve"> </v>
      </c>
      <c r="Y202" s="21" t="str">
        <f t="shared" si="667"/>
        <v xml:space="preserve"> </v>
      </c>
      <c r="Z202" s="21" t="str">
        <f t="shared" si="668"/>
        <v xml:space="preserve"> </v>
      </c>
      <c r="AA202" s="21" t="str">
        <f t="shared" si="2004"/>
        <v xml:space="preserve"> </v>
      </c>
      <c r="AB202" s="21" t="str">
        <f t="shared" ref="AB202" si="3167">IF(AB100="",AB203,$C202&amp;" "&amp;AB100&amp;CHAR(10)&amp;AB203)</f>
        <v xml:space="preserve"> </v>
      </c>
      <c r="AC202" s="21" t="str">
        <f t="shared" si="670"/>
        <v xml:space="preserve"> </v>
      </c>
      <c r="AD202" s="21" t="str">
        <f t="shared" ref="AD202" si="3168">IF(AD100="",AD203,$C202&amp;" "&amp;AD100&amp;CHAR(10)&amp;AD203)</f>
        <v xml:space="preserve"> </v>
      </c>
      <c r="AE202" s="21" t="str">
        <f t="shared" si="672"/>
        <v xml:space="preserve"> </v>
      </c>
      <c r="AF202" s="21" t="str">
        <f t="shared" si="673"/>
        <v xml:space="preserve"> </v>
      </c>
      <c r="AG202" s="21" t="str">
        <f t="shared" si="2004"/>
        <v xml:space="preserve"> </v>
      </c>
      <c r="AH202" s="21" t="str">
        <f t="shared" ref="AH202" si="3169">IF(AH100="",AH203,$C202&amp;" "&amp;AH100&amp;CHAR(10)&amp;AH203)</f>
        <v xml:space="preserve"> </v>
      </c>
      <c r="AI202" s="21" t="str">
        <f t="shared" si="675"/>
        <v xml:space="preserve"> </v>
      </c>
      <c r="AJ202" s="21" t="str">
        <f t="shared" ref="AJ202" si="3170">IF(AJ100="",AJ203,$C202&amp;" "&amp;AJ100&amp;CHAR(10)&amp;AJ203)</f>
        <v xml:space="preserve"> </v>
      </c>
      <c r="AK202" s="21" t="str">
        <f t="shared" si="677"/>
        <v xml:space="preserve"> </v>
      </c>
      <c r="AL202" s="21" t="str">
        <f t="shared" si="678"/>
        <v xml:space="preserve"> </v>
      </c>
      <c r="AM202" s="21" t="str">
        <f t="shared" si="2004"/>
        <v xml:space="preserve"> </v>
      </c>
      <c r="AN202" s="21" t="str">
        <f t="shared" ref="AN202" si="3171">IF(AN100="",AN203,$C202&amp;" "&amp;AN100&amp;CHAR(10)&amp;AN203)</f>
        <v xml:space="preserve"> </v>
      </c>
      <c r="AO202" s="21" t="str">
        <f t="shared" si="680"/>
        <v xml:space="preserve"> </v>
      </c>
      <c r="AP202" s="21" t="str">
        <f t="shared" ref="AP202" si="3172">IF(AP100="",AP203,$C202&amp;" "&amp;AP100&amp;CHAR(10)&amp;AP203)</f>
        <v xml:space="preserve"> </v>
      </c>
      <c r="AQ202" s="21" t="str">
        <f t="shared" si="682"/>
        <v xml:space="preserve"> </v>
      </c>
      <c r="AR202" s="21" t="str">
        <f t="shared" si="683"/>
        <v xml:space="preserve"> </v>
      </c>
      <c r="AS202" s="21" t="str">
        <f t="shared" si="2004"/>
        <v xml:space="preserve"> </v>
      </c>
      <c r="AT202" s="21" t="str">
        <f t="shared" ref="AT202" si="3173">IF(AT100="",AT203,$C202&amp;" "&amp;AT100&amp;CHAR(10)&amp;AT203)</f>
        <v xml:space="preserve"> </v>
      </c>
      <c r="AU202" s="21" t="str">
        <f t="shared" si="685"/>
        <v xml:space="preserve"> </v>
      </c>
      <c r="AV202" s="21" t="str">
        <f t="shared" ref="AV202" si="3174">IF(AV100="",AV203,$C202&amp;" "&amp;AV100&amp;CHAR(10)&amp;AV203)</f>
        <v xml:space="preserve"> </v>
      </c>
      <c r="AW202" s="21" t="str">
        <f t="shared" si="687"/>
        <v xml:space="preserve"> </v>
      </c>
      <c r="AX202" s="21" t="str">
        <f t="shared" si="688"/>
        <v xml:space="preserve"> </v>
      </c>
      <c r="AY202" s="21" t="str">
        <f t="shared" si="2004"/>
        <v xml:space="preserve"> </v>
      </c>
      <c r="AZ202" s="21" t="str">
        <f t="shared" ref="AZ202" si="3175">IF(AZ100="",AZ203,$C202&amp;" "&amp;AZ100&amp;CHAR(10)&amp;AZ203)</f>
        <v xml:space="preserve"> </v>
      </c>
      <c r="BA202" s="21" t="str">
        <f t="shared" si="690"/>
        <v xml:space="preserve"> </v>
      </c>
      <c r="BB202" s="21" t="str">
        <f t="shared" ref="BB202" si="3176">IF(BB100="",BB203,$C202&amp;" "&amp;BB100&amp;CHAR(10)&amp;BB203)</f>
        <v xml:space="preserve"> </v>
      </c>
      <c r="BC202" s="21" t="str">
        <f t="shared" si="692"/>
        <v xml:space="preserve"> </v>
      </c>
      <c r="BD202" s="21" t="str">
        <f t="shared" si="693"/>
        <v xml:space="preserve"> </v>
      </c>
      <c r="BE202" s="21" t="str">
        <f t="shared" si="2004"/>
        <v xml:space="preserve"> </v>
      </c>
      <c r="BF202" s="21" t="str">
        <f t="shared" ref="BF202" si="3177">IF(BF100="",BF203,$C202&amp;" "&amp;BF100&amp;CHAR(10)&amp;BF203)</f>
        <v xml:space="preserve"> </v>
      </c>
      <c r="BG202" s="21" t="str">
        <f t="shared" si="695"/>
        <v xml:space="preserve"> </v>
      </c>
      <c r="BH202" s="21" t="str">
        <f t="shared" ref="BH202" si="3178">IF(BH100="",BH203,$C202&amp;" "&amp;BH100&amp;CHAR(10)&amp;BH203)</f>
        <v xml:space="preserve"> </v>
      </c>
      <c r="BI202" s="21" t="str">
        <f t="shared" si="697"/>
        <v xml:space="preserve"> </v>
      </c>
      <c r="BJ202" s="21" t="str">
        <f t="shared" si="698"/>
        <v xml:space="preserve"> </v>
      </c>
      <c r="BK202" s="21" t="str">
        <f t="shared" si="2004"/>
        <v xml:space="preserve"> </v>
      </c>
      <c r="BL202" s="21" t="str">
        <f t="shared" ref="BL202" si="3179">IF(BL100="",BL203,$C202&amp;" "&amp;BL100&amp;CHAR(10)&amp;BL203)</f>
        <v xml:space="preserve"> </v>
      </c>
      <c r="BM202" s="21" t="str">
        <f t="shared" si="700"/>
        <v xml:space="preserve"> </v>
      </c>
      <c r="BN202" s="21" t="str">
        <f t="shared" ref="BN202" si="3180">IF(BN100="",BN203,$C202&amp;" "&amp;BN100&amp;CHAR(10)&amp;BN203)</f>
        <v xml:space="preserve"> </v>
      </c>
      <c r="BO202" s="21" t="str">
        <f t="shared" si="702"/>
        <v xml:space="preserve"> </v>
      </c>
      <c r="BP202" s="21" t="str">
        <f t="shared" si="703"/>
        <v xml:space="preserve"> </v>
      </c>
      <c r="BQ202" s="21" t="str">
        <f t="shared" si="2004"/>
        <v xml:space="preserve"> </v>
      </c>
      <c r="BR202" s="21" t="str">
        <f t="shared" ref="BR202" si="3181">IF(BR100="",BR203,$C202&amp;" "&amp;BR100&amp;CHAR(10)&amp;BR203)</f>
        <v xml:space="preserve"> </v>
      </c>
      <c r="BS202" s="21" t="str">
        <f t="shared" si="705"/>
        <v xml:space="preserve"> </v>
      </c>
      <c r="BT202" s="21" t="str">
        <f t="shared" ref="BT202" si="3182">IF(BT100="",BT203,$C202&amp;" "&amp;BT100&amp;CHAR(10)&amp;BT203)</f>
        <v xml:space="preserve"> </v>
      </c>
      <c r="BU202" s="21" t="str">
        <f t="shared" si="707"/>
        <v xml:space="preserve"> </v>
      </c>
      <c r="BV202" s="21" t="str">
        <f t="shared" si="708"/>
        <v xml:space="preserve"> </v>
      </c>
      <c r="BW202" s="21" t="str">
        <f t="shared" si="2004"/>
        <v xml:space="preserve"> </v>
      </c>
      <c r="BX202" s="21" t="str">
        <f t="shared" ref="BX202" si="3183">IF(BX100="",BX203,$C202&amp;" "&amp;BX100&amp;CHAR(10)&amp;BX203)</f>
        <v xml:space="preserve"> </v>
      </c>
      <c r="BY202" s="21" t="str">
        <f t="shared" si="710"/>
        <v xml:space="preserve"> </v>
      </c>
      <c r="BZ202" s="21" t="str">
        <f t="shared" ref="BZ202" si="3184">IF(BZ100="",BZ203,$C202&amp;" "&amp;BZ100&amp;CHAR(10)&amp;BZ203)</f>
        <v xml:space="preserve"> </v>
      </c>
      <c r="CA202" s="21" t="str">
        <f t="shared" si="712"/>
        <v xml:space="preserve"> </v>
      </c>
      <c r="CB202" s="21" t="str">
        <f t="shared" si="713"/>
        <v xml:space="preserve"> </v>
      </c>
      <c r="CC202" s="21" t="str">
        <f t="shared" si="2027"/>
        <v xml:space="preserve"> </v>
      </c>
      <c r="CD202" s="21" t="str">
        <f t="shared" ref="CD202" si="3185">IF(CD100="",CD203,$C202&amp;" "&amp;CD100&amp;CHAR(10)&amp;CD203)</f>
        <v xml:space="preserve"> </v>
      </c>
      <c r="CE202" s="21" t="str">
        <f t="shared" si="716"/>
        <v xml:space="preserve"> </v>
      </c>
      <c r="CF202" s="21" t="str">
        <f t="shared" ref="CF202" si="3186">IF(CF100="",CF203,$C202&amp;" "&amp;CF100&amp;CHAR(10)&amp;CF203)</f>
        <v xml:space="preserve"> </v>
      </c>
      <c r="CG202" s="21" t="str">
        <f t="shared" si="718"/>
        <v xml:space="preserve">for the elites(1), for entrepreneurs(1),  </v>
      </c>
      <c r="CH202" s="21" t="str">
        <f t="shared" si="719"/>
        <v xml:space="preserve"> </v>
      </c>
      <c r="CI202" s="21" t="str">
        <f t="shared" si="2027"/>
        <v xml:space="preserve"> </v>
      </c>
      <c r="CJ202" s="21" t="str">
        <f t="shared" ref="CJ202" si="3187">IF(CJ100="",CJ203,$C202&amp;" "&amp;CJ100&amp;CHAR(10)&amp;CJ203)</f>
        <v xml:space="preserve"> </v>
      </c>
      <c r="CK202" s="21" t="str">
        <f t="shared" si="721"/>
        <v xml:space="preserve"> </v>
      </c>
      <c r="CL202" s="21" t="str">
        <f t="shared" ref="CL202" si="3188">IF(CL100="",CL203,$C202&amp;" "&amp;CL100&amp;CHAR(10)&amp;CL203)</f>
        <v xml:space="preserve"> </v>
      </c>
      <c r="CM202" s="21" t="str">
        <f t="shared" si="723"/>
        <v xml:space="preserve"> </v>
      </c>
      <c r="CN202" s="21" t="str">
        <f t="shared" si="724"/>
        <v xml:space="preserve"> </v>
      </c>
      <c r="CO202" s="21" t="str">
        <f t="shared" si="2027"/>
        <v xml:space="preserve"> </v>
      </c>
      <c r="CP202" s="21" t="str">
        <f t="shared" ref="CP202" si="3189">IF(CP100="",CP203,$C202&amp;" "&amp;CP100&amp;CHAR(10)&amp;CP203)</f>
        <v xml:space="preserve"> </v>
      </c>
      <c r="CQ202" s="21" t="str">
        <f t="shared" si="726"/>
        <v xml:space="preserve"> </v>
      </c>
      <c r="CR202" s="21" t="str">
        <f t="shared" ref="CR202" si="3190">IF(CR100="",CR203,$C202&amp;" "&amp;CR100&amp;CHAR(10)&amp;CR203)</f>
        <v xml:space="preserve"> </v>
      </c>
      <c r="CS202" s="21" t="str">
        <f t="shared" si="728"/>
        <v xml:space="preserve"> </v>
      </c>
      <c r="CT202" s="21" t="str">
        <f t="shared" si="729"/>
        <v xml:space="preserve"> </v>
      </c>
      <c r="CU202" s="21" t="str">
        <f t="shared" si="2027"/>
        <v xml:space="preserve"> </v>
      </c>
      <c r="CV202" s="21" t="str">
        <f t="shared" ref="CV202" si="3191">IF(CV100="",CV203,$C202&amp;" "&amp;CV100&amp;CHAR(10)&amp;CV203)</f>
        <v xml:space="preserve"> </v>
      </c>
      <c r="CW202" s="21" t="str">
        <f t="shared" si="731"/>
        <v xml:space="preserve"> </v>
      </c>
      <c r="CX202" s="21" t="str">
        <f t="shared" ref="CX202" si="3192">IF(CX100="",CX203,$C202&amp;" "&amp;CX100&amp;CHAR(10)&amp;CX203)</f>
        <v xml:space="preserve"> </v>
      </c>
      <c r="CY202" s="21" t="str">
        <f t="shared" si="733"/>
        <v xml:space="preserve"> </v>
      </c>
      <c r="CZ202" s="21" t="str">
        <f t="shared" si="734"/>
        <v xml:space="preserve"> </v>
      </c>
      <c r="DA202" s="21" t="str">
        <f t="shared" si="2027"/>
        <v xml:space="preserve"> </v>
      </c>
      <c r="DB202" s="21" t="str">
        <f t="shared" ref="DB202" si="3193">IF(DB100="",DB203,$C202&amp;" "&amp;DB100&amp;CHAR(10)&amp;DB203)</f>
        <v xml:space="preserve"> </v>
      </c>
      <c r="DC202" s="21" t="str">
        <f t="shared" si="736"/>
        <v xml:space="preserve"> </v>
      </c>
      <c r="DD202" s="21" t="str">
        <f t="shared" ref="DD202" si="3194">IF(DD100="",DD203,$C202&amp;" "&amp;DD100&amp;CHAR(10)&amp;DD203)</f>
        <v xml:space="preserve"> </v>
      </c>
      <c r="DE202" s="21" t="str">
        <f t="shared" si="738"/>
        <v xml:space="preserve">for entrepreneurs(2),  </v>
      </c>
      <c r="DF202" s="21" t="str">
        <f t="shared" si="739"/>
        <v xml:space="preserve"> </v>
      </c>
      <c r="DG202" s="21" t="str">
        <f t="shared" si="2027"/>
        <v xml:space="preserve"> </v>
      </c>
      <c r="DH202" s="21" t="str">
        <f t="shared" ref="DH202" si="3195">IF(DH100="",DH203,$C202&amp;" "&amp;DH100&amp;CHAR(10)&amp;DH203)</f>
        <v xml:space="preserve"> </v>
      </c>
      <c r="DI202" s="21" t="str">
        <f t="shared" si="741"/>
        <v xml:space="preserve"> </v>
      </c>
      <c r="DJ202" s="21" t="str">
        <f t="shared" ref="DJ202" si="3196">IF(DJ100="",DJ203,$C202&amp;" "&amp;DJ100&amp;CHAR(10)&amp;DJ203)</f>
        <v xml:space="preserve"> </v>
      </c>
      <c r="DK202" s="21" t="str">
        <f t="shared" si="743"/>
        <v xml:space="preserve"> </v>
      </c>
      <c r="DL202" s="21" t="str">
        <f t="shared" si="744"/>
        <v xml:space="preserve"> </v>
      </c>
      <c r="DM202" s="21" t="str">
        <f t="shared" si="2027"/>
        <v xml:space="preserve"> </v>
      </c>
      <c r="DN202" s="21" t="str">
        <f t="shared" ref="DN202" si="3197">IF(DN100="",DN203,$C202&amp;" "&amp;DN100&amp;CHAR(10)&amp;DN203)</f>
        <v xml:space="preserve"> </v>
      </c>
      <c r="DO202" s="21" t="str">
        <f t="shared" si="746"/>
        <v xml:space="preserve"> </v>
      </c>
      <c r="DP202" s="21" t="str">
        <f t="shared" ref="DP202" si="3198">IF(DP100="",DP203,$C202&amp;" "&amp;DP100&amp;CHAR(10)&amp;DP203)</f>
        <v xml:space="preserve"> </v>
      </c>
      <c r="DQ202" s="21" t="str">
        <f t="shared" si="748"/>
        <v xml:space="preserve">for entrepreneurs(1),  </v>
      </c>
      <c r="DR202" s="21" t="str">
        <f t="shared" si="749"/>
        <v xml:space="preserve"> </v>
      </c>
      <c r="DS202" s="21" t="str">
        <f t="shared" si="2027"/>
        <v xml:space="preserve"> </v>
      </c>
      <c r="DT202" s="21" t="str">
        <f t="shared" ref="DT202" si="3199">IF(DT100="",DT203,$C202&amp;" "&amp;DT100&amp;CHAR(10)&amp;DT203)</f>
        <v xml:space="preserve"> </v>
      </c>
      <c r="DU202" s="21" t="str">
        <f t="shared" si="751"/>
        <v xml:space="preserve"> </v>
      </c>
      <c r="DV202" s="21" t="str">
        <f t="shared" ref="DV202" si="3200">IF(DV100="",DV203,$C202&amp;" "&amp;DV100&amp;CHAR(10)&amp;DV203)</f>
        <v xml:space="preserve"> </v>
      </c>
      <c r="DW202" s="21" t="str">
        <f t="shared" si="753"/>
        <v xml:space="preserve"> </v>
      </c>
      <c r="DX202" s="21" t="str">
        <f t="shared" si="754"/>
        <v xml:space="preserve"> </v>
      </c>
      <c r="DY202" s="21" t="str">
        <f t="shared" si="2027"/>
        <v xml:space="preserve"> </v>
      </c>
      <c r="DZ202" s="21" t="str">
        <f t="shared" ref="DZ202" si="3201">IF(DZ100="",DZ203,$C202&amp;" "&amp;DZ100&amp;CHAR(10)&amp;DZ203)</f>
        <v xml:space="preserve"> </v>
      </c>
      <c r="EA202" s="21" t="str">
        <f t="shared" si="756"/>
        <v xml:space="preserve"> </v>
      </c>
      <c r="EB202" s="21" t="str">
        <f t="shared" ref="EB202" si="3202">IF(EB100="",EB203,$C202&amp;" "&amp;EB100&amp;CHAR(10)&amp;EB203)</f>
        <v xml:space="preserve"> </v>
      </c>
      <c r="EC202" s="21" t="str">
        <f t="shared" si="758"/>
        <v xml:space="preserve"> </v>
      </c>
      <c r="ED202" s="21" t="str">
        <f t="shared" si="759"/>
        <v xml:space="preserve"> </v>
      </c>
      <c r="EE202" s="21" t="str">
        <f t="shared" si="2027"/>
        <v xml:space="preserve"> </v>
      </c>
      <c r="EF202" s="21" t="str">
        <f t="shared" ref="EF202" si="3203">IF(EF100="",EF203,$C202&amp;" "&amp;EF100&amp;CHAR(10)&amp;EF203)</f>
        <v xml:space="preserve"> </v>
      </c>
      <c r="EG202" s="21" t="str">
        <f t="shared" si="761"/>
        <v xml:space="preserve"> </v>
      </c>
      <c r="EH202" s="21" t="str">
        <f t="shared" ref="EH202" si="3204">IF(EH100="",EH203,$C202&amp;" "&amp;EH100&amp;CHAR(10)&amp;EH203)</f>
        <v xml:space="preserve"> </v>
      </c>
      <c r="EI202" s="21" t="str">
        <f t="shared" si="763"/>
        <v xml:space="preserve">for entrepreneurs(1),  </v>
      </c>
      <c r="EJ202" s="21" t="str">
        <f t="shared" si="764"/>
        <v xml:space="preserve">for entrepreneurs(1,6.25),  </v>
      </c>
      <c r="EK202" s="21" t="str">
        <f t="shared" si="2027"/>
        <v xml:space="preserve">for entrepreneurs(6.25), </v>
      </c>
      <c r="EL202" s="21" t="str">
        <f t="shared" ref="EL202" si="3205">IF(EL100="",EL203,$C202&amp;" "&amp;EL100&amp;CHAR(10)&amp;EL203)</f>
        <v xml:space="preserve"> </v>
      </c>
      <c r="EM202" s="21" t="str">
        <f t="shared" si="766"/>
        <v xml:space="preserve"> </v>
      </c>
      <c r="EN202" s="21" t="str">
        <f t="shared" ref="EN202" si="3206">IF(EN100="",EN203,$C202&amp;" "&amp;EN100&amp;CHAR(10)&amp;EN203)</f>
        <v xml:space="preserve"> </v>
      </c>
      <c r="EO202" s="21" t="str">
        <f t="shared" si="768"/>
        <v xml:space="preserve">for entrepreneurs(1),  </v>
      </c>
      <c r="EP202" s="21" t="str">
        <f t="shared" si="769"/>
        <v xml:space="preserve">for entrepreneurs(1,6.25),  </v>
      </c>
      <c r="EQ202" s="21" t="str">
        <f t="shared" si="2050"/>
        <v xml:space="preserve">for entrepreneurs(6.25), </v>
      </c>
      <c r="ER202" s="21" t="str">
        <f t="shared" ref="ER202" si="3207">IF(ER100="",ER203,$C202&amp;" "&amp;ER100&amp;CHAR(10)&amp;ER203)</f>
        <v xml:space="preserve"> </v>
      </c>
      <c r="ES202" s="21" t="str">
        <f t="shared" si="772"/>
        <v xml:space="preserve"> </v>
      </c>
      <c r="ET202" s="21" t="str">
        <f t="shared" ref="ET202" si="3208">IF(ET100="",ET203,$C202&amp;" "&amp;ET100&amp;CHAR(10)&amp;ET203)</f>
        <v xml:space="preserve"> </v>
      </c>
      <c r="EU202" s="21" t="str">
        <f t="shared" si="774"/>
        <v xml:space="preserve">for entrepreneurs(1),  </v>
      </c>
      <c r="EV202" s="21" t="str">
        <f t="shared" si="775"/>
        <v xml:space="preserve">for entrepreneurs(1,6.25),  </v>
      </c>
      <c r="EW202" s="21" t="str">
        <f t="shared" si="2050"/>
        <v xml:space="preserve">for entrepreneurs(6.25), </v>
      </c>
      <c r="EX202" s="21" t="str">
        <f t="shared" ref="EX202" si="3209">IF(EX100="",EX203,$C202&amp;" "&amp;EX100&amp;CHAR(10)&amp;EX203)</f>
        <v xml:space="preserve"> </v>
      </c>
      <c r="EY202" s="21" t="str">
        <f t="shared" si="777"/>
        <v xml:space="preserve"> </v>
      </c>
      <c r="EZ202" s="21" t="str">
        <f t="shared" ref="EZ202" si="3210">IF(EZ100="",EZ203,$C202&amp;" "&amp;EZ100&amp;CHAR(10)&amp;EZ203)</f>
        <v xml:space="preserve"> </v>
      </c>
      <c r="FA202" s="21" t="str">
        <f t="shared" si="779"/>
        <v xml:space="preserve">for entrepreneurs(1),  </v>
      </c>
      <c r="FB202" s="21" t="str">
        <f t="shared" si="780"/>
        <v xml:space="preserve">for entrepreneurs(1,6.25),  </v>
      </c>
      <c r="FC202" s="21" t="str">
        <f t="shared" si="2050"/>
        <v xml:space="preserve">for entrepreneurs(6.25), </v>
      </c>
      <c r="FD202" s="21" t="str">
        <f t="shared" ref="FD202" si="3211">IF(FD100="",FD203,$C202&amp;" "&amp;FD100&amp;CHAR(10)&amp;FD203)</f>
        <v xml:space="preserve"> </v>
      </c>
      <c r="FE202" s="21" t="str">
        <f t="shared" si="782"/>
        <v xml:space="preserve"> </v>
      </c>
      <c r="FF202" s="21" t="str">
        <f t="shared" ref="FF202" si="3212">IF(FF100="",FF203,$C202&amp;" "&amp;FF100&amp;CHAR(10)&amp;FF203)</f>
        <v xml:space="preserve"> </v>
      </c>
      <c r="FG202" s="21" t="str">
        <f t="shared" si="784"/>
        <v xml:space="preserve">for entrepreneurs(1),  </v>
      </c>
      <c r="FH202" s="21" t="str">
        <f t="shared" si="785"/>
        <v xml:space="preserve">for entrepreneurs(1,6.25),  </v>
      </c>
      <c r="FI202" s="21" t="str">
        <f t="shared" si="2050"/>
        <v xml:space="preserve">for entrepreneurs(6.25), </v>
      </c>
      <c r="FJ202" s="21" t="str">
        <f t="shared" ref="FJ202" si="3213">IF(FJ100="",FJ203,$C202&amp;" "&amp;FJ100&amp;CHAR(10)&amp;FJ203)</f>
        <v xml:space="preserve"> </v>
      </c>
      <c r="FK202" s="21" t="str">
        <f t="shared" si="787"/>
        <v xml:space="preserve"> </v>
      </c>
      <c r="FL202" s="21" t="str">
        <f t="shared" ref="FL202" si="3214">IF(FL100="",FL203,$C202&amp;" "&amp;FL100&amp;CHAR(10)&amp;FL203)</f>
        <v xml:space="preserve"> </v>
      </c>
      <c r="FM202" s="21" t="str">
        <f t="shared" si="789"/>
        <v xml:space="preserve">for entrepreneurs(1),  </v>
      </c>
      <c r="FN202" s="21" t="str">
        <f t="shared" si="790"/>
        <v xml:space="preserve">for entrepreneurs(1,6.25),  </v>
      </c>
      <c r="FO202" s="21" t="str">
        <f t="shared" si="2050"/>
        <v xml:space="preserve">for entrepreneurs(6.25), </v>
      </c>
      <c r="FP202" s="21" t="str">
        <f t="shared" ref="FP202" si="3215">IF(FP100="",FP203,$C202&amp;" "&amp;FP100&amp;CHAR(10)&amp;FP203)</f>
        <v xml:space="preserve"> </v>
      </c>
      <c r="FQ202" s="21" t="str">
        <f t="shared" si="792"/>
        <v xml:space="preserve"> </v>
      </c>
      <c r="FR202" s="21" t="str">
        <f t="shared" ref="FR202" si="3216">IF(FR100="",FR203,$C202&amp;" "&amp;FR100&amp;CHAR(10)&amp;FR203)</f>
        <v xml:space="preserve"> </v>
      </c>
      <c r="FS202" s="21" t="str">
        <f t="shared" si="794"/>
        <v xml:space="preserve">for entrepreneurs(1),  </v>
      </c>
      <c r="FT202" s="21" t="str">
        <f t="shared" si="795"/>
        <v xml:space="preserve">for entrepreneurs(1,6.25),  </v>
      </c>
      <c r="FU202" s="21" t="str">
        <f t="shared" si="2050"/>
        <v xml:space="preserve">for entrepreneurs(6.25), </v>
      </c>
      <c r="FV202" s="21" t="str">
        <f t="shared" ref="FV202" si="3217">IF(FV100="",FV203,$C202&amp;" "&amp;FV100&amp;CHAR(10)&amp;FV203)</f>
        <v xml:space="preserve"> </v>
      </c>
      <c r="FW202" s="21" t="str">
        <f t="shared" si="797"/>
        <v xml:space="preserve"> </v>
      </c>
      <c r="FX202" s="21" t="str">
        <f t="shared" ref="FX202" si="3218">IF(FX100="",FX203,$C202&amp;" "&amp;FX100&amp;CHAR(10)&amp;FX203)</f>
        <v xml:space="preserve"> </v>
      </c>
      <c r="FY202" s="21" t="str">
        <f t="shared" si="799"/>
        <v xml:space="preserve">for entrepreneurs(1),  </v>
      </c>
      <c r="FZ202" s="21" t="str">
        <f t="shared" si="800"/>
        <v xml:space="preserve">for entrepreneurs(1,6.25),  </v>
      </c>
      <c r="GA202" s="21" t="str">
        <f t="shared" si="2050"/>
        <v xml:space="preserve">for entrepreneurs(6.25), </v>
      </c>
      <c r="GB202" s="21" t="str">
        <f t="shared" ref="GB202" si="3219">IF(GB100="",GB203,$C202&amp;" "&amp;GB100&amp;CHAR(10)&amp;GB203)</f>
        <v xml:space="preserve"> </v>
      </c>
      <c r="GC202" s="21" t="str">
        <f t="shared" si="802"/>
        <v xml:space="preserve"> </v>
      </c>
      <c r="GD202" s="21" t="str">
        <f t="shared" ref="GD202" si="3220">IF(GD100="",GD203,$C202&amp;" "&amp;GD100&amp;CHAR(10)&amp;GD203)</f>
        <v xml:space="preserve"> </v>
      </c>
      <c r="GE202" s="21" t="str">
        <f t="shared" si="804"/>
        <v xml:space="preserve">for entrepreneurs(1),  </v>
      </c>
      <c r="GF202" s="21" t="str">
        <f t="shared" si="805"/>
        <v xml:space="preserve">for entrepreneurs(1,6.25),  </v>
      </c>
      <c r="GG202" s="21" t="str">
        <f t="shared" si="2050"/>
        <v xml:space="preserve">for entrepreneurs(6.25), </v>
      </c>
      <c r="GH202" s="21" t="str">
        <f t="shared" ref="GH202" si="3221">IF(GH100="",GH203,$C202&amp;" "&amp;GH100&amp;CHAR(10)&amp;GH203)</f>
        <v xml:space="preserve"> </v>
      </c>
      <c r="GI202" s="21" t="str">
        <f t="shared" si="807"/>
        <v xml:space="preserve"> </v>
      </c>
      <c r="GJ202" s="21" t="str">
        <f t="shared" ref="GJ202" si="3222">IF(GJ100="",GJ203,$C202&amp;" "&amp;GJ100&amp;CHAR(10)&amp;GJ203)</f>
        <v xml:space="preserve"> </v>
      </c>
      <c r="GK202" s="21" t="str">
        <f t="shared" si="809"/>
        <v xml:space="preserve">for entrepreneurs(1),  </v>
      </c>
      <c r="GL202" s="21" t="str">
        <f t="shared" si="810"/>
        <v xml:space="preserve">for entrepreneurs(1,6.25),  </v>
      </c>
      <c r="GM202" s="21" t="str">
        <f t="shared" si="2050"/>
        <v xml:space="preserve">for entrepreneurs(6.25), </v>
      </c>
      <c r="GN202" s="21" t="str">
        <f t="shared" ref="GN202" si="3223">IF(GN100="",GN203,$C202&amp;" "&amp;GN100&amp;CHAR(10)&amp;GN203)</f>
        <v xml:space="preserve"> </v>
      </c>
      <c r="GO202" s="21" t="str">
        <f t="shared" si="812"/>
        <v xml:space="preserve"> </v>
      </c>
      <c r="GP202" s="21" t="str">
        <f t="shared" ref="GP202" si="3224">IF(GP100="",GP203,$C202&amp;" "&amp;GP100&amp;CHAR(10)&amp;GP203)</f>
        <v xml:space="preserve"> </v>
      </c>
      <c r="GQ202" s="21" t="str">
        <f t="shared" si="814"/>
        <v xml:space="preserve">for entrepreneurs(1),  </v>
      </c>
      <c r="GR202" s="21" t="str">
        <f t="shared" si="815"/>
        <v xml:space="preserve">for entrepreneurs(1,6.25),  </v>
      </c>
      <c r="GS202" s="21" t="str">
        <f t="shared" si="2050"/>
        <v xml:space="preserve">for entrepreneurs(6.25), </v>
      </c>
      <c r="GT202" s="21" t="str">
        <f t="shared" ref="GT202" si="3225">IF(GT100="",GT203,$C202&amp;" "&amp;GT100&amp;CHAR(10)&amp;GT203)</f>
        <v xml:space="preserve"> </v>
      </c>
      <c r="GU202" s="21" t="str">
        <f t="shared" si="817"/>
        <v xml:space="preserve"> </v>
      </c>
      <c r="GV202" s="21" t="str">
        <f t="shared" ref="GV202" si="3226">IF(GV100="",GV203,$C202&amp;" "&amp;GV100&amp;CHAR(10)&amp;GV203)</f>
        <v xml:space="preserve"> </v>
      </c>
      <c r="GW202" s="21" t="str">
        <f t="shared" si="819"/>
        <v xml:space="preserve"> </v>
      </c>
      <c r="GX202" s="21" t="str">
        <f t="shared" si="820"/>
        <v xml:space="preserve"> </v>
      </c>
      <c r="GY202" s="21" t="str">
        <f t="shared" si="2050"/>
        <v xml:space="preserve"> </v>
      </c>
      <c r="GZ202" s="21" t="str">
        <f t="shared" ref="GZ202" si="3227">IF(GZ100="",GZ203,$C202&amp;" "&amp;GZ100&amp;CHAR(10)&amp;GZ203)</f>
        <v xml:space="preserve"> </v>
      </c>
      <c r="HA202" s="21" t="str">
        <f t="shared" si="822"/>
        <v xml:space="preserve"> </v>
      </c>
      <c r="HB202" s="21" t="str">
        <f t="shared" ref="HB202" si="3228">IF(HB100="",HB203,$C202&amp;" "&amp;HB100&amp;CHAR(10)&amp;HB203)</f>
        <v xml:space="preserve"> </v>
      </c>
      <c r="HC202" s="21" t="str">
        <f t="shared" si="824"/>
        <v xml:space="preserve"> </v>
      </c>
      <c r="HD202" s="21" t="str">
        <f>IF(HD100="",HD203,$C202&amp;"("&amp;HD100&amp;","&amp;HE100&amp;"), "&amp;HD203)</f>
        <v xml:space="preserve"> </v>
      </c>
      <c r="HE202" s="21" t="str">
        <f>IF(HE100="",HE203,$C202&amp;"("&amp;HE100&amp;"),"&amp;HE203)</f>
        <v xml:space="preserve"> </v>
      </c>
      <c r="HF202" s="21" t="str">
        <f t="shared" ref="HF202" si="3229">IF(HF100="",HF203,$C202&amp;" "&amp;HF100&amp;CHAR(10)&amp;HF203)</f>
        <v xml:space="preserve"> </v>
      </c>
      <c r="HG202" s="21" t="str">
        <f t="shared" si="828"/>
        <v xml:space="preserve"> </v>
      </c>
      <c r="HH202" s="21" t="str">
        <f t="shared" ref="HH202" si="3230">IF(HH100="",HH203,$C202&amp;" "&amp;HH100&amp;CHAR(10)&amp;HH203)</f>
        <v xml:space="preserve"> </v>
      </c>
      <c r="HI202" s="21" t="str">
        <f t="shared" si="830"/>
        <v xml:space="preserve"> </v>
      </c>
      <c r="HJ202" s="21" t="str">
        <f t="shared" si="831"/>
        <v xml:space="preserve"> </v>
      </c>
      <c r="HK202" s="21" t="str">
        <f t="shared" si="2073"/>
        <v xml:space="preserve"> </v>
      </c>
      <c r="HL202" s="21" t="str">
        <f t="shared" ref="HL202" si="3231">IF(HL100="",HL203,$C202&amp;" "&amp;HL100&amp;CHAR(10)&amp;HL203)</f>
        <v xml:space="preserve"> </v>
      </c>
      <c r="HM202" s="21" t="str">
        <f t="shared" si="833"/>
        <v xml:space="preserve"> </v>
      </c>
      <c r="HN202" s="21" t="str">
        <f t="shared" ref="HN202" si="3232">IF(HN100="",HN203,$C202&amp;" "&amp;HN100&amp;CHAR(10)&amp;HN203)</f>
        <v xml:space="preserve"> </v>
      </c>
      <c r="HO202" s="21" t="str">
        <f t="shared" si="835"/>
        <v xml:space="preserve"> </v>
      </c>
      <c r="HP202" s="21" t="str">
        <f t="shared" si="836"/>
        <v xml:space="preserve"> </v>
      </c>
      <c r="HQ202" s="47" t="str">
        <f t="shared" si="2073"/>
        <v xml:space="preserve"> </v>
      </c>
      <c r="HR202" s="47" t="str">
        <f t="shared" ref="HR202:HW202" si="3233">IF(HR100="",HR203,$C202&amp;"("&amp;HR100&amp;"),"&amp;HR203)</f>
        <v xml:space="preserve"> </v>
      </c>
      <c r="HS202" s="47" t="str">
        <f t="shared" si="3233"/>
        <v xml:space="preserve"> </v>
      </c>
      <c r="HT202" s="47" t="str">
        <f t="shared" si="3233"/>
        <v xml:space="preserve"> </v>
      </c>
      <c r="HU202" s="47" t="str">
        <f t="shared" si="3233"/>
        <v xml:space="preserve"> </v>
      </c>
      <c r="HV202" s="47" t="str">
        <f t="shared" si="3233"/>
        <v xml:space="preserve"> </v>
      </c>
      <c r="HW202" s="47" t="str">
        <f t="shared" si="3233"/>
        <v xml:space="preserve"> </v>
      </c>
      <c r="HX202" s="47" t="str">
        <f t="shared" ref="HX202:IU202" si="3234">IF(HX100="",HX203,$C202&amp;"("&amp;HX100&amp;"),"&amp;HX203)</f>
        <v xml:space="preserve"> </v>
      </c>
      <c r="HY202" s="47" t="str">
        <f t="shared" si="3234"/>
        <v xml:space="preserve"> </v>
      </c>
      <c r="HZ202" s="47" t="str">
        <f t="shared" si="3234"/>
        <v xml:space="preserve"> </v>
      </c>
      <c r="IA202" s="47" t="str">
        <f t="shared" si="3234"/>
        <v xml:space="preserve"> </v>
      </c>
      <c r="IB202" s="47" t="str">
        <f t="shared" si="3234"/>
        <v xml:space="preserve"> </v>
      </c>
      <c r="IC202" s="47" t="str">
        <f t="shared" si="3234"/>
        <v xml:space="preserve"> </v>
      </c>
      <c r="ID202" s="47" t="str">
        <f t="shared" si="3234"/>
        <v xml:space="preserve"> </v>
      </c>
      <c r="IE202" s="47" t="str">
        <f t="shared" si="3234"/>
        <v xml:space="preserve"> </v>
      </c>
      <c r="IF202" s="47" t="str">
        <f t="shared" si="3234"/>
        <v xml:space="preserve"> </v>
      </c>
      <c r="IG202" s="47" t="str">
        <f t="shared" si="3234"/>
        <v xml:space="preserve"> </v>
      </c>
      <c r="IH202" s="47" t="str">
        <f t="shared" si="3234"/>
        <v xml:space="preserve"> </v>
      </c>
      <c r="II202" s="47" t="str">
        <f t="shared" si="3234"/>
        <v xml:space="preserve"> </v>
      </c>
      <c r="IJ202" s="47" t="str">
        <f t="shared" si="3234"/>
        <v xml:space="preserve"> </v>
      </c>
      <c r="IK202" s="47" t="str">
        <f t="shared" si="3234"/>
        <v xml:space="preserve"> </v>
      </c>
      <c r="IL202" s="47" t="str">
        <f t="shared" si="3234"/>
        <v xml:space="preserve"> </v>
      </c>
      <c r="IM202" s="47" t="str">
        <f t="shared" si="3234"/>
        <v xml:space="preserve"> </v>
      </c>
      <c r="IN202" s="47" t="str">
        <f t="shared" si="3234"/>
        <v xml:space="preserve"> </v>
      </c>
      <c r="IO202" s="47" t="str">
        <f t="shared" si="3234"/>
        <v xml:space="preserve"> </v>
      </c>
      <c r="IP202" s="57" t="str">
        <f t="shared" si="3234"/>
        <v xml:space="preserve"> </v>
      </c>
      <c r="IQ202" s="47" t="str">
        <f t="shared" si="3234"/>
        <v xml:space="preserve"> </v>
      </c>
      <c r="IR202" s="47" t="str">
        <f t="shared" si="3234"/>
        <v xml:space="preserve"> </v>
      </c>
      <c r="IS202" s="47" t="str">
        <f t="shared" si="3234"/>
        <v xml:space="preserve"> </v>
      </c>
      <c r="IT202" s="47" t="str">
        <f t="shared" si="3234"/>
        <v xml:space="preserve"> </v>
      </c>
      <c r="IU202" s="47" t="str">
        <f t="shared" si="3234"/>
        <v xml:space="preserve"> </v>
      </c>
      <c r="IV202" s="57" t="str">
        <f t="shared" ref="IV202:LG202" si="3235">IF(IV100="",IV203,$C202&amp;"("&amp;IV100&amp;"),"&amp;IV203)</f>
        <v xml:space="preserve"> </v>
      </c>
      <c r="IW202" s="47" t="str">
        <f t="shared" si="3235"/>
        <v xml:space="preserve"> </v>
      </c>
      <c r="IX202" s="47" t="str">
        <f t="shared" si="3235"/>
        <v xml:space="preserve"> </v>
      </c>
      <c r="IY202" s="47" t="str">
        <f t="shared" si="3235"/>
        <v xml:space="preserve"> </v>
      </c>
      <c r="IZ202" s="47" t="str">
        <f t="shared" si="3235"/>
        <v xml:space="preserve"> </v>
      </c>
      <c r="JA202" s="47" t="str">
        <f t="shared" si="3235"/>
        <v xml:space="preserve"> </v>
      </c>
      <c r="JB202" s="47" t="str">
        <f t="shared" si="3235"/>
        <v xml:space="preserve"> </v>
      </c>
      <c r="JC202" s="47" t="str">
        <f t="shared" si="3235"/>
        <v xml:space="preserve"> </v>
      </c>
      <c r="JD202" s="47" t="str">
        <f t="shared" si="3235"/>
        <v xml:space="preserve"> </v>
      </c>
      <c r="JE202" s="47" t="str">
        <f t="shared" si="3235"/>
        <v xml:space="preserve"> </v>
      </c>
      <c r="JF202" s="47" t="str">
        <f t="shared" si="3235"/>
        <v xml:space="preserve"> </v>
      </c>
      <c r="JG202" s="47" t="str">
        <f t="shared" si="3235"/>
        <v xml:space="preserve"> </v>
      </c>
      <c r="JH202" s="47" t="str">
        <f t="shared" si="3235"/>
        <v xml:space="preserve"> </v>
      </c>
      <c r="JI202" s="47" t="str">
        <f t="shared" si="3235"/>
        <v xml:space="preserve"> </v>
      </c>
      <c r="JJ202" s="47" t="str">
        <f t="shared" si="3235"/>
        <v xml:space="preserve"> </v>
      </c>
      <c r="JK202" s="47" t="str">
        <f t="shared" si="3235"/>
        <v xml:space="preserve">for the elites(1),for entrepreneurs(1), </v>
      </c>
      <c r="JL202" s="47" t="str">
        <f t="shared" si="3235"/>
        <v xml:space="preserve"> </v>
      </c>
      <c r="JM202" s="47" t="str">
        <f t="shared" si="3235"/>
        <v xml:space="preserve"> </v>
      </c>
      <c r="JN202" s="47" t="str">
        <f t="shared" si="3235"/>
        <v xml:space="preserve"> </v>
      </c>
      <c r="JO202" s="47" t="str">
        <f t="shared" si="3235"/>
        <v xml:space="preserve"> </v>
      </c>
      <c r="JP202" s="47" t="str">
        <f t="shared" si="3235"/>
        <v xml:space="preserve"> </v>
      </c>
      <c r="JQ202" s="47" t="str">
        <f t="shared" si="3235"/>
        <v xml:space="preserve">for the elites(1),for entrepreneurs(1), </v>
      </c>
      <c r="JR202" s="47" t="str">
        <f t="shared" si="3235"/>
        <v xml:space="preserve"> </v>
      </c>
      <c r="JS202" s="47" t="str">
        <f t="shared" si="3235"/>
        <v xml:space="preserve"> </v>
      </c>
      <c r="JT202" s="47" t="str">
        <f t="shared" si="3235"/>
        <v xml:space="preserve"> </v>
      </c>
      <c r="JU202" s="47" t="str">
        <f t="shared" si="3235"/>
        <v xml:space="preserve"> </v>
      </c>
      <c r="JV202" s="47" t="str">
        <f t="shared" si="3235"/>
        <v xml:space="preserve"> </v>
      </c>
      <c r="JW202" s="47" t="str">
        <f t="shared" si="3235"/>
        <v xml:space="preserve">for the elites(1),for entrepreneurs(1), </v>
      </c>
      <c r="JX202" s="47" t="str">
        <f t="shared" si="3235"/>
        <v xml:space="preserve"> </v>
      </c>
      <c r="JY202" s="47" t="str">
        <f t="shared" si="3235"/>
        <v xml:space="preserve"> </v>
      </c>
      <c r="JZ202" s="47" t="str">
        <f t="shared" si="3235"/>
        <v xml:space="preserve"> </v>
      </c>
      <c r="KA202" s="47" t="str">
        <f t="shared" si="3235"/>
        <v xml:space="preserve"> </v>
      </c>
      <c r="KB202" s="47" t="str">
        <f t="shared" si="3235"/>
        <v xml:space="preserve"> </v>
      </c>
      <c r="KC202" s="47" t="str">
        <f t="shared" si="3235"/>
        <v xml:space="preserve">for the elites(1),for entrepreneurs(1), </v>
      </c>
      <c r="KD202" s="47" t="str">
        <f t="shared" si="3235"/>
        <v xml:space="preserve"> </v>
      </c>
      <c r="KE202" s="47" t="str">
        <f t="shared" si="3235"/>
        <v xml:space="preserve"> </v>
      </c>
      <c r="KF202" s="47" t="str">
        <f t="shared" si="3235"/>
        <v xml:space="preserve"> </v>
      </c>
      <c r="KG202" s="47" t="str">
        <f t="shared" si="3235"/>
        <v xml:space="preserve"> </v>
      </c>
      <c r="KH202" s="47" t="str">
        <f t="shared" si="3235"/>
        <v xml:space="preserve"> </v>
      </c>
      <c r="KI202" s="47" t="str">
        <f t="shared" si="3235"/>
        <v xml:space="preserve"> </v>
      </c>
      <c r="KJ202" s="47" t="str">
        <f t="shared" si="3235"/>
        <v xml:space="preserve"> </v>
      </c>
      <c r="KK202" s="47" t="str">
        <f t="shared" si="3235"/>
        <v xml:space="preserve"> </v>
      </c>
      <c r="KL202" s="57" t="str">
        <f t="shared" si="3235"/>
        <v xml:space="preserve"> </v>
      </c>
      <c r="KM202" s="47" t="str">
        <f t="shared" si="3235"/>
        <v xml:space="preserve"> </v>
      </c>
      <c r="KN202" s="47" t="str">
        <f t="shared" si="3235"/>
        <v xml:space="preserve"> </v>
      </c>
      <c r="KO202" s="47" t="str">
        <f t="shared" si="3235"/>
        <v xml:space="preserve"> </v>
      </c>
      <c r="KP202" s="47" t="str">
        <f t="shared" si="3235"/>
        <v xml:space="preserve"> </v>
      </c>
      <c r="KQ202" s="47" t="str">
        <f t="shared" si="3235"/>
        <v xml:space="preserve"> </v>
      </c>
      <c r="KR202" s="57" t="str">
        <f t="shared" si="3235"/>
        <v xml:space="preserve"> </v>
      </c>
      <c r="KS202" s="47" t="str">
        <f t="shared" si="3235"/>
        <v xml:space="preserve"> </v>
      </c>
      <c r="KT202" s="47" t="str">
        <f t="shared" si="3235"/>
        <v xml:space="preserve"> </v>
      </c>
      <c r="KU202" s="47" t="str">
        <f t="shared" si="3235"/>
        <v xml:space="preserve"> </v>
      </c>
      <c r="KV202" s="47" t="str">
        <f t="shared" si="3235"/>
        <v xml:space="preserve"> </v>
      </c>
      <c r="KW202" s="47" t="str">
        <f t="shared" si="3235"/>
        <v xml:space="preserve"> </v>
      </c>
      <c r="KX202" s="57" t="str">
        <f t="shared" si="3235"/>
        <v xml:space="preserve"> </v>
      </c>
      <c r="KY202" s="47" t="str">
        <f t="shared" si="3235"/>
        <v xml:space="preserve"> </v>
      </c>
      <c r="KZ202" s="47" t="str">
        <f t="shared" si="3235"/>
        <v xml:space="preserve"> </v>
      </c>
      <c r="LA202" s="47" t="str">
        <f t="shared" si="3235"/>
        <v xml:space="preserve"> </v>
      </c>
      <c r="LB202" s="47" t="str">
        <f t="shared" si="3235"/>
        <v xml:space="preserve"> </v>
      </c>
      <c r="LC202" s="47" t="str">
        <f t="shared" si="3235"/>
        <v xml:space="preserve"> </v>
      </c>
      <c r="LD202" s="57" t="str">
        <f t="shared" si="3235"/>
        <v xml:space="preserve"> </v>
      </c>
      <c r="LE202" s="47" t="str">
        <f t="shared" si="3235"/>
        <v xml:space="preserve"> </v>
      </c>
      <c r="LF202" s="47" t="str">
        <f t="shared" si="3235"/>
        <v xml:space="preserve"> </v>
      </c>
      <c r="LG202" s="47" t="str">
        <f t="shared" si="3235"/>
        <v xml:space="preserve"> </v>
      </c>
      <c r="LH202" s="47" t="str">
        <f t="shared" ref="LH202:NM202" si="3236">IF(LH100="",LH203,$C202&amp;"("&amp;LH100&amp;"),"&amp;LH203)</f>
        <v xml:space="preserve"> </v>
      </c>
      <c r="LI202" s="47" t="str">
        <f t="shared" si="3236"/>
        <v xml:space="preserve"> </v>
      </c>
      <c r="LJ202" s="57" t="str">
        <f t="shared" si="3236"/>
        <v xml:space="preserve"> </v>
      </c>
      <c r="LK202" s="47" t="str">
        <f t="shared" si="3236"/>
        <v xml:space="preserve"> </v>
      </c>
      <c r="LL202" s="47" t="str">
        <f t="shared" si="3236"/>
        <v xml:space="preserve"> </v>
      </c>
      <c r="LM202" s="47" t="str">
        <f t="shared" si="3236"/>
        <v xml:space="preserve"> </v>
      </c>
      <c r="LN202" s="47" t="str">
        <f t="shared" si="3236"/>
        <v xml:space="preserve"> </v>
      </c>
      <c r="LO202" s="47" t="str">
        <f t="shared" si="3236"/>
        <v xml:space="preserve"> </v>
      </c>
      <c r="LP202" s="57" t="str">
        <f t="shared" si="3236"/>
        <v xml:space="preserve"> </v>
      </c>
      <c r="LQ202" s="47" t="str">
        <f t="shared" si="3236"/>
        <v xml:space="preserve"> </v>
      </c>
      <c r="LR202" s="47" t="str">
        <f t="shared" si="3236"/>
        <v xml:space="preserve"> </v>
      </c>
      <c r="LS202" s="47" t="str">
        <f t="shared" si="3236"/>
        <v xml:space="preserve"> </v>
      </c>
      <c r="LT202" s="47" t="str">
        <f t="shared" si="3236"/>
        <v xml:space="preserve"> </v>
      </c>
      <c r="LU202" s="47" t="str">
        <f t="shared" si="3236"/>
        <v xml:space="preserve"> </v>
      </c>
      <c r="LV202" s="57" t="str">
        <f t="shared" si="3236"/>
        <v xml:space="preserve"> </v>
      </c>
      <c r="LW202" s="47" t="str">
        <f t="shared" si="3236"/>
        <v xml:space="preserve"> </v>
      </c>
      <c r="LX202" s="47" t="str">
        <f t="shared" si="3236"/>
        <v xml:space="preserve"> </v>
      </c>
      <c r="LY202" s="47" t="str">
        <f t="shared" si="3236"/>
        <v xml:space="preserve"> </v>
      </c>
      <c r="LZ202" s="47" t="str">
        <f t="shared" si="3236"/>
        <v xml:space="preserve"> </v>
      </c>
      <c r="MA202" s="47" t="str">
        <f t="shared" si="3236"/>
        <v xml:space="preserve"> </v>
      </c>
      <c r="MB202" s="57" t="str">
        <f t="shared" si="3236"/>
        <v xml:space="preserve"> </v>
      </c>
      <c r="MC202" s="47" t="str">
        <f t="shared" si="3236"/>
        <v xml:space="preserve"> </v>
      </c>
      <c r="MD202" s="47" t="str">
        <f t="shared" si="3236"/>
        <v xml:space="preserve"> </v>
      </c>
      <c r="ME202" s="47" t="str">
        <f t="shared" si="3236"/>
        <v xml:space="preserve"> </v>
      </c>
      <c r="MF202" s="47" t="str">
        <f t="shared" si="3236"/>
        <v xml:space="preserve"> </v>
      </c>
      <c r="MG202" s="47" t="str">
        <f t="shared" si="3236"/>
        <v xml:space="preserve"> </v>
      </c>
      <c r="MH202" s="57" t="str">
        <f t="shared" si="3236"/>
        <v xml:space="preserve"> </v>
      </c>
      <c r="MI202" s="47" t="str">
        <f t="shared" si="3236"/>
        <v xml:space="preserve"> </v>
      </c>
      <c r="MJ202" s="47" t="str">
        <f t="shared" si="3236"/>
        <v xml:space="preserve"> </v>
      </c>
      <c r="MK202" s="47" t="str">
        <f t="shared" si="3236"/>
        <v xml:space="preserve"> </v>
      </c>
      <c r="ML202" s="47" t="str">
        <f t="shared" si="3236"/>
        <v xml:space="preserve"> </v>
      </c>
      <c r="MM202" s="47" t="str">
        <f t="shared" si="3236"/>
        <v xml:space="preserve"> </v>
      </c>
      <c r="MN202" s="57" t="str">
        <f t="shared" si="3236"/>
        <v xml:space="preserve"> </v>
      </c>
      <c r="MO202" s="47" t="str">
        <f t="shared" si="3236"/>
        <v xml:space="preserve"> </v>
      </c>
      <c r="MP202" s="47" t="str">
        <f t="shared" si="3236"/>
        <v xml:space="preserve"> </v>
      </c>
      <c r="MQ202" s="47" t="str">
        <f t="shared" si="3236"/>
        <v xml:space="preserve"> </v>
      </c>
      <c r="MR202" s="47" t="str">
        <f t="shared" si="3236"/>
        <v xml:space="preserve"> </v>
      </c>
      <c r="MS202" s="47" t="str">
        <f t="shared" si="3236"/>
        <v xml:space="preserve"> </v>
      </c>
      <c r="MT202" s="57" t="str">
        <f t="shared" si="3236"/>
        <v xml:space="preserve"> </v>
      </c>
      <c r="MU202" s="47" t="str">
        <f t="shared" si="3236"/>
        <v xml:space="preserve"> </v>
      </c>
      <c r="MV202" s="47" t="str">
        <f t="shared" si="3236"/>
        <v xml:space="preserve"> </v>
      </c>
      <c r="MW202" s="47" t="str">
        <f t="shared" si="3236"/>
        <v xml:space="preserve"> </v>
      </c>
      <c r="MX202" s="47" t="str">
        <f t="shared" si="3236"/>
        <v xml:space="preserve"> </v>
      </c>
      <c r="MY202" s="47" t="str">
        <f t="shared" si="3236"/>
        <v xml:space="preserve"> </v>
      </c>
      <c r="MZ202" s="57" t="str">
        <f t="shared" si="3236"/>
        <v xml:space="preserve"> </v>
      </c>
      <c r="NA202" s="47" t="str">
        <f t="shared" si="3236"/>
        <v xml:space="preserve"> </v>
      </c>
      <c r="NB202" s="47" t="str">
        <f t="shared" si="3236"/>
        <v xml:space="preserve"> </v>
      </c>
      <c r="NC202" s="47" t="str">
        <f t="shared" si="3236"/>
        <v xml:space="preserve"> </v>
      </c>
      <c r="ND202" s="47" t="str">
        <f t="shared" si="3236"/>
        <v xml:space="preserve"> </v>
      </c>
      <c r="NE202" s="47" t="str">
        <f t="shared" si="3236"/>
        <v xml:space="preserve"> </v>
      </c>
      <c r="NF202" s="57" t="str">
        <f t="shared" si="3236"/>
        <v xml:space="preserve"> </v>
      </c>
      <c r="NG202" s="47" t="str">
        <f t="shared" si="3236"/>
        <v xml:space="preserve"> </v>
      </c>
      <c r="NH202" s="47" t="str">
        <f t="shared" si="3236"/>
        <v xml:space="preserve"> </v>
      </c>
      <c r="NI202" s="47" t="str">
        <f t="shared" si="3236"/>
        <v xml:space="preserve"> </v>
      </c>
      <c r="NJ202" s="47" t="str">
        <f t="shared" si="3236"/>
        <v xml:space="preserve"> </v>
      </c>
      <c r="NK202" s="47" t="str">
        <f t="shared" si="3236"/>
        <v xml:space="preserve"> </v>
      </c>
      <c r="NL202" s="57" t="str">
        <f t="shared" si="3236"/>
        <v xml:space="preserve"> </v>
      </c>
      <c r="NM202" s="47" t="str">
        <f t="shared" si="3236"/>
        <v xml:space="preserve"> </v>
      </c>
    </row>
    <row r="203" spans="2:377" ht="15.75" customHeight="1">
      <c r="C203" s="7" t="str">
        <f t="shared" si="841"/>
        <v>for entrepreneurs</v>
      </c>
      <c r="D203" s="21" t="str">
        <f t="shared" ref="D203:F203" si="3237">IF(D101="",D204,$C203&amp;" "&amp;D101&amp;CHAR(10)&amp;D204)</f>
        <v xml:space="preserve"> </v>
      </c>
      <c r="E203" s="21" t="str">
        <f t="shared" si="842"/>
        <v xml:space="preserve"> </v>
      </c>
      <c r="F203" s="21" t="str">
        <f t="shared" si="3237"/>
        <v xml:space="preserve"> </v>
      </c>
      <c r="G203" s="21" t="str">
        <f t="shared" si="843"/>
        <v xml:space="preserve"> </v>
      </c>
      <c r="H203" s="21" t="str">
        <f t="shared" si="844"/>
        <v xml:space="preserve"> </v>
      </c>
      <c r="I203" s="21" t="str">
        <f t="shared" ref="I203" si="3238">IF(I101="",I204,$C203&amp;"("&amp;I101&amp;"),"&amp;I204)</f>
        <v xml:space="preserve"> </v>
      </c>
      <c r="J203" s="21" t="str">
        <f t="shared" ref="J203" si="3239">IF(J101="",J204,$C203&amp;" "&amp;J101&amp;CHAR(10)&amp;J204)</f>
        <v xml:space="preserve"> </v>
      </c>
      <c r="K203" s="21" t="str">
        <f t="shared" si="654"/>
        <v xml:space="preserve"> </v>
      </c>
      <c r="L203" s="21" t="str">
        <f t="shared" ref="L203" si="3240">IF(L101="",L204,$C203&amp;" "&amp;L101&amp;CHAR(10)&amp;L204)</f>
        <v xml:space="preserve"> </v>
      </c>
      <c r="M203" s="21" t="str">
        <f t="shared" si="656"/>
        <v xml:space="preserve"> </v>
      </c>
      <c r="N203" s="21" t="str">
        <f t="shared" si="657"/>
        <v xml:space="preserve"> </v>
      </c>
      <c r="O203" s="21" t="str">
        <f t="shared" ref="O203:BW203" si="3241">IF(O101="",O204,$C203&amp;"("&amp;O101&amp;"),"&amp;O204)</f>
        <v xml:space="preserve"> </v>
      </c>
      <c r="P203" s="21" t="str">
        <f t="shared" ref="P203" si="3242">IF(P101="",P204,$C203&amp;" "&amp;P101&amp;CHAR(10)&amp;P204)</f>
        <v xml:space="preserve"> </v>
      </c>
      <c r="Q203" s="21" t="str">
        <f t="shared" si="660"/>
        <v xml:space="preserve"> </v>
      </c>
      <c r="R203" s="21" t="str">
        <f t="shared" ref="R203" si="3243">IF(R101="",R204,$C203&amp;" "&amp;R101&amp;CHAR(10)&amp;R204)</f>
        <v xml:space="preserve"> </v>
      </c>
      <c r="S203" s="21" t="str">
        <f t="shared" si="662"/>
        <v xml:space="preserve"> </v>
      </c>
      <c r="T203" s="21" t="str">
        <f t="shared" si="663"/>
        <v xml:space="preserve"> </v>
      </c>
      <c r="U203" s="21" t="str">
        <f t="shared" si="3241"/>
        <v xml:space="preserve"> </v>
      </c>
      <c r="V203" s="21" t="str">
        <f t="shared" ref="V203" si="3244">IF(V101="",V204,$C203&amp;" "&amp;V101&amp;CHAR(10)&amp;V204)</f>
        <v xml:space="preserve"> </v>
      </c>
      <c r="W203" s="21" t="str">
        <f t="shared" si="665"/>
        <v xml:space="preserve"> </v>
      </c>
      <c r="X203" s="21" t="str">
        <f t="shared" ref="X203" si="3245">IF(X101="",X204,$C203&amp;" "&amp;X101&amp;CHAR(10)&amp;X204)</f>
        <v xml:space="preserve"> </v>
      </c>
      <c r="Y203" s="21" t="str">
        <f t="shared" si="667"/>
        <v xml:space="preserve"> </v>
      </c>
      <c r="Z203" s="21" t="str">
        <f t="shared" si="668"/>
        <v xml:space="preserve"> </v>
      </c>
      <c r="AA203" s="21" t="str">
        <f t="shared" si="3241"/>
        <v xml:space="preserve"> </v>
      </c>
      <c r="AB203" s="21" t="str">
        <f t="shared" ref="AB203" si="3246">IF(AB101="",AB204,$C203&amp;" "&amp;AB101&amp;CHAR(10)&amp;AB204)</f>
        <v xml:space="preserve"> </v>
      </c>
      <c r="AC203" s="21" t="str">
        <f t="shared" si="670"/>
        <v xml:space="preserve"> </v>
      </c>
      <c r="AD203" s="21" t="str">
        <f t="shared" ref="AD203" si="3247">IF(AD101="",AD204,$C203&amp;" "&amp;AD101&amp;CHAR(10)&amp;AD204)</f>
        <v xml:space="preserve"> </v>
      </c>
      <c r="AE203" s="21" t="str">
        <f t="shared" si="672"/>
        <v xml:space="preserve"> </v>
      </c>
      <c r="AF203" s="21" t="str">
        <f t="shared" si="673"/>
        <v xml:space="preserve"> </v>
      </c>
      <c r="AG203" s="21" t="str">
        <f t="shared" si="3241"/>
        <v xml:space="preserve"> </v>
      </c>
      <c r="AH203" s="21" t="str">
        <f t="shared" ref="AH203" si="3248">IF(AH101="",AH204,$C203&amp;" "&amp;AH101&amp;CHAR(10)&amp;AH204)</f>
        <v xml:space="preserve"> </v>
      </c>
      <c r="AI203" s="21" t="str">
        <f t="shared" si="675"/>
        <v xml:space="preserve"> </v>
      </c>
      <c r="AJ203" s="21" t="str">
        <f t="shared" ref="AJ203" si="3249">IF(AJ101="",AJ204,$C203&amp;" "&amp;AJ101&amp;CHAR(10)&amp;AJ204)</f>
        <v xml:space="preserve"> </v>
      </c>
      <c r="AK203" s="21" t="str">
        <f t="shared" si="677"/>
        <v xml:space="preserve"> </v>
      </c>
      <c r="AL203" s="21" t="str">
        <f t="shared" si="678"/>
        <v xml:space="preserve"> </v>
      </c>
      <c r="AM203" s="21" t="str">
        <f t="shared" si="3241"/>
        <v xml:space="preserve"> </v>
      </c>
      <c r="AN203" s="21" t="str">
        <f t="shared" ref="AN203" si="3250">IF(AN101="",AN204,$C203&amp;" "&amp;AN101&amp;CHAR(10)&amp;AN204)</f>
        <v xml:space="preserve"> </v>
      </c>
      <c r="AO203" s="21" t="str">
        <f t="shared" si="680"/>
        <v xml:space="preserve"> </v>
      </c>
      <c r="AP203" s="21" t="str">
        <f t="shared" ref="AP203" si="3251">IF(AP101="",AP204,$C203&amp;" "&amp;AP101&amp;CHAR(10)&amp;AP204)</f>
        <v xml:space="preserve"> </v>
      </c>
      <c r="AQ203" s="21" t="str">
        <f t="shared" si="682"/>
        <v xml:space="preserve"> </v>
      </c>
      <c r="AR203" s="21" t="str">
        <f t="shared" si="683"/>
        <v xml:space="preserve"> </v>
      </c>
      <c r="AS203" s="21" t="str">
        <f t="shared" si="3241"/>
        <v xml:space="preserve"> </v>
      </c>
      <c r="AT203" s="21" t="str">
        <f t="shared" ref="AT203" si="3252">IF(AT101="",AT204,$C203&amp;" "&amp;AT101&amp;CHAR(10)&amp;AT204)</f>
        <v xml:space="preserve"> </v>
      </c>
      <c r="AU203" s="21" t="str">
        <f t="shared" si="685"/>
        <v xml:space="preserve"> </v>
      </c>
      <c r="AV203" s="21" t="str">
        <f t="shared" ref="AV203" si="3253">IF(AV101="",AV204,$C203&amp;" "&amp;AV101&amp;CHAR(10)&amp;AV204)</f>
        <v xml:space="preserve"> </v>
      </c>
      <c r="AW203" s="21" t="str">
        <f t="shared" si="687"/>
        <v xml:space="preserve"> </v>
      </c>
      <c r="AX203" s="21" t="str">
        <f t="shared" si="688"/>
        <v xml:space="preserve"> </v>
      </c>
      <c r="AY203" s="21" t="str">
        <f t="shared" si="3241"/>
        <v xml:space="preserve"> </v>
      </c>
      <c r="AZ203" s="21" t="str">
        <f t="shared" ref="AZ203" si="3254">IF(AZ101="",AZ204,$C203&amp;" "&amp;AZ101&amp;CHAR(10)&amp;AZ204)</f>
        <v xml:space="preserve"> </v>
      </c>
      <c r="BA203" s="21" t="str">
        <f t="shared" si="690"/>
        <v xml:space="preserve"> </v>
      </c>
      <c r="BB203" s="21" t="str">
        <f t="shared" ref="BB203" si="3255">IF(BB101="",BB204,$C203&amp;" "&amp;BB101&amp;CHAR(10)&amp;BB204)</f>
        <v xml:space="preserve"> </v>
      </c>
      <c r="BC203" s="21" t="str">
        <f t="shared" si="692"/>
        <v xml:space="preserve"> </v>
      </c>
      <c r="BD203" s="21" t="str">
        <f t="shared" si="693"/>
        <v xml:space="preserve"> </v>
      </c>
      <c r="BE203" s="21" t="str">
        <f t="shared" si="3241"/>
        <v xml:space="preserve"> </v>
      </c>
      <c r="BF203" s="21" t="str">
        <f t="shared" ref="BF203" si="3256">IF(BF101="",BF204,$C203&amp;" "&amp;BF101&amp;CHAR(10)&amp;BF204)</f>
        <v xml:space="preserve"> </v>
      </c>
      <c r="BG203" s="21" t="str">
        <f t="shared" si="695"/>
        <v xml:space="preserve"> </v>
      </c>
      <c r="BH203" s="21" t="str">
        <f t="shared" ref="BH203" si="3257">IF(BH101="",BH204,$C203&amp;" "&amp;BH101&amp;CHAR(10)&amp;BH204)</f>
        <v xml:space="preserve"> </v>
      </c>
      <c r="BI203" s="21" t="str">
        <f t="shared" si="697"/>
        <v xml:space="preserve"> </v>
      </c>
      <c r="BJ203" s="21" t="str">
        <f t="shared" si="698"/>
        <v xml:space="preserve"> </v>
      </c>
      <c r="BK203" s="21" t="str">
        <f t="shared" si="3241"/>
        <v xml:space="preserve"> </v>
      </c>
      <c r="BL203" s="21" t="str">
        <f t="shared" ref="BL203" si="3258">IF(BL101="",BL204,$C203&amp;" "&amp;BL101&amp;CHAR(10)&amp;BL204)</f>
        <v xml:space="preserve"> </v>
      </c>
      <c r="BM203" s="21" t="str">
        <f t="shared" si="700"/>
        <v xml:space="preserve"> </v>
      </c>
      <c r="BN203" s="21" t="str">
        <f t="shared" ref="BN203" si="3259">IF(BN101="",BN204,$C203&amp;" "&amp;BN101&amp;CHAR(10)&amp;BN204)</f>
        <v xml:space="preserve"> </v>
      </c>
      <c r="BO203" s="21" t="str">
        <f t="shared" si="702"/>
        <v xml:space="preserve"> </v>
      </c>
      <c r="BP203" s="21" t="str">
        <f t="shared" si="703"/>
        <v xml:space="preserve"> </v>
      </c>
      <c r="BQ203" s="21" t="str">
        <f t="shared" si="3241"/>
        <v xml:space="preserve"> </v>
      </c>
      <c r="BR203" s="21" t="str">
        <f t="shared" ref="BR203" si="3260">IF(BR101="",BR204,$C203&amp;" "&amp;BR101&amp;CHAR(10)&amp;BR204)</f>
        <v xml:space="preserve"> </v>
      </c>
      <c r="BS203" s="21" t="str">
        <f t="shared" si="705"/>
        <v xml:space="preserve"> </v>
      </c>
      <c r="BT203" s="21" t="str">
        <f t="shared" ref="BT203" si="3261">IF(BT101="",BT204,$C203&amp;" "&amp;BT101&amp;CHAR(10)&amp;BT204)</f>
        <v xml:space="preserve"> </v>
      </c>
      <c r="BU203" s="21" t="str">
        <f t="shared" si="707"/>
        <v xml:space="preserve"> </v>
      </c>
      <c r="BV203" s="21" t="str">
        <f t="shared" si="708"/>
        <v xml:space="preserve"> </v>
      </c>
      <c r="BW203" s="21" t="str">
        <f t="shared" si="3241"/>
        <v xml:space="preserve"> </v>
      </c>
      <c r="BX203" s="21" t="str">
        <f t="shared" ref="BX203" si="3262">IF(BX101="",BX204,$C203&amp;" "&amp;BX101&amp;CHAR(10)&amp;BX204)</f>
        <v xml:space="preserve"> </v>
      </c>
      <c r="BY203" s="21" t="str">
        <f t="shared" si="710"/>
        <v xml:space="preserve"> </v>
      </c>
      <c r="BZ203" s="21" t="str">
        <f t="shared" ref="BZ203" si="3263">IF(BZ101="",BZ204,$C203&amp;" "&amp;BZ101&amp;CHAR(10)&amp;BZ204)</f>
        <v xml:space="preserve"> </v>
      </c>
      <c r="CA203" s="21" t="str">
        <f t="shared" si="712"/>
        <v xml:space="preserve"> </v>
      </c>
      <c r="CB203" s="21" t="str">
        <f t="shared" si="713"/>
        <v xml:space="preserve"> </v>
      </c>
      <c r="CC203" s="21" t="str">
        <f t="shared" ref="CC203:EK203" si="3264">IF(CC101="",CC204,$C203&amp;"("&amp;CC101&amp;"),"&amp;CC204)</f>
        <v xml:space="preserve"> </v>
      </c>
      <c r="CD203" s="21" t="str">
        <f t="shared" ref="CD203" si="3265">IF(CD101="",CD204,$C203&amp;" "&amp;CD101&amp;CHAR(10)&amp;CD204)</f>
        <v xml:space="preserve"> </v>
      </c>
      <c r="CE203" s="21" t="str">
        <f t="shared" si="716"/>
        <v xml:space="preserve"> </v>
      </c>
      <c r="CF203" s="21" t="str">
        <f t="shared" ref="CF203" si="3266">IF(CF101="",CF204,$C203&amp;" "&amp;CF101&amp;CHAR(10)&amp;CF204)</f>
        <v xml:space="preserve"> </v>
      </c>
      <c r="CG203" s="21" t="str">
        <f t="shared" si="718"/>
        <v xml:space="preserve">for entrepreneurs(1),  </v>
      </c>
      <c r="CH203" s="21" t="str">
        <f t="shared" si="719"/>
        <v xml:space="preserve"> </v>
      </c>
      <c r="CI203" s="21" t="str">
        <f t="shared" si="3264"/>
        <v xml:space="preserve"> </v>
      </c>
      <c r="CJ203" s="21" t="str">
        <f t="shared" ref="CJ203" si="3267">IF(CJ101="",CJ204,$C203&amp;" "&amp;CJ101&amp;CHAR(10)&amp;CJ204)</f>
        <v xml:space="preserve"> </v>
      </c>
      <c r="CK203" s="21" t="str">
        <f t="shared" si="721"/>
        <v xml:space="preserve"> </v>
      </c>
      <c r="CL203" s="21" t="str">
        <f t="shared" ref="CL203" si="3268">IF(CL101="",CL204,$C203&amp;" "&amp;CL101&amp;CHAR(10)&amp;CL204)</f>
        <v xml:space="preserve"> </v>
      </c>
      <c r="CM203" s="21" t="str">
        <f t="shared" si="723"/>
        <v xml:space="preserve"> </v>
      </c>
      <c r="CN203" s="21" t="str">
        <f t="shared" si="724"/>
        <v xml:space="preserve"> </v>
      </c>
      <c r="CO203" s="21" t="str">
        <f t="shared" si="3264"/>
        <v xml:space="preserve"> </v>
      </c>
      <c r="CP203" s="21" t="str">
        <f t="shared" ref="CP203" si="3269">IF(CP101="",CP204,$C203&amp;" "&amp;CP101&amp;CHAR(10)&amp;CP204)</f>
        <v xml:space="preserve"> </v>
      </c>
      <c r="CQ203" s="21" t="str">
        <f t="shared" si="726"/>
        <v xml:space="preserve"> </v>
      </c>
      <c r="CR203" s="21" t="str">
        <f t="shared" ref="CR203" si="3270">IF(CR101="",CR204,$C203&amp;" "&amp;CR101&amp;CHAR(10)&amp;CR204)</f>
        <v xml:space="preserve"> </v>
      </c>
      <c r="CS203" s="21" t="str">
        <f t="shared" si="728"/>
        <v xml:space="preserve"> </v>
      </c>
      <c r="CT203" s="21" t="str">
        <f t="shared" si="729"/>
        <v xml:space="preserve"> </v>
      </c>
      <c r="CU203" s="21" t="str">
        <f t="shared" si="3264"/>
        <v xml:space="preserve"> </v>
      </c>
      <c r="CV203" s="21" t="str">
        <f t="shared" ref="CV203" si="3271">IF(CV101="",CV204,$C203&amp;" "&amp;CV101&amp;CHAR(10)&amp;CV204)</f>
        <v xml:space="preserve"> </v>
      </c>
      <c r="CW203" s="21" t="str">
        <f t="shared" si="731"/>
        <v xml:space="preserve"> </v>
      </c>
      <c r="CX203" s="21" t="str">
        <f t="shared" ref="CX203" si="3272">IF(CX101="",CX204,$C203&amp;" "&amp;CX101&amp;CHAR(10)&amp;CX204)</f>
        <v xml:space="preserve"> </v>
      </c>
      <c r="CY203" s="21" t="str">
        <f t="shared" si="733"/>
        <v xml:space="preserve"> </v>
      </c>
      <c r="CZ203" s="21" t="str">
        <f t="shared" si="734"/>
        <v xml:space="preserve"> </v>
      </c>
      <c r="DA203" s="21" t="str">
        <f t="shared" si="3264"/>
        <v xml:space="preserve"> </v>
      </c>
      <c r="DB203" s="21" t="str">
        <f t="shared" ref="DB203" si="3273">IF(DB101="",DB204,$C203&amp;" "&amp;DB101&amp;CHAR(10)&amp;DB204)</f>
        <v xml:space="preserve"> </v>
      </c>
      <c r="DC203" s="21" t="str">
        <f t="shared" si="736"/>
        <v xml:space="preserve"> </v>
      </c>
      <c r="DD203" s="21" t="str">
        <f t="shared" ref="DD203" si="3274">IF(DD101="",DD204,$C203&amp;" "&amp;DD101&amp;CHAR(10)&amp;DD204)</f>
        <v xml:space="preserve"> </v>
      </c>
      <c r="DE203" s="21" t="str">
        <f t="shared" si="738"/>
        <v xml:space="preserve">for entrepreneurs(2),  </v>
      </c>
      <c r="DF203" s="21" t="str">
        <f t="shared" si="739"/>
        <v xml:space="preserve"> </v>
      </c>
      <c r="DG203" s="21" t="str">
        <f t="shared" si="3264"/>
        <v xml:space="preserve"> </v>
      </c>
      <c r="DH203" s="21" t="str">
        <f t="shared" ref="DH203" si="3275">IF(DH101="",DH204,$C203&amp;" "&amp;DH101&amp;CHAR(10)&amp;DH204)</f>
        <v xml:space="preserve"> </v>
      </c>
      <c r="DI203" s="21" t="str">
        <f t="shared" si="741"/>
        <v xml:space="preserve"> </v>
      </c>
      <c r="DJ203" s="21" t="str">
        <f t="shared" ref="DJ203" si="3276">IF(DJ101="",DJ204,$C203&amp;" "&amp;DJ101&amp;CHAR(10)&amp;DJ204)</f>
        <v xml:space="preserve"> </v>
      </c>
      <c r="DK203" s="21" t="str">
        <f t="shared" si="743"/>
        <v xml:space="preserve"> </v>
      </c>
      <c r="DL203" s="21" t="str">
        <f t="shared" si="744"/>
        <v xml:space="preserve"> </v>
      </c>
      <c r="DM203" s="21" t="str">
        <f t="shared" si="3264"/>
        <v xml:space="preserve"> </v>
      </c>
      <c r="DN203" s="21" t="str">
        <f t="shared" ref="DN203" si="3277">IF(DN101="",DN204,$C203&amp;" "&amp;DN101&amp;CHAR(10)&amp;DN204)</f>
        <v xml:space="preserve"> </v>
      </c>
      <c r="DO203" s="21" t="str">
        <f t="shared" si="746"/>
        <v xml:space="preserve"> </v>
      </c>
      <c r="DP203" s="21" t="str">
        <f t="shared" ref="DP203" si="3278">IF(DP101="",DP204,$C203&amp;" "&amp;DP101&amp;CHAR(10)&amp;DP204)</f>
        <v xml:space="preserve"> </v>
      </c>
      <c r="DQ203" s="21" t="str">
        <f t="shared" si="748"/>
        <v xml:space="preserve">for entrepreneurs(1),  </v>
      </c>
      <c r="DR203" s="21" t="str">
        <f t="shared" si="749"/>
        <v xml:space="preserve"> </v>
      </c>
      <c r="DS203" s="21" t="str">
        <f t="shared" si="3264"/>
        <v xml:space="preserve"> </v>
      </c>
      <c r="DT203" s="21" t="str">
        <f t="shared" ref="DT203" si="3279">IF(DT101="",DT204,$C203&amp;" "&amp;DT101&amp;CHAR(10)&amp;DT204)</f>
        <v xml:space="preserve"> </v>
      </c>
      <c r="DU203" s="21" t="str">
        <f t="shared" si="751"/>
        <v xml:space="preserve"> </v>
      </c>
      <c r="DV203" s="21" t="str">
        <f t="shared" ref="DV203" si="3280">IF(DV101="",DV204,$C203&amp;" "&amp;DV101&amp;CHAR(10)&amp;DV204)</f>
        <v xml:space="preserve"> </v>
      </c>
      <c r="DW203" s="21" t="str">
        <f t="shared" si="753"/>
        <v xml:space="preserve"> </v>
      </c>
      <c r="DX203" s="21" t="str">
        <f t="shared" si="754"/>
        <v xml:space="preserve"> </v>
      </c>
      <c r="DY203" s="21" t="str">
        <f t="shared" si="3264"/>
        <v xml:space="preserve"> </v>
      </c>
      <c r="DZ203" s="21" t="str">
        <f t="shared" ref="DZ203" si="3281">IF(DZ101="",DZ204,$C203&amp;" "&amp;DZ101&amp;CHAR(10)&amp;DZ204)</f>
        <v xml:space="preserve"> </v>
      </c>
      <c r="EA203" s="21" t="str">
        <f t="shared" si="756"/>
        <v xml:space="preserve"> </v>
      </c>
      <c r="EB203" s="21" t="str">
        <f t="shared" ref="EB203" si="3282">IF(EB101="",EB204,$C203&amp;" "&amp;EB101&amp;CHAR(10)&amp;EB204)</f>
        <v xml:space="preserve"> </v>
      </c>
      <c r="EC203" s="21" t="str">
        <f t="shared" si="758"/>
        <v xml:space="preserve"> </v>
      </c>
      <c r="ED203" s="21" t="str">
        <f t="shared" si="759"/>
        <v xml:space="preserve"> </v>
      </c>
      <c r="EE203" s="21" t="str">
        <f t="shared" si="3264"/>
        <v xml:space="preserve"> </v>
      </c>
      <c r="EF203" s="21" t="str">
        <f t="shared" ref="EF203" si="3283">IF(EF101="",EF204,$C203&amp;" "&amp;EF101&amp;CHAR(10)&amp;EF204)</f>
        <v xml:space="preserve"> </v>
      </c>
      <c r="EG203" s="21" t="str">
        <f t="shared" si="761"/>
        <v xml:space="preserve"> </v>
      </c>
      <c r="EH203" s="21" t="str">
        <f t="shared" ref="EH203" si="3284">IF(EH101="",EH204,$C203&amp;" "&amp;EH101&amp;CHAR(10)&amp;EH204)</f>
        <v xml:space="preserve"> </v>
      </c>
      <c r="EI203" s="21" t="str">
        <f t="shared" si="763"/>
        <v xml:space="preserve">for entrepreneurs(1),  </v>
      </c>
      <c r="EJ203" s="21" t="str">
        <f t="shared" si="764"/>
        <v xml:space="preserve">for entrepreneurs(1,6.25),  </v>
      </c>
      <c r="EK203" s="21" t="str">
        <f t="shared" si="3264"/>
        <v xml:space="preserve">for entrepreneurs(6.25), </v>
      </c>
      <c r="EL203" s="21" t="str">
        <f t="shared" ref="EL203" si="3285">IF(EL101="",EL204,$C203&amp;" "&amp;EL101&amp;CHAR(10)&amp;EL204)</f>
        <v xml:space="preserve"> </v>
      </c>
      <c r="EM203" s="21" t="str">
        <f t="shared" si="766"/>
        <v xml:space="preserve"> </v>
      </c>
      <c r="EN203" s="21" t="str">
        <f t="shared" ref="EN203" si="3286">IF(EN101="",EN204,$C203&amp;" "&amp;EN101&amp;CHAR(10)&amp;EN204)</f>
        <v xml:space="preserve"> </v>
      </c>
      <c r="EO203" s="21" t="str">
        <f t="shared" si="768"/>
        <v xml:space="preserve">for entrepreneurs(1),  </v>
      </c>
      <c r="EP203" s="21" t="str">
        <f t="shared" si="769"/>
        <v xml:space="preserve">for entrepreneurs(1,6.25),  </v>
      </c>
      <c r="EQ203" s="21" t="str">
        <f t="shared" ref="EQ203:GY203" si="3287">IF(EQ101="",EQ204,$C203&amp;"("&amp;EQ101&amp;"),"&amp;EQ204)</f>
        <v xml:space="preserve">for entrepreneurs(6.25), </v>
      </c>
      <c r="ER203" s="21" t="str">
        <f t="shared" ref="ER203" si="3288">IF(ER101="",ER204,$C203&amp;" "&amp;ER101&amp;CHAR(10)&amp;ER204)</f>
        <v xml:space="preserve"> </v>
      </c>
      <c r="ES203" s="21" t="str">
        <f t="shared" si="772"/>
        <v xml:space="preserve"> </v>
      </c>
      <c r="ET203" s="21" t="str">
        <f t="shared" ref="ET203" si="3289">IF(ET101="",ET204,$C203&amp;" "&amp;ET101&amp;CHAR(10)&amp;ET204)</f>
        <v xml:space="preserve"> </v>
      </c>
      <c r="EU203" s="21" t="str">
        <f t="shared" si="774"/>
        <v xml:space="preserve">for entrepreneurs(1),  </v>
      </c>
      <c r="EV203" s="21" t="str">
        <f t="shared" si="775"/>
        <v xml:space="preserve">for entrepreneurs(1,6.25),  </v>
      </c>
      <c r="EW203" s="21" t="str">
        <f t="shared" si="3287"/>
        <v xml:space="preserve">for entrepreneurs(6.25), </v>
      </c>
      <c r="EX203" s="21" t="str">
        <f t="shared" ref="EX203" si="3290">IF(EX101="",EX204,$C203&amp;" "&amp;EX101&amp;CHAR(10)&amp;EX204)</f>
        <v xml:space="preserve"> </v>
      </c>
      <c r="EY203" s="21" t="str">
        <f t="shared" si="777"/>
        <v xml:space="preserve"> </v>
      </c>
      <c r="EZ203" s="21" t="str">
        <f t="shared" ref="EZ203" si="3291">IF(EZ101="",EZ204,$C203&amp;" "&amp;EZ101&amp;CHAR(10)&amp;EZ204)</f>
        <v xml:space="preserve"> </v>
      </c>
      <c r="FA203" s="21" t="str">
        <f t="shared" si="779"/>
        <v xml:space="preserve">for entrepreneurs(1),  </v>
      </c>
      <c r="FB203" s="21" t="str">
        <f t="shared" si="780"/>
        <v xml:space="preserve">for entrepreneurs(1,6.25),  </v>
      </c>
      <c r="FC203" s="21" t="str">
        <f t="shared" si="3287"/>
        <v xml:space="preserve">for entrepreneurs(6.25), </v>
      </c>
      <c r="FD203" s="21" t="str">
        <f t="shared" ref="FD203" si="3292">IF(FD101="",FD204,$C203&amp;" "&amp;FD101&amp;CHAR(10)&amp;FD204)</f>
        <v xml:space="preserve"> </v>
      </c>
      <c r="FE203" s="21" t="str">
        <f t="shared" si="782"/>
        <v xml:space="preserve"> </v>
      </c>
      <c r="FF203" s="21" t="str">
        <f t="shared" ref="FF203" si="3293">IF(FF101="",FF204,$C203&amp;" "&amp;FF101&amp;CHAR(10)&amp;FF204)</f>
        <v xml:space="preserve"> </v>
      </c>
      <c r="FG203" s="21" t="str">
        <f t="shared" si="784"/>
        <v xml:space="preserve">for entrepreneurs(1),  </v>
      </c>
      <c r="FH203" s="21" t="str">
        <f t="shared" si="785"/>
        <v xml:space="preserve">for entrepreneurs(1,6.25),  </v>
      </c>
      <c r="FI203" s="21" t="str">
        <f t="shared" si="3287"/>
        <v xml:space="preserve">for entrepreneurs(6.25), </v>
      </c>
      <c r="FJ203" s="21" t="str">
        <f t="shared" ref="FJ203" si="3294">IF(FJ101="",FJ204,$C203&amp;" "&amp;FJ101&amp;CHAR(10)&amp;FJ204)</f>
        <v xml:space="preserve"> </v>
      </c>
      <c r="FK203" s="21" t="str">
        <f t="shared" si="787"/>
        <v xml:space="preserve"> </v>
      </c>
      <c r="FL203" s="21" t="str">
        <f t="shared" ref="FL203" si="3295">IF(FL101="",FL204,$C203&amp;" "&amp;FL101&amp;CHAR(10)&amp;FL204)</f>
        <v xml:space="preserve"> </v>
      </c>
      <c r="FM203" s="21" t="str">
        <f t="shared" si="789"/>
        <v xml:space="preserve">for entrepreneurs(1),  </v>
      </c>
      <c r="FN203" s="21" t="str">
        <f t="shared" si="790"/>
        <v xml:space="preserve">for entrepreneurs(1,6.25),  </v>
      </c>
      <c r="FO203" s="21" t="str">
        <f t="shared" si="3287"/>
        <v xml:space="preserve">for entrepreneurs(6.25), </v>
      </c>
      <c r="FP203" s="21" t="str">
        <f t="shared" ref="FP203" si="3296">IF(FP101="",FP204,$C203&amp;" "&amp;FP101&amp;CHAR(10)&amp;FP204)</f>
        <v xml:space="preserve"> </v>
      </c>
      <c r="FQ203" s="21" t="str">
        <f t="shared" si="792"/>
        <v xml:space="preserve"> </v>
      </c>
      <c r="FR203" s="21" t="str">
        <f t="shared" ref="FR203" si="3297">IF(FR101="",FR204,$C203&amp;" "&amp;FR101&amp;CHAR(10)&amp;FR204)</f>
        <v xml:space="preserve"> </v>
      </c>
      <c r="FS203" s="21" t="str">
        <f t="shared" si="794"/>
        <v xml:space="preserve">for entrepreneurs(1),  </v>
      </c>
      <c r="FT203" s="21" t="str">
        <f t="shared" si="795"/>
        <v xml:space="preserve">for entrepreneurs(1,6.25),  </v>
      </c>
      <c r="FU203" s="21" t="str">
        <f t="shared" si="3287"/>
        <v xml:space="preserve">for entrepreneurs(6.25), </v>
      </c>
      <c r="FV203" s="21" t="str">
        <f t="shared" ref="FV203" si="3298">IF(FV101="",FV204,$C203&amp;" "&amp;FV101&amp;CHAR(10)&amp;FV204)</f>
        <v xml:space="preserve"> </v>
      </c>
      <c r="FW203" s="21" t="str">
        <f t="shared" si="797"/>
        <v xml:space="preserve"> </v>
      </c>
      <c r="FX203" s="21" t="str">
        <f t="shared" ref="FX203" si="3299">IF(FX101="",FX204,$C203&amp;" "&amp;FX101&amp;CHAR(10)&amp;FX204)</f>
        <v xml:space="preserve"> </v>
      </c>
      <c r="FY203" s="21" t="str">
        <f t="shared" si="799"/>
        <v xml:space="preserve">for entrepreneurs(1),  </v>
      </c>
      <c r="FZ203" s="21" t="str">
        <f t="shared" si="800"/>
        <v xml:space="preserve">for entrepreneurs(1,6.25),  </v>
      </c>
      <c r="GA203" s="21" t="str">
        <f t="shared" si="3287"/>
        <v xml:space="preserve">for entrepreneurs(6.25), </v>
      </c>
      <c r="GB203" s="21" t="str">
        <f t="shared" ref="GB203" si="3300">IF(GB101="",GB204,$C203&amp;" "&amp;GB101&amp;CHAR(10)&amp;GB204)</f>
        <v xml:space="preserve"> </v>
      </c>
      <c r="GC203" s="21" t="str">
        <f t="shared" si="802"/>
        <v xml:space="preserve"> </v>
      </c>
      <c r="GD203" s="21" t="str">
        <f t="shared" ref="GD203" si="3301">IF(GD101="",GD204,$C203&amp;" "&amp;GD101&amp;CHAR(10)&amp;GD204)</f>
        <v xml:space="preserve"> </v>
      </c>
      <c r="GE203" s="21" t="str">
        <f t="shared" si="804"/>
        <v xml:space="preserve">for entrepreneurs(1),  </v>
      </c>
      <c r="GF203" s="21" t="str">
        <f t="shared" si="805"/>
        <v xml:space="preserve">for entrepreneurs(1,6.25),  </v>
      </c>
      <c r="GG203" s="21" t="str">
        <f t="shared" si="3287"/>
        <v xml:space="preserve">for entrepreneurs(6.25), </v>
      </c>
      <c r="GH203" s="21" t="str">
        <f t="shared" ref="GH203" si="3302">IF(GH101="",GH204,$C203&amp;" "&amp;GH101&amp;CHAR(10)&amp;GH204)</f>
        <v xml:space="preserve"> </v>
      </c>
      <c r="GI203" s="21" t="str">
        <f t="shared" si="807"/>
        <v xml:space="preserve"> </v>
      </c>
      <c r="GJ203" s="21" t="str">
        <f t="shared" ref="GJ203" si="3303">IF(GJ101="",GJ204,$C203&amp;" "&amp;GJ101&amp;CHAR(10)&amp;GJ204)</f>
        <v xml:space="preserve"> </v>
      </c>
      <c r="GK203" s="21" t="str">
        <f t="shared" si="809"/>
        <v xml:space="preserve">for entrepreneurs(1),  </v>
      </c>
      <c r="GL203" s="21" t="str">
        <f t="shared" si="810"/>
        <v xml:space="preserve">for entrepreneurs(1,6.25),  </v>
      </c>
      <c r="GM203" s="21" t="str">
        <f t="shared" si="3287"/>
        <v xml:space="preserve">for entrepreneurs(6.25), </v>
      </c>
      <c r="GN203" s="21" t="str">
        <f t="shared" ref="GN203" si="3304">IF(GN101="",GN204,$C203&amp;" "&amp;GN101&amp;CHAR(10)&amp;GN204)</f>
        <v xml:space="preserve"> </v>
      </c>
      <c r="GO203" s="21" t="str">
        <f t="shared" si="812"/>
        <v xml:space="preserve"> </v>
      </c>
      <c r="GP203" s="21" t="str">
        <f t="shared" ref="GP203" si="3305">IF(GP101="",GP204,$C203&amp;" "&amp;GP101&amp;CHAR(10)&amp;GP204)</f>
        <v xml:space="preserve"> </v>
      </c>
      <c r="GQ203" s="21" t="str">
        <f t="shared" si="814"/>
        <v xml:space="preserve">for entrepreneurs(1),  </v>
      </c>
      <c r="GR203" s="21" t="str">
        <f t="shared" si="815"/>
        <v xml:space="preserve">for entrepreneurs(1,6.25),  </v>
      </c>
      <c r="GS203" s="21" t="str">
        <f t="shared" si="3287"/>
        <v xml:space="preserve">for entrepreneurs(6.25), </v>
      </c>
      <c r="GT203" s="21" t="str">
        <f t="shared" ref="GT203" si="3306">IF(GT101="",GT204,$C203&amp;" "&amp;GT101&amp;CHAR(10)&amp;GT204)</f>
        <v xml:space="preserve"> </v>
      </c>
      <c r="GU203" s="21" t="str">
        <f t="shared" si="817"/>
        <v xml:space="preserve"> </v>
      </c>
      <c r="GV203" s="21" t="str">
        <f t="shared" ref="GV203" si="3307">IF(GV101="",GV204,$C203&amp;" "&amp;GV101&amp;CHAR(10)&amp;GV204)</f>
        <v xml:space="preserve"> </v>
      </c>
      <c r="GW203" s="21" t="str">
        <f t="shared" si="819"/>
        <v xml:space="preserve"> </v>
      </c>
      <c r="GX203" s="21" t="str">
        <f t="shared" si="820"/>
        <v xml:space="preserve"> </v>
      </c>
      <c r="GY203" s="21" t="str">
        <f t="shared" si="3287"/>
        <v xml:space="preserve"> </v>
      </c>
      <c r="GZ203" s="21" t="str">
        <f t="shared" ref="GZ203" si="3308">IF(GZ101="",GZ204,$C203&amp;" "&amp;GZ101&amp;CHAR(10)&amp;GZ204)</f>
        <v xml:space="preserve"> </v>
      </c>
      <c r="HA203" s="21" t="str">
        <f t="shared" si="822"/>
        <v xml:space="preserve"> </v>
      </c>
      <c r="HB203" s="21" t="str">
        <f t="shared" ref="HB203" si="3309">IF(HB101="",HB204,$C203&amp;" "&amp;HB101&amp;CHAR(10)&amp;HB204)</f>
        <v xml:space="preserve"> </v>
      </c>
      <c r="HC203" s="21" t="str">
        <f t="shared" si="824"/>
        <v xml:space="preserve"> </v>
      </c>
      <c r="HD203" s="21" t="str">
        <f>IF(HD101="",HD204,$C203&amp;"("&amp;HD101&amp;","&amp;HE101&amp;"), "&amp;HD204)</f>
        <v xml:space="preserve"> </v>
      </c>
      <c r="HE203" s="21" t="str">
        <f>IF(HE101="",HE204,$C203&amp;"("&amp;HE101&amp;"),"&amp;HE204)</f>
        <v xml:space="preserve"> </v>
      </c>
      <c r="HF203" s="21" t="str">
        <f t="shared" ref="HF203" si="3310">IF(HF101="",HF204,$C203&amp;" "&amp;HF101&amp;CHAR(10)&amp;HF204)</f>
        <v xml:space="preserve"> </v>
      </c>
      <c r="HG203" s="21" t="str">
        <f t="shared" si="828"/>
        <v xml:space="preserve"> </v>
      </c>
      <c r="HH203" s="21" t="str">
        <f t="shared" ref="HH203" si="3311">IF(HH101="",HH204,$C203&amp;" "&amp;HH101&amp;CHAR(10)&amp;HH204)</f>
        <v xml:space="preserve"> </v>
      </c>
      <c r="HI203" s="21" t="str">
        <f t="shared" si="830"/>
        <v xml:space="preserve"> </v>
      </c>
      <c r="HJ203" s="21" t="str">
        <f t="shared" si="831"/>
        <v xml:space="preserve"> </v>
      </c>
      <c r="HK203" s="21" t="str">
        <f t="shared" ref="HK203:HQ203" si="3312">IF(HK101="",HK204,$C203&amp;"("&amp;HK101&amp;"),"&amp;HK204)</f>
        <v xml:space="preserve"> </v>
      </c>
      <c r="HL203" s="21" t="str">
        <f t="shared" ref="HL203" si="3313">IF(HL101="",HL204,$C203&amp;" "&amp;HL101&amp;CHAR(10)&amp;HL204)</f>
        <v xml:space="preserve"> </v>
      </c>
      <c r="HM203" s="21" t="str">
        <f t="shared" si="833"/>
        <v xml:space="preserve"> </v>
      </c>
      <c r="HN203" s="21" t="str">
        <f t="shared" ref="HN203" si="3314">IF(HN101="",HN204,$C203&amp;" "&amp;HN101&amp;CHAR(10)&amp;HN204)</f>
        <v xml:space="preserve"> </v>
      </c>
      <c r="HO203" s="21" t="str">
        <f t="shared" si="835"/>
        <v xml:space="preserve"> </v>
      </c>
      <c r="HP203" s="21" t="str">
        <f t="shared" si="836"/>
        <v xml:space="preserve"> </v>
      </c>
      <c r="HQ203" s="47" t="str">
        <f t="shared" si="3312"/>
        <v xml:space="preserve"> </v>
      </c>
      <c r="HR203" s="47" t="str">
        <f t="shared" ref="HR203:HW203" si="3315">IF(HR101="",HR204,$C203&amp;"("&amp;HR101&amp;"),"&amp;HR204)</f>
        <v xml:space="preserve"> </v>
      </c>
      <c r="HS203" s="47" t="str">
        <f t="shared" si="3315"/>
        <v xml:space="preserve"> </v>
      </c>
      <c r="HT203" s="47" t="str">
        <f t="shared" si="3315"/>
        <v xml:space="preserve"> </v>
      </c>
      <c r="HU203" s="47" t="str">
        <f t="shared" si="3315"/>
        <v xml:space="preserve"> </v>
      </c>
      <c r="HV203" s="47" t="str">
        <f t="shared" si="3315"/>
        <v xml:space="preserve"> </v>
      </c>
      <c r="HW203" s="47" t="str">
        <f t="shared" si="3315"/>
        <v xml:space="preserve"> </v>
      </c>
      <c r="HX203" s="47" t="str">
        <f t="shared" ref="HX203:IU203" si="3316">IF(HX101="",HX204,$C203&amp;"("&amp;HX101&amp;"),"&amp;HX204)</f>
        <v xml:space="preserve"> </v>
      </c>
      <c r="HY203" s="47" t="str">
        <f t="shared" si="3316"/>
        <v xml:space="preserve"> </v>
      </c>
      <c r="HZ203" s="47" t="str">
        <f t="shared" si="3316"/>
        <v xml:space="preserve"> </v>
      </c>
      <c r="IA203" s="47" t="str">
        <f t="shared" si="3316"/>
        <v xml:space="preserve"> </v>
      </c>
      <c r="IB203" s="47" t="str">
        <f t="shared" si="3316"/>
        <v xml:space="preserve"> </v>
      </c>
      <c r="IC203" s="47" t="str">
        <f t="shared" si="3316"/>
        <v xml:space="preserve"> </v>
      </c>
      <c r="ID203" s="47" t="str">
        <f t="shared" si="3316"/>
        <v xml:space="preserve"> </v>
      </c>
      <c r="IE203" s="47" t="str">
        <f t="shared" si="3316"/>
        <v xml:space="preserve"> </v>
      </c>
      <c r="IF203" s="47" t="str">
        <f t="shared" si="3316"/>
        <v xml:space="preserve"> </v>
      </c>
      <c r="IG203" s="47" t="str">
        <f t="shared" si="3316"/>
        <v xml:space="preserve"> </v>
      </c>
      <c r="IH203" s="47" t="str">
        <f t="shared" si="3316"/>
        <v xml:space="preserve"> </v>
      </c>
      <c r="II203" s="47" t="str">
        <f t="shared" si="3316"/>
        <v xml:space="preserve"> </v>
      </c>
      <c r="IJ203" s="47" t="str">
        <f t="shared" si="3316"/>
        <v xml:space="preserve"> </v>
      </c>
      <c r="IK203" s="47" t="str">
        <f t="shared" si="3316"/>
        <v xml:space="preserve"> </v>
      </c>
      <c r="IL203" s="47" t="str">
        <f t="shared" si="3316"/>
        <v xml:space="preserve"> </v>
      </c>
      <c r="IM203" s="47" t="str">
        <f t="shared" si="3316"/>
        <v xml:space="preserve"> </v>
      </c>
      <c r="IN203" s="47" t="str">
        <f t="shared" si="3316"/>
        <v xml:space="preserve"> </v>
      </c>
      <c r="IO203" s="47" t="str">
        <f t="shared" si="3316"/>
        <v xml:space="preserve"> </v>
      </c>
      <c r="IP203" s="57" t="str">
        <f t="shared" si="3316"/>
        <v xml:space="preserve"> </v>
      </c>
      <c r="IQ203" s="47" t="str">
        <f t="shared" si="3316"/>
        <v xml:space="preserve"> </v>
      </c>
      <c r="IR203" s="47" t="str">
        <f t="shared" si="3316"/>
        <v xml:space="preserve"> </v>
      </c>
      <c r="IS203" s="47" t="str">
        <f t="shared" si="3316"/>
        <v xml:space="preserve"> </v>
      </c>
      <c r="IT203" s="47" t="str">
        <f t="shared" si="3316"/>
        <v xml:space="preserve"> </v>
      </c>
      <c r="IU203" s="47" t="str">
        <f t="shared" si="3316"/>
        <v xml:space="preserve"> </v>
      </c>
      <c r="IV203" s="57" t="str">
        <f t="shared" ref="IV203:LG203" si="3317">IF(IV101="",IV204,$C203&amp;"("&amp;IV101&amp;"),"&amp;IV204)</f>
        <v xml:space="preserve"> </v>
      </c>
      <c r="IW203" s="47" t="str">
        <f t="shared" si="3317"/>
        <v xml:space="preserve"> </v>
      </c>
      <c r="IX203" s="47" t="str">
        <f t="shared" si="3317"/>
        <v xml:space="preserve"> </v>
      </c>
      <c r="IY203" s="47" t="str">
        <f t="shared" si="3317"/>
        <v xml:space="preserve"> </v>
      </c>
      <c r="IZ203" s="47" t="str">
        <f t="shared" si="3317"/>
        <v xml:space="preserve"> </v>
      </c>
      <c r="JA203" s="47" t="str">
        <f t="shared" si="3317"/>
        <v xml:space="preserve"> </v>
      </c>
      <c r="JB203" s="47" t="str">
        <f t="shared" si="3317"/>
        <v xml:space="preserve"> </v>
      </c>
      <c r="JC203" s="47" t="str">
        <f t="shared" si="3317"/>
        <v xml:space="preserve"> </v>
      </c>
      <c r="JD203" s="47" t="str">
        <f t="shared" si="3317"/>
        <v xml:space="preserve"> </v>
      </c>
      <c r="JE203" s="47" t="str">
        <f t="shared" si="3317"/>
        <v xml:space="preserve"> </v>
      </c>
      <c r="JF203" s="47" t="str">
        <f t="shared" si="3317"/>
        <v xml:space="preserve"> </v>
      </c>
      <c r="JG203" s="47" t="str">
        <f t="shared" si="3317"/>
        <v xml:space="preserve"> </v>
      </c>
      <c r="JH203" s="47" t="str">
        <f t="shared" si="3317"/>
        <v xml:space="preserve"> </v>
      </c>
      <c r="JI203" s="47" t="str">
        <f t="shared" si="3317"/>
        <v xml:space="preserve"> </v>
      </c>
      <c r="JJ203" s="47" t="str">
        <f t="shared" si="3317"/>
        <v xml:space="preserve"> </v>
      </c>
      <c r="JK203" s="47" t="str">
        <f t="shared" si="3317"/>
        <v xml:space="preserve">for entrepreneurs(1), </v>
      </c>
      <c r="JL203" s="47" t="str">
        <f t="shared" si="3317"/>
        <v xml:space="preserve"> </v>
      </c>
      <c r="JM203" s="47" t="str">
        <f t="shared" si="3317"/>
        <v xml:space="preserve"> </v>
      </c>
      <c r="JN203" s="47" t="str">
        <f t="shared" si="3317"/>
        <v xml:space="preserve"> </v>
      </c>
      <c r="JO203" s="47" t="str">
        <f t="shared" si="3317"/>
        <v xml:space="preserve"> </v>
      </c>
      <c r="JP203" s="47" t="str">
        <f t="shared" si="3317"/>
        <v xml:space="preserve"> </v>
      </c>
      <c r="JQ203" s="47" t="str">
        <f t="shared" si="3317"/>
        <v xml:space="preserve">for entrepreneurs(1), </v>
      </c>
      <c r="JR203" s="47" t="str">
        <f t="shared" si="3317"/>
        <v xml:space="preserve"> </v>
      </c>
      <c r="JS203" s="47" t="str">
        <f t="shared" si="3317"/>
        <v xml:space="preserve"> </v>
      </c>
      <c r="JT203" s="47" t="str">
        <f t="shared" si="3317"/>
        <v xml:space="preserve"> </v>
      </c>
      <c r="JU203" s="47" t="str">
        <f t="shared" si="3317"/>
        <v xml:space="preserve"> </v>
      </c>
      <c r="JV203" s="47" t="str">
        <f t="shared" si="3317"/>
        <v xml:space="preserve"> </v>
      </c>
      <c r="JW203" s="47" t="str">
        <f t="shared" si="3317"/>
        <v xml:space="preserve">for entrepreneurs(1), </v>
      </c>
      <c r="JX203" s="47" t="str">
        <f t="shared" si="3317"/>
        <v xml:space="preserve"> </v>
      </c>
      <c r="JY203" s="47" t="str">
        <f t="shared" si="3317"/>
        <v xml:space="preserve"> </v>
      </c>
      <c r="JZ203" s="47" t="str">
        <f t="shared" si="3317"/>
        <v xml:space="preserve"> </v>
      </c>
      <c r="KA203" s="47" t="str">
        <f t="shared" si="3317"/>
        <v xml:space="preserve"> </v>
      </c>
      <c r="KB203" s="47" t="str">
        <f t="shared" si="3317"/>
        <v xml:space="preserve"> </v>
      </c>
      <c r="KC203" s="47" t="str">
        <f t="shared" si="3317"/>
        <v xml:space="preserve">for entrepreneurs(1), </v>
      </c>
      <c r="KD203" s="47" t="str">
        <f t="shared" si="3317"/>
        <v xml:space="preserve"> </v>
      </c>
      <c r="KE203" s="47" t="str">
        <f t="shared" si="3317"/>
        <v xml:space="preserve"> </v>
      </c>
      <c r="KF203" s="47" t="str">
        <f t="shared" si="3317"/>
        <v xml:space="preserve"> </v>
      </c>
      <c r="KG203" s="47" t="str">
        <f t="shared" si="3317"/>
        <v xml:space="preserve"> </v>
      </c>
      <c r="KH203" s="47" t="str">
        <f t="shared" si="3317"/>
        <v xml:space="preserve"> </v>
      </c>
      <c r="KI203" s="47" t="str">
        <f t="shared" si="3317"/>
        <v xml:space="preserve"> </v>
      </c>
      <c r="KJ203" s="47" t="str">
        <f t="shared" si="3317"/>
        <v xml:space="preserve"> </v>
      </c>
      <c r="KK203" s="47" t="str">
        <f t="shared" si="3317"/>
        <v xml:space="preserve"> </v>
      </c>
      <c r="KL203" s="57" t="str">
        <f t="shared" si="3317"/>
        <v xml:space="preserve"> </v>
      </c>
      <c r="KM203" s="47" t="str">
        <f t="shared" si="3317"/>
        <v xml:space="preserve"> </v>
      </c>
      <c r="KN203" s="47" t="str">
        <f t="shared" si="3317"/>
        <v xml:space="preserve"> </v>
      </c>
      <c r="KO203" s="47" t="str">
        <f t="shared" si="3317"/>
        <v xml:space="preserve"> </v>
      </c>
      <c r="KP203" s="47" t="str">
        <f t="shared" si="3317"/>
        <v xml:space="preserve"> </v>
      </c>
      <c r="KQ203" s="47" t="str">
        <f t="shared" si="3317"/>
        <v xml:space="preserve"> </v>
      </c>
      <c r="KR203" s="57" t="str">
        <f t="shared" si="3317"/>
        <v xml:space="preserve"> </v>
      </c>
      <c r="KS203" s="47" t="str">
        <f t="shared" si="3317"/>
        <v xml:space="preserve"> </v>
      </c>
      <c r="KT203" s="47" t="str">
        <f t="shared" si="3317"/>
        <v xml:space="preserve"> </v>
      </c>
      <c r="KU203" s="47" t="str">
        <f t="shared" si="3317"/>
        <v xml:space="preserve"> </v>
      </c>
      <c r="KV203" s="47" t="str">
        <f t="shared" si="3317"/>
        <v xml:space="preserve"> </v>
      </c>
      <c r="KW203" s="47" t="str">
        <f t="shared" si="3317"/>
        <v xml:space="preserve"> </v>
      </c>
      <c r="KX203" s="57" t="str">
        <f t="shared" si="3317"/>
        <v xml:space="preserve"> </v>
      </c>
      <c r="KY203" s="47" t="str">
        <f t="shared" si="3317"/>
        <v xml:space="preserve"> </v>
      </c>
      <c r="KZ203" s="47" t="str">
        <f t="shared" si="3317"/>
        <v xml:space="preserve"> </v>
      </c>
      <c r="LA203" s="47" t="str">
        <f t="shared" si="3317"/>
        <v xml:space="preserve"> </v>
      </c>
      <c r="LB203" s="47" t="str">
        <f t="shared" si="3317"/>
        <v xml:space="preserve"> </v>
      </c>
      <c r="LC203" s="47" t="str">
        <f t="shared" si="3317"/>
        <v xml:space="preserve"> </v>
      </c>
      <c r="LD203" s="57" t="str">
        <f t="shared" si="3317"/>
        <v xml:space="preserve"> </v>
      </c>
      <c r="LE203" s="47" t="str">
        <f t="shared" si="3317"/>
        <v xml:space="preserve"> </v>
      </c>
      <c r="LF203" s="47" t="str">
        <f t="shared" si="3317"/>
        <v xml:space="preserve"> </v>
      </c>
      <c r="LG203" s="47" t="str">
        <f t="shared" si="3317"/>
        <v xml:space="preserve"> </v>
      </c>
      <c r="LH203" s="47" t="str">
        <f t="shared" ref="LH203:NM203" si="3318">IF(LH101="",LH204,$C203&amp;"("&amp;LH101&amp;"),"&amp;LH204)</f>
        <v xml:space="preserve"> </v>
      </c>
      <c r="LI203" s="47" t="str">
        <f t="shared" si="3318"/>
        <v xml:space="preserve"> </v>
      </c>
      <c r="LJ203" s="57" t="str">
        <f t="shared" si="3318"/>
        <v xml:space="preserve"> </v>
      </c>
      <c r="LK203" s="47" t="str">
        <f t="shared" si="3318"/>
        <v xml:space="preserve"> </v>
      </c>
      <c r="LL203" s="47" t="str">
        <f t="shared" si="3318"/>
        <v xml:space="preserve"> </v>
      </c>
      <c r="LM203" s="47" t="str">
        <f t="shared" si="3318"/>
        <v xml:space="preserve"> </v>
      </c>
      <c r="LN203" s="47" t="str">
        <f t="shared" si="3318"/>
        <v xml:space="preserve"> </v>
      </c>
      <c r="LO203" s="47" t="str">
        <f t="shared" si="3318"/>
        <v xml:space="preserve"> </v>
      </c>
      <c r="LP203" s="57" t="str">
        <f t="shared" si="3318"/>
        <v xml:space="preserve"> </v>
      </c>
      <c r="LQ203" s="47" t="str">
        <f t="shared" si="3318"/>
        <v xml:space="preserve"> </v>
      </c>
      <c r="LR203" s="47" t="str">
        <f t="shared" si="3318"/>
        <v xml:space="preserve"> </v>
      </c>
      <c r="LS203" s="47" t="str">
        <f t="shared" si="3318"/>
        <v xml:space="preserve"> </v>
      </c>
      <c r="LT203" s="47" t="str">
        <f t="shared" si="3318"/>
        <v xml:space="preserve"> </v>
      </c>
      <c r="LU203" s="47" t="str">
        <f t="shared" si="3318"/>
        <v xml:space="preserve"> </v>
      </c>
      <c r="LV203" s="57" t="str">
        <f t="shared" si="3318"/>
        <v xml:space="preserve"> </v>
      </c>
      <c r="LW203" s="47" t="str">
        <f t="shared" si="3318"/>
        <v xml:space="preserve"> </v>
      </c>
      <c r="LX203" s="47" t="str">
        <f t="shared" si="3318"/>
        <v xml:space="preserve"> </v>
      </c>
      <c r="LY203" s="47" t="str">
        <f t="shared" si="3318"/>
        <v xml:space="preserve"> </v>
      </c>
      <c r="LZ203" s="47" t="str">
        <f t="shared" si="3318"/>
        <v xml:space="preserve"> </v>
      </c>
      <c r="MA203" s="47" t="str">
        <f t="shared" si="3318"/>
        <v xml:space="preserve"> </v>
      </c>
      <c r="MB203" s="57" t="str">
        <f t="shared" si="3318"/>
        <v xml:space="preserve"> </v>
      </c>
      <c r="MC203" s="47" t="str">
        <f t="shared" si="3318"/>
        <v xml:space="preserve"> </v>
      </c>
      <c r="MD203" s="47" t="str">
        <f t="shared" si="3318"/>
        <v xml:space="preserve"> </v>
      </c>
      <c r="ME203" s="47" t="str">
        <f t="shared" si="3318"/>
        <v xml:space="preserve"> </v>
      </c>
      <c r="MF203" s="47" t="str">
        <f t="shared" si="3318"/>
        <v xml:space="preserve"> </v>
      </c>
      <c r="MG203" s="47" t="str">
        <f t="shared" si="3318"/>
        <v xml:space="preserve"> </v>
      </c>
      <c r="MH203" s="57" t="str">
        <f t="shared" si="3318"/>
        <v xml:space="preserve"> </v>
      </c>
      <c r="MI203" s="47" t="str">
        <f t="shared" si="3318"/>
        <v xml:space="preserve"> </v>
      </c>
      <c r="MJ203" s="47" t="str">
        <f t="shared" si="3318"/>
        <v xml:space="preserve"> </v>
      </c>
      <c r="MK203" s="47" t="str">
        <f t="shared" si="3318"/>
        <v xml:space="preserve"> </v>
      </c>
      <c r="ML203" s="47" t="str">
        <f t="shared" si="3318"/>
        <v xml:space="preserve"> </v>
      </c>
      <c r="MM203" s="47" t="str">
        <f t="shared" si="3318"/>
        <v xml:space="preserve"> </v>
      </c>
      <c r="MN203" s="57" t="str">
        <f t="shared" si="3318"/>
        <v xml:space="preserve"> </v>
      </c>
      <c r="MO203" s="47" t="str">
        <f t="shared" si="3318"/>
        <v xml:space="preserve"> </v>
      </c>
      <c r="MP203" s="47" t="str">
        <f t="shared" si="3318"/>
        <v xml:space="preserve"> </v>
      </c>
      <c r="MQ203" s="47" t="str">
        <f t="shared" si="3318"/>
        <v xml:space="preserve"> </v>
      </c>
      <c r="MR203" s="47" t="str">
        <f t="shared" si="3318"/>
        <v xml:space="preserve"> </v>
      </c>
      <c r="MS203" s="47" t="str">
        <f t="shared" si="3318"/>
        <v xml:space="preserve"> </v>
      </c>
      <c r="MT203" s="57" t="str">
        <f t="shared" si="3318"/>
        <v xml:space="preserve"> </v>
      </c>
      <c r="MU203" s="47" t="str">
        <f t="shared" si="3318"/>
        <v xml:space="preserve"> </v>
      </c>
      <c r="MV203" s="47" t="str">
        <f t="shared" si="3318"/>
        <v xml:space="preserve"> </v>
      </c>
      <c r="MW203" s="47" t="str">
        <f t="shared" si="3318"/>
        <v xml:space="preserve"> </v>
      </c>
      <c r="MX203" s="47" t="str">
        <f t="shared" si="3318"/>
        <v xml:space="preserve"> </v>
      </c>
      <c r="MY203" s="47" t="str">
        <f t="shared" si="3318"/>
        <v xml:space="preserve"> </v>
      </c>
      <c r="MZ203" s="57" t="str">
        <f t="shared" si="3318"/>
        <v xml:space="preserve"> </v>
      </c>
      <c r="NA203" s="47" t="str">
        <f t="shared" si="3318"/>
        <v xml:space="preserve"> </v>
      </c>
      <c r="NB203" s="47" t="str">
        <f t="shared" si="3318"/>
        <v xml:space="preserve"> </v>
      </c>
      <c r="NC203" s="47" t="str">
        <f t="shared" si="3318"/>
        <v xml:space="preserve"> </v>
      </c>
      <c r="ND203" s="47" t="str">
        <f t="shared" si="3318"/>
        <v xml:space="preserve"> </v>
      </c>
      <c r="NE203" s="47" t="str">
        <f t="shared" si="3318"/>
        <v xml:space="preserve"> </v>
      </c>
      <c r="NF203" s="57" t="str">
        <f t="shared" si="3318"/>
        <v xml:space="preserve"> </v>
      </c>
      <c r="NG203" s="47" t="str">
        <f t="shared" si="3318"/>
        <v xml:space="preserve"> </v>
      </c>
      <c r="NH203" s="47" t="str">
        <f t="shared" si="3318"/>
        <v xml:space="preserve"> </v>
      </c>
      <c r="NI203" s="47" t="str">
        <f t="shared" si="3318"/>
        <v xml:space="preserve"> </v>
      </c>
      <c r="NJ203" s="47" t="str">
        <f t="shared" si="3318"/>
        <v xml:space="preserve"> </v>
      </c>
      <c r="NK203" s="47" t="str">
        <f t="shared" si="3318"/>
        <v xml:space="preserve"> </v>
      </c>
      <c r="NL203" s="57" t="str">
        <f t="shared" si="3318"/>
        <v xml:space="preserve"> </v>
      </c>
      <c r="NM203" s="47" t="str">
        <f t="shared" si="3318"/>
        <v xml:space="preserve"> </v>
      </c>
    </row>
    <row r="204" spans="2:377" s="24" customFormat="1" ht="15" customHeight="1">
      <c r="B204" s="24" t="s">
        <v>14</v>
      </c>
      <c r="C204" s="24" t="s">
        <v>10</v>
      </c>
      <c r="D204" s="24" t="s">
        <v>10</v>
      </c>
      <c r="E204" s="24" t="s">
        <v>10</v>
      </c>
      <c r="F204" s="24" t="s">
        <v>10</v>
      </c>
      <c r="G204" s="24" t="s">
        <v>10</v>
      </c>
      <c r="H204" s="24" t="s">
        <v>10</v>
      </c>
      <c r="I204" s="24" t="s">
        <v>10</v>
      </c>
      <c r="J204" s="24" t="s">
        <v>10</v>
      </c>
      <c r="K204" s="24" t="s">
        <v>10</v>
      </c>
      <c r="L204" s="24" t="s">
        <v>10</v>
      </c>
      <c r="M204" s="24" t="s">
        <v>10</v>
      </c>
      <c r="N204" s="24" t="s">
        <v>10</v>
      </c>
      <c r="O204" s="24" t="s">
        <v>10</v>
      </c>
      <c r="P204" s="24" t="s">
        <v>10</v>
      </c>
      <c r="Q204" s="24" t="s">
        <v>10</v>
      </c>
      <c r="R204" s="24" t="s">
        <v>10</v>
      </c>
      <c r="S204" s="24" t="s">
        <v>10</v>
      </c>
      <c r="T204" s="24" t="s">
        <v>10</v>
      </c>
      <c r="U204" s="24" t="s">
        <v>10</v>
      </c>
      <c r="V204" s="24" t="s">
        <v>10</v>
      </c>
      <c r="W204" s="24" t="s">
        <v>10</v>
      </c>
      <c r="X204" s="24" t="s">
        <v>10</v>
      </c>
      <c r="Y204" s="24" t="s">
        <v>10</v>
      </c>
      <c r="Z204" s="24" t="s">
        <v>10</v>
      </c>
      <c r="AA204" s="24" t="s">
        <v>10</v>
      </c>
      <c r="AB204" s="24" t="s">
        <v>10</v>
      </c>
      <c r="AC204" s="24" t="s">
        <v>10</v>
      </c>
      <c r="AD204" s="24" t="s">
        <v>10</v>
      </c>
      <c r="AE204" s="24" t="s">
        <v>10</v>
      </c>
      <c r="AF204" s="24" t="s">
        <v>10</v>
      </c>
      <c r="AG204" s="24" t="s">
        <v>10</v>
      </c>
      <c r="AH204" s="24" t="s">
        <v>10</v>
      </c>
      <c r="AI204" s="24" t="s">
        <v>10</v>
      </c>
      <c r="AJ204" s="24" t="s">
        <v>10</v>
      </c>
      <c r="AK204" s="24" t="s">
        <v>10</v>
      </c>
      <c r="AL204" s="24" t="s">
        <v>10</v>
      </c>
      <c r="AM204" s="24" t="s">
        <v>10</v>
      </c>
      <c r="AN204" s="24" t="s">
        <v>10</v>
      </c>
      <c r="AO204" s="24" t="s">
        <v>10</v>
      </c>
      <c r="AP204" s="24" t="s">
        <v>10</v>
      </c>
      <c r="AQ204" s="24" t="s">
        <v>10</v>
      </c>
      <c r="AR204" s="24" t="s">
        <v>10</v>
      </c>
      <c r="AS204" s="24" t="s">
        <v>10</v>
      </c>
      <c r="AT204" s="24" t="s">
        <v>10</v>
      </c>
      <c r="AU204" s="24" t="s">
        <v>10</v>
      </c>
      <c r="AV204" s="24" t="s">
        <v>10</v>
      </c>
      <c r="AW204" s="24" t="s">
        <v>10</v>
      </c>
      <c r="AX204" s="24" t="s">
        <v>10</v>
      </c>
      <c r="AY204" s="24" t="s">
        <v>10</v>
      </c>
      <c r="AZ204" s="24" t="s">
        <v>10</v>
      </c>
      <c r="BA204" s="24" t="s">
        <v>10</v>
      </c>
      <c r="BB204" s="24" t="s">
        <v>10</v>
      </c>
      <c r="BC204" s="24" t="s">
        <v>10</v>
      </c>
      <c r="BD204" s="24" t="s">
        <v>10</v>
      </c>
      <c r="BE204" s="24" t="s">
        <v>10</v>
      </c>
      <c r="BF204" s="24" t="s">
        <v>10</v>
      </c>
      <c r="BG204" s="24" t="s">
        <v>10</v>
      </c>
      <c r="BH204" s="24" t="s">
        <v>10</v>
      </c>
      <c r="BI204" s="24" t="s">
        <v>10</v>
      </c>
      <c r="BJ204" s="24" t="s">
        <v>10</v>
      </c>
      <c r="BK204" s="24" t="s">
        <v>10</v>
      </c>
      <c r="BL204" s="24" t="s">
        <v>10</v>
      </c>
      <c r="BM204" s="24" t="s">
        <v>10</v>
      </c>
      <c r="BN204" s="24" t="s">
        <v>10</v>
      </c>
      <c r="BO204" s="24" t="s">
        <v>10</v>
      </c>
      <c r="BP204" s="24" t="s">
        <v>10</v>
      </c>
      <c r="BQ204" s="24" t="s">
        <v>10</v>
      </c>
      <c r="BR204" s="24" t="s">
        <v>10</v>
      </c>
      <c r="BS204" s="24" t="s">
        <v>10</v>
      </c>
      <c r="BT204" s="24" t="s">
        <v>10</v>
      </c>
      <c r="BU204" s="24" t="s">
        <v>10</v>
      </c>
      <c r="BV204" s="24" t="s">
        <v>10</v>
      </c>
      <c r="BW204" s="24" t="s">
        <v>10</v>
      </c>
      <c r="BX204" s="24" t="s">
        <v>10</v>
      </c>
      <c r="BY204" s="24" t="s">
        <v>10</v>
      </c>
      <c r="BZ204" s="24" t="s">
        <v>10</v>
      </c>
      <c r="CA204" s="24" t="s">
        <v>10</v>
      </c>
      <c r="CB204" s="24" t="s">
        <v>10</v>
      </c>
      <c r="CC204" s="24" t="s">
        <v>10</v>
      </c>
      <c r="CD204" s="24" t="s">
        <v>10</v>
      </c>
      <c r="CE204" s="24" t="s">
        <v>10</v>
      </c>
      <c r="CF204" s="24" t="s">
        <v>10</v>
      </c>
      <c r="CG204" s="24" t="s">
        <v>10</v>
      </c>
      <c r="CH204" s="24" t="s">
        <v>10</v>
      </c>
      <c r="CI204" s="24" t="s">
        <v>10</v>
      </c>
      <c r="CJ204" s="24" t="s">
        <v>10</v>
      </c>
      <c r="CK204" s="24" t="s">
        <v>10</v>
      </c>
      <c r="CL204" s="24" t="s">
        <v>10</v>
      </c>
      <c r="CM204" s="24" t="s">
        <v>10</v>
      </c>
      <c r="CN204" s="24" t="s">
        <v>10</v>
      </c>
      <c r="CO204" s="24" t="s">
        <v>10</v>
      </c>
      <c r="CP204" s="24" t="s">
        <v>10</v>
      </c>
      <c r="CQ204" s="24" t="s">
        <v>10</v>
      </c>
      <c r="CR204" s="24" t="s">
        <v>10</v>
      </c>
      <c r="CS204" s="24" t="s">
        <v>10</v>
      </c>
      <c r="CT204" s="24" t="s">
        <v>10</v>
      </c>
      <c r="CU204" s="24" t="s">
        <v>10</v>
      </c>
      <c r="CV204" s="24" t="s">
        <v>10</v>
      </c>
      <c r="CW204" s="24" t="s">
        <v>10</v>
      </c>
      <c r="CX204" s="24" t="s">
        <v>10</v>
      </c>
      <c r="CY204" s="24" t="s">
        <v>10</v>
      </c>
      <c r="CZ204" s="24" t="s">
        <v>10</v>
      </c>
      <c r="DA204" s="24" t="s">
        <v>10</v>
      </c>
      <c r="DB204" s="24" t="s">
        <v>10</v>
      </c>
      <c r="DC204" s="24" t="s">
        <v>10</v>
      </c>
      <c r="DD204" s="24" t="s">
        <v>10</v>
      </c>
      <c r="DE204" s="24" t="s">
        <v>10</v>
      </c>
      <c r="DF204" s="24" t="s">
        <v>10</v>
      </c>
      <c r="DG204" s="24" t="s">
        <v>10</v>
      </c>
      <c r="DH204" s="24" t="s">
        <v>10</v>
      </c>
      <c r="DI204" s="24" t="s">
        <v>10</v>
      </c>
      <c r="DJ204" s="24" t="s">
        <v>10</v>
      </c>
      <c r="DK204" s="24" t="s">
        <v>10</v>
      </c>
      <c r="DL204" s="24" t="s">
        <v>10</v>
      </c>
      <c r="DM204" s="24" t="s">
        <v>10</v>
      </c>
      <c r="DN204" s="24" t="s">
        <v>10</v>
      </c>
      <c r="DO204" s="24" t="s">
        <v>10</v>
      </c>
      <c r="DP204" s="24" t="s">
        <v>10</v>
      </c>
      <c r="DQ204" s="24" t="s">
        <v>10</v>
      </c>
      <c r="DR204" s="24" t="s">
        <v>10</v>
      </c>
      <c r="DS204" s="24" t="s">
        <v>10</v>
      </c>
      <c r="DT204" s="24" t="s">
        <v>10</v>
      </c>
      <c r="DU204" s="24" t="s">
        <v>10</v>
      </c>
      <c r="DV204" s="24" t="s">
        <v>10</v>
      </c>
      <c r="DW204" s="24" t="s">
        <v>10</v>
      </c>
      <c r="DX204" s="24" t="s">
        <v>10</v>
      </c>
      <c r="DY204" s="24" t="s">
        <v>10</v>
      </c>
      <c r="DZ204" s="24" t="s">
        <v>10</v>
      </c>
      <c r="EA204" s="24" t="s">
        <v>10</v>
      </c>
      <c r="EB204" s="24" t="s">
        <v>10</v>
      </c>
      <c r="EC204" s="24" t="s">
        <v>10</v>
      </c>
      <c r="ED204" s="24" t="s">
        <v>10</v>
      </c>
      <c r="EE204" s="24" t="s">
        <v>10</v>
      </c>
      <c r="EF204" s="24" t="s">
        <v>10</v>
      </c>
      <c r="EG204" s="24" t="s">
        <v>10</v>
      </c>
      <c r="EH204" s="24" t="s">
        <v>10</v>
      </c>
      <c r="EI204" s="24" t="s">
        <v>10</v>
      </c>
      <c r="EJ204" s="24" t="s">
        <v>10</v>
      </c>
      <c r="EK204" s="24" t="s">
        <v>10</v>
      </c>
      <c r="EL204" s="24" t="s">
        <v>10</v>
      </c>
      <c r="EM204" s="24" t="s">
        <v>10</v>
      </c>
      <c r="EN204" s="24" t="s">
        <v>10</v>
      </c>
      <c r="EO204" s="24" t="s">
        <v>10</v>
      </c>
      <c r="EP204" s="24" t="s">
        <v>10</v>
      </c>
      <c r="EQ204" s="24" t="s">
        <v>10</v>
      </c>
      <c r="ER204" s="24" t="s">
        <v>10</v>
      </c>
      <c r="ES204" s="24" t="s">
        <v>10</v>
      </c>
      <c r="ET204" s="24" t="s">
        <v>10</v>
      </c>
      <c r="EU204" s="24" t="s">
        <v>10</v>
      </c>
      <c r="EV204" s="24" t="s">
        <v>10</v>
      </c>
      <c r="EW204" s="24" t="s">
        <v>10</v>
      </c>
      <c r="EX204" s="24" t="s">
        <v>10</v>
      </c>
      <c r="EY204" s="24" t="s">
        <v>10</v>
      </c>
      <c r="EZ204" s="24" t="s">
        <v>10</v>
      </c>
      <c r="FA204" s="24" t="s">
        <v>10</v>
      </c>
      <c r="FB204" s="24" t="s">
        <v>10</v>
      </c>
      <c r="FC204" s="24" t="s">
        <v>10</v>
      </c>
      <c r="FD204" s="24" t="s">
        <v>10</v>
      </c>
      <c r="FE204" s="24" t="s">
        <v>10</v>
      </c>
      <c r="FF204" s="24" t="s">
        <v>10</v>
      </c>
      <c r="FG204" s="24" t="s">
        <v>10</v>
      </c>
      <c r="FH204" s="24" t="s">
        <v>10</v>
      </c>
      <c r="FI204" s="24" t="s">
        <v>10</v>
      </c>
      <c r="FJ204" s="24" t="s">
        <v>10</v>
      </c>
      <c r="FK204" s="24" t="s">
        <v>10</v>
      </c>
      <c r="FL204" s="24" t="s">
        <v>10</v>
      </c>
      <c r="FM204" s="24" t="s">
        <v>10</v>
      </c>
      <c r="FN204" s="24" t="s">
        <v>10</v>
      </c>
      <c r="FO204" s="24" t="s">
        <v>10</v>
      </c>
      <c r="FP204" s="24" t="s">
        <v>10</v>
      </c>
      <c r="FQ204" s="24" t="s">
        <v>10</v>
      </c>
      <c r="FR204" s="24" t="s">
        <v>10</v>
      </c>
      <c r="FS204" s="24" t="s">
        <v>10</v>
      </c>
      <c r="FT204" s="24" t="s">
        <v>10</v>
      </c>
      <c r="FU204" s="24" t="s">
        <v>10</v>
      </c>
      <c r="FV204" s="24" t="s">
        <v>10</v>
      </c>
      <c r="FW204" s="24" t="s">
        <v>10</v>
      </c>
      <c r="FX204" s="24" t="s">
        <v>10</v>
      </c>
      <c r="FY204" s="24" t="s">
        <v>10</v>
      </c>
      <c r="FZ204" s="24" t="s">
        <v>10</v>
      </c>
      <c r="GA204" s="24" t="s">
        <v>10</v>
      </c>
      <c r="GB204" s="24" t="s">
        <v>10</v>
      </c>
      <c r="GC204" s="24" t="s">
        <v>10</v>
      </c>
      <c r="GD204" s="24" t="s">
        <v>10</v>
      </c>
      <c r="GE204" s="24" t="s">
        <v>10</v>
      </c>
      <c r="GF204" s="24" t="s">
        <v>10</v>
      </c>
      <c r="GG204" s="24" t="s">
        <v>10</v>
      </c>
      <c r="GH204" s="24" t="s">
        <v>10</v>
      </c>
      <c r="GI204" s="24" t="s">
        <v>10</v>
      </c>
      <c r="GJ204" s="24" t="s">
        <v>10</v>
      </c>
      <c r="GK204" s="24" t="s">
        <v>10</v>
      </c>
      <c r="GL204" s="24" t="s">
        <v>10</v>
      </c>
      <c r="GM204" s="24" t="s">
        <v>10</v>
      </c>
      <c r="GN204" s="24" t="s">
        <v>10</v>
      </c>
      <c r="GO204" s="24" t="s">
        <v>10</v>
      </c>
      <c r="GP204" s="24" t="s">
        <v>10</v>
      </c>
      <c r="GQ204" s="24" t="s">
        <v>10</v>
      </c>
      <c r="GR204" s="24" t="s">
        <v>10</v>
      </c>
      <c r="GS204" s="24" t="s">
        <v>10</v>
      </c>
      <c r="GT204" s="24" t="s">
        <v>10</v>
      </c>
      <c r="GU204" s="24" t="s">
        <v>10</v>
      </c>
      <c r="GV204" s="24" t="s">
        <v>10</v>
      </c>
      <c r="GW204" s="24" t="s">
        <v>10</v>
      </c>
      <c r="GX204" s="24" t="s">
        <v>10</v>
      </c>
      <c r="GY204" s="24" t="s">
        <v>10</v>
      </c>
      <c r="GZ204" s="24" t="s">
        <v>10</v>
      </c>
      <c r="HA204" s="24" t="s">
        <v>10</v>
      </c>
      <c r="HB204" s="24" t="s">
        <v>10</v>
      </c>
      <c r="HC204" s="24" t="s">
        <v>10</v>
      </c>
      <c r="HD204" s="24" t="s">
        <v>10</v>
      </c>
      <c r="HE204" s="24" t="s">
        <v>10</v>
      </c>
      <c r="HF204" s="24" t="s">
        <v>10</v>
      </c>
      <c r="HG204" s="24" t="s">
        <v>10</v>
      </c>
      <c r="HH204" s="24" t="s">
        <v>10</v>
      </c>
      <c r="HI204" s="24" t="s">
        <v>10</v>
      </c>
      <c r="HJ204" s="24" t="s">
        <v>10</v>
      </c>
      <c r="HK204" s="24" t="s">
        <v>10</v>
      </c>
      <c r="HL204" s="24" t="s">
        <v>10</v>
      </c>
      <c r="HM204" s="24" t="s">
        <v>10</v>
      </c>
      <c r="HN204" s="24" t="s">
        <v>10</v>
      </c>
      <c r="HO204" s="24" t="s">
        <v>10</v>
      </c>
      <c r="HP204" s="24" t="s">
        <v>10</v>
      </c>
      <c r="HQ204" s="45" t="s">
        <v>10</v>
      </c>
      <c r="HR204" s="45" t="s">
        <v>10</v>
      </c>
      <c r="HS204" s="45" t="s">
        <v>10</v>
      </c>
      <c r="HT204" s="45" t="s">
        <v>10</v>
      </c>
      <c r="HU204" s="45" t="s">
        <v>10</v>
      </c>
      <c r="HV204" s="45" t="s">
        <v>10</v>
      </c>
      <c r="HW204" s="45" t="s">
        <v>10</v>
      </c>
      <c r="HX204" s="45" t="s">
        <v>10</v>
      </c>
      <c r="HY204" s="45" t="s">
        <v>10</v>
      </c>
      <c r="HZ204" s="45" t="s">
        <v>10</v>
      </c>
      <c r="IA204" s="45" t="s">
        <v>10</v>
      </c>
      <c r="IB204" s="45" t="s">
        <v>10</v>
      </c>
      <c r="IC204" s="45" t="s">
        <v>10</v>
      </c>
      <c r="ID204" s="45" t="s">
        <v>10</v>
      </c>
      <c r="IE204" s="45" t="s">
        <v>10</v>
      </c>
      <c r="IF204" s="45" t="s">
        <v>10</v>
      </c>
      <c r="IG204" s="45" t="s">
        <v>10</v>
      </c>
      <c r="IH204" s="45" t="s">
        <v>10</v>
      </c>
      <c r="II204" s="45" t="s">
        <v>10</v>
      </c>
      <c r="IJ204" s="45" t="s">
        <v>10</v>
      </c>
      <c r="IK204" s="45" t="s">
        <v>10</v>
      </c>
      <c r="IL204" s="45" t="s">
        <v>10</v>
      </c>
      <c r="IM204" s="45" t="s">
        <v>10</v>
      </c>
      <c r="IN204" s="45" t="s">
        <v>10</v>
      </c>
      <c r="IO204" s="45" t="s">
        <v>10</v>
      </c>
      <c r="IP204" s="58" t="s">
        <v>10</v>
      </c>
      <c r="IQ204" s="45" t="s">
        <v>10</v>
      </c>
      <c r="IR204" s="45" t="s">
        <v>10</v>
      </c>
      <c r="IS204" s="45" t="s">
        <v>10</v>
      </c>
      <c r="IT204" s="45" t="s">
        <v>10</v>
      </c>
      <c r="IU204" s="45" t="s">
        <v>10</v>
      </c>
      <c r="IV204" s="58" t="s">
        <v>10</v>
      </c>
      <c r="IW204" s="45" t="s">
        <v>10</v>
      </c>
      <c r="IX204" s="45" t="s">
        <v>10</v>
      </c>
      <c r="IY204" s="45" t="s">
        <v>10</v>
      </c>
      <c r="IZ204" s="45" t="s">
        <v>10</v>
      </c>
      <c r="JA204" s="45" t="s">
        <v>10</v>
      </c>
      <c r="JB204" s="45" t="s">
        <v>10</v>
      </c>
      <c r="JC204" s="45" t="s">
        <v>10</v>
      </c>
      <c r="JD204" s="45" t="s">
        <v>10</v>
      </c>
      <c r="JE204" s="45" t="s">
        <v>10</v>
      </c>
      <c r="JF204" s="45" t="s">
        <v>10</v>
      </c>
      <c r="JG204" s="45" t="s">
        <v>10</v>
      </c>
      <c r="JH204" s="45" t="s">
        <v>10</v>
      </c>
      <c r="JI204" s="45" t="s">
        <v>10</v>
      </c>
      <c r="JJ204" s="45" t="s">
        <v>10</v>
      </c>
      <c r="JK204" s="45" t="s">
        <v>10</v>
      </c>
      <c r="JL204" s="45" t="s">
        <v>10</v>
      </c>
      <c r="JM204" s="45" t="s">
        <v>10</v>
      </c>
      <c r="JN204" s="45" t="s">
        <v>10</v>
      </c>
      <c r="JO204" s="45" t="s">
        <v>10</v>
      </c>
      <c r="JP204" s="45" t="s">
        <v>10</v>
      </c>
      <c r="JQ204" s="45" t="s">
        <v>10</v>
      </c>
      <c r="JR204" s="45" t="s">
        <v>10</v>
      </c>
      <c r="JS204" s="45" t="s">
        <v>10</v>
      </c>
      <c r="JT204" s="45" t="s">
        <v>10</v>
      </c>
      <c r="JU204" s="45" t="s">
        <v>10</v>
      </c>
      <c r="JV204" s="45" t="s">
        <v>10</v>
      </c>
      <c r="JW204" s="45" t="s">
        <v>10</v>
      </c>
      <c r="JX204" s="45" t="s">
        <v>10</v>
      </c>
      <c r="JY204" s="45" t="s">
        <v>10</v>
      </c>
      <c r="JZ204" s="45" t="s">
        <v>10</v>
      </c>
      <c r="KA204" s="45" t="s">
        <v>10</v>
      </c>
      <c r="KB204" s="45" t="s">
        <v>10</v>
      </c>
      <c r="KC204" s="45" t="s">
        <v>10</v>
      </c>
      <c r="KD204" s="45" t="s">
        <v>10</v>
      </c>
      <c r="KE204" s="45" t="s">
        <v>10</v>
      </c>
      <c r="KF204" s="45" t="s">
        <v>10</v>
      </c>
      <c r="KG204" s="45" t="s">
        <v>10</v>
      </c>
      <c r="KH204" s="45" t="s">
        <v>10</v>
      </c>
      <c r="KI204" s="45" t="s">
        <v>10</v>
      </c>
      <c r="KJ204" s="45" t="s">
        <v>10</v>
      </c>
      <c r="KK204" s="45" t="s">
        <v>10</v>
      </c>
      <c r="KL204" s="58" t="s">
        <v>10</v>
      </c>
      <c r="KM204" s="45" t="s">
        <v>10</v>
      </c>
      <c r="KN204" s="45" t="s">
        <v>10</v>
      </c>
      <c r="KO204" s="45" t="s">
        <v>10</v>
      </c>
      <c r="KP204" s="45" t="s">
        <v>10</v>
      </c>
      <c r="KQ204" s="45" t="s">
        <v>10</v>
      </c>
      <c r="KR204" s="58" t="s">
        <v>10</v>
      </c>
      <c r="KS204" s="45" t="s">
        <v>10</v>
      </c>
      <c r="KT204" s="45" t="s">
        <v>10</v>
      </c>
      <c r="KU204" s="45" t="s">
        <v>10</v>
      </c>
      <c r="KV204" s="45" t="s">
        <v>10</v>
      </c>
      <c r="KW204" s="45" t="s">
        <v>10</v>
      </c>
      <c r="KX204" s="58" t="s">
        <v>10</v>
      </c>
      <c r="KY204" s="45" t="s">
        <v>10</v>
      </c>
      <c r="KZ204" s="45" t="s">
        <v>10</v>
      </c>
      <c r="LA204" s="45" t="s">
        <v>10</v>
      </c>
      <c r="LB204" s="45" t="s">
        <v>10</v>
      </c>
      <c r="LC204" s="45" t="s">
        <v>10</v>
      </c>
      <c r="LD204" s="58" t="s">
        <v>10</v>
      </c>
      <c r="LE204" s="45" t="s">
        <v>10</v>
      </c>
      <c r="LF204" s="45" t="s">
        <v>10</v>
      </c>
      <c r="LG204" s="45" t="s">
        <v>10</v>
      </c>
      <c r="LH204" s="45" t="s">
        <v>10</v>
      </c>
      <c r="LI204" s="45" t="s">
        <v>10</v>
      </c>
      <c r="LJ204" s="58" t="s">
        <v>10</v>
      </c>
      <c r="LK204" s="45" t="s">
        <v>10</v>
      </c>
      <c r="LL204" s="45" t="s">
        <v>10</v>
      </c>
      <c r="LM204" s="45" t="s">
        <v>10</v>
      </c>
      <c r="LN204" s="45" t="s">
        <v>10</v>
      </c>
      <c r="LO204" s="45" t="s">
        <v>10</v>
      </c>
      <c r="LP204" s="58" t="s">
        <v>10</v>
      </c>
      <c r="LQ204" s="45" t="s">
        <v>10</v>
      </c>
      <c r="LR204" s="45" t="s">
        <v>10</v>
      </c>
      <c r="LS204" s="45" t="s">
        <v>10</v>
      </c>
      <c r="LT204" s="45" t="s">
        <v>10</v>
      </c>
      <c r="LU204" s="45" t="s">
        <v>10</v>
      </c>
      <c r="LV204" s="58" t="s">
        <v>10</v>
      </c>
      <c r="LW204" s="45" t="s">
        <v>10</v>
      </c>
      <c r="LX204" s="45" t="s">
        <v>10</v>
      </c>
      <c r="LY204" s="45" t="s">
        <v>10</v>
      </c>
      <c r="LZ204" s="45" t="s">
        <v>10</v>
      </c>
      <c r="MA204" s="45" t="s">
        <v>10</v>
      </c>
      <c r="MB204" s="58" t="s">
        <v>10</v>
      </c>
      <c r="MC204" s="45" t="s">
        <v>10</v>
      </c>
      <c r="MD204" s="45" t="s">
        <v>10</v>
      </c>
      <c r="ME204" s="45" t="s">
        <v>10</v>
      </c>
      <c r="MF204" s="45" t="s">
        <v>10</v>
      </c>
      <c r="MG204" s="45" t="s">
        <v>10</v>
      </c>
      <c r="MH204" s="58" t="s">
        <v>10</v>
      </c>
      <c r="MI204" s="45" t="s">
        <v>10</v>
      </c>
      <c r="MJ204" s="45" t="s">
        <v>10</v>
      </c>
      <c r="MK204" s="45" t="s">
        <v>10</v>
      </c>
      <c r="ML204" s="45" t="s">
        <v>10</v>
      </c>
      <c r="MM204" s="45" t="s">
        <v>10</v>
      </c>
      <c r="MN204" s="58" t="s">
        <v>10</v>
      </c>
      <c r="MO204" s="45" t="s">
        <v>10</v>
      </c>
      <c r="MP204" s="45" t="s">
        <v>10</v>
      </c>
      <c r="MQ204" s="45" t="s">
        <v>10</v>
      </c>
      <c r="MR204" s="45" t="s">
        <v>10</v>
      </c>
      <c r="MS204" s="45" t="s">
        <v>10</v>
      </c>
      <c r="MT204" s="58" t="s">
        <v>10</v>
      </c>
      <c r="MU204" s="45" t="s">
        <v>10</v>
      </c>
      <c r="MV204" s="45" t="s">
        <v>10</v>
      </c>
      <c r="MW204" s="45" t="s">
        <v>10</v>
      </c>
      <c r="MX204" s="45" t="s">
        <v>10</v>
      </c>
      <c r="MY204" s="45" t="s">
        <v>10</v>
      </c>
      <c r="MZ204" s="58" t="s">
        <v>10</v>
      </c>
      <c r="NA204" s="45" t="s">
        <v>10</v>
      </c>
      <c r="NB204" s="45" t="s">
        <v>10</v>
      </c>
      <c r="NC204" s="45" t="s">
        <v>10</v>
      </c>
      <c r="ND204" s="45" t="s">
        <v>10</v>
      </c>
      <c r="NE204" s="45" t="s">
        <v>10</v>
      </c>
      <c r="NF204" s="58" t="s">
        <v>10</v>
      </c>
      <c r="NG204" s="45" t="s">
        <v>10</v>
      </c>
      <c r="NH204" s="45" t="s">
        <v>10</v>
      </c>
      <c r="NI204" s="45" t="s">
        <v>10</v>
      </c>
      <c r="NJ204" s="45" t="s">
        <v>10</v>
      </c>
      <c r="NK204" s="45" t="s">
        <v>10</v>
      </c>
      <c r="NL204" s="58" t="s">
        <v>10</v>
      </c>
      <c r="NM204" s="45" t="s">
        <v>10</v>
      </c>
    </row>
    <row r="205" spans="2:377" ht="15.75" customHeight="1">
      <c r="J205" s="19"/>
      <c r="P205" s="19"/>
      <c r="V205" s="19"/>
      <c r="AB205" s="19"/>
      <c r="AH205" s="19"/>
      <c r="AN205" s="19"/>
      <c r="AT205" s="19"/>
      <c r="AZ205" s="19"/>
      <c r="BF205" s="19"/>
      <c r="BL205" s="19"/>
      <c r="BR205" s="19"/>
      <c r="BX205" s="19"/>
      <c r="CD205" s="19"/>
      <c r="CJ205" s="19"/>
      <c r="CP205" s="19"/>
      <c r="CV205" s="19"/>
      <c r="DB205" s="19"/>
      <c r="DH205" s="19"/>
      <c r="DN205" s="19"/>
      <c r="DT205" s="19"/>
      <c r="DZ205" s="19"/>
      <c r="EF205" s="19"/>
      <c r="EL205" s="19"/>
      <c r="ER205" s="19"/>
      <c r="EX205" s="19"/>
      <c r="FD205" s="19"/>
      <c r="FJ205" s="19"/>
      <c r="FP205" s="19"/>
      <c r="FV205" s="19"/>
      <c r="GB205" s="19"/>
      <c r="GH205" s="19"/>
      <c r="GN205" s="19"/>
      <c r="GT205" s="19"/>
      <c r="GZ205" s="19"/>
      <c r="HF205" s="19"/>
      <c r="HL205" s="19"/>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actioncard</vt:lpstr>
      <vt:lpstr>actiondata</vt:lpstr>
      <vt:lpstr>Action Cards</vt:lpstr>
      <vt:lpstr>actioncard!Print_Area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竹村真人</dc:creator>
  <cp:lastModifiedBy>take</cp:lastModifiedBy>
  <cp:lastPrinted>2019-09-09T10:38:45Z</cp:lastPrinted>
  <dcterms:created xsi:type="dcterms:W3CDTF">2019-09-06T06:58:57Z</dcterms:created>
  <dcterms:modified xsi:type="dcterms:W3CDTF">2019-09-10T03:09:48Z</dcterms:modified>
</cp:coreProperties>
</file>