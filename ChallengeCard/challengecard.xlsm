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e\Desktop\RwandaCard\ChallengeCard\"/>
    </mc:Choice>
  </mc:AlternateContent>
  <xr:revisionPtr revIDLastSave="0" documentId="13_ncr:1_{1CC71037-B603-4DD4-BB34-29DE21816A63}" xr6:coauthVersionLast="44" xr6:coauthVersionMax="44" xr10:uidLastSave="{00000000-0000-0000-0000-000000000000}"/>
  <bookViews>
    <workbookView xWindow="-120" yWindow="-120" windowWidth="21840" windowHeight="13140" xr2:uid="{00000000-000D-0000-FFFF-FFFF00000000}"/>
  </bookViews>
  <sheets>
    <sheet name="card" sheetId="3" r:id="rId1"/>
    <sheet name="data" sheetId="2" r:id="rId2"/>
    <sheet name="ChallengeCard" sheetId="5" r:id="rId3"/>
  </sheets>
  <definedNames>
    <definedName name="_xlnm.Print_Area" localSheetId="0">card!$A$1:$O$14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6" i="3" l="1"/>
  <c r="Q6" i="3" l="1"/>
  <c r="A1" i="3" s="1"/>
  <c r="B16" i="3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4" i="2"/>
  <c r="H7" i="2" l="1"/>
  <c r="I7" i="2"/>
  <c r="J7" i="2"/>
  <c r="K7" i="2"/>
  <c r="L7" i="2"/>
  <c r="M7" i="2"/>
  <c r="N7" i="2"/>
  <c r="E8" i="2"/>
  <c r="F8" i="2"/>
  <c r="G8" i="2"/>
  <c r="H8" i="2"/>
  <c r="I8" i="2"/>
  <c r="J8" i="2"/>
  <c r="K8" i="2"/>
  <c r="L8" i="2"/>
  <c r="M8" i="2"/>
  <c r="N8" i="2"/>
  <c r="E9" i="2"/>
  <c r="F9" i="2"/>
  <c r="G9" i="2"/>
  <c r="H9" i="2"/>
  <c r="I9" i="2"/>
  <c r="J9" i="2"/>
  <c r="K9" i="2"/>
  <c r="L9" i="2"/>
  <c r="M9" i="2"/>
  <c r="N9" i="2"/>
  <c r="E10" i="2"/>
  <c r="F10" i="2"/>
  <c r="G10" i="2"/>
  <c r="H10" i="2"/>
  <c r="I10" i="2"/>
  <c r="J10" i="2"/>
  <c r="K10" i="2"/>
  <c r="L10" i="2"/>
  <c r="M10" i="2"/>
  <c r="N10" i="2"/>
  <c r="E11" i="2"/>
  <c r="F11" i="2"/>
  <c r="G11" i="2"/>
  <c r="H11" i="2"/>
  <c r="I11" i="2"/>
  <c r="J11" i="2"/>
  <c r="K11" i="2"/>
  <c r="L11" i="2"/>
  <c r="M11" i="2"/>
  <c r="N11" i="2"/>
  <c r="E12" i="2"/>
  <c r="F12" i="2"/>
  <c r="G12" i="2"/>
  <c r="H12" i="2"/>
  <c r="I12" i="2"/>
  <c r="J12" i="2"/>
  <c r="K12" i="2"/>
  <c r="L12" i="2"/>
  <c r="M12" i="2"/>
  <c r="N12" i="2"/>
  <c r="E13" i="2"/>
  <c r="F13" i="2"/>
  <c r="G13" i="2"/>
  <c r="H13" i="2"/>
  <c r="I13" i="2"/>
  <c r="J13" i="2"/>
  <c r="K13" i="2"/>
  <c r="L13" i="2"/>
  <c r="M13" i="2"/>
  <c r="N13" i="2"/>
  <c r="E14" i="2"/>
  <c r="F14" i="2"/>
  <c r="G14" i="2"/>
  <c r="H14" i="2"/>
  <c r="I14" i="2"/>
  <c r="J14" i="2"/>
  <c r="K14" i="2"/>
  <c r="L14" i="2"/>
  <c r="M14" i="2"/>
  <c r="N14" i="2"/>
  <c r="E15" i="2"/>
  <c r="F15" i="2"/>
  <c r="G15" i="2"/>
  <c r="H15" i="2"/>
  <c r="I15" i="2"/>
  <c r="J15" i="2"/>
  <c r="K15" i="2"/>
  <c r="L15" i="2"/>
  <c r="M15" i="2"/>
  <c r="N15" i="2"/>
  <c r="E16" i="2"/>
  <c r="F16" i="2"/>
  <c r="G16" i="2"/>
  <c r="H16" i="2"/>
  <c r="I16" i="2"/>
  <c r="J16" i="2"/>
  <c r="K16" i="2"/>
  <c r="L16" i="2"/>
  <c r="M16" i="2"/>
  <c r="N16" i="2"/>
  <c r="E17" i="2"/>
  <c r="F17" i="2"/>
  <c r="G17" i="2"/>
  <c r="H17" i="2"/>
  <c r="I17" i="2"/>
  <c r="J17" i="2"/>
  <c r="K17" i="2"/>
  <c r="L17" i="2"/>
  <c r="M17" i="2"/>
  <c r="N17" i="2"/>
  <c r="E18" i="2"/>
  <c r="F18" i="2"/>
  <c r="G18" i="2"/>
  <c r="H18" i="2"/>
  <c r="I18" i="2"/>
  <c r="J18" i="2"/>
  <c r="K18" i="2"/>
  <c r="L18" i="2"/>
  <c r="M18" i="2"/>
  <c r="N18" i="2"/>
  <c r="E19" i="2"/>
  <c r="F19" i="2"/>
  <c r="G19" i="2"/>
  <c r="H19" i="2"/>
  <c r="I19" i="2"/>
  <c r="J19" i="2"/>
  <c r="K19" i="2"/>
  <c r="L19" i="2"/>
  <c r="M19" i="2"/>
  <c r="N19" i="2"/>
  <c r="E20" i="2"/>
  <c r="F20" i="2"/>
  <c r="G20" i="2"/>
  <c r="H20" i="2"/>
  <c r="I20" i="2"/>
  <c r="J20" i="2"/>
  <c r="K20" i="2"/>
  <c r="L20" i="2"/>
  <c r="M20" i="2"/>
  <c r="N20" i="2"/>
  <c r="D227" i="5" l="1"/>
  <c r="D226" i="5" s="1"/>
  <c r="D225" i="5" s="1"/>
  <c r="D224" i="5" s="1"/>
  <c r="D223" i="5" s="1"/>
  <c r="D222" i="5" s="1"/>
  <c r="D221" i="5" s="1"/>
  <c r="D220" i="5" s="1"/>
  <c r="D219" i="5" s="1"/>
  <c r="D218" i="5" s="1"/>
  <c r="D217" i="5" s="1"/>
  <c r="D216" i="5" s="1"/>
  <c r="D215" i="5" s="1"/>
  <c r="D214" i="5" s="1"/>
  <c r="D213" i="5" s="1"/>
  <c r="D212" i="5" s="1"/>
  <c r="D211" i="5" s="1"/>
  <c r="D210" i="5" s="1"/>
  <c r="D209" i="5" s="1"/>
  <c r="D208" i="5" s="1"/>
  <c r="D207" i="5" s="1"/>
  <c r="D206" i="5" s="1"/>
  <c r="D205" i="5" s="1"/>
  <c r="D204" i="5" s="1"/>
  <c r="D203" i="5" s="1"/>
  <c r="D202" i="5" s="1"/>
  <c r="D201" i="5" s="1"/>
  <c r="D200" i="5" s="1"/>
  <c r="D199" i="5" s="1"/>
  <c r="D198" i="5" s="1"/>
  <c r="D197" i="5" s="1"/>
  <c r="D196" i="5" s="1"/>
  <c r="D195" i="5" s="1"/>
  <c r="D194" i="5" s="1"/>
  <c r="E227" i="5"/>
  <c r="E226" i="5" s="1"/>
  <c r="E225" i="5" s="1"/>
  <c r="E224" i="5" s="1"/>
  <c r="E223" i="5" s="1"/>
  <c r="E222" i="5" s="1"/>
  <c r="E221" i="5" s="1"/>
  <c r="E220" i="5" s="1"/>
  <c r="E219" i="5" s="1"/>
  <c r="E218" i="5" s="1"/>
  <c r="E217" i="5" s="1"/>
  <c r="E216" i="5" s="1"/>
  <c r="E215" i="5" s="1"/>
  <c r="E214" i="5" s="1"/>
  <c r="E213" i="5" s="1"/>
  <c r="E212" i="5" s="1"/>
  <c r="E211" i="5" s="1"/>
  <c r="E210" i="5" s="1"/>
  <c r="E209" i="5" s="1"/>
  <c r="E208" i="5" s="1"/>
  <c r="E207" i="5" s="1"/>
  <c r="E206" i="5" s="1"/>
  <c r="E205" i="5" s="1"/>
  <c r="E204" i="5" s="1"/>
  <c r="E203" i="5" s="1"/>
  <c r="E202" i="5" s="1"/>
  <c r="E201" i="5" s="1"/>
  <c r="E200" i="5" s="1"/>
  <c r="E199" i="5" s="1"/>
  <c r="E198" i="5" s="1"/>
  <c r="E197" i="5" s="1"/>
  <c r="E196" i="5" s="1"/>
  <c r="E195" i="5" s="1"/>
  <c r="E194" i="5" s="1"/>
  <c r="E193" i="5" s="1"/>
  <c r="E192" i="5" s="1"/>
  <c r="E191" i="5" s="1"/>
  <c r="E190" i="5" s="1"/>
  <c r="E189" i="5" s="1"/>
  <c r="E188" i="5" s="1"/>
  <c r="E187" i="5" s="1"/>
  <c r="E186" i="5" s="1"/>
  <c r="E185" i="5" s="1"/>
  <c r="E184" i="5" s="1"/>
  <c r="E183" i="5" s="1"/>
  <c r="E182" i="5" s="1"/>
  <c r="E181" i="5" s="1"/>
  <c r="E180" i="5" s="1"/>
  <c r="E179" i="5" s="1"/>
  <c r="E178" i="5" s="1"/>
  <c r="E177" i="5" s="1"/>
  <c r="E176" i="5" s="1"/>
  <c r="E175" i="5" s="1"/>
  <c r="E174" i="5" s="1"/>
  <c r="E173" i="5" s="1"/>
  <c r="E172" i="5" s="1"/>
  <c r="E171" i="5" s="1"/>
  <c r="E170" i="5" s="1"/>
  <c r="E169" i="5" s="1"/>
  <c r="E168" i="5" s="1"/>
  <c r="E167" i="5" s="1"/>
  <c r="E166" i="5" s="1"/>
  <c r="E165" i="5" s="1"/>
  <c r="E164" i="5" s="1"/>
  <c r="E163" i="5" s="1"/>
  <c r="E162" i="5" s="1"/>
  <c r="E161" i="5" s="1"/>
  <c r="E160" i="5" s="1"/>
  <c r="E159" i="5" s="1"/>
  <c r="E158" i="5" s="1"/>
  <c r="E157" i="5" s="1"/>
  <c r="E156" i="5" s="1"/>
  <c r="E155" i="5" s="1"/>
  <c r="E154" i="5" s="1"/>
  <c r="E153" i="5" s="1"/>
  <c r="E152" i="5" s="1"/>
  <c r="E151" i="5" s="1"/>
  <c r="E150" i="5" s="1"/>
  <c r="E149" i="5" s="1"/>
  <c r="E148" i="5" s="1"/>
  <c r="E147" i="5" s="1"/>
  <c r="E146" i="5" s="1"/>
  <c r="E145" i="5" s="1"/>
  <c r="E144" i="5" s="1"/>
  <c r="E143" i="5" s="1"/>
  <c r="E142" i="5" s="1"/>
  <c r="E141" i="5" s="1"/>
  <c r="E140" i="5" s="1"/>
  <c r="E139" i="5" s="1"/>
  <c r="E138" i="5" s="1"/>
  <c r="E137" i="5" s="1"/>
  <c r="E136" i="5" s="1"/>
  <c r="E135" i="5" s="1"/>
  <c r="E134" i="5" s="1"/>
  <c r="E133" i="5" s="1"/>
  <c r="E132" i="5" s="1"/>
  <c r="E131" i="5" s="1"/>
  <c r="E130" i="5" s="1"/>
  <c r="E129" i="5" s="1"/>
  <c r="F227" i="5"/>
  <c r="F226" i="5" s="1"/>
  <c r="F225" i="5" s="1"/>
  <c r="F224" i="5" s="1"/>
  <c r="F223" i="5" s="1"/>
  <c r="F222" i="5" s="1"/>
  <c r="F221" i="5" s="1"/>
  <c r="F220" i="5" s="1"/>
  <c r="F219" i="5" s="1"/>
  <c r="F218" i="5" s="1"/>
  <c r="F217" i="5" s="1"/>
  <c r="F216" i="5" s="1"/>
  <c r="F215" i="5" s="1"/>
  <c r="F214" i="5" s="1"/>
  <c r="F213" i="5" s="1"/>
  <c r="F212" i="5" s="1"/>
  <c r="F211" i="5" s="1"/>
  <c r="G227" i="5"/>
  <c r="G226" i="5" s="1"/>
  <c r="G225" i="5" s="1"/>
  <c r="G224" i="5" s="1"/>
  <c r="G223" i="5" s="1"/>
  <c r="G222" i="5" s="1"/>
  <c r="G221" i="5" s="1"/>
  <c r="G220" i="5" s="1"/>
  <c r="G219" i="5" s="1"/>
  <c r="G218" i="5" s="1"/>
  <c r="G217" i="5" s="1"/>
  <c r="G216" i="5" s="1"/>
  <c r="G215" i="5" s="1"/>
  <c r="G214" i="5" s="1"/>
  <c r="G213" i="5" s="1"/>
  <c r="G212" i="5" s="1"/>
  <c r="G211" i="5" s="1"/>
  <c r="G210" i="5" s="1"/>
  <c r="G209" i="5" s="1"/>
  <c r="G208" i="5" s="1"/>
  <c r="G207" i="5" s="1"/>
  <c r="G206" i="5" s="1"/>
  <c r="G205" i="5" s="1"/>
  <c r="G204" i="5" s="1"/>
  <c r="G203" i="5" s="1"/>
  <c r="G202" i="5" s="1"/>
  <c r="G201" i="5" s="1"/>
  <c r="G200" i="5" s="1"/>
  <c r="G199" i="5" s="1"/>
  <c r="G198" i="5" s="1"/>
  <c r="G197" i="5" s="1"/>
  <c r="G196" i="5" s="1"/>
  <c r="G195" i="5" s="1"/>
  <c r="G194" i="5" s="1"/>
  <c r="H227" i="5"/>
  <c r="H226" i="5" s="1"/>
  <c r="H225" i="5" s="1"/>
  <c r="H224" i="5" s="1"/>
  <c r="H223" i="5" s="1"/>
  <c r="H222" i="5" s="1"/>
  <c r="H221" i="5" s="1"/>
  <c r="H220" i="5" s="1"/>
  <c r="H219" i="5" s="1"/>
  <c r="H218" i="5" s="1"/>
  <c r="H217" i="5" s="1"/>
  <c r="H216" i="5" s="1"/>
  <c r="H215" i="5" s="1"/>
  <c r="H214" i="5" s="1"/>
  <c r="H213" i="5" s="1"/>
  <c r="H212" i="5" s="1"/>
  <c r="H211" i="5" s="1"/>
  <c r="I227" i="5"/>
  <c r="I226" i="5" s="1"/>
  <c r="I225" i="5" s="1"/>
  <c r="I224" i="5" s="1"/>
  <c r="I223" i="5" s="1"/>
  <c r="I222" i="5" s="1"/>
  <c r="I221" i="5" s="1"/>
  <c r="I220" i="5" s="1"/>
  <c r="I219" i="5" s="1"/>
  <c r="I218" i="5" s="1"/>
  <c r="I217" i="5" s="1"/>
  <c r="I216" i="5" s="1"/>
  <c r="I215" i="5" s="1"/>
  <c r="I214" i="5" s="1"/>
  <c r="I213" i="5" s="1"/>
  <c r="I212" i="5" s="1"/>
  <c r="I211" i="5" s="1"/>
  <c r="I210" i="5" s="1"/>
  <c r="I209" i="5" s="1"/>
  <c r="I208" i="5" s="1"/>
  <c r="J227" i="5"/>
  <c r="J226" i="5" s="1"/>
  <c r="J225" i="5" s="1"/>
  <c r="J224" i="5" s="1"/>
  <c r="J223" i="5" s="1"/>
  <c r="J222" i="5" s="1"/>
  <c r="J221" i="5" s="1"/>
  <c r="J220" i="5" s="1"/>
  <c r="J219" i="5" s="1"/>
  <c r="J218" i="5" s="1"/>
  <c r="J217" i="5" s="1"/>
  <c r="J216" i="5" s="1"/>
  <c r="J215" i="5" s="1"/>
  <c r="J214" i="5" s="1"/>
  <c r="J213" i="5" s="1"/>
  <c r="J212" i="5" s="1"/>
  <c r="J211" i="5" s="1"/>
  <c r="J210" i="5" s="1"/>
  <c r="J209" i="5" s="1"/>
  <c r="J208" i="5" s="1"/>
  <c r="J207" i="5" s="1"/>
  <c r="J206" i="5" s="1"/>
  <c r="J205" i="5" s="1"/>
  <c r="J204" i="5" s="1"/>
  <c r="J203" i="5" s="1"/>
  <c r="J202" i="5" s="1"/>
  <c r="J201" i="5" s="1"/>
  <c r="J200" i="5" s="1"/>
  <c r="J199" i="5" s="1"/>
  <c r="J198" i="5" s="1"/>
  <c r="J197" i="5" s="1"/>
  <c r="J196" i="5" s="1"/>
  <c r="J195" i="5" s="1"/>
  <c r="J194" i="5" s="1"/>
  <c r="J193" i="5" s="1"/>
  <c r="J192" i="5" s="1"/>
  <c r="J191" i="5" s="1"/>
  <c r="J190" i="5" s="1"/>
  <c r="K227" i="5"/>
  <c r="K226" i="5" s="1"/>
  <c r="K225" i="5" s="1"/>
  <c r="K224" i="5" s="1"/>
  <c r="K223" i="5" s="1"/>
  <c r="K222" i="5" s="1"/>
  <c r="K221" i="5" s="1"/>
  <c r="K220" i="5" s="1"/>
  <c r="K219" i="5" s="1"/>
  <c r="K218" i="5" s="1"/>
  <c r="K217" i="5" s="1"/>
  <c r="K216" i="5" s="1"/>
  <c r="K215" i="5" s="1"/>
  <c r="K214" i="5" s="1"/>
  <c r="K213" i="5" s="1"/>
  <c r="K212" i="5" s="1"/>
  <c r="K211" i="5" s="1"/>
  <c r="K210" i="5" s="1"/>
  <c r="K209" i="5" s="1"/>
  <c r="K208" i="5" s="1"/>
  <c r="K207" i="5" s="1"/>
  <c r="K206" i="5" s="1"/>
  <c r="K205" i="5" s="1"/>
  <c r="K204" i="5" s="1"/>
  <c r="K203" i="5" s="1"/>
  <c r="K202" i="5" s="1"/>
  <c r="K201" i="5" s="1"/>
  <c r="K200" i="5" s="1"/>
  <c r="K199" i="5" s="1"/>
  <c r="K198" i="5" s="1"/>
  <c r="K197" i="5" s="1"/>
  <c r="K196" i="5" s="1"/>
  <c r="K195" i="5" s="1"/>
  <c r="K194" i="5" s="1"/>
  <c r="K193" i="5" s="1"/>
  <c r="K192" i="5" s="1"/>
  <c r="K191" i="5" s="1"/>
  <c r="K190" i="5" s="1"/>
  <c r="K189" i="5" s="1"/>
  <c r="K188" i="5" s="1"/>
  <c r="K187" i="5" s="1"/>
  <c r="K186" i="5" s="1"/>
  <c r="K185" i="5" s="1"/>
  <c r="K184" i="5" s="1"/>
  <c r="K183" i="5" s="1"/>
  <c r="K182" i="5" s="1"/>
  <c r="K181" i="5" s="1"/>
  <c r="K180" i="5" s="1"/>
  <c r="K179" i="5" s="1"/>
  <c r="K178" i="5" s="1"/>
  <c r="K177" i="5" s="1"/>
  <c r="K176" i="5" s="1"/>
  <c r="K175" i="5" s="1"/>
  <c r="K174" i="5" s="1"/>
  <c r="K173" i="5" s="1"/>
  <c r="K172" i="5" s="1"/>
  <c r="K171" i="5" s="1"/>
  <c r="K170" i="5" s="1"/>
  <c r="K169" i="5" s="1"/>
  <c r="K168" i="5" s="1"/>
  <c r="K167" i="5" s="1"/>
  <c r="K166" i="5" s="1"/>
  <c r="K165" i="5" s="1"/>
  <c r="K164" i="5" s="1"/>
  <c r="K163" i="5" s="1"/>
  <c r="K162" i="5" s="1"/>
  <c r="K161" i="5" s="1"/>
  <c r="K160" i="5" s="1"/>
  <c r="K159" i="5" s="1"/>
  <c r="K158" i="5" s="1"/>
  <c r="K157" i="5" s="1"/>
  <c r="K156" i="5" s="1"/>
  <c r="K155" i="5" s="1"/>
  <c r="K154" i="5" s="1"/>
  <c r="K153" i="5" s="1"/>
  <c r="K152" i="5" s="1"/>
  <c r="K151" i="5" s="1"/>
  <c r="K150" i="5" s="1"/>
  <c r="K149" i="5" s="1"/>
  <c r="K148" i="5" s="1"/>
  <c r="K147" i="5" s="1"/>
  <c r="K146" i="5" s="1"/>
  <c r="K145" i="5" s="1"/>
  <c r="K144" i="5" s="1"/>
  <c r="K143" i="5" s="1"/>
  <c r="K142" i="5" s="1"/>
  <c r="K141" i="5" s="1"/>
  <c r="K140" i="5" s="1"/>
  <c r="K139" i="5" s="1"/>
  <c r="K138" i="5" s="1"/>
  <c r="K137" i="5" s="1"/>
  <c r="K136" i="5" s="1"/>
  <c r="K135" i="5" s="1"/>
  <c r="K134" i="5" s="1"/>
  <c r="K133" i="5" s="1"/>
  <c r="K132" i="5" s="1"/>
  <c r="K131" i="5" s="1"/>
  <c r="K130" i="5" s="1"/>
  <c r="K129" i="5" s="1"/>
  <c r="K128" i="5" s="1"/>
  <c r="K127" i="5" s="1"/>
  <c r="K126" i="5" s="1"/>
  <c r="K125" i="5" s="1"/>
  <c r="K124" i="5" s="1"/>
  <c r="K123" i="5" s="1"/>
  <c r="K122" i="5" s="1"/>
  <c r="K121" i="5" s="1"/>
  <c r="L227" i="5"/>
  <c r="L226" i="5" s="1"/>
  <c r="L225" i="5" s="1"/>
  <c r="L224" i="5" s="1"/>
  <c r="L223" i="5" s="1"/>
  <c r="L222" i="5" s="1"/>
  <c r="L221" i="5" s="1"/>
  <c r="L220" i="5" s="1"/>
  <c r="L219" i="5" s="1"/>
  <c r="L218" i="5" s="1"/>
  <c r="L217" i="5" s="1"/>
  <c r="L216" i="5" s="1"/>
  <c r="L215" i="5" s="1"/>
  <c r="L214" i="5" s="1"/>
  <c r="L213" i="5" s="1"/>
  <c r="L212" i="5" s="1"/>
  <c r="L211" i="5" s="1"/>
  <c r="L210" i="5" s="1"/>
  <c r="L209" i="5" s="1"/>
  <c r="L208" i="5" s="1"/>
  <c r="L207" i="5" s="1"/>
  <c r="L206" i="5" s="1"/>
  <c r="L205" i="5" s="1"/>
  <c r="L204" i="5" s="1"/>
  <c r="L203" i="5" s="1"/>
  <c r="L202" i="5" s="1"/>
  <c r="L201" i="5" s="1"/>
  <c r="L200" i="5" s="1"/>
  <c r="L199" i="5" s="1"/>
  <c r="L198" i="5" s="1"/>
  <c r="L197" i="5" s="1"/>
  <c r="L196" i="5" s="1"/>
  <c r="L195" i="5" s="1"/>
  <c r="L194" i="5" s="1"/>
  <c r="L193" i="5" s="1"/>
  <c r="L192" i="5" s="1"/>
  <c r="L191" i="5" s="1"/>
  <c r="L190" i="5" s="1"/>
  <c r="L189" i="5" s="1"/>
  <c r="L188" i="5" s="1"/>
  <c r="L187" i="5" s="1"/>
  <c r="L186" i="5" s="1"/>
  <c r="L185" i="5" s="1"/>
  <c r="L184" i="5" s="1"/>
  <c r="L183" i="5" s="1"/>
  <c r="L182" i="5" s="1"/>
  <c r="L181" i="5" s="1"/>
  <c r="L180" i="5" s="1"/>
  <c r="L179" i="5" s="1"/>
  <c r="L178" i="5" s="1"/>
  <c r="L177" i="5" s="1"/>
  <c r="L176" i="5" s="1"/>
  <c r="L175" i="5" s="1"/>
  <c r="L174" i="5" s="1"/>
  <c r="L173" i="5" s="1"/>
  <c r="L172" i="5" s="1"/>
  <c r="L171" i="5" s="1"/>
  <c r="L170" i="5" s="1"/>
  <c r="L169" i="5" s="1"/>
  <c r="L168" i="5" s="1"/>
  <c r="L167" i="5" s="1"/>
  <c r="L166" i="5" s="1"/>
  <c r="L165" i="5" s="1"/>
  <c r="L164" i="5" s="1"/>
  <c r="L163" i="5" s="1"/>
  <c r="L162" i="5" s="1"/>
  <c r="L161" i="5" s="1"/>
  <c r="L160" i="5" s="1"/>
  <c r="L159" i="5" s="1"/>
  <c r="L158" i="5" s="1"/>
  <c r="L157" i="5" s="1"/>
  <c r="L156" i="5" s="1"/>
  <c r="L155" i="5" s="1"/>
  <c r="L154" i="5" s="1"/>
  <c r="L153" i="5" s="1"/>
  <c r="L152" i="5" s="1"/>
  <c r="L151" i="5" s="1"/>
  <c r="L150" i="5" s="1"/>
  <c r="L149" i="5" s="1"/>
  <c r="L148" i="5" s="1"/>
  <c r="L147" i="5" s="1"/>
  <c r="L146" i="5" s="1"/>
  <c r="L145" i="5" s="1"/>
  <c r="L144" i="5" s="1"/>
  <c r="L143" i="5" s="1"/>
  <c r="M227" i="5"/>
  <c r="M226" i="5" s="1"/>
  <c r="M225" i="5" s="1"/>
  <c r="M224" i="5" s="1"/>
  <c r="M223" i="5" s="1"/>
  <c r="M222" i="5" s="1"/>
  <c r="M221" i="5" s="1"/>
  <c r="M220" i="5" s="1"/>
  <c r="M219" i="5" s="1"/>
  <c r="M218" i="5" s="1"/>
  <c r="M217" i="5" s="1"/>
  <c r="M216" i="5" s="1"/>
  <c r="M215" i="5" s="1"/>
  <c r="M214" i="5" s="1"/>
  <c r="M213" i="5" s="1"/>
  <c r="M212" i="5" s="1"/>
  <c r="M211" i="5" s="1"/>
  <c r="M210" i="5" s="1"/>
  <c r="M209" i="5" s="1"/>
  <c r="M208" i="5" s="1"/>
  <c r="M207" i="5" s="1"/>
  <c r="M206" i="5" s="1"/>
  <c r="M205" i="5" s="1"/>
  <c r="M204" i="5" s="1"/>
  <c r="M203" i="5" s="1"/>
  <c r="M202" i="5" s="1"/>
  <c r="M201" i="5" s="1"/>
  <c r="M200" i="5" s="1"/>
  <c r="M199" i="5" s="1"/>
  <c r="M198" i="5" s="1"/>
  <c r="M197" i="5" s="1"/>
  <c r="M196" i="5" s="1"/>
  <c r="M195" i="5" s="1"/>
  <c r="M194" i="5" s="1"/>
  <c r="M193" i="5" s="1"/>
  <c r="M192" i="5" s="1"/>
  <c r="M191" i="5" s="1"/>
  <c r="M190" i="5" s="1"/>
  <c r="M189" i="5" s="1"/>
  <c r="N227" i="5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O227" i="5"/>
  <c r="O226" i="5" s="1"/>
  <c r="O225" i="5" s="1"/>
  <c r="O224" i="5" s="1"/>
  <c r="O223" i="5" s="1"/>
  <c r="O222" i="5" s="1"/>
  <c r="O221" i="5" s="1"/>
  <c r="O220" i="5" s="1"/>
  <c r="O219" i="5" s="1"/>
  <c r="O218" i="5" s="1"/>
  <c r="O217" i="5" s="1"/>
  <c r="O216" i="5" s="1"/>
  <c r="O215" i="5" s="1"/>
  <c r="O214" i="5" s="1"/>
  <c r="O213" i="5" s="1"/>
  <c r="O212" i="5" s="1"/>
  <c r="O211" i="5" s="1"/>
  <c r="O210" i="5" s="1"/>
  <c r="O209" i="5" s="1"/>
  <c r="O208" i="5" s="1"/>
  <c r="O207" i="5" s="1"/>
  <c r="O206" i="5" s="1"/>
  <c r="O205" i="5" s="1"/>
  <c r="O204" i="5" s="1"/>
  <c r="O203" i="5" s="1"/>
  <c r="O202" i="5" s="1"/>
  <c r="O201" i="5" s="1"/>
  <c r="O200" i="5" s="1"/>
  <c r="O199" i="5" s="1"/>
  <c r="O198" i="5" s="1"/>
  <c r="O197" i="5" s="1"/>
  <c r="O196" i="5" s="1"/>
  <c r="O195" i="5" s="1"/>
  <c r="O194" i="5" s="1"/>
  <c r="O193" i="5" s="1"/>
  <c r="O192" i="5" s="1"/>
  <c r="O191" i="5" s="1"/>
  <c r="O190" i="5" s="1"/>
  <c r="O189" i="5" s="1"/>
  <c r="O188" i="5" s="1"/>
  <c r="O187" i="5" s="1"/>
  <c r="O186" i="5" s="1"/>
  <c r="O185" i="5" s="1"/>
  <c r="O184" i="5" s="1"/>
  <c r="O183" i="5" s="1"/>
  <c r="O182" i="5" s="1"/>
  <c r="O181" i="5" s="1"/>
  <c r="O180" i="5" s="1"/>
  <c r="O179" i="5" s="1"/>
  <c r="O178" i="5" s="1"/>
  <c r="O177" i="5" s="1"/>
  <c r="O176" i="5" s="1"/>
  <c r="O175" i="5" s="1"/>
  <c r="O174" i="5" s="1"/>
  <c r="O173" i="5" s="1"/>
  <c r="O172" i="5" s="1"/>
  <c r="O171" i="5" s="1"/>
  <c r="O170" i="5" s="1"/>
  <c r="O169" i="5" s="1"/>
  <c r="O168" i="5" s="1"/>
  <c r="O167" i="5" s="1"/>
  <c r="O166" i="5" s="1"/>
  <c r="O165" i="5" s="1"/>
  <c r="O164" i="5" s="1"/>
  <c r="O163" i="5" s="1"/>
  <c r="O162" i="5" s="1"/>
  <c r="O161" i="5" s="1"/>
  <c r="O160" i="5" s="1"/>
  <c r="O159" i="5" s="1"/>
  <c r="O158" i="5" s="1"/>
  <c r="O157" i="5" s="1"/>
  <c r="O156" i="5" s="1"/>
  <c r="O155" i="5" s="1"/>
  <c r="O154" i="5" s="1"/>
  <c r="O153" i="5" s="1"/>
  <c r="O152" i="5" s="1"/>
  <c r="O151" i="5" s="1"/>
  <c r="O150" i="5" s="1"/>
  <c r="O149" i="5" s="1"/>
  <c r="O148" i="5" s="1"/>
  <c r="O147" i="5" s="1"/>
  <c r="O146" i="5" s="1"/>
  <c r="O145" i="5" s="1"/>
  <c r="O144" i="5" s="1"/>
  <c r="O143" i="5" s="1"/>
  <c r="O142" i="5" s="1"/>
  <c r="O141" i="5" s="1"/>
  <c r="O140" i="5" s="1"/>
  <c r="O139" i="5" s="1"/>
  <c r="O138" i="5" s="1"/>
  <c r="O137" i="5" s="1"/>
  <c r="O136" i="5" s="1"/>
  <c r="O135" i="5" s="1"/>
  <c r="O134" i="5" s="1"/>
  <c r="P227" i="5"/>
  <c r="P226" i="5" s="1"/>
  <c r="P225" i="5" s="1"/>
  <c r="P224" i="5" s="1"/>
  <c r="P223" i="5" s="1"/>
  <c r="P222" i="5" s="1"/>
  <c r="P221" i="5" s="1"/>
  <c r="P220" i="5" s="1"/>
  <c r="P219" i="5" s="1"/>
  <c r="P218" i="5" s="1"/>
  <c r="P217" i="5" s="1"/>
  <c r="P216" i="5" s="1"/>
  <c r="P215" i="5" s="1"/>
  <c r="P214" i="5" s="1"/>
  <c r="P213" i="5" s="1"/>
  <c r="P212" i="5" s="1"/>
  <c r="P211" i="5" s="1"/>
  <c r="P210" i="5" s="1"/>
  <c r="P209" i="5" s="1"/>
  <c r="P208" i="5" s="1"/>
  <c r="P207" i="5" s="1"/>
  <c r="P206" i="5" s="1"/>
  <c r="P205" i="5" s="1"/>
  <c r="P204" i="5" s="1"/>
  <c r="P203" i="5" s="1"/>
  <c r="P202" i="5" s="1"/>
  <c r="P201" i="5" s="1"/>
  <c r="P200" i="5" s="1"/>
  <c r="P199" i="5" s="1"/>
  <c r="P198" i="5" s="1"/>
  <c r="P197" i="5" s="1"/>
  <c r="P196" i="5" s="1"/>
  <c r="P195" i="5" s="1"/>
  <c r="P194" i="5" s="1"/>
  <c r="P193" i="5" s="1"/>
  <c r="P192" i="5" s="1"/>
  <c r="P191" i="5" s="1"/>
  <c r="P190" i="5" s="1"/>
  <c r="P189" i="5" s="1"/>
  <c r="P188" i="5" s="1"/>
  <c r="P187" i="5" s="1"/>
  <c r="P186" i="5" s="1"/>
  <c r="P185" i="5" s="1"/>
  <c r="P184" i="5" s="1"/>
  <c r="P183" i="5" s="1"/>
  <c r="P182" i="5" s="1"/>
  <c r="P181" i="5" s="1"/>
  <c r="P180" i="5" s="1"/>
  <c r="P179" i="5" s="1"/>
  <c r="P178" i="5" s="1"/>
  <c r="P177" i="5" s="1"/>
  <c r="P176" i="5" s="1"/>
  <c r="P175" i="5" s="1"/>
  <c r="P174" i="5" s="1"/>
  <c r="P173" i="5" s="1"/>
  <c r="P172" i="5" s="1"/>
  <c r="P171" i="5" s="1"/>
  <c r="P170" i="5" s="1"/>
  <c r="P169" i="5" s="1"/>
  <c r="P168" i="5" s="1"/>
  <c r="P167" i="5" s="1"/>
  <c r="P166" i="5" s="1"/>
  <c r="P165" i="5" s="1"/>
  <c r="P164" i="5" s="1"/>
  <c r="P163" i="5" s="1"/>
  <c r="P162" i="5" s="1"/>
  <c r="P161" i="5" s="1"/>
  <c r="P160" i="5" s="1"/>
  <c r="P159" i="5" s="1"/>
  <c r="P158" i="5" s="1"/>
  <c r="P157" i="5" s="1"/>
  <c r="P156" i="5" s="1"/>
  <c r="P155" i="5" s="1"/>
  <c r="P154" i="5" s="1"/>
  <c r="P153" i="5" s="1"/>
  <c r="P152" i="5" s="1"/>
  <c r="P151" i="5" s="1"/>
  <c r="P150" i="5" s="1"/>
  <c r="P149" i="5" s="1"/>
  <c r="P148" i="5" s="1"/>
  <c r="P147" i="5" s="1"/>
  <c r="P146" i="5" s="1"/>
  <c r="P145" i="5" s="1"/>
  <c r="P144" i="5" s="1"/>
  <c r="P143" i="5" s="1"/>
  <c r="P142" i="5" s="1"/>
  <c r="P141" i="5" s="1"/>
  <c r="P140" i="5" s="1"/>
  <c r="P139" i="5" s="1"/>
  <c r="P138" i="5" s="1"/>
  <c r="P137" i="5" s="1"/>
  <c r="P136" i="5" s="1"/>
  <c r="P135" i="5" s="1"/>
  <c r="P134" i="5" s="1"/>
  <c r="P133" i="5" s="1"/>
  <c r="P132" i="5" s="1"/>
  <c r="P131" i="5" s="1"/>
  <c r="P130" i="5" s="1"/>
  <c r="P129" i="5" s="1"/>
  <c r="P128" i="5" s="1"/>
  <c r="P127" i="5" s="1"/>
  <c r="P126" i="5" s="1"/>
  <c r="P125" i="5" s="1"/>
  <c r="P124" i="5" s="1"/>
  <c r="P123" i="5" s="1"/>
  <c r="P122" i="5" s="1"/>
  <c r="P121" i="5" s="1"/>
  <c r="Q227" i="5"/>
  <c r="Q226" i="5" s="1"/>
  <c r="Q225" i="5" s="1"/>
  <c r="Q224" i="5" s="1"/>
  <c r="Q223" i="5" s="1"/>
  <c r="Q222" i="5" s="1"/>
  <c r="Q221" i="5" s="1"/>
  <c r="Q220" i="5" s="1"/>
  <c r="Q219" i="5" s="1"/>
  <c r="Q218" i="5" s="1"/>
  <c r="Q217" i="5" s="1"/>
  <c r="Q216" i="5" s="1"/>
  <c r="Q215" i="5" s="1"/>
  <c r="Q214" i="5" s="1"/>
  <c r="Q213" i="5" s="1"/>
  <c r="Q212" i="5" s="1"/>
  <c r="Q211" i="5" s="1"/>
  <c r="Q210" i="5" s="1"/>
  <c r="Q209" i="5" s="1"/>
  <c r="Q208" i="5" s="1"/>
  <c r="Q207" i="5" s="1"/>
  <c r="Q206" i="5" s="1"/>
  <c r="Q205" i="5" s="1"/>
  <c r="Q204" i="5" s="1"/>
  <c r="Q203" i="5" s="1"/>
  <c r="Q202" i="5" s="1"/>
  <c r="Q201" i="5" s="1"/>
  <c r="Q200" i="5" s="1"/>
  <c r="Q199" i="5" s="1"/>
  <c r="Q198" i="5" s="1"/>
  <c r="Q197" i="5" s="1"/>
  <c r="Q196" i="5" s="1"/>
  <c r="Q195" i="5" s="1"/>
  <c r="Q194" i="5" s="1"/>
  <c r="Q193" i="5" s="1"/>
  <c r="Q192" i="5" s="1"/>
  <c r="Q191" i="5" s="1"/>
  <c r="Q190" i="5" s="1"/>
  <c r="Q189" i="5" s="1"/>
  <c r="Q188" i="5" s="1"/>
  <c r="Q187" i="5" s="1"/>
  <c r="Q186" i="5" s="1"/>
  <c r="Q185" i="5" s="1"/>
  <c r="Q184" i="5" s="1"/>
  <c r="Q183" i="5" s="1"/>
  <c r="Q182" i="5" s="1"/>
  <c r="Q181" i="5" s="1"/>
  <c r="Q180" i="5" s="1"/>
  <c r="Q179" i="5" s="1"/>
  <c r="Q178" i="5" s="1"/>
  <c r="Q177" i="5" s="1"/>
  <c r="Q176" i="5" s="1"/>
  <c r="Q175" i="5" s="1"/>
  <c r="Q174" i="5" s="1"/>
  <c r="Q173" i="5" s="1"/>
  <c r="Q172" i="5" s="1"/>
  <c r="Q171" i="5" s="1"/>
  <c r="Q170" i="5" s="1"/>
  <c r="Q169" i="5" s="1"/>
  <c r="Q168" i="5" s="1"/>
  <c r="Q167" i="5" s="1"/>
  <c r="Q166" i="5" s="1"/>
  <c r="Q165" i="5" s="1"/>
  <c r="Q164" i="5" s="1"/>
  <c r="Q163" i="5" s="1"/>
  <c r="Q162" i="5" s="1"/>
  <c r="Q161" i="5" s="1"/>
  <c r="Q160" i="5" s="1"/>
  <c r="Q159" i="5" s="1"/>
  <c r="Q158" i="5" s="1"/>
  <c r="Q157" i="5" s="1"/>
  <c r="Q156" i="5" s="1"/>
  <c r="Q155" i="5" s="1"/>
  <c r="Q154" i="5" s="1"/>
  <c r="Q153" i="5" s="1"/>
  <c r="Q152" i="5" s="1"/>
  <c r="Q151" i="5" s="1"/>
  <c r="Q150" i="5" s="1"/>
  <c r="Q149" i="5" s="1"/>
  <c r="Q148" i="5" s="1"/>
  <c r="Q147" i="5" s="1"/>
  <c r="Q146" i="5" s="1"/>
  <c r="Q145" i="5" s="1"/>
  <c r="Q144" i="5" s="1"/>
  <c r="Q143" i="5" s="1"/>
  <c r="Q142" i="5" s="1"/>
  <c r="Q141" i="5" s="1"/>
  <c r="Q140" i="5" s="1"/>
  <c r="Q139" i="5" s="1"/>
  <c r="Q138" i="5" s="1"/>
  <c r="Q137" i="5" s="1"/>
  <c r="Q136" i="5" s="1"/>
  <c r="Q135" i="5" s="1"/>
  <c r="Q134" i="5" s="1"/>
  <c r="Q133" i="5" s="1"/>
  <c r="Q132" i="5" s="1"/>
  <c r="Q131" i="5" s="1"/>
  <c r="Q130" i="5" s="1"/>
  <c r="Q129" i="5" s="1"/>
  <c r="Q128" i="5" s="1"/>
  <c r="Q127" i="5" s="1"/>
  <c r="Q126" i="5" s="1"/>
  <c r="Q125" i="5" s="1"/>
  <c r="Q124" i="5" s="1"/>
  <c r="Q123" i="5" s="1"/>
  <c r="Q122" i="5" s="1"/>
  <c r="Q121" i="5" s="1"/>
  <c r="R227" i="5"/>
  <c r="R226" i="5" s="1"/>
  <c r="R225" i="5" s="1"/>
  <c r="R224" i="5" s="1"/>
  <c r="R223" i="5" s="1"/>
  <c r="R222" i="5" s="1"/>
  <c r="R221" i="5" s="1"/>
  <c r="R220" i="5" s="1"/>
  <c r="R219" i="5" s="1"/>
  <c r="R218" i="5" s="1"/>
  <c r="R217" i="5" s="1"/>
  <c r="R216" i="5" s="1"/>
  <c r="R215" i="5" s="1"/>
  <c r="R214" i="5" s="1"/>
  <c r="R213" i="5" s="1"/>
  <c r="R212" i="5" s="1"/>
  <c r="R211" i="5" s="1"/>
  <c r="R210" i="5" s="1"/>
  <c r="R209" i="5" s="1"/>
  <c r="R208" i="5" s="1"/>
  <c r="R207" i="5" s="1"/>
  <c r="R206" i="5" s="1"/>
  <c r="R205" i="5" s="1"/>
  <c r="R204" i="5" s="1"/>
  <c r="R203" i="5" s="1"/>
  <c r="R202" i="5" s="1"/>
  <c r="R201" i="5" s="1"/>
  <c r="R200" i="5" s="1"/>
  <c r="R199" i="5" s="1"/>
  <c r="R198" i="5" s="1"/>
  <c r="R197" i="5" s="1"/>
  <c r="R196" i="5" s="1"/>
  <c r="R195" i="5" s="1"/>
  <c r="R194" i="5" s="1"/>
  <c r="R193" i="5" s="1"/>
  <c r="R192" i="5" s="1"/>
  <c r="R191" i="5" s="1"/>
  <c r="R190" i="5" s="1"/>
  <c r="R189" i="5" s="1"/>
  <c r="R188" i="5" s="1"/>
  <c r="R187" i="5" s="1"/>
  <c r="R186" i="5" s="1"/>
  <c r="R185" i="5" s="1"/>
  <c r="R184" i="5" s="1"/>
  <c r="R183" i="5" s="1"/>
  <c r="R182" i="5" s="1"/>
  <c r="R181" i="5" s="1"/>
  <c r="R180" i="5" s="1"/>
  <c r="R179" i="5" s="1"/>
  <c r="R178" i="5" s="1"/>
  <c r="R177" i="5" s="1"/>
  <c r="R176" i="5" s="1"/>
  <c r="R175" i="5" s="1"/>
  <c r="R174" i="5" s="1"/>
  <c r="R173" i="5" s="1"/>
  <c r="R172" i="5" s="1"/>
  <c r="R171" i="5" s="1"/>
  <c r="R170" i="5" s="1"/>
  <c r="R169" i="5" s="1"/>
  <c r="R168" i="5" s="1"/>
  <c r="R167" i="5" s="1"/>
  <c r="R166" i="5" s="1"/>
  <c r="R165" i="5" s="1"/>
  <c r="R164" i="5" s="1"/>
  <c r="R163" i="5" s="1"/>
  <c r="R162" i="5" s="1"/>
  <c r="R161" i="5" s="1"/>
  <c r="R160" i="5" s="1"/>
  <c r="R159" i="5" s="1"/>
  <c r="R158" i="5" s="1"/>
  <c r="R157" i="5" s="1"/>
  <c r="R156" i="5" s="1"/>
  <c r="R155" i="5" s="1"/>
  <c r="R154" i="5" s="1"/>
  <c r="R153" i="5" s="1"/>
  <c r="R152" i="5" s="1"/>
  <c r="R151" i="5" s="1"/>
  <c r="R150" i="5" s="1"/>
  <c r="R149" i="5" s="1"/>
  <c r="R148" i="5" s="1"/>
  <c r="R147" i="5" s="1"/>
  <c r="R146" i="5" s="1"/>
  <c r="R145" i="5" s="1"/>
  <c r="R144" i="5" s="1"/>
  <c r="R143" i="5" s="1"/>
  <c r="R142" i="5" s="1"/>
  <c r="R141" i="5" s="1"/>
  <c r="R140" i="5" s="1"/>
  <c r="R139" i="5" s="1"/>
  <c r="R138" i="5" s="1"/>
  <c r="R137" i="5" s="1"/>
  <c r="R136" i="5" s="1"/>
  <c r="R135" i="5" s="1"/>
  <c r="R134" i="5" s="1"/>
  <c r="R133" i="5" s="1"/>
  <c r="R132" i="5" s="1"/>
  <c r="R131" i="5" s="1"/>
  <c r="R130" i="5" s="1"/>
  <c r="R129" i="5" s="1"/>
  <c r="R128" i="5" s="1"/>
  <c r="R127" i="5" s="1"/>
  <c r="R126" i="5" s="1"/>
  <c r="R125" i="5" s="1"/>
  <c r="R124" i="5" s="1"/>
  <c r="R123" i="5" s="1"/>
  <c r="R122" i="5" s="1"/>
  <c r="R121" i="5" s="1"/>
  <c r="S227" i="5"/>
  <c r="S226" i="5" s="1"/>
  <c r="S225" i="5" s="1"/>
  <c r="S224" i="5" s="1"/>
  <c r="S223" i="5" s="1"/>
  <c r="S222" i="5" s="1"/>
  <c r="S221" i="5" s="1"/>
  <c r="S220" i="5" s="1"/>
  <c r="S219" i="5" s="1"/>
  <c r="S218" i="5" s="1"/>
  <c r="S217" i="5" s="1"/>
  <c r="S216" i="5" s="1"/>
  <c r="S215" i="5" s="1"/>
  <c r="S214" i="5" s="1"/>
  <c r="S213" i="5" s="1"/>
  <c r="S212" i="5" s="1"/>
  <c r="S211" i="5" s="1"/>
  <c r="S210" i="5" s="1"/>
  <c r="S209" i="5" s="1"/>
  <c r="S208" i="5" s="1"/>
  <c r="S207" i="5" s="1"/>
  <c r="S206" i="5" s="1"/>
  <c r="S205" i="5" s="1"/>
  <c r="S204" i="5" s="1"/>
  <c r="S203" i="5" s="1"/>
  <c r="S202" i="5" s="1"/>
  <c r="S201" i="5" s="1"/>
  <c r="S200" i="5" s="1"/>
  <c r="S199" i="5" s="1"/>
  <c r="S198" i="5" s="1"/>
  <c r="S197" i="5" s="1"/>
  <c r="S196" i="5" s="1"/>
  <c r="S195" i="5" s="1"/>
  <c r="S194" i="5" s="1"/>
  <c r="S193" i="5" s="1"/>
  <c r="S192" i="5" s="1"/>
  <c r="S191" i="5" s="1"/>
  <c r="S190" i="5" s="1"/>
  <c r="S189" i="5" s="1"/>
  <c r="S188" i="5" s="1"/>
  <c r="S187" i="5" s="1"/>
  <c r="S186" i="5" s="1"/>
  <c r="S185" i="5" s="1"/>
  <c r="S184" i="5" s="1"/>
  <c r="S183" i="5" s="1"/>
  <c r="S182" i="5" s="1"/>
  <c r="S181" i="5" s="1"/>
  <c r="S180" i="5" s="1"/>
  <c r="S179" i="5" s="1"/>
  <c r="S178" i="5" s="1"/>
  <c r="S177" i="5" s="1"/>
  <c r="S176" i="5" s="1"/>
  <c r="S175" i="5" s="1"/>
  <c r="S174" i="5" s="1"/>
  <c r="S173" i="5" s="1"/>
  <c r="S172" i="5" s="1"/>
  <c r="S171" i="5" s="1"/>
  <c r="S170" i="5" s="1"/>
  <c r="S169" i="5" s="1"/>
  <c r="S168" i="5" s="1"/>
  <c r="S167" i="5" s="1"/>
  <c r="S166" i="5" s="1"/>
  <c r="S165" i="5" s="1"/>
  <c r="S164" i="5" s="1"/>
  <c r="S163" i="5" s="1"/>
  <c r="S162" i="5" s="1"/>
  <c r="S161" i="5" s="1"/>
  <c r="S160" i="5" s="1"/>
  <c r="S159" i="5" s="1"/>
  <c r="S158" i="5" s="1"/>
  <c r="S157" i="5" s="1"/>
  <c r="S156" i="5" s="1"/>
  <c r="S155" i="5" s="1"/>
  <c r="S154" i="5" s="1"/>
  <c r="S153" i="5" s="1"/>
  <c r="S152" i="5" s="1"/>
  <c r="S151" i="5" s="1"/>
  <c r="S150" i="5" s="1"/>
  <c r="S149" i="5" s="1"/>
  <c r="S148" i="5" s="1"/>
  <c r="S147" i="5" s="1"/>
  <c r="S146" i="5" s="1"/>
  <c r="S145" i="5" s="1"/>
  <c r="S144" i="5" s="1"/>
  <c r="S143" i="5" s="1"/>
  <c r="S142" i="5" s="1"/>
  <c r="S141" i="5" s="1"/>
  <c r="S140" i="5" s="1"/>
  <c r="S139" i="5" s="1"/>
  <c r="S138" i="5" s="1"/>
  <c r="S137" i="5" s="1"/>
  <c r="S136" i="5" s="1"/>
  <c r="S135" i="5" s="1"/>
  <c r="S134" i="5" s="1"/>
  <c r="S133" i="5" s="1"/>
  <c r="S132" i="5" s="1"/>
  <c r="S131" i="5" s="1"/>
  <c r="S130" i="5" s="1"/>
  <c r="S129" i="5" s="1"/>
  <c r="S128" i="5" s="1"/>
  <c r="S127" i="5" s="1"/>
  <c r="S126" i="5" s="1"/>
  <c r="S125" i="5" s="1"/>
  <c r="S124" i="5" s="1"/>
  <c r="S123" i="5" s="1"/>
  <c r="S122" i="5" s="1"/>
  <c r="S121" i="5" s="1"/>
  <c r="T227" i="5"/>
  <c r="T226" i="5" s="1"/>
  <c r="T225" i="5" s="1"/>
  <c r="T224" i="5" s="1"/>
  <c r="T223" i="5" s="1"/>
  <c r="T222" i="5" s="1"/>
  <c r="T221" i="5" s="1"/>
  <c r="T220" i="5" s="1"/>
  <c r="T219" i="5" s="1"/>
  <c r="T218" i="5" s="1"/>
  <c r="T217" i="5" s="1"/>
  <c r="T216" i="5" s="1"/>
  <c r="T215" i="5" s="1"/>
  <c r="T214" i="5" s="1"/>
  <c r="T213" i="5" s="1"/>
  <c r="T212" i="5" s="1"/>
  <c r="T211" i="5" s="1"/>
  <c r="T210" i="5" s="1"/>
  <c r="T209" i="5" s="1"/>
  <c r="T208" i="5" s="1"/>
  <c r="T207" i="5" s="1"/>
  <c r="T206" i="5" s="1"/>
  <c r="T205" i="5" s="1"/>
  <c r="T204" i="5" s="1"/>
  <c r="T203" i="5" s="1"/>
  <c r="T202" i="5" s="1"/>
  <c r="T201" i="5" s="1"/>
  <c r="T200" i="5" s="1"/>
  <c r="T199" i="5" s="1"/>
  <c r="T198" i="5" s="1"/>
  <c r="T197" i="5" s="1"/>
  <c r="T196" i="5" s="1"/>
  <c r="T195" i="5" s="1"/>
  <c r="T194" i="5" s="1"/>
  <c r="T193" i="5" s="1"/>
  <c r="T192" i="5" s="1"/>
  <c r="T191" i="5" s="1"/>
  <c r="T190" i="5" s="1"/>
  <c r="T189" i="5" s="1"/>
  <c r="T188" i="5" s="1"/>
  <c r="T187" i="5" s="1"/>
  <c r="T186" i="5" s="1"/>
  <c r="T185" i="5" s="1"/>
  <c r="T184" i="5" s="1"/>
  <c r="T183" i="5" s="1"/>
  <c r="T182" i="5" s="1"/>
  <c r="T181" i="5" s="1"/>
  <c r="T180" i="5" s="1"/>
  <c r="T179" i="5" s="1"/>
  <c r="T178" i="5" s="1"/>
  <c r="T177" i="5" s="1"/>
  <c r="T176" i="5" s="1"/>
  <c r="T175" i="5" s="1"/>
  <c r="T174" i="5" s="1"/>
  <c r="T173" i="5" s="1"/>
  <c r="T172" i="5" s="1"/>
  <c r="T171" i="5" s="1"/>
  <c r="T170" i="5" s="1"/>
  <c r="T169" i="5" s="1"/>
  <c r="T168" i="5" s="1"/>
  <c r="T167" i="5" s="1"/>
  <c r="T166" i="5" s="1"/>
  <c r="T165" i="5" s="1"/>
  <c r="T164" i="5" s="1"/>
  <c r="T163" i="5" s="1"/>
  <c r="T162" i="5" s="1"/>
  <c r="T161" i="5" s="1"/>
  <c r="T160" i="5" s="1"/>
  <c r="T159" i="5" s="1"/>
  <c r="T158" i="5" s="1"/>
  <c r="T157" i="5" s="1"/>
  <c r="T156" i="5" s="1"/>
  <c r="T155" i="5" s="1"/>
  <c r="T154" i="5" s="1"/>
  <c r="T153" i="5" s="1"/>
  <c r="T152" i="5" s="1"/>
  <c r="T151" i="5" s="1"/>
  <c r="T150" i="5" s="1"/>
  <c r="T149" i="5" s="1"/>
  <c r="T148" i="5" s="1"/>
  <c r="T147" i="5" s="1"/>
  <c r="T146" i="5" s="1"/>
  <c r="T145" i="5" s="1"/>
  <c r="T144" i="5" s="1"/>
  <c r="T143" i="5" s="1"/>
  <c r="T142" i="5" s="1"/>
  <c r="T141" i="5" s="1"/>
  <c r="T140" i="5" s="1"/>
  <c r="T139" i="5" s="1"/>
  <c r="T138" i="5" s="1"/>
  <c r="T137" i="5" s="1"/>
  <c r="T136" i="5" s="1"/>
  <c r="T135" i="5" s="1"/>
  <c r="T134" i="5" s="1"/>
  <c r="T133" i="5" s="1"/>
  <c r="T132" i="5" s="1"/>
  <c r="T131" i="5" s="1"/>
  <c r="T130" i="5" s="1"/>
  <c r="T129" i="5" s="1"/>
  <c r="T128" i="5" s="1"/>
  <c r="T127" i="5" s="1"/>
  <c r="T126" i="5" s="1"/>
  <c r="T125" i="5" s="1"/>
  <c r="T124" i="5" s="1"/>
  <c r="T123" i="5" s="1"/>
  <c r="T122" i="5" s="1"/>
  <c r="T121" i="5" s="1"/>
  <c r="U227" i="5"/>
  <c r="U226" i="5" s="1"/>
  <c r="U225" i="5" s="1"/>
  <c r="U224" i="5" s="1"/>
  <c r="U223" i="5" s="1"/>
  <c r="U222" i="5" s="1"/>
  <c r="U221" i="5" s="1"/>
  <c r="U220" i="5" s="1"/>
  <c r="U219" i="5" s="1"/>
  <c r="U218" i="5" s="1"/>
  <c r="U217" i="5" s="1"/>
  <c r="U216" i="5" s="1"/>
  <c r="U215" i="5" s="1"/>
  <c r="U214" i="5" s="1"/>
  <c r="U213" i="5" s="1"/>
  <c r="U212" i="5" s="1"/>
  <c r="U211" i="5" s="1"/>
  <c r="U210" i="5" s="1"/>
  <c r="U209" i="5" s="1"/>
  <c r="U208" i="5" s="1"/>
  <c r="U207" i="5" s="1"/>
  <c r="U206" i="5" s="1"/>
  <c r="U205" i="5" s="1"/>
  <c r="U204" i="5" s="1"/>
  <c r="U203" i="5" s="1"/>
  <c r="U202" i="5" s="1"/>
  <c r="U201" i="5" s="1"/>
  <c r="U200" i="5" s="1"/>
  <c r="U199" i="5" s="1"/>
  <c r="U198" i="5" s="1"/>
  <c r="U197" i="5" s="1"/>
  <c r="U196" i="5" s="1"/>
  <c r="U195" i="5" s="1"/>
  <c r="U194" i="5" s="1"/>
  <c r="U193" i="5" s="1"/>
  <c r="U192" i="5" s="1"/>
  <c r="U191" i="5" s="1"/>
  <c r="U190" i="5" s="1"/>
  <c r="U189" i="5" s="1"/>
  <c r="U188" i="5" s="1"/>
  <c r="U187" i="5" s="1"/>
  <c r="U186" i="5" s="1"/>
  <c r="U185" i="5" s="1"/>
  <c r="U184" i="5" s="1"/>
  <c r="U183" i="5" s="1"/>
  <c r="U182" i="5" s="1"/>
  <c r="U181" i="5" s="1"/>
  <c r="U180" i="5" s="1"/>
  <c r="U179" i="5" s="1"/>
  <c r="U178" i="5" s="1"/>
  <c r="U177" i="5" s="1"/>
  <c r="U176" i="5" s="1"/>
  <c r="U175" i="5" s="1"/>
  <c r="U174" i="5" s="1"/>
  <c r="U173" i="5" s="1"/>
  <c r="U172" i="5" s="1"/>
  <c r="U171" i="5" s="1"/>
  <c r="U170" i="5" s="1"/>
  <c r="U169" i="5" s="1"/>
  <c r="U168" i="5" s="1"/>
  <c r="U167" i="5" s="1"/>
  <c r="U166" i="5" s="1"/>
  <c r="U165" i="5" s="1"/>
  <c r="U164" i="5" s="1"/>
  <c r="U163" i="5" s="1"/>
  <c r="U162" i="5" s="1"/>
  <c r="U161" i="5" s="1"/>
  <c r="U160" i="5" s="1"/>
  <c r="U159" i="5" s="1"/>
  <c r="U158" i="5" s="1"/>
  <c r="U157" i="5" s="1"/>
  <c r="U156" i="5" s="1"/>
  <c r="U155" i="5" s="1"/>
  <c r="U154" i="5" s="1"/>
  <c r="U153" i="5" s="1"/>
  <c r="U152" i="5" s="1"/>
  <c r="U151" i="5" s="1"/>
  <c r="U150" i="5" s="1"/>
  <c r="U149" i="5" s="1"/>
  <c r="U148" i="5" s="1"/>
  <c r="U147" i="5" s="1"/>
  <c r="U146" i="5" s="1"/>
  <c r="U145" i="5" s="1"/>
  <c r="U144" i="5" s="1"/>
  <c r="U143" i="5" s="1"/>
  <c r="U142" i="5" s="1"/>
  <c r="U141" i="5" s="1"/>
  <c r="U140" i="5" s="1"/>
  <c r="U139" i="5" s="1"/>
  <c r="U138" i="5" s="1"/>
  <c r="U137" i="5" s="1"/>
  <c r="U136" i="5" s="1"/>
  <c r="U135" i="5" s="1"/>
  <c r="U134" i="5" s="1"/>
  <c r="U133" i="5" s="1"/>
  <c r="U132" i="5" s="1"/>
  <c r="U131" i="5" s="1"/>
  <c r="U130" i="5" s="1"/>
  <c r="U129" i="5" s="1"/>
  <c r="U128" i="5" s="1"/>
  <c r="U127" i="5" s="1"/>
  <c r="U126" i="5" s="1"/>
  <c r="U125" i="5" s="1"/>
  <c r="U124" i="5" s="1"/>
  <c r="U123" i="5" s="1"/>
  <c r="U122" i="5" s="1"/>
  <c r="U121" i="5" s="1"/>
  <c r="V227" i="5"/>
  <c r="V226" i="5" s="1"/>
  <c r="V225" i="5" s="1"/>
  <c r="V224" i="5" s="1"/>
  <c r="V223" i="5" s="1"/>
  <c r="V222" i="5" s="1"/>
  <c r="V221" i="5" s="1"/>
  <c r="V220" i="5" s="1"/>
  <c r="V219" i="5" s="1"/>
  <c r="V218" i="5" s="1"/>
  <c r="V217" i="5" s="1"/>
  <c r="V216" i="5" s="1"/>
  <c r="V215" i="5" s="1"/>
  <c r="V214" i="5" s="1"/>
  <c r="V213" i="5" s="1"/>
  <c r="V212" i="5" s="1"/>
  <c r="V211" i="5" s="1"/>
  <c r="V210" i="5" s="1"/>
  <c r="V209" i="5" s="1"/>
  <c r="V208" i="5" s="1"/>
  <c r="V207" i="5" s="1"/>
  <c r="V206" i="5" s="1"/>
  <c r="V205" i="5" s="1"/>
  <c r="V204" i="5" s="1"/>
  <c r="V203" i="5" s="1"/>
  <c r="V202" i="5" s="1"/>
  <c r="V201" i="5" s="1"/>
  <c r="V200" i="5" s="1"/>
  <c r="V199" i="5" s="1"/>
  <c r="V198" i="5" s="1"/>
  <c r="V197" i="5" s="1"/>
  <c r="V196" i="5" s="1"/>
  <c r="V195" i="5" s="1"/>
  <c r="V194" i="5" s="1"/>
  <c r="V193" i="5" s="1"/>
  <c r="V192" i="5" s="1"/>
  <c r="V191" i="5" s="1"/>
  <c r="V190" i="5" s="1"/>
  <c r="V189" i="5" s="1"/>
  <c r="V188" i="5" s="1"/>
  <c r="V187" i="5" s="1"/>
  <c r="V186" i="5" s="1"/>
  <c r="V185" i="5" s="1"/>
  <c r="V184" i="5" s="1"/>
  <c r="V183" i="5" s="1"/>
  <c r="V182" i="5" s="1"/>
  <c r="V181" i="5" s="1"/>
  <c r="V180" i="5" s="1"/>
  <c r="V179" i="5" s="1"/>
  <c r="W227" i="5"/>
  <c r="W226" i="5" s="1"/>
  <c r="W225" i="5" s="1"/>
  <c r="W224" i="5" s="1"/>
  <c r="W223" i="5" s="1"/>
  <c r="W222" i="5" s="1"/>
  <c r="W221" i="5" s="1"/>
  <c r="W220" i="5" s="1"/>
  <c r="W219" i="5" s="1"/>
  <c r="W218" i="5" s="1"/>
  <c r="W217" i="5" s="1"/>
  <c r="W216" i="5" s="1"/>
  <c r="W215" i="5" s="1"/>
  <c r="W214" i="5" s="1"/>
  <c r="W213" i="5" s="1"/>
  <c r="W212" i="5" s="1"/>
  <c r="W211" i="5" s="1"/>
  <c r="W210" i="5" s="1"/>
  <c r="W209" i="5" s="1"/>
  <c r="W208" i="5" s="1"/>
  <c r="W207" i="5" s="1"/>
  <c r="W206" i="5" s="1"/>
  <c r="W205" i="5" s="1"/>
  <c r="W204" i="5" s="1"/>
  <c r="W203" i="5" s="1"/>
  <c r="W202" i="5" s="1"/>
  <c r="W201" i="5" s="1"/>
  <c r="W200" i="5" s="1"/>
  <c r="W199" i="5" s="1"/>
  <c r="W198" i="5" s="1"/>
  <c r="W197" i="5" s="1"/>
  <c r="W196" i="5" s="1"/>
  <c r="W195" i="5" s="1"/>
  <c r="W194" i="5" s="1"/>
  <c r="W193" i="5" s="1"/>
  <c r="W192" i="5" s="1"/>
  <c r="W191" i="5" s="1"/>
  <c r="W190" i="5" s="1"/>
  <c r="W189" i="5" s="1"/>
  <c r="W188" i="5" s="1"/>
  <c r="W187" i="5" s="1"/>
  <c r="W186" i="5" s="1"/>
  <c r="W185" i="5" s="1"/>
  <c r="W184" i="5" s="1"/>
  <c r="W183" i="5" s="1"/>
  <c r="W182" i="5" s="1"/>
  <c r="W181" i="5" s="1"/>
  <c r="W180" i="5" s="1"/>
  <c r="W179" i="5" s="1"/>
  <c r="W178" i="5" s="1"/>
  <c r="W177" i="5" s="1"/>
  <c r="W176" i="5" s="1"/>
  <c r="W175" i="5" s="1"/>
  <c r="W174" i="5" s="1"/>
  <c r="W173" i="5" s="1"/>
  <c r="W172" i="5" s="1"/>
  <c r="W171" i="5" s="1"/>
  <c r="W170" i="5" s="1"/>
  <c r="W169" i="5" s="1"/>
  <c r="W168" i="5" s="1"/>
  <c r="W167" i="5" s="1"/>
  <c r="W166" i="5" s="1"/>
  <c r="W165" i="5" s="1"/>
  <c r="W164" i="5" s="1"/>
  <c r="W163" i="5" s="1"/>
  <c r="W162" i="5" s="1"/>
  <c r="W161" i="5" s="1"/>
  <c r="W160" i="5" s="1"/>
  <c r="W159" i="5" s="1"/>
  <c r="W158" i="5" s="1"/>
  <c r="W157" i="5" s="1"/>
  <c r="W156" i="5" s="1"/>
  <c r="W155" i="5" s="1"/>
  <c r="W154" i="5" s="1"/>
  <c r="W153" i="5" s="1"/>
  <c r="W152" i="5" s="1"/>
  <c r="W151" i="5" s="1"/>
  <c r="W150" i="5" s="1"/>
  <c r="W149" i="5" s="1"/>
  <c r="W148" i="5" s="1"/>
  <c r="W147" i="5" s="1"/>
  <c r="W146" i="5" s="1"/>
  <c r="W145" i="5" s="1"/>
  <c r="W144" i="5" s="1"/>
  <c r="W143" i="5" s="1"/>
  <c r="W142" i="5" s="1"/>
  <c r="W141" i="5" s="1"/>
  <c r="W140" i="5" s="1"/>
  <c r="W139" i="5" s="1"/>
  <c r="W138" i="5" s="1"/>
  <c r="W137" i="5" s="1"/>
  <c r="W136" i="5" s="1"/>
  <c r="W135" i="5" s="1"/>
  <c r="W134" i="5" s="1"/>
  <c r="W133" i="5" s="1"/>
  <c r="W132" i="5" s="1"/>
  <c r="W131" i="5" s="1"/>
  <c r="W130" i="5" s="1"/>
  <c r="W129" i="5" s="1"/>
  <c r="W128" i="5" s="1"/>
  <c r="W127" i="5" s="1"/>
  <c r="W126" i="5" s="1"/>
  <c r="W125" i="5" s="1"/>
  <c r="W124" i="5" s="1"/>
  <c r="W123" i="5" s="1"/>
  <c r="W122" i="5" s="1"/>
  <c r="W121" i="5" s="1"/>
  <c r="X227" i="5"/>
  <c r="X226" i="5" s="1"/>
  <c r="X225" i="5" s="1"/>
  <c r="X224" i="5" s="1"/>
  <c r="X223" i="5" s="1"/>
  <c r="X222" i="5" s="1"/>
  <c r="X221" i="5" s="1"/>
  <c r="X220" i="5" s="1"/>
  <c r="X219" i="5" s="1"/>
  <c r="X218" i="5" s="1"/>
  <c r="X217" i="5" s="1"/>
  <c r="X216" i="5" s="1"/>
  <c r="X215" i="5" s="1"/>
  <c r="X214" i="5" s="1"/>
  <c r="X213" i="5" s="1"/>
  <c r="X212" i="5" s="1"/>
  <c r="X211" i="5" s="1"/>
  <c r="X210" i="5" s="1"/>
  <c r="X209" i="5" s="1"/>
  <c r="X208" i="5" s="1"/>
  <c r="X207" i="5" s="1"/>
  <c r="X206" i="5" s="1"/>
  <c r="X205" i="5" s="1"/>
  <c r="X204" i="5" s="1"/>
  <c r="X203" i="5" s="1"/>
  <c r="X202" i="5" s="1"/>
  <c r="X201" i="5" s="1"/>
  <c r="X200" i="5" s="1"/>
  <c r="X199" i="5" s="1"/>
  <c r="X198" i="5" s="1"/>
  <c r="X197" i="5" s="1"/>
  <c r="X196" i="5" s="1"/>
  <c r="X195" i="5" s="1"/>
  <c r="X194" i="5" s="1"/>
  <c r="X193" i="5" s="1"/>
  <c r="X192" i="5" s="1"/>
  <c r="X191" i="5" s="1"/>
  <c r="X190" i="5" s="1"/>
  <c r="X189" i="5" s="1"/>
  <c r="X188" i="5" s="1"/>
  <c r="X187" i="5" s="1"/>
  <c r="X186" i="5" s="1"/>
  <c r="X185" i="5" s="1"/>
  <c r="X184" i="5" s="1"/>
  <c r="X183" i="5" s="1"/>
  <c r="X182" i="5" s="1"/>
  <c r="X181" i="5" s="1"/>
  <c r="X180" i="5" s="1"/>
  <c r="X179" i="5" s="1"/>
  <c r="X178" i="5" s="1"/>
  <c r="X177" i="5" s="1"/>
  <c r="X176" i="5" s="1"/>
  <c r="X175" i="5" s="1"/>
  <c r="X174" i="5" s="1"/>
  <c r="X173" i="5" s="1"/>
  <c r="X172" i="5" s="1"/>
  <c r="X171" i="5" s="1"/>
  <c r="X170" i="5" s="1"/>
  <c r="X169" i="5" s="1"/>
  <c r="X168" i="5" s="1"/>
  <c r="X167" i="5" s="1"/>
  <c r="X166" i="5" s="1"/>
  <c r="X165" i="5" s="1"/>
  <c r="X164" i="5" s="1"/>
  <c r="X163" i="5" s="1"/>
  <c r="X162" i="5" s="1"/>
  <c r="X161" i="5" s="1"/>
  <c r="X160" i="5" s="1"/>
  <c r="X159" i="5" s="1"/>
  <c r="X158" i="5" s="1"/>
  <c r="X157" i="5" s="1"/>
  <c r="X156" i="5" s="1"/>
  <c r="X155" i="5" s="1"/>
  <c r="X154" i="5" s="1"/>
  <c r="X153" i="5" s="1"/>
  <c r="X152" i="5" s="1"/>
  <c r="X151" i="5" s="1"/>
  <c r="X150" i="5" s="1"/>
  <c r="X149" i="5" s="1"/>
  <c r="X148" i="5" s="1"/>
  <c r="X147" i="5" s="1"/>
  <c r="X146" i="5" s="1"/>
  <c r="X145" i="5" s="1"/>
  <c r="X144" i="5" s="1"/>
  <c r="X143" i="5" s="1"/>
  <c r="X142" i="5" s="1"/>
  <c r="X141" i="5" s="1"/>
  <c r="X140" i="5" s="1"/>
  <c r="X139" i="5" s="1"/>
  <c r="X138" i="5" s="1"/>
  <c r="X137" i="5" s="1"/>
  <c r="X136" i="5" s="1"/>
  <c r="X135" i="5" s="1"/>
  <c r="X134" i="5" s="1"/>
  <c r="X133" i="5" s="1"/>
  <c r="X132" i="5" s="1"/>
  <c r="X131" i="5" s="1"/>
  <c r="X130" i="5" s="1"/>
  <c r="X129" i="5" s="1"/>
  <c r="X128" i="5" s="1"/>
  <c r="X127" i="5" s="1"/>
  <c r="X126" i="5" s="1"/>
  <c r="X125" i="5" s="1"/>
  <c r="X124" i="5" s="1"/>
  <c r="X123" i="5" s="1"/>
  <c r="X122" i="5" s="1"/>
  <c r="X121" i="5" s="1"/>
  <c r="Y227" i="5"/>
  <c r="Y226" i="5" s="1"/>
  <c r="Y225" i="5" s="1"/>
  <c r="Y224" i="5" s="1"/>
  <c r="Y223" i="5" s="1"/>
  <c r="Y222" i="5" s="1"/>
  <c r="Y221" i="5" s="1"/>
  <c r="Y220" i="5" s="1"/>
  <c r="Y219" i="5" s="1"/>
  <c r="Y218" i="5" s="1"/>
  <c r="Y217" i="5" s="1"/>
  <c r="Y216" i="5" s="1"/>
  <c r="Y215" i="5" s="1"/>
  <c r="Y214" i="5" s="1"/>
  <c r="Y213" i="5" s="1"/>
  <c r="Y212" i="5" s="1"/>
  <c r="Y211" i="5" s="1"/>
  <c r="Y210" i="5" s="1"/>
  <c r="Y209" i="5" s="1"/>
  <c r="Y208" i="5" s="1"/>
  <c r="Y207" i="5" s="1"/>
  <c r="Y206" i="5" s="1"/>
  <c r="Y205" i="5" s="1"/>
  <c r="Y204" i="5" s="1"/>
  <c r="Y203" i="5" s="1"/>
  <c r="Y202" i="5" s="1"/>
  <c r="Y201" i="5" s="1"/>
  <c r="Y200" i="5" s="1"/>
  <c r="Y199" i="5" s="1"/>
  <c r="Y198" i="5" s="1"/>
  <c r="Y197" i="5" s="1"/>
  <c r="Y196" i="5" s="1"/>
  <c r="Y195" i="5" s="1"/>
  <c r="Y194" i="5" s="1"/>
  <c r="Y193" i="5" s="1"/>
  <c r="Y192" i="5" s="1"/>
  <c r="Y191" i="5" s="1"/>
  <c r="Y190" i="5" s="1"/>
  <c r="Y189" i="5" s="1"/>
  <c r="Y188" i="5" s="1"/>
  <c r="Y187" i="5" s="1"/>
  <c r="Y186" i="5" s="1"/>
  <c r="Y185" i="5" s="1"/>
  <c r="Y184" i="5" s="1"/>
  <c r="Y183" i="5" s="1"/>
  <c r="Y182" i="5" s="1"/>
  <c r="Y181" i="5" s="1"/>
  <c r="Y180" i="5" s="1"/>
  <c r="Y179" i="5" s="1"/>
  <c r="Y178" i="5" s="1"/>
  <c r="Y177" i="5" s="1"/>
  <c r="Y176" i="5" s="1"/>
  <c r="Y175" i="5" s="1"/>
  <c r="Y174" i="5" s="1"/>
  <c r="Y173" i="5" s="1"/>
  <c r="Y172" i="5" s="1"/>
  <c r="Y171" i="5" s="1"/>
  <c r="Y170" i="5" s="1"/>
  <c r="Y169" i="5" s="1"/>
  <c r="Y168" i="5" s="1"/>
  <c r="Y167" i="5" s="1"/>
  <c r="Y166" i="5" s="1"/>
  <c r="Y165" i="5" s="1"/>
  <c r="Y164" i="5" s="1"/>
  <c r="Y163" i="5" s="1"/>
  <c r="Y162" i="5" s="1"/>
  <c r="Y161" i="5" s="1"/>
  <c r="Y160" i="5" s="1"/>
  <c r="Y159" i="5" s="1"/>
  <c r="Y158" i="5" s="1"/>
  <c r="Y157" i="5" s="1"/>
  <c r="Y156" i="5" s="1"/>
  <c r="Y155" i="5" s="1"/>
  <c r="Y154" i="5" s="1"/>
  <c r="Y153" i="5" s="1"/>
  <c r="Y152" i="5" s="1"/>
  <c r="Y151" i="5" s="1"/>
  <c r="Y150" i="5" s="1"/>
  <c r="Y149" i="5" s="1"/>
  <c r="Y148" i="5" s="1"/>
  <c r="Y147" i="5" s="1"/>
  <c r="Y146" i="5" s="1"/>
  <c r="Y145" i="5" s="1"/>
  <c r="Y144" i="5" s="1"/>
  <c r="Y143" i="5" s="1"/>
  <c r="Y142" i="5" s="1"/>
  <c r="Y141" i="5" s="1"/>
  <c r="Y140" i="5" s="1"/>
  <c r="Y139" i="5" s="1"/>
  <c r="Y138" i="5" s="1"/>
  <c r="Y137" i="5" s="1"/>
  <c r="Y136" i="5" s="1"/>
  <c r="Y135" i="5" s="1"/>
  <c r="Y134" i="5" s="1"/>
  <c r="Y133" i="5" s="1"/>
  <c r="Y132" i="5" s="1"/>
  <c r="Y131" i="5" s="1"/>
  <c r="Y130" i="5" s="1"/>
  <c r="Y129" i="5" s="1"/>
  <c r="Y128" i="5" s="1"/>
  <c r="Y127" i="5" s="1"/>
  <c r="Y126" i="5" s="1"/>
  <c r="Y125" i="5" s="1"/>
  <c r="Y124" i="5" s="1"/>
  <c r="Y123" i="5" s="1"/>
  <c r="Y122" i="5" s="1"/>
  <c r="Y121" i="5" s="1"/>
  <c r="Z227" i="5"/>
  <c r="Z226" i="5" s="1"/>
  <c r="Z225" i="5" s="1"/>
  <c r="Z224" i="5" s="1"/>
  <c r="Z223" i="5" s="1"/>
  <c r="Z222" i="5" s="1"/>
  <c r="Z221" i="5" s="1"/>
  <c r="Z220" i="5" s="1"/>
  <c r="Z219" i="5" s="1"/>
  <c r="Z218" i="5" s="1"/>
  <c r="Z217" i="5" s="1"/>
  <c r="Z216" i="5" s="1"/>
  <c r="Z215" i="5" s="1"/>
  <c r="Z214" i="5" s="1"/>
  <c r="Z213" i="5" s="1"/>
  <c r="Z212" i="5" s="1"/>
  <c r="Z211" i="5" s="1"/>
  <c r="Z210" i="5" s="1"/>
  <c r="Z209" i="5" s="1"/>
  <c r="Z208" i="5" s="1"/>
  <c r="Z207" i="5" s="1"/>
  <c r="Z206" i="5" s="1"/>
  <c r="Z205" i="5" s="1"/>
  <c r="Z204" i="5" s="1"/>
  <c r="Z203" i="5" s="1"/>
  <c r="Z202" i="5" s="1"/>
  <c r="Z201" i="5" s="1"/>
  <c r="Z200" i="5" s="1"/>
  <c r="Z199" i="5" s="1"/>
  <c r="Z198" i="5" s="1"/>
  <c r="Z197" i="5" s="1"/>
  <c r="Z196" i="5" s="1"/>
  <c r="Z195" i="5" s="1"/>
  <c r="Z194" i="5" s="1"/>
  <c r="Z193" i="5" s="1"/>
  <c r="Z192" i="5" s="1"/>
  <c r="Z191" i="5" s="1"/>
  <c r="Z190" i="5" s="1"/>
  <c r="Z189" i="5" s="1"/>
  <c r="Z188" i="5" s="1"/>
  <c r="Z187" i="5" s="1"/>
  <c r="Z186" i="5" s="1"/>
  <c r="Z185" i="5" s="1"/>
  <c r="Z184" i="5" s="1"/>
  <c r="Z183" i="5" s="1"/>
  <c r="Z182" i="5" s="1"/>
  <c r="Z181" i="5" s="1"/>
  <c r="Z180" i="5" s="1"/>
  <c r="Z179" i="5" s="1"/>
  <c r="Z178" i="5" s="1"/>
  <c r="Z177" i="5" s="1"/>
  <c r="Z176" i="5" s="1"/>
  <c r="Z175" i="5" s="1"/>
  <c r="Z174" i="5" s="1"/>
  <c r="Z173" i="5" s="1"/>
  <c r="Z172" i="5" s="1"/>
  <c r="Z171" i="5" s="1"/>
  <c r="Z170" i="5" s="1"/>
  <c r="Z169" i="5" s="1"/>
  <c r="Z168" i="5" s="1"/>
  <c r="Z167" i="5" s="1"/>
  <c r="Z166" i="5" s="1"/>
  <c r="Z165" i="5" s="1"/>
  <c r="Z164" i="5" s="1"/>
  <c r="Z163" i="5" s="1"/>
  <c r="Z162" i="5" s="1"/>
  <c r="Z161" i="5" s="1"/>
  <c r="Z160" i="5" s="1"/>
  <c r="Z159" i="5" s="1"/>
  <c r="Z158" i="5" s="1"/>
  <c r="Z157" i="5" s="1"/>
  <c r="Z156" i="5" s="1"/>
  <c r="Z155" i="5" s="1"/>
  <c r="Z154" i="5" s="1"/>
  <c r="Z153" i="5" s="1"/>
  <c r="Z152" i="5" s="1"/>
  <c r="Z151" i="5" s="1"/>
  <c r="Z150" i="5" s="1"/>
  <c r="Z149" i="5" s="1"/>
  <c r="Z148" i="5" s="1"/>
  <c r="Z147" i="5" s="1"/>
  <c r="Z146" i="5" s="1"/>
  <c r="Z145" i="5" s="1"/>
  <c r="Z144" i="5" s="1"/>
  <c r="Z143" i="5" s="1"/>
  <c r="Z142" i="5" s="1"/>
  <c r="Z141" i="5" s="1"/>
  <c r="Z140" i="5" s="1"/>
  <c r="Z139" i="5" s="1"/>
  <c r="Z138" i="5" s="1"/>
  <c r="Z137" i="5" s="1"/>
  <c r="Z136" i="5" s="1"/>
  <c r="Z135" i="5" s="1"/>
  <c r="Z134" i="5" s="1"/>
  <c r="Z133" i="5" s="1"/>
  <c r="Z132" i="5" s="1"/>
  <c r="Z131" i="5" s="1"/>
  <c r="Z130" i="5" s="1"/>
  <c r="Z129" i="5" s="1"/>
  <c r="Z128" i="5" s="1"/>
  <c r="Z127" i="5" s="1"/>
  <c r="Z126" i="5" s="1"/>
  <c r="Z125" i="5" s="1"/>
  <c r="Z124" i="5" s="1"/>
  <c r="Z123" i="5" s="1"/>
  <c r="Z122" i="5" s="1"/>
  <c r="Z121" i="5" s="1"/>
  <c r="AA227" i="5"/>
  <c r="AA226" i="5" s="1"/>
  <c r="AA225" i="5" s="1"/>
  <c r="AA224" i="5" s="1"/>
  <c r="AA223" i="5" s="1"/>
  <c r="AA222" i="5" s="1"/>
  <c r="AA221" i="5" s="1"/>
  <c r="AA220" i="5" s="1"/>
  <c r="AA219" i="5" s="1"/>
  <c r="AA218" i="5" s="1"/>
  <c r="AA217" i="5" s="1"/>
  <c r="AA216" i="5" s="1"/>
  <c r="AA215" i="5" s="1"/>
  <c r="AA214" i="5" s="1"/>
  <c r="AA213" i="5" s="1"/>
  <c r="AA212" i="5" s="1"/>
  <c r="AA211" i="5" s="1"/>
  <c r="AA210" i="5" s="1"/>
  <c r="AA209" i="5" s="1"/>
  <c r="AA208" i="5" s="1"/>
  <c r="AA207" i="5" s="1"/>
  <c r="AA206" i="5" s="1"/>
  <c r="AA205" i="5" s="1"/>
  <c r="AA204" i="5" s="1"/>
  <c r="AA203" i="5" s="1"/>
  <c r="AA202" i="5" s="1"/>
  <c r="AA201" i="5" s="1"/>
  <c r="AA200" i="5" s="1"/>
  <c r="AA199" i="5" s="1"/>
  <c r="AA198" i="5" s="1"/>
  <c r="AA197" i="5" s="1"/>
  <c r="AA196" i="5" s="1"/>
  <c r="AA195" i="5" s="1"/>
  <c r="AA194" i="5" s="1"/>
  <c r="AA193" i="5" s="1"/>
  <c r="AA192" i="5" s="1"/>
  <c r="AA191" i="5" s="1"/>
  <c r="AA190" i="5" s="1"/>
  <c r="AA189" i="5" s="1"/>
  <c r="AA188" i="5" s="1"/>
  <c r="AA187" i="5" s="1"/>
  <c r="AA186" i="5" s="1"/>
  <c r="AA185" i="5" s="1"/>
  <c r="AA184" i="5" s="1"/>
  <c r="AA183" i="5" s="1"/>
  <c r="AA182" i="5" s="1"/>
  <c r="AA181" i="5" s="1"/>
  <c r="AA180" i="5" s="1"/>
  <c r="AA179" i="5" s="1"/>
  <c r="AA178" i="5" s="1"/>
  <c r="AA177" i="5" s="1"/>
  <c r="AA176" i="5" s="1"/>
  <c r="AA175" i="5" s="1"/>
  <c r="AA174" i="5" s="1"/>
  <c r="AA173" i="5" s="1"/>
  <c r="AA172" i="5" s="1"/>
  <c r="AA171" i="5" s="1"/>
  <c r="AA170" i="5" s="1"/>
  <c r="AA169" i="5" s="1"/>
  <c r="AA168" i="5" s="1"/>
  <c r="AA167" i="5" s="1"/>
  <c r="AA166" i="5" s="1"/>
  <c r="AA165" i="5" s="1"/>
  <c r="AA164" i="5" s="1"/>
  <c r="AA163" i="5" s="1"/>
  <c r="AA162" i="5" s="1"/>
  <c r="AA161" i="5" s="1"/>
  <c r="AA160" i="5" s="1"/>
  <c r="AA159" i="5" s="1"/>
  <c r="AA158" i="5" s="1"/>
  <c r="AA157" i="5" s="1"/>
  <c r="AA156" i="5" s="1"/>
  <c r="AA155" i="5" s="1"/>
  <c r="AA154" i="5" s="1"/>
  <c r="AA153" i="5" s="1"/>
  <c r="AA152" i="5" s="1"/>
  <c r="AA151" i="5" s="1"/>
  <c r="AA150" i="5" s="1"/>
  <c r="AA149" i="5" s="1"/>
  <c r="AA148" i="5" s="1"/>
  <c r="AA147" i="5" s="1"/>
  <c r="AA146" i="5" s="1"/>
  <c r="AA145" i="5" s="1"/>
  <c r="AA144" i="5" s="1"/>
  <c r="AA143" i="5" s="1"/>
  <c r="AA142" i="5" s="1"/>
  <c r="AA141" i="5" s="1"/>
  <c r="AA140" i="5" s="1"/>
  <c r="AA139" i="5" s="1"/>
  <c r="AA138" i="5" s="1"/>
  <c r="AA137" i="5" s="1"/>
  <c r="AA136" i="5" s="1"/>
  <c r="AA135" i="5" s="1"/>
  <c r="AA134" i="5" s="1"/>
  <c r="AA133" i="5" s="1"/>
  <c r="AA132" i="5" s="1"/>
  <c r="AA131" i="5" s="1"/>
  <c r="AA130" i="5" s="1"/>
  <c r="AA129" i="5" s="1"/>
  <c r="AA128" i="5" s="1"/>
  <c r="AA127" i="5" s="1"/>
  <c r="AA126" i="5" s="1"/>
  <c r="AA125" i="5" s="1"/>
  <c r="AA124" i="5" s="1"/>
  <c r="AA123" i="5" s="1"/>
  <c r="AA122" i="5" s="1"/>
  <c r="AA121" i="5" s="1"/>
  <c r="AB227" i="5"/>
  <c r="AB226" i="5" s="1"/>
  <c r="AB225" i="5" s="1"/>
  <c r="AB224" i="5" s="1"/>
  <c r="AB223" i="5" s="1"/>
  <c r="AB222" i="5" s="1"/>
  <c r="AB221" i="5" s="1"/>
  <c r="AB220" i="5" s="1"/>
  <c r="AB219" i="5" s="1"/>
  <c r="AB218" i="5" s="1"/>
  <c r="AB217" i="5" s="1"/>
  <c r="AB216" i="5" s="1"/>
  <c r="AB215" i="5" s="1"/>
  <c r="AB214" i="5" s="1"/>
  <c r="AB213" i="5" s="1"/>
  <c r="AB212" i="5" s="1"/>
  <c r="AB211" i="5" s="1"/>
  <c r="AB210" i="5" s="1"/>
  <c r="AB209" i="5" s="1"/>
  <c r="AB208" i="5" s="1"/>
  <c r="AB207" i="5" s="1"/>
  <c r="AB206" i="5" s="1"/>
  <c r="AB205" i="5" s="1"/>
  <c r="AB204" i="5" s="1"/>
  <c r="AB203" i="5" s="1"/>
  <c r="AB202" i="5" s="1"/>
  <c r="AB201" i="5" s="1"/>
  <c r="AB200" i="5" s="1"/>
  <c r="AB199" i="5" s="1"/>
  <c r="AB198" i="5" s="1"/>
  <c r="AB197" i="5" s="1"/>
  <c r="AB196" i="5" s="1"/>
  <c r="AB195" i="5" s="1"/>
  <c r="AB194" i="5" s="1"/>
  <c r="AB193" i="5" s="1"/>
  <c r="AB192" i="5" s="1"/>
  <c r="AB191" i="5" s="1"/>
  <c r="AB190" i="5" s="1"/>
  <c r="AB189" i="5" s="1"/>
  <c r="AB188" i="5" s="1"/>
  <c r="AB187" i="5" s="1"/>
  <c r="AB186" i="5" s="1"/>
  <c r="AB185" i="5" s="1"/>
  <c r="AB184" i="5" s="1"/>
  <c r="AB183" i="5" s="1"/>
  <c r="AB182" i="5" s="1"/>
  <c r="AB181" i="5" s="1"/>
  <c r="AB180" i="5" s="1"/>
  <c r="AB179" i="5" s="1"/>
  <c r="AB178" i="5" s="1"/>
  <c r="AB177" i="5" s="1"/>
  <c r="AB176" i="5" s="1"/>
  <c r="AB175" i="5" s="1"/>
  <c r="AB174" i="5" s="1"/>
  <c r="AB173" i="5" s="1"/>
  <c r="AB172" i="5" s="1"/>
  <c r="AB171" i="5" s="1"/>
  <c r="AB170" i="5" s="1"/>
  <c r="AB169" i="5" s="1"/>
  <c r="AB168" i="5" s="1"/>
  <c r="AB167" i="5" s="1"/>
  <c r="AB166" i="5" s="1"/>
  <c r="AB165" i="5" s="1"/>
  <c r="AB164" i="5" s="1"/>
  <c r="AB163" i="5" s="1"/>
  <c r="AB162" i="5" s="1"/>
  <c r="AB161" i="5" s="1"/>
  <c r="AB160" i="5" s="1"/>
  <c r="AB159" i="5" s="1"/>
  <c r="AB158" i="5" s="1"/>
  <c r="AB157" i="5" s="1"/>
  <c r="AB156" i="5" s="1"/>
  <c r="AB155" i="5" s="1"/>
  <c r="AB154" i="5" s="1"/>
  <c r="AB153" i="5" s="1"/>
  <c r="AB152" i="5" s="1"/>
  <c r="AB151" i="5" s="1"/>
  <c r="AB150" i="5" s="1"/>
  <c r="AB149" i="5" s="1"/>
  <c r="AB148" i="5" s="1"/>
  <c r="AB147" i="5" s="1"/>
  <c r="AB146" i="5" s="1"/>
  <c r="AB145" i="5" s="1"/>
  <c r="AB144" i="5" s="1"/>
  <c r="AB143" i="5" s="1"/>
  <c r="AB142" i="5" s="1"/>
  <c r="AB141" i="5" s="1"/>
  <c r="AB140" i="5" s="1"/>
  <c r="AB139" i="5" s="1"/>
  <c r="AB138" i="5" s="1"/>
  <c r="AB137" i="5" s="1"/>
  <c r="AB136" i="5" s="1"/>
  <c r="AB135" i="5" s="1"/>
  <c r="AB134" i="5" s="1"/>
  <c r="AB133" i="5" s="1"/>
  <c r="AB132" i="5" s="1"/>
  <c r="AB131" i="5" s="1"/>
  <c r="AB130" i="5" s="1"/>
  <c r="AB129" i="5" s="1"/>
  <c r="AB128" i="5" s="1"/>
  <c r="AB127" i="5" s="1"/>
  <c r="AB126" i="5" s="1"/>
  <c r="AB125" i="5" s="1"/>
  <c r="AB124" i="5" s="1"/>
  <c r="AB123" i="5" s="1"/>
  <c r="AB122" i="5" s="1"/>
  <c r="AB121" i="5" s="1"/>
  <c r="AC227" i="5"/>
  <c r="AC226" i="5" s="1"/>
  <c r="AC225" i="5" s="1"/>
  <c r="AC224" i="5" s="1"/>
  <c r="AC223" i="5" s="1"/>
  <c r="AC222" i="5" s="1"/>
  <c r="AC221" i="5" s="1"/>
  <c r="AC220" i="5" s="1"/>
  <c r="AC219" i="5" s="1"/>
  <c r="AC218" i="5" s="1"/>
  <c r="AC217" i="5" s="1"/>
  <c r="AC216" i="5" s="1"/>
  <c r="AC215" i="5" s="1"/>
  <c r="AC214" i="5" s="1"/>
  <c r="AC213" i="5" s="1"/>
  <c r="AC212" i="5" s="1"/>
  <c r="AC211" i="5" s="1"/>
  <c r="AC210" i="5" s="1"/>
  <c r="AC209" i="5" s="1"/>
  <c r="AC208" i="5" s="1"/>
  <c r="AC207" i="5" s="1"/>
  <c r="AC206" i="5" s="1"/>
  <c r="AC205" i="5" s="1"/>
  <c r="AC204" i="5" s="1"/>
  <c r="AC203" i="5" s="1"/>
  <c r="AC202" i="5" s="1"/>
  <c r="AC201" i="5" s="1"/>
  <c r="AC200" i="5" s="1"/>
  <c r="AC199" i="5" s="1"/>
  <c r="AC198" i="5" s="1"/>
  <c r="AC197" i="5" s="1"/>
  <c r="AC196" i="5" s="1"/>
  <c r="AC195" i="5" s="1"/>
  <c r="AC194" i="5" s="1"/>
  <c r="AC193" i="5" s="1"/>
  <c r="AC192" i="5" s="1"/>
  <c r="AC191" i="5" s="1"/>
  <c r="AC190" i="5" s="1"/>
  <c r="AC189" i="5" s="1"/>
  <c r="AC188" i="5" s="1"/>
  <c r="AC187" i="5" s="1"/>
  <c r="AC186" i="5" s="1"/>
  <c r="AC185" i="5" s="1"/>
  <c r="AC184" i="5" s="1"/>
  <c r="AC183" i="5" s="1"/>
  <c r="AC182" i="5" s="1"/>
  <c r="AC181" i="5" s="1"/>
  <c r="AC180" i="5" s="1"/>
  <c r="AC179" i="5" s="1"/>
  <c r="AC178" i="5" s="1"/>
  <c r="AC177" i="5" s="1"/>
  <c r="AC176" i="5" s="1"/>
  <c r="AC175" i="5" s="1"/>
  <c r="AC174" i="5" s="1"/>
  <c r="AC173" i="5" s="1"/>
  <c r="AC172" i="5" s="1"/>
  <c r="AC171" i="5" s="1"/>
  <c r="AC170" i="5" s="1"/>
  <c r="AC169" i="5" s="1"/>
  <c r="AC168" i="5" s="1"/>
  <c r="AC167" i="5" s="1"/>
  <c r="AC166" i="5" s="1"/>
  <c r="AC165" i="5" s="1"/>
  <c r="AC164" i="5" s="1"/>
  <c r="AC163" i="5" s="1"/>
  <c r="AC162" i="5" s="1"/>
  <c r="AC161" i="5" s="1"/>
  <c r="AC160" i="5" s="1"/>
  <c r="AC159" i="5" s="1"/>
  <c r="AC158" i="5" s="1"/>
  <c r="AC157" i="5" s="1"/>
  <c r="AC156" i="5" s="1"/>
  <c r="AC155" i="5" s="1"/>
  <c r="AC154" i="5" s="1"/>
  <c r="AC153" i="5" s="1"/>
  <c r="AC152" i="5" s="1"/>
  <c r="AC151" i="5" s="1"/>
  <c r="AC150" i="5" s="1"/>
  <c r="AC149" i="5" s="1"/>
  <c r="AC148" i="5" s="1"/>
  <c r="AC147" i="5" s="1"/>
  <c r="AC146" i="5" s="1"/>
  <c r="AC145" i="5" s="1"/>
  <c r="AC144" i="5" s="1"/>
  <c r="AC143" i="5" s="1"/>
  <c r="AC142" i="5" s="1"/>
  <c r="AC141" i="5" s="1"/>
  <c r="AC140" i="5" s="1"/>
  <c r="AC139" i="5" s="1"/>
  <c r="AC138" i="5" s="1"/>
  <c r="AC137" i="5" s="1"/>
  <c r="AC136" i="5" s="1"/>
  <c r="AC135" i="5" s="1"/>
  <c r="AC134" i="5" s="1"/>
  <c r="AC133" i="5" s="1"/>
  <c r="AC132" i="5" s="1"/>
  <c r="AC131" i="5" s="1"/>
  <c r="AC130" i="5" s="1"/>
  <c r="AC129" i="5" s="1"/>
  <c r="AC128" i="5" s="1"/>
  <c r="AC127" i="5" s="1"/>
  <c r="AC126" i="5" s="1"/>
  <c r="AC125" i="5" s="1"/>
  <c r="AC124" i="5" s="1"/>
  <c r="AC123" i="5" s="1"/>
  <c r="AC122" i="5" s="1"/>
  <c r="AC121" i="5" s="1"/>
  <c r="AD227" i="5"/>
  <c r="AD226" i="5" s="1"/>
  <c r="AD225" i="5" s="1"/>
  <c r="AD224" i="5" s="1"/>
  <c r="AD223" i="5" s="1"/>
  <c r="AD222" i="5" s="1"/>
  <c r="AD221" i="5" s="1"/>
  <c r="AD220" i="5" s="1"/>
  <c r="AD219" i="5" s="1"/>
  <c r="AD218" i="5" s="1"/>
  <c r="AD217" i="5" s="1"/>
  <c r="AD216" i="5" s="1"/>
  <c r="AD215" i="5" s="1"/>
  <c r="AD214" i="5" s="1"/>
  <c r="AD213" i="5" s="1"/>
  <c r="AD212" i="5" s="1"/>
  <c r="AD211" i="5" s="1"/>
  <c r="AD210" i="5" s="1"/>
  <c r="AD209" i="5" s="1"/>
  <c r="AD208" i="5" s="1"/>
  <c r="AD207" i="5" s="1"/>
  <c r="AD206" i="5" s="1"/>
  <c r="AD205" i="5" s="1"/>
  <c r="AD204" i="5" s="1"/>
  <c r="AD203" i="5" s="1"/>
  <c r="AD202" i="5" s="1"/>
  <c r="AD201" i="5" s="1"/>
  <c r="AD200" i="5" s="1"/>
  <c r="AD199" i="5" s="1"/>
  <c r="AD198" i="5" s="1"/>
  <c r="AD197" i="5" s="1"/>
  <c r="AD196" i="5" s="1"/>
  <c r="AD195" i="5" s="1"/>
  <c r="AD194" i="5" s="1"/>
  <c r="AD193" i="5" s="1"/>
  <c r="AD192" i="5" s="1"/>
  <c r="AD191" i="5" s="1"/>
  <c r="AD190" i="5" s="1"/>
  <c r="AD189" i="5" s="1"/>
  <c r="AD188" i="5" s="1"/>
  <c r="AD187" i="5" s="1"/>
  <c r="AD186" i="5" s="1"/>
  <c r="AD185" i="5" s="1"/>
  <c r="AD184" i="5" s="1"/>
  <c r="AD183" i="5" s="1"/>
  <c r="AD182" i="5" s="1"/>
  <c r="AD181" i="5" s="1"/>
  <c r="AD180" i="5" s="1"/>
  <c r="AD179" i="5" s="1"/>
  <c r="AD178" i="5" s="1"/>
  <c r="AD177" i="5" s="1"/>
  <c r="AD176" i="5" s="1"/>
  <c r="AD175" i="5" s="1"/>
  <c r="AD174" i="5" s="1"/>
  <c r="AD173" i="5" s="1"/>
  <c r="AD172" i="5" s="1"/>
  <c r="AD171" i="5" s="1"/>
  <c r="AD170" i="5" s="1"/>
  <c r="AD169" i="5" s="1"/>
  <c r="AD168" i="5" s="1"/>
  <c r="AD167" i="5" s="1"/>
  <c r="AD166" i="5" s="1"/>
  <c r="AD165" i="5" s="1"/>
  <c r="AD164" i="5" s="1"/>
  <c r="AD163" i="5" s="1"/>
  <c r="AD162" i="5" s="1"/>
  <c r="AD161" i="5" s="1"/>
  <c r="AD160" i="5" s="1"/>
  <c r="AD159" i="5" s="1"/>
  <c r="AD158" i="5" s="1"/>
  <c r="AD157" i="5" s="1"/>
  <c r="AD156" i="5" s="1"/>
  <c r="AD155" i="5" s="1"/>
  <c r="AD154" i="5" s="1"/>
  <c r="AD153" i="5" s="1"/>
  <c r="AD152" i="5" s="1"/>
  <c r="AD151" i="5" s="1"/>
  <c r="AD150" i="5" s="1"/>
  <c r="AD149" i="5" s="1"/>
  <c r="AD148" i="5" s="1"/>
  <c r="AD147" i="5" s="1"/>
  <c r="AD146" i="5" s="1"/>
  <c r="AD145" i="5" s="1"/>
  <c r="AD144" i="5" s="1"/>
  <c r="AD143" i="5" s="1"/>
  <c r="AD142" i="5" s="1"/>
  <c r="AD141" i="5" s="1"/>
  <c r="AD140" i="5" s="1"/>
  <c r="AD139" i="5" s="1"/>
  <c r="AD138" i="5" s="1"/>
  <c r="AD137" i="5" s="1"/>
  <c r="AD136" i="5" s="1"/>
  <c r="AD135" i="5" s="1"/>
  <c r="AD134" i="5" s="1"/>
  <c r="AD133" i="5" s="1"/>
  <c r="AD132" i="5" s="1"/>
  <c r="AD131" i="5" s="1"/>
  <c r="AD130" i="5" s="1"/>
  <c r="AD129" i="5" s="1"/>
  <c r="AD128" i="5" s="1"/>
  <c r="AD127" i="5" s="1"/>
  <c r="AD126" i="5" s="1"/>
  <c r="AD125" i="5" s="1"/>
  <c r="AD124" i="5" s="1"/>
  <c r="AD123" i="5" s="1"/>
  <c r="AD122" i="5" s="1"/>
  <c r="AD121" i="5" s="1"/>
  <c r="AE227" i="5"/>
  <c r="AE226" i="5" s="1"/>
  <c r="AE225" i="5" s="1"/>
  <c r="AE224" i="5" s="1"/>
  <c r="AE223" i="5" s="1"/>
  <c r="AE222" i="5" s="1"/>
  <c r="AE221" i="5" s="1"/>
  <c r="AE220" i="5" s="1"/>
  <c r="AE219" i="5" s="1"/>
  <c r="AE218" i="5" s="1"/>
  <c r="AE217" i="5" s="1"/>
  <c r="AE216" i="5" s="1"/>
  <c r="AE215" i="5" s="1"/>
  <c r="AE214" i="5" s="1"/>
  <c r="AE213" i="5" s="1"/>
  <c r="AE212" i="5" s="1"/>
  <c r="AE211" i="5" s="1"/>
  <c r="AE210" i="5" s="1"/>
  <c r="AE209" i="5" s="1"/>
  <c r="AE208" i="5" s="1"/>
  <c r="AE207" i="5" s="1"/>
  <c r="AE206" i="5" s="1"/>
  <c r="AE205" i="5" s="1"/>
  <c r="AE204" i="5" s="1"/>
  <c r="AE203" i="5" s="1"/>
  <c r="AE202" i="5" s="1"/>
  <c r="AE201" i="5" s="1"/>
  <c r="AE200" i="5" s="1"/>
  <c r="AE199" i="5" s="1"/>
  <c r="AE198" i="5" s="1"/>
  <c r="AE197" i="5" s="1"/>
  <c r="AE196" i="5" s="1"/>
  <c r="AE195" i="5" s="1"/>
  <c r="AE194" i="5" s="1"/>
  <c r="AE193" i="5" s="1"/>
  <c r="AE192" i="5" s="1"/>
  <c r="AE191" i="5" s="1"/>
  <c r="AE190" i="5" s="1"/>
  <c r="AE189" i="5" s="1"/>
  <c r="AE188" i="5" s="1"/>
  <c r="AE187" i="5" s="1"/>
  <c r="AE186" i="5" s="1"/>
  <c r="AE185" i="5" s="1"/>
  <c r="AE184" i="5" s="1"/>
  <c r="AE183" i="5" s="1"/>
  <c r="AE182" i="5" s="1"/>
  <c r="AE181" i="5" s="1"/>
  <c r="AE180" i="5" s="1"/>
  <c r="AE179" i="5" s="1"/>
  <c r="AE178" i="5" s="1"/>
  <c r="AE177" i="5" s="1"/>
  <c r="AE176" i="5" s="1"/>
  <c r="AE175" i="5" s="1"/>
  <c r="AE174" i="5" s="1"/>
  <c r="AE173" i="5" s="1"/>
  <c r="AE172" i="5" s="1"/>
  <c r="AE171" i="5" s="1"/>
  <c r="AE170" i="5" s="1"/>
  <c r="AE169" i="5" s="1"/>
  <c r="AE168" i="5" s="1"/>
  <c r="AE167" i="5" s="1"/>
  <c r="AE166" i="5" s="1"/>
  <c r="AE165" i="5" s="1"/>
  <c r="AE164" i="5" s="1"/>
  <c r="AE163" i="5" s="1"/>
  <c r="AE162" i="5" s="1"/>
  <c r="AE161" i="5" s="1"/>
  <c r="AE160" i="5" s="1"/>
  <c r="AE159" i="5" s="1"/>
  <c r="AE158" i="5" s="1"/>
  <c r="AE157" i="5" s="1"/>
  <c r="AE156" i="5" s="1"/>
  <c r="AE155" i="5" s="1"/>
  <c r="AE154" i="5" s="1"/>
  <c r="AE153" i="5" s="1"/>
  <c r="AE152" i="5" s="1"/>
  <c r="AE151" i="5" s="1"/>
  <c r="AE150" i="5" s="1"/>
  <c r="AE149" i="5" s="1"/>
  <c r="AE148" i="5" s="1"/>
  <c r="AE147" i="5" s="1"/>
  <c r="AE146" i="5" s="1"/>
  <c r="AE145" i="5" s="1"/>
  <c r="AE144" i="5" s="1"/>
  <c r="AE143" i="5" s="1"/>
  <c r="AE142" i="5" s="1"/>
  <c r="AE141" i="5" s="1"/>
  <c r="AE140" i="5" s="1"/>
  <c r="AE139" i="5" s="1"/>
  <c r="AE138" i="5" s="1"/>
  <c r="AE137" i="5" s="1"/>
  <c r="AE136" i="5" s="1"/>
  <c r="AE135" i="5" s="1"/>
  <c r="AE134" i="5" s="1"/>
  <c r="AE133" i="5" s="1"/>
  <c r="AE132" i="5" s="1"/>
  <c r="AE131" i="5" s="1"/>
  <c r="AE130" i="5" s="1"/>
  <c r="AE129" i="5" s="1"/>
  <c r="AE128" i="5" s="1"/>
  <c r="AE127" i="5" s="1"/>
  <c r="AE126" i="5" s="1"/>
  <c r="AE125" i="5" s="1"/>
  <c r="AE124" i="5" s="1"/>
  <c r="AE123" i="5" s="1"/>
  <c r="AE122" i="5" s="1"/>
  <c r="AE121" i="5" s="1"/>
  <c r="AF227" i="5"/>
  <c r="AF226" i="5" s="1"/>
  <c r="AF225" i="5" s="1"/>
  <c r="AF224" i="5" s="1"/>
  <c r="AF223" i="5" s="1"/>
  <c r="AF222" i="5" s="1"/>
  <c r="AF221" i="5" s="1"/>
  <c r="AF220" i="5" s="1"/>
  <c r="AF219" i="5" s="1"/>
  <c r="AF218" i="5" s="1"/>
  <c r="AF217" i="5" s="1"/>
  <c r="AF216" i="5" s="1"/>
  <c r="AF215" i="5" s="1"/>
  <c r="AF214" i="5" s="1"/>
  <c r="AF213" i="5" s="1"/>
  <c r="AF212" i="5" s="1"/>
  <c r="AF211" i="5" s="1"/>
  <c r="AF210" i="5" s="1"/>
  <c r="AF209" i="5" s="1"/>
  <c r="AF208" i="5" s="1"/>
  <c r="AF207" i="5" s="1"/>
  <c r="AF206" i="5" s="1"/>
  <c r="AF205" i="5" s="1"/>
  <c r="AF204" i="5" s="1"/>
  <c r="AF203" i="5" s="1"/>
  <c r="AF202" i="5" s="1"/>
  <c r="AF201" i="5" s="1"/>
  <c r="AF200" i="5" s="1"/>
  <c r="AF199" i="5" s="1"/>
  <c r="AF198" i="5" s="1"/>
  <c r="AF197" i="5" s="1"/>
  <c r="AF196" i="5" s="1"/>
  <c r="AF195" i="5" s="1"/>
  <c r="AF194" i="5" s="1"/>
  <c r="AF193" i="5" s="1"/>
  <c r="AF192" i="5" s="1"/>
  <c r="AF191" i="5" s="1"/>
  <c r="AF190" i="5" s="1"/>
  <c r="AF189" i="5" s="1"/>
  <c r="AF188" i="5" s="1"/>
  <c r="AF187" i="5" s="1"/>
  <c r="AF186" i="5" s="1"/>
  <c r="AF185" i="5" s="1"/>
  <c r="AF184" i="5" s="1"/>
  <c r="AF183" i="5" s="1"/>
  <c r="AF182" i="5" s="1"/>
  <c r="AF181" i="5" s="1"/>
  <c r="AF180" i="5" s="1"/>
  <c r="AF179" i="5" s="1"/>
  <c r="AF178" i="5" s="1"/>
  <c r="AF177" i="5" s="1"/>
  <c r="AF176" i="5" s="1"/>
  <c r="AF175" i="5" s="1"/>
  <c r="AF174" i="5" s="1"/>
  <c r="AF173" i="5" s="1"/>
  <c r="AF172" i="5" s="1"/>
  <c r="AF171" i="5" s="1"/>
  <c r="AF170" i="5" s="1"/>
  <c r="AF169" i="5" s="1"/>
  <c r="AF168" i="5" s="1"/>
  <c r="AF167" i="5" s="1"/>
  <c r="AF166" i="5" s="1"/>
  <c r="AF165" i="5" s="1"/>
  <c r="AF164" i="5" s="1"/>
  <c r="AF163" i="5" s="1"/>
  <c r="AF162" i="5" s="1"/>
  <c r="AF161" i="5" s="1"/>
  <c r="AF160" i="5" s="1"/>
  <c r="AF159" i="5" s="1"/>
  <c r="AF158" i="5" s="1"/>
  <c r="AF157" i="5" s="1"/>
  <c r="AF156" i="5" s="1"/>
  <c r="AF155" i="5" s="1"/>
  <c r="AF154" i="5" s="1"/>
  <c r="AF153" i="5" s="1"/>
  <c r="AF152" i="5" s="1"/>
  <c r="AF151" i="5" s="1"/>
  <c r="AF150" i="5" s="1"/>
  <c r="AF149" i="5" s="1"/>
  <c r="AF148" i="5" s="1"/>
  <c r="AF147" i="5" s="1"/>
  <c r="AF146" i="5" s="1"/>
  <c r="AF145" i="5" s="1"/>
  <c r="AF144" i="5" s="1"/>
  <c r="AF143" i="5" s="1"/>
  <c r="AF142" i="5" s="1"/>
  <c r="AF141" i="5" s="1"/>
  <c r="AF140" i="5" s="1"/>
  <c r="AF139" i="5" s="1"/>
  <c r="AF138" i="5" s="1"/>
  <c r="AF137" i="5" s="1"/>
  <c r="AF136" i="5" s="1"/>
  <c r="AF135" i="5" s="1"/>
  <c r="AF134" i="5" s="1"/>
  <c r="AF133" i="5" s="1"/>
  <c r="AF132" i="5" s="1"/>
  <c r="AF131" i="5" s="1"/>
  <c r="AF130" i="5" s="1"/>
  <c r="AF129" i="5" s="1"/>
  <c r="AF128" i="5" s="1"/>
  <c r="AF127" i="5" s="1"/>
  <c r="AF126" i="5" s="1"/>
  <c r="AF125" i="5" s="1"/>
  <c r="AF124" i="5" s="1"/>
  <c r="AF123" i="5" s="1"/>
  <c r="AF122" i="5" s="1"/>
  <c r="AF121" i="5" s="1"/>
  <c r="AG227" i="5"/>
  <c r="AG226" i="5" s="1"/>
  <c r="AG225" i="5" s="1"/>
  <c r="AG224" i="5" s="1"/>
  <c r="AG223" i="5" s="1"/>
  <c r="AG222" i="5" s="1"/>
  <c r="AG221" i="5" s="1"/>
  <c r="AG220" i="5" s="1"/>
  <c r="AG219" i="5" s="1"/>
  <c r="AG218" i="5" s="1"/>
  <c r="AG217" i="5" s="1"/>
  <c r="AG216" i="5" s="1"/>
  <c r="AG215" i="5" s="1"/>
  <c r="AG214" i="5" s="1"/>
  <c r="AG213" i="5" s="1"/>
  <c r="AG212" i="5" s="1"/>
  <c r="AG211" i="5" s="1"/>
  <c r="AG210" i="5" s="1"/>
  <c r="AG209" i="5" s="1"/>
  <c r="AG208" i="5" s="1"/>
  <c r="AG207" i="5" s="1"/>
  <c r="AG206" i="5" s="1"/>
  <c r="AG205" i="5" s="1"/>
  <c r="AG204" i="5" s="1"/>
  <c r="AG203" i="5" s="1"/>
  <c r="AG202" i="5" s="1"/>
  <c r="AG201" i="5" s="1"/>
  <c r="AG200" i="5" s="1"/>
  <c r="AG199" i="5" s="1"/>
  <c r="AG198" i="5" s="1"/>
  <c r="AG197" i="5" s="1"/>
  <c r="AG196" i="5" s="1"/>
  <c r="AG195" i="5" s="1"/>
  <c r="AG194" i="5" s="1"/>
  <c r="AG193" i="5" s="1"/>
  <c r="AG192" i="5" s="1"/>
  <c r="AG191" i="5" s="1"/>
  <c r="AG190" i="5" s="1"/>
  <c r="AG189" i="5" s="1"/>
  <c r="AG188" i="5" s="1"/>
  <c r="AG187" i="5" s="1"/>
  <c r="AG186" i="5" s="1"/>
  <c r="AG185" i="5" s="1"/>
  <c r="AG184" i="5" s="1"/>
  <c r="AG183" i="5" s="1"/>
  <c r="AG182" i="5" s="1"/>
  <c r="AG181" i="5" s="1"/>
  <c r="AG180" i="5" s="1"/>
  <c r="AG179" i="5" s="1"/>
  <c r="AG178" i="5" s="1"/>
  <c r="AG177" i="5" s="1"/>
  <c r="AG176" i="5" s="1"/>
  <c r="AG175" i="5" s="1"/>
  <c r="AG174" i="5" s="1"/>
  <c r="AG173" i="5" s="1"/>
  <c r="AG172" i="5" s="1"/>
  <c r="AG171" i="5" s="1"/>
  <c r="AG170" i="5" s="1"/>
  <c r="AG169" i="5" s="1"/>
  <c r="AG168" i="5" s="1"/>
  <c r="AG167" i="5" s="1"/>
  <c r="AG166" i="5" s="1"/>
  <c r="AG165" i="5" s="1"/>
  <c r="AG164" i="5" s="1"/>
  <c r="AG163" i="5" s="1"/>
  <c r="AG162" i="5" s="1"/>
  <c r="AG161" i="5" s="1"/>
  <c r="AG160" i="5" s="1"/>
  <c r="AG159" i="5" s="1"/>
  <c r="AG158" i="5" s="1"/>
  <c r="AG157" i="5" s="1"/>
  <c r="AG156" i="5" s="1"/>
  <c r="AG155" i="5" s="1"/>
  <c r="AG154" i="5" s="1"/>
  <c r="AG153" i="5" s="1"/>
  <c r="AG152" i="5" s="1"/>
  <c r="AG151" i="5" s="1"/>
  <c r="AG150" i="5" s="1"/>
  <c r="AG149" i="5" s="1"/>
  <c r="AG148" i="5" s="1"/>
  <c r="AG147" i="5" s="1"/>
  <c r="AG146" i="5" s="1"/>
  <c r="AG145" i="5" s="1"/>
  <c r="AG144" i="5" s="1"/>
  <c r="AG143" i="5" s="1"/>
  <c r="AG142" i="5" s="1"/>
  <c r="AG141" i="5" s="1"/>
  <c r="AG140" i="5" s="1"/>
  <c r="AG139" i="5" s="1"/>
  <c r="AG138" i="5" s="1"/>
  <c r="AG137" i="5" s="1"/>
  <c r="AG136" i="5" s="1"/>
  <c r="AG135" i="5" s="1"/>
  <c r="AG134" i="5" s="1"/>
  <c r="AG133" i="5" s="1"/>
  <c r="AG132" i="5" s="1"/>
  <c r="AG131" i="5" s="1"/>
  <c r="AG130" i="5" s="1"/>
  <c r="AG129" i="5" s="1"/>
  <c r="AG128" i="5" s="1"/>
  <c r="AG127" i="5" s="1"/>
  <c r="AG126" i="5" s="1"/>
  <c r="AG125" i="5" s="1"/>
  <c r="AG124" i="5" s="1"/>
  <c r="AG123" i="5" s="1"/>
  <c r="AG122" i="5" s="1"/>
  <c r="AG121" i="5" s="1"/>
  <c r="F210" i="5" l="1"/>
  <c r="F209" i="5" s="1"/>
  <c r="K120" i="5"/>
  <c r="K5" i="5" s="1"/>
  <c r="L4" i="2" s="1"/>
  <c r="W120" i="5"/>
  <c r="W5" i="5" s="1"/>
  <c r="F6" i="2" s="1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A128" i="5"/>
  <c r="A129" i="5"/>
  <c r="B129" i="5"/>
  <c r="A130" i="5"/>
  <c r="A131" i="5"/>
  <c r="A132" i="5"/>
  <c r="B132" i="5"/>
  <c r="A133" i="5"/>
  <c r="A134" i="5"/>
  <c r="A135" i="5"/>
  <c r="B135" i="5"/>
  <c r="A136" i="5"/>
  <c r="A137" i="5"/>
  <c r="A138" i="5"/>
  <c r="B138" i="5"/>
  <c r="A139" i="5"/>
  <c r="A140" i="5"/>
  <c r="A141" i="5"/>
  <c r="B141" i="5"/>
  <c r="A142" i="5"/>
  <c r="A143" i="5"/>
  <c r="A144" i="5"/>
  <c r="B144" i="5"/>
  <c r="A145" i="5"/>
  <c r="A146" i="5"/>
  <c r="A147" i="5"/>
  <c r="B147" i="5"/>
  <c r="A148" i="5"/>
  <c r="A149" i="5"/>
  <c r="A150" i="5"/>
  <c r="B150" i="5"/>
  <c r="A151" i="5"/>
  <c r="A152" i="5"/>
  <c r="A153" i="5"/>
  <c r="B153" i="5"/>
  <c r="A154" i="5"/>
  <c r="A155" i="5"/>
  <c r="A156" i="5"/>
  <c r="B156" i="5"/>
  <c r="A157" i="5"/>
  <c r="A158" i="5"/>
  <c r="A159" i="5"/>
  <c r="B159" i="5"/>
  <c r="A160" i="5"/>
  <c r="A161" i="5"/>
  <c r="A162" i="5"/>
  <c r="B162" i="5"/>
  <c r="A163" i="5"/>
  <c r="A164" i="5"/>
  <c r="A165" i="5"/>
  <c r="B165" i="5"/>
  <c r="A166" i="5"/>
  <c r="A167" i="5"/>
  <c r="A168" i="5"/>
  <c r="B168" i="5"/>
  <c r="A169" i="5"/>
  <c r="A170" i="5"/>
  <c r="A171" i="5"/>
  <c r="B171" i="5"/>
  <c r="A172" i="5"/>
  <c r="A173" i="5"/>
  <c r="A174" i="5"/>
  <c r="B174" i="5"/>
  <c r="A175" i="5"/>
  <c r="A176" i="5"/>
  <c r="A177" i="5"/>
  <c r="B177" i="5"/>
  <c r="A178" i="5"/>
  <c r="A179" i="5"/>
  <c r="A180" i="5"/>
  <c r="B180" i="5"/>
  <c r="A181" i="5"/>
  <c r="A182" i="5"/>
  <c r="A183" i="5"/>
  <c r="B183" i="5"/>
  <c r="A184" i="5"/>
  <c r="A185" i="5"/>
  <c r="A186" i="5"/>
  <c r="B186" i="5"/>
  <c r="A187" i="5"/>
  <c r="A188" i="5"/>
  <c r="A189" i="5"/>
  <c r="B189" i="5"/>
  <c r="A190" i="5"/>
  <c r="A191" i="5"/>
  <c r="A192" i="5"/>
  <c r="B192" i="5"/>
  <c r="A193" i="5"/>
  <c r="A194" i="5"/>
  <c r="A195" i="5"/>
  <c r="B195" i="5"/>
  <c r="A196" i="5"/>
  <c r="C196" i="5"/>
  <c r="A197" i="5"/>
  <c r="C197" i="5"/>
  <c r="A198" i="5"/>
  <c r="B198" i="5"/>
  <c r="A199" i="5"/>
  <c r="C199" i="5"/>
  <c r="A200" i="5"/>
  <c r="C200" i="5"/>
  <c r="A201" i="5"/>
  <c r="B201" i="5"/>
  <c r="A202" i="5"/>
  <c r="C202" i="5"/>
  <c r="A203" i="5"/>
  <c r="C203" i="5"/>
  <c r="A204" i="5"/>
  <c r="B204" i="5"/>
  <c r="A205" i="5"/>
  <c r="C205" i="5"/>
  <c r="A206" i="5"/>
  <c r="C206" i="5"/>
  <c r="A207" i="5"/>
  <c r="B207" i="5"/>
  <c r="A208" i="5"/>
  <c r="C208" i="5"/>
  <c r="A209" i="5"/>
  <c r="C209" i="5"/>
  <c r="A210" i="5"/>
  <c r="B210" i="5"/>
  <c r="A211" i="5"/>
  <c r="C211" i="5"/>
  <c r="A212" i="5"/>
  <c r="C212" i="5"/>
  <c r="A213" i="5"/>
  <c r="B213" i="5"/>
  <c r="A214" i="5"/>
  <c r="C214" i="5"/>
  <c r="A215" i="5"/>
  <c r="C215" i="5"/>
  <c r="A216" i="5"/>
  <c r="B216" i="5"/>
  <c r="A217" i="5"/>
  <c r="C217" i="5"/>
  <c r="A218" i="5"/>
  <c r="C218" i="5"/>
  <c r="A219" i="5"/>
  <c r="B219" i="5"/>
  <c r="A220" i="5"/>
  <c r="C220" i="5"/>
  <c r="A221" i="5"/>
  <c r="C221" i="5"/>
  <c r="A222" i="5"/>
  <c r="B222" i="5"/>
  <c r="A223" i="5"/>
  <c r="C223" i="5"/>
  <c r="A224" i="5"/>
  <c r="C224" i="5"/>
  <c r="A225" i="5"/>
  <c r="B225" i="5"/>
  <c r="A226" i="5"/>
  <c r="C226" i="5"/>
  <c r="A227" i="5"/>
  <c r="B227" i="5"/>
  <c r="C227" i="5"/>
  <c r="C121" i="5"/>
  <c r="B121" i="5"/>
  <c r="A121" i="5"/>
  <c r="B226" i="5"/>
  <c r="C225" i="5"/>
  <c r="B224" i="5"/>
  <c r="B223" i="5"/>
  <c r="C222" i="5"/>
  <c r="B221" i="5"/>
  <c r="B220" i="5"/>
  <c r="C219" i="5"/>
  <c r="B218" i="5"/>
  <c r="B217" i="5"/>
  <c r="C216" i="5"/>
  <c r="B215" i="5"/>
  <c r="B214" i="5"/>
  <c r="C213" i="5"/>
  <c r="B212" i="5"/>
  <c r="B211" i="5"/>
  <c r="C210" i="5"/>
  <c r="H210" i="5" s="1"/>
  <c r="H209" i="5" s="1"/>
  <c r="H208" i="5" s="1"/>
  <c r="B209" i="5"/>
  <c r="B208" i="5"/>
  <c r="C207" i="5"/>
  <c r="I207" i="5" s="1"/>
  <c r="I206" i="5" s="1"/>
  <c r="I205" i="5" s="1"/>
  <c r="I204" i="5" s="1"/>
  <c r="I203" i="5" s="1"/>
  <c r="I202" i="5" s="1"/>
  <c r="I201" i="5" s="1"/>
  <c r="I200" i="5" s="1"/>
  <c r="I199" i="5" s="1"/>
  <c r="I198" i="5" s="1"/>
  <c r="I197" i="5" s="1"/>
  <c r="I196" i="5" s="1"/>
  <c r="I195" i="5" s="1"/>
  <c r="I194" i="5" s="1"/>
  <c r="I193" i="5" s="1"/>
  <c r="I192" i="5" s="1"/>
  <c r="I191" i="5" s="1"/>
  <c r="I190" i="5" s="1"/>
  <c r="I189" i="5" s="1"/>
  <c r="B206" i="5"/>
  <c r="B205" i="5"/>
  <c r="C204" i="5"/>
  <c r="B203" i="5"/>
  <c r="B202" i="5"/>
  <c r="C201" i="5"/>
  <c r="B200" i="5"/>
  <c r="B199" i="5"/>
  <c r="C198" i="5"/>
  <c r="B197" i="5"/>
  <c r="B196" i="5"/>
  <c r="C195" i="5"/>
  <c r="C194" i="5"/>
  <c r="B194" i="5"/>
  <c r="C193" i="5"/>
  <c r="G193" i="5" s="1"/>
  <c r="G192" i="5" s="1"/>
  <c r="G191" i="5" s="1"/>
  <c r="G190" i="5" s="1"/>
  <c r="G189" i="5" s="1"/>
  <c r="G188" i="5" s="1"/>
  <c r="B193" i="5"/>
  <c r="C192" i="5"/>
  <c r="C191" i="5"/>
  <c r="B191" i="5"/>
  <c r="C190" i="5"/>
  <c r="B190" i="5"/>
  <c r="C189" i="5"/>
  <c r="J189" i="5" s="1"/>
  <c r="J188" i="5" s="1"/>
  <c r="J187" i="5" s="1"/>
  <c r="J186" i="5" s="1"/>
  <c r="J185" i="5" s="1"/>
  <c r="J184" i="5" s="1"/>
  <c r="J183" i="5" s="1"/>
  <c r="J182" i="5" s="1"/>
  <c r="J181" i="5" s="1"/>
  <c r="J180" i="5" s="1"/>
  <c r="J179" i="5" s="1"/>
  <c r="J178" i="5" s="1"/>
  <c r="J177" i="5" s="1"/>
  <c r="J176" i="5" s="1"/>
  <c r="J175" i="5" s="1"/>
  <c r="J174" i="5" s="1"/>
  <c r="J173" i="5" s="1"/>
  <c r="J172" i="5" s="1"/>
  <c r="J171" i="5" s="1"/>
  <c r="J170" i="5" s="1"/>
  <c r="J169" i="5" s="1"/>
  <c r="J168" i="5" s="1"/>
  <c r="J167" i="5" s="1"/>
  <c r="J166" i="5" s="1"/>
  <c r="J165" i="5" s="1"/>
  <c r="J164" i="5" s="1"/>
  <c r="J163" i="5" s="1"/>
  <c r="J162" i="5" s="1"/>
  <c r="J161" i="5" s="1"/>
  <c r="J160" i="5" s="1"/>
  <c r="J159" i="5" s="1"/>
  <c r="J158" i="5" s="1"/>
  <c r="J157" i="5" s="1"/>
  <c r="J156" i="5" s="1"/>
  <c r="J155" i="5" s="1"/>
  <c r="J154" i="5" s="1"/>
  <c r="J153" i="5" s="1"/>
  <c r="J152" i="5" s="1"/>
  <c r="J151" i="5" s="1"/>
  <c r="J150" i="5" s="1"/>
  <c r="J149" i="5" s="1"/>
  <c r="J148" i="5" s="1"/>
  <c r="J147" i="5" s="1"/>
  <c r="J146" i="5" s="1"/>
  <c r="J145" i="5" s="1"/>
  <c r="C188" i="5"/>
  <c r="M188" i="5" s="1"/>
  <c r="M187" i="5" s="1"/>
  <c r="M186" i="5" s="1"/>
  <c r="B188" i="5"/>
  <c r="C187" i="5"/>
  <c r="B187" i="5"/>
  <c r="C186" i="5"/>
  <c r="C185" i="5"/>
  <c r="B185" i="5"/>
  <c r="C184" i="5"/>
  <c r="B184" i="5"/>
  <c r="C183" i="5"/>
  <c r="C182" i="5"/>
  <c r="B182" i="5"/>
  <c r="C181" i="5"/>
  <c r="B181" i="5"/>
  <c r="C180" i="5"/>
  <c r="C179" i="5"/>
  <c r="B179" i="5"/>
  <c r="C178" i="5"/>
  <c r="V178" i="5" s="1"/>
  <c r="V177" i="5" s="1"/>
  <c r="V176" i="5" s="1"/>
  <c r="V175" i="5" s="1"/>
  <c r="V174" i="5" s="1"/>
  <c r="V173" i="5" s="1"/>
  <c r="V172" i="5" s="1"/>
  <c r="V171" i="5" s="1"/>
  <c r="V170" i="5" s="1"/>
  <c r="V169" i="5" s="1"/>
  <c r="V168" i="5" s="1"/>
  <c r="V167" i="5" s="1"/>
  <c r="V166" i="5" s="1"/>
  <c r="V165" i="5" s="1"/>
  <c r="V164" i="5" s="1"/>
  <c r="V163" i="5" s="1"/>
  <c r="V162" i="5" s="1"/>
  <c r="V161" i="5" s="1"/>
  <c r="V160" i="5" s="1"/>
  <c r="V159" i="5" s="1"/>
  <c r="V158" i="5" s="1"/>
  <c r="V157" i="5" s="1"/>
  <c r="V156" i="5" s="1"/>
  <c r="V155" i="5" s="1"/>
  <c r="V154" i="5" s="1"/>
  <c r="V153" i="5" s="1"/>
  <c r="V152" i="5" s="1"/>
  <c r="V151" i="5" s="1"/>
  <c r="V150" i="5" s="1"/>
  <c r="V149" i="5" s="1"/>
  <c r="V148" i="5" s="1"/>
  <c r="V147" i="5" s="1"/>
  <c r="V146" i="5" s="1"/>
  <c r="V145" i="5" s="1"/>
  <c r="V144" i="5" s="1"/>
  <c r="V143" i="5" s="1"/>
  <c r="V142" i="5" s="1"/>
  <c r="V141" i="5" s="1"/>
  <c r="V140" i="5" s="1"/>
  <c r="V139" i="5" s="1"/>
  <c r="V138" i="5" s="1"/>
  <c r="V137" i="5" s="1"/>
  <c r="V136" i="5" s="1"/>
  <c r="V135" i="5" s="1"/>
  <c r="V134" i="5" s="1"/>
  <c r="V133" i="5" s="1"/>
  <c r="V132" i="5" s="1"/>
  <c r="V131" i="5" s="1"/>
  <c r="V130" i="5" s="1"/>
  <c r="V129" i="5" s="1"/>
  <c r="V128" i="5" s="1"/>
  <c r="V127" i="5" s="1"/>
  <c r="V126" i="5" s="1"/>
  <c r="V125" i="5" s="1"/>
  <c r="V124" i="5" s="1"/>
  <c r="V123" i="5" s="1"/>
  <c r="V122" i="5" s="1"/>
  <c r="V121" i="5" s="1"/>
  <c r="B178" i="5"/>
  <c r="C177" i="5"/>
  <c r="C176" i="5"/>
  <c r="B176" i="5"/>
  <c r="C175" i="5"/>
  <c r="B175" i="5"/>
  <c r="C174" i="5"/>
  <c r="C173" i="5"/>
  <c r="B173" i="5"/>
  <c r="C172" i="5"/>
  <c r="B172" i="5"/>
  <c r="C171" i="5"/>
  <c r="C170" i="5"/>
  <c r="B170" i="5"/>
  <c r="C169" i="5"/>
  <c r="B169" i="5"/>
  <c r="C168" i="5"/>
  <c r="C167" i="5"/>
  <c r="B167" i="5"/>
  <c r="C166" i="5"/>
  <c r="B166" i="5"/>
  <c r="C165" i="5"/>
  <c r="C164" i="5"/>
  <c r="B164" i="5"/>
  <c r="C163" i="5"/>
  <c r="B163" i="5"/>
  <c r="C162" i="5"/>
  <c r="C161" i="5"/>
  <c r="B161" i="5"/>
  <c r="C160" i="5"/>
  <c r="B160" i="5"/>
  <c r="C159" i="5"/>
  <c r="C158" i="5"/>
  <c r="B158" i="5"/>
  <c r="C157" i="5"/>
  <c r="B157" i="5"/>
  <c r="C156" i="5"/>
  <c r="C155" i="5"/>
  <c r="B155" i="5"/>
  <c r="C154" i="5"/>
  <c r="B154" i="5"/>
  <c r="C153" i="5"/>
  <c r="C152" i="5"/>
  <c r="B152" i="5"/>
  <c r="C151" i="5"/>
  <c r="B151" i="5"/>
  <c r="C150" i="5"/>
  <c r="C149" i="5"/>
  <c r="B149" i="5"/>
  <c r="C148" i="5"/>
  <c r="B148" i="5"/>
  <c r="C147" i="5"/>
  <c r="C146" i="5"/>
  <c r="B146" i="5"/>
  <c r="C145" i="5"/>
  <c r="B145" i="5"/>
  <c r="C144" i="5"/>
  <c r="C143" i="5"/>
  <c r="B143" i="5"/>
  <c r="C142" i="5"/>
  <c r="L142" i="5" s="1"/>
  <c r="L141" i="5" s="1"/>
  <c r="L140" i="5" s="1"/>
  <c r="L139" i="5" s="1"/>
  <c r="L138" i="5" s="1"/>
  <c r="L137" i="5" s="1"/>
  <c r="L136" i="5" s="1"/>
  <c r="L135" i="5" s="1"/>
  <c r="L134" i="5" s="1"/>
  <c r="B142" i="5"/>
  <c r="C141" i="5"/>
  <c r="C140" i="5"/>
  <c r="B140" i="5"/>
  <c r="C139" i="5"/>
  <c r="B139" i="5"/>
  <c r="C138" i="5"/>
  <c r="C137" i="5"/>
  <c r="B137" i="5"/>
  <c r="C136" i="5"/>
  <c r="B136" i="5"/>
  <c r="C135" i="5"/>
  <c r="C134" i="5"/>
  <c r="B134" i="5"/>
  <c r="C133" i="5"/>
  <c r="O133" i="5" s="1"/>
  <c r="O132" i="5" s="1"/>
  <c r="O131" i="5" s="1"/>
  <c r="O130" i="5" s="1"/>
  <c r="O129" i="5" s="1"/>
  <c r="O128" i="5" s="1"/>
  <c r="O127" i="5" s="1"/>
  <c r="O126" i="5" s="1"/>
  <c r="O125" i="5" s="1"/>
  <c r="O124" i="5" s="1"/>
  <c r="O123" i="5" s="1"/>
  <c r="O122" i="5" s="1"/>
  <c r="O121" i="5" s="1"/>
  <c r="B133" i="5"/>
  <c r="C132" i="5"/>
  <c r="C131" i="5"/>
  <c r="B131" i="5"/>
  <c r="C130" i="5"/>
  <c r="B130" i="5"/>
  <c r="C129" i="5"/>
  <c r="C128" i="5"/>
  <c r="E128" i="5" s="1"/>
  <c r="E127" i="5" s="1"/>
  <c r="E126" i="5" s="1"/>
  <c r="E125" i="5" s="1"/>
  <c r="E124" i="5" s="1"/>
  <c r="E123" i="5" s="1"/>
  <c r="E122" i="5" s="1"/>
  <c r="E121" i="5" s="1"/>
  <c r="B128" i="5"/>
  <c r="C127" i="5"/>
  <c r="B127" i="5"/>
  <c r="AE4" i="5"/>
  <c r="AE120" i="5" s="1"/>
  <c r="AE5" i="5" s="1"/>
  <c r="U4" i="5"/>
  <c r="AD4" i="5" s="1"/>
  <c r="AD120" i="5" s="1"/>
  <c r="AD5" i="5" s="1"/>
  <c r="M6" i="2" s="1"/>
  <c r="T4" i="5"/>
  <c r="AC4" i="5" s="1"/>
  <c r="AC120" i="5" s="1"/>
  <c r="AC5" i="5" s="1"/>
  <c r="L6" i="2" s="1"/>
  <c r="S4" i="5"/>
  <c r="AB4" i="5" s="1"/>
  <c r="R4" i="5"/>
  <c r="AA4" i="5" s="1"/>
  <c r="AA120" i="5" s="1"/>
  <c r="AA5" i="5" s="1"/>
  <c r="J6" i="2" s="1"/>
  <c r="Q4" i="5"/>
  <c r="Z4" i="5" s="1"/>
  <c r="Z120" i="5" s="1"/>
  <c r="Z5" i="5" s="1"/>
  <c r="I6" i="2" s="1"/>
  <c r="P4" i="5"/>
  <c r="Y4" i="5" s="1"/>
  <c r="AG4" i="5" s="1"/>
  <c r="AG120" i="5" s="1"/>
  <c r="AG5" i="5" s="1"/>
  <c r="G7" i="2" s="1"/>
  <c r="O4" i="5"/>
  <c r="X4" i="5" s="1"/>
  <c r="AF4" i="5" s="1"/>
  <c r="AF120" i="5" s="1"/>
  <c r="AF5" i="5" s="1"/>
  <c r="F7" i="2" s="1"/>
  <c r="N4" i="5"/>
  <c r="L133" i="5" l="1"/>
  <c r="L132" i="5" s="1"/>
  <c r="L131" i="5" s="1"/>
  <c r="L130" i="5" s="1"/>
  <c r="L129" i="5" s="1"/>
  <c r="L128" i="5" s="1"/>
  <c r="L127" i="5" s="1"/>
  <c r="L126" i="5" s="1"/>
  <c r="L125" i="5" s="1"/>
  <c r="L124" i="5" s="1"/>
  <c r="L123" i="5" s="1"/>
  <c r="L122" i="5" s="1"/>
  <c r="L121" i="5" s="1"/>
  <c r="L120" i="5" s="1"/>
  <c r="L5" i="5" s="1"/>
  <c r="M4" i="2" s="1"/>
  <c r="J144" i="5"/>
  <c r="J143" i="5" s="1"/>
  <c r="J142" i="5" s="1"/>
  <c r="J141" i="5" s="1"/>
  <c r="J140" i="5" s="1"/>
  <c r="J139" i="5" s="1"/>
  <c r="J138" i="5" s="1"/>
  <c r="J137" i="5" s="1"/>
  <c r="J136" i="5" s="1"/>
  <c r="J135" i="5" s="1"/>
  <c r="J134" i="5" s="1"/>
  <c r="J133" i="5" s="1"/>
  <c r="J132" i="5" s="1"/>
  <c r="J131" i="5" s="1"/>
  <c r="J130" i="5" s="1"/>
  <c r="J129" i="5" s="1"/>
  <c r="J128" i="5" s="1"/>
  <c r="J127" i="5" s="1"/>
  <c r="J126" i="5" s="1"/>
  <c r="J125" i="5" s="1"/>
  <c r="J124" i="5" s="1"/>
  <c r="J123" i="5" s="1"/>
  <c r="J122" i="5" s="1"/>
  <c r="J121" i="5" s="1"/>
  <c r="G187" i="5"/>
  <c r="G186" i="5" s="1"/>
  <c r="G185" i="5" s="1"/>
  <c r="G184" i="5" s="1"/>
  <c r="G183" i="5" s="1"/>
  <c r="G182" i="5" s="1"/>
  <c r="G181" i="5" s="1"/>
  <c r="G180" i="5" s="1"/>
  <c r="G179" i="5" s="1"/>
  <c r="G178" i="5" s="1"/>
  <c r="G177" i="5" s="1"/>
  <c r="G176" i="5" s="1"/>
  <c r="G175" i="5" s="1"/>
  <c r="G174" i="5" s="1"/>
  <c r="G173" i="5" s="1"/>
  <c r="G172" i="5" s="1"/>
  <c r="G171" i="5" s="1"/>
  <c r="G170" i="5" s="1"/>
  <c r="G169" i="5" s="1"/>
  <c r="G168" i="5" s="1"/>
  <c r="G167" i="5" s="1"/>
  <c r="G166" i="5" s="1"/>
  <c r="G165" i="5" s="1"/>
  <c r="G164" i="5" s="1"/>
  <c r="G163" i="5" s="1"/>
  <c r="G162" i="5" s="1"/>
  <c r="G161" i="5" s="1"/>
  <c r="G160" i="5" s="1"/>
  <c r="G159" i="5" s="1"/>
  <c r="G158" i="5" s="1"/>
  <c r="G157" i="5" s="1"/>
  <c r="G156" i="5" s="1"/>
  <c r="G155" i="5" s="1"/>
  <c r="G154" i="5" s="1"/>
  <c r="G153" i="5" s="1"/>
  <c r="G152" i="5" s="1"/>
  <c r="G151" i="5" s="1"/>
  <c r="G150" i="5" s="1"/>
  <c r="G149" i="5" s="1"/>
  <c r="G148" i="5" s="1"/>
  <c r="G147" i="5" s="1"/>
  <c r="G146" i="5" s="1"/>
  <c r="G145" i="5" s="1"/>
  <c r="G144" i="5" s="1"/>
  <c r="G143" i="5" s="1"/>
  <c r="G142" i="5" s="1"/>
  <c r="G141" i="5" s="1"/>
  <c r="G140" i="5" s="1"/>
  <c r="G139" i="5" s="1"/>
  <c r="G138" i="5" s="1"/>
  <c r="G137" i="5" s="1"/>
  <c r="G136" i="5" s="1"/>
  <c r="G135" i="5" s="1"/>
  <c r="G134" i="5" s="1"/>
  <c r="G133" i="5" s="1"/>
  <c r="G132" i="5" s="1"/>
  <c r="G131" i="5" s="1"/>
  <c r="G130" i="5" s="1"/>
  <c r="G129" i="5" s="1"/>
  <c r="G128" i="5" s="1"/>
  <c r="G127" i="5" s="1"/>
  <c r="G126" i="5" s="1"/>
  <c r="G125" i="5" s="1"/>
  <c r="G124" i="5" s="1"/>
  <c r="G123" i="5" s="1"/>
  <c r="G122" i="5" s="1"/>
  <c r="G121" i="5" s="1"/>
  <c r="I188" i="5"/>
  <c r="I187" i="5" s="1"/>
  <c r="I186" i="5" s="1"/>
  <c r="I185" i="5" s="1"/>
  <c r="I184" i="5" s="1"/>
  <c r="I183" i="5" s="1"/>
  <c r="I182" i="5" s="1"/>
  <c r="I181" i="5" s="1"/>
  <c r="I180" i="5" s="1"/>
  <c r="I179" i="5" s="1"/>
  <c r="I178" i="5" s="1"/>
  <c r="I177" i="5" s="1"/>
  <c r="I176" i="5" s="1"/>
  <c r="I175" i="5" s="1"/>
  <c r="I174" i="5" s="1"/>
  <c r="I173" i="5" s="1"/>
  <c r="I172" i="5" s="1"/>
  <c r="I171" i="5" s="1"/>
  <c r="I170" i="5" s="1"/>
  <c r="I169" i="5" s="1"/>
  <c r="I168" i="5" s="1"/>
  <c r="I167" i="5" s="1"/>
  <c r="I166" i="5" s="1"/>
  <c r="I165" i="5" s="1"/>
  <c r="I164" i="5" s="1"/>
  <c r="I163" i="5" s="1"/>
  <c r="I162" i="5" s="1"/>
  <c r="I161" i="5" s="1"/>
  <c r="I160" i="5" s="1"/>
  <c r="I159" i="5" s="1"/>
  <c r="I158" i="5" s="1"/>
  <c r="I157" i="5" s="1"/>
  <c r="I156" i="5" s="1"/>
  <c r="I155" i="5" s="1"/>
  <c r="I154" i="5" s="1"/>
  <c r="I153" i="5" s="1"/>
  <c r="I152" i="5" s="1"/>
  <c r="I151" i="5" s="1"/>
  <c r="I150" i="5" s="1"/>
  <c r="I149" i="5" s="1"/>
  <c r="I148" i="5" s="1"/>
  <c r="I147" i="5" s="1"/>
  <c r="I146" i="5" s="1"/>
  <c r="I145" i="5" s="1"/>
  <c r="I144" i="5" s="1"/>
  <c r="I143" i="5" s="1"/>
  <c r="I142" i="5" s="1"/>
  <c r="I141" i="5" s="1"/>
  <c r="I140" i="5" s="1"/>
  <c r="I139" i="5" s="1"/>
  <c r="I138" i="5" s="1"/>
  <c r="I137" i="5" s="1"/>
  <c r="I136" i="5" s="1"/>
  <c r="I135" i="5" s="1"/>
  <c r="I134" i="5" s="1"/>
  <c r="I133" i="5" s="1"/>
  <c r="I132" i="5" s="1"/>
  <c r="I131" i="5" s="1"/>
  <c r="I130" i="5" s="1"/>
  <c r="I129" i="5" s="1"/>
  <c r="I128" i="5" s="1"/>
  <c r="I127" i="5" s="1"/>
  <c r="I126" i="5" s="1"/>
  <c r="I125" i="5" s="1"/>
  <c r="I124" i="5" s="1"/>
  <c r="I123" i="5" s="1"/>
  <c r="I122" i="5" s="1"/>
  <c r="I121" i="5" s="1"/>
  <c r="I120" i="5" s="1"/>
  <c r="I5" i="5" s="1"/>
  <c r="J4" i="2" s="1"/>
  <c r="H207" i="5"/>
  <c r="H206" i="5" s="1"/>
  <c r="H205" i="5" s="1"/>
  <c r="H204" i="5" s="1"/>
  <c r="H203" i="5" s="1"/>
  <c r="H202" i="5" s="1"/>
  <c r="H201" i="5" s="1"/>
  <c r="H200" i="5" s="1"/>
  <c r="H199" i="5" s="1"/>
  <c r="H198" i="5" s="1"/>
  <c r="H197" i="5" s="1"/>
  <c r="H196" i="5" s="1"/>
  <c r="H195" i="5" s="1"/>
  <c r="H194" i="5" s="1"/>
  <c r="H193" i="5" s="1"/>
  <c r="H192" i="5" s="1"/>
  <c r="H191" i="5" s="1"/>
  <c r="H190" i="5" s="1"/>
  <c r="H189" i="5" s="1"/>
  <c r="H188" i="5" s="1"/>
  <c r="H187" i="5" s="1"/>
  <c r="H186" i="5" s="1"/>
  <c r="H185" i="5" s="1"/>
  <c r="H184" i="5" s="1"/>
  <c r="H183" i="5" s="1"/>
  <c r="H182" i="5" s="1"/>
  <c r="H181" i="5" s="1"/>
  <c r="H180" i="5" s="1"/>
  <c r="H179" i="5" s="1"/>
  <c r="H178" i="5" s="1"/>
  <c r="H177" i="5" s="1"/>
  <c r="H176" i="5" s="1"/>
  <c r="H175" i="5" s="1"/>
  <c r="H174" i="5" s="1"/>
  <c r="H173" i="5" s="1"/>
  <c r="H172" i="5" s="1"/>
  <c r="H171" i="5" s="1"/>
  <c r="H170" i="5" s="1"/>
  <c r="H169" i="5" s="1"/>
  <c r="H168" i="5" s="1"/>
  <c r="H167" i="5" s="1"/>
  <c r="H166" i="5" s="1"/>
  <c r="H165" i="5" s="1"/>
  <c r="H164" i="5" s="1"/>
  <c r="H163" i="5" s="1"/>
  <c r="H162" i="5" s="1"/>
  <c r="H161" i="5" s="1"/>
  <c r="H160" i="5" s="1"/>
  <c r="H159" i="5" s="1"/>
  <c r="H158" i="5" s="1"/>
  <c r="H157" i="5" s="1"/>
  <c r="H156" i="5" s="1"/>
  <c r="H155" i="5" s="1"/>
  <c r="H154" i="5" s="1"/>
  <c r="H153" i="5" s="1"/>
  <c r="H152" i="5" s="1"/>
  <c r="H151" i="5" s="1"/>
  <c r="H150" i="5" s="1"/>
  <c r="H149" i="5" s="1"/>
  <c r="H148" i="5" s="1"/>
  <c r="H147" i="5" s="1"/>
  <c r="H146" i="5" s="1"/>
  <c r="H145" i="5" s="1"/>
  <c r="H144" i="5" s="1"/>
  <c r="H143" i="5" s="1"/>
  <c r="H142" i="5" s="1"/>
  <c r="H141" i="5" s="1"/>
  <c r="H140" i="5" s="1"/>
  <c r="H139" i="5" s="1"/>
  <c r="H138" i="5" s="1"/>
  <c r="H137" i="5" s="1"/>
  <c r="H136" i="5" s="1"/>
  <c r="H135" i="5" s="1"/>
  <c r="H134" i="5" s="1"/>
  <c r="H133" i="5" s="1"/>
  <c r="H132" i="5" s="1"/>
  <c r="H131" i="5" s="1"/>
  <c r="H130" i="5" s="1"/>
  <c r="H129" i="5" s="1"/>
  <c r="H128" i="5" s="1"/>
  <c r="H127" i="5" s="1"/>
  <c r="H126" i="5" s="1"/>
  <c r="H125" i="5" s="1"/>
  <c r="H124" i="5" s="1"/>
  <c r="H123" i="5" s="1"/>
  <c r="H122" i="5" s="1"/>
  <c r="H121" i="5" s="1"/>
  <c r="R120" i="5"/>
  <c r="R5" i="5" s="1"/>
  <c r="J5" i="2" s="1"/>
  <c r="D193" i="5"/>
  <c r="D192" i="5" s="1"/>
  <c r="D191" i="5" s="1"/>
  <c r="D190" i="5" s="1"/>
  <c r="D189" i="5" s="1"/>
  <c r="D188" i="5" s="1"/>
  <c r="D187" i="5" s="1"/>
  <c r="D186" i="5" s="1"/>
  <c r="D185" i="5" s="1"/>
  <c r="D184" i="5" s="1"/>
  <c r="D183" i="5" s="1"/>
  <c r="D182" i="5" s="1"/>
  <c r="D181" i="5" s="1"/>
  <c r="D180" i="5" s="1"/>
  <c r="D179" i="5" s="1"/>
  <c r="D178" i="5" s="1"/>
  <c r="D177" i="5" s="1"/>
  <c r="D176" i="5" s="1"/>
  <c r="D175" i="5" s="1"/>
  <c r="D174" i="5" s="1"/>
  <c r="D173" i="5" s="1"/>
  <c r="D172" i="5" s="1"/>
  <c r="D171" i="5" s="1"/>
  <c r="D170" i="5" s="1"/>
  <c r="D169" i="5" s="1"/>
  <c r="D168" i="5" s="1"/>
  <c r="D167" i="5" s="1"/>
  <c r="D166" i="5" s="1"/>
  <c r="D165" i="5" s="1"/>
  <c r="D164" i="5" s="1"/>
  <c r="D163" i="5" s="1"/>
  <c r="D162" i="5" s="1"/>
  <c r="D161" i="5" s="1"/>
  <c r="D160" i="5" s="1"/>
  <c r="D159" i="5" s="1"/>
  <c r="D158" i="5" s="1"/>
  <c r="D157" i="5" s="1"/>
  <c r="D156" i="5" s="1"/>
  <c r="D155" i="5" s="1"/>
  <c r="D154" i="5" s="1"/>
  <c r="D153" i="5" s="1"/>
  <c r="D152" i="5" s="1"/>
  <c r="D151" i="5" s="1"/>
  <c r="D150" i="5" s="1"/>
  <c r="D149" i="5" s="1"/>
  <c r="D148" i="5" s="1"/>
  <c r="D147" i="5" s="1"/>
  <c r="D146" i="5" s="1"/>
  <c r="D145" i="5" s="1"/>
  <c r="D144" i="5" s="1"/>
  <c r="D143" i="5" s="1"/>
  <c r="D142" i="5" s="1"/>
  <c r="D141" i="5" s="1"/>
  <c r="D140" i="5" s="1"/>
  <c r="D139" i="5" s="1"/>
  <c r="D138" i="5" s="1"/>
  <c r="D137" i="5" s="1"/>
  <c r="D136" i="5" s="1"/>
  <c r="D135" i="5" s="1"/>
  <c r="D134" i="5" s="1"/>
  <c r="D133" i="5" s="1"/>
  <c r="D132" i="5" s="1"/>
  <c r="D131" i="5" s="1"/>
  <c r="D130" i="5" s="1"/>
  <c r="D129" i="5" s="1"/>
  <c r="D128" i="5" s="1"/>
  <c r="D127" i="5" s="1"/>
  <c r="D126" i="5" s="1"/>
  <c r="D125" i="5" s="1"/>
  <c r="D124" i="5" s="1"/>
  <c r="D123" i="5" s="1"/>
  <c r="D122" i="5" s="1"/>
  <c r="D121" i="5" s="1"/>
  <c r="D120" i="5" s="1"/>
  <c r="D5" i="5" s="1"/>
  <c r="X120" i="5"/>
  <c r="X5" i="5" s="1"/>
  <c r="G6" i="2" s="1"/>
  <c r="E7" i="2"/>
  <c r="N6" i="2"/>
  <c r="F208" i="5"/>
  <c r="F207" i="5" s="1"/>
  <c r="F206" i="5" s="1"/>
  <c r="F205" i="5" s="1"/>
  <c r="F204" i="5" s="1"/>
  <c r="F203" i="5" s="1"/>
  <c r="F202" i="5" s="1"/>
  <c r="F201" i="5" s="1"/>
  <c r="F200" i="5" s="1"/>
  <c r="F199" i="5" s="1"/>
  <c r="F198" i="5" s="1"/>
  <c r="F197" i="5" s="1"/>
  <c r="F196" i="5" s="1"/>
  <c r="F195" i="5" s="1"/>
  <c r="F194" i="5" s="1"/>
  <c r="F193" i="5" s="1"/>
  <c r="F192" i="5" s="1"/>
  <c r="F191" i="5" s="1"/>
  <c r="F190" i="5" s="1"/>
  <c r="F189" i="5" s="1"/>
  <c r="F188" i="5" s="1"/>
  <c r="F187" i="5" s="1"/>
  <c r="F186" i="5" s="1"/>
  <c r="F185" i="5" s="1"/>
  <c r="F184" i="5" s="1"/>
  <c r="F183" i="5" s="1"/>
  <c r="F182" i="5" s="1"/>
  <c r="F181" i="5" s="1"/>
  <c r="F180" i="5" s="1"/>
  <c r="F179" i="5" s="1"/>
  <c r="F178" i="5" s="1"/>
  <c r="F177" i="5" s="1"/>
  <c r="F176" i="5" s="1"/>
  <c r="F175" i="5" s="1"/>
  <c r="F174" i="5" s="1"/>
  <c r="F173" i="5" s="1"/>
  <c r="F172" i="5" s="1"/>
  <c r="F171" i="5" s="1"/>
  <c r="F170" i="5" s="1"/>
  <c r="F169" i="5" s="1"/>
  <c r="F168" i="5" s="1"/>
  <c r="F167" i="5" s="1"/>
  <c r="F166" i="5" s="1"/>
  <c r="F165" i="5" s="1"/>
  <c r="F164" i="5" s="1"/>
  <c r="F163" i="5" s="1"/>
  <c r="F162" i="5" s="1"/>
  <c r="F161" i="5" s="1"/>
  <c r="F160" i="5" s="1"/>
  <c r="F159" i="5" s="1"/>
  <c r="F158" i="5" s="1"/>
  <c r="F157" i="5" s="1"/>
  <c r="F156" i="5" s="1"/>
  <c r="F155" i="5" s="1"/>
  <c r="F154" i="5" s="1"/>
  <c r="F153" i="5" s="1"/>
  <c r="F152" i="5" s="1"/>
  <c r="F151" i="5" s="1"/>
  <c r="F150" i="5" s="1"/>
  <c r="F149" i="5" s="1"/>
  <c r="F148" i="5" s="1"/>
  <c r="F147" i="5" s="1"/>
  <c r="F146" i="5" s="1"/>
  <c r="F145" i="5" s="1"/>
  <c r="F144" i="5" s="1"/>
  <c r="F143" i="5" s="1"/>
  <c r="F142" i="5" s="1"/>
  <c r="F141" i="5" s="1"/>
  <c r="F140" i="5" s="1"/>
  <c r="F139" i="5" s="1"/>
  <c r="F138" i="5" s="1"/>
  <c r="F137" i="5" s="1"/>
  <c r="F136" i="5" s="1"/>
  <c r="F135" i="5" s="1"/>
  <c r="F134" i="5" s="1"/>
  <c r="F133" i="5" s="1"/>
  <c r="F132" i="5" s="1"/>
  <c r="F131" i="5" s="1"/>
  <c r="F130" i="5" s="1"/>
  <c r="F129" i="5" s="1"/>
  <c r="F128" i="5" s="1"/>
  <c r="F127" i="5" s="1"/>
  <c r="F126" i="5" s="1"/>
  <c r="F125" i="5" s="1"/>
  <c r="F124" i="5" s="1"/>
  <c r="F123" i="5" s="1"/>
  <c r="F122" i="5" s="1"/>
  <c r="F121" i="5" s="1"/>
  <c r="F120" i="5" s="1"/>
  <c r="F5" i="5" s="1"/>
  <c r="G4" i="2" s="1"/>
  <c r="M185" i="5"/>
  <c r="M184" i="5" s="1"/>
  <c r="M183" i="5" s="1"/>
  <c r="M182" i="5" s="1"/>
  <c r="M181" i="5" s="1"/>
  <c r="M180" i="5" s="1"/>
  <c r="M179" i="5" s="1"/>
  <c r="M178" i="5" s="1"/>
  <c r="M177" i="5" s="1"/>
  <c r="M176" i="5" s="1"/>
  <c r="M175" i="5" s="1"/>
  <c r="M174" i="5" s="1"/>
  <c r="M173" i="5" s="1"/>
  <c r="M172" i="5" s="1"/>
  <c r="M171" i="5" s="1"/>
  <c r="M170" i="5" s="1"/>
  <c r="M169" i="5" s="1"/>
  <c r="M168" i="5" s="1"/>
  <c r="M167" i="5" s="1"/>
  <c r="M166" i="5" s="1"/>
  <c r="M165" i="5" s="1"/>
  <c r="M164" i="5" s="1"/>
  <c r="M163" i="5" s="1"/>
  <c r="M162" i="5" s="1"/>
  <c r="M161" i="5" s="1"/>
  <c r="M160" i="5" s="1"/>
  <c r="M159" i="5" s="1"/>
  <c r="M158" i="5" s="1"/>
  <c r="M157" i="5" s="1"/>
  <c r="M156" i="5" s="1"/>
  <c r="M155" i="5" s="1"/>
  <c r="M154" i="5" s="1"/>
  <c r="M153" i="5" s="1"/>
  <c r="M152" i="5" s="1"/>
  <c r="M151" i="5" s="1"/>
  <c r="M150" i="5" s="1"/>
  <c r="M149" i="5" s="1"/>
  <c r="M148" i="5" s="1"/>
  <c r="M147" i="5" s="1"/>
  <c r="M146" i="5" s="1"/>
  <c r="M145" i="5" s="1"/>
  <c r="M144" i="5" s="1"/>
  <c r="M143" i="5" s="1"/>
  <c r="M142" i="5" s="1"/>
  <c r="M141" i="5" s="1"/>
  <c r="M140" i="5" s="1"/>
  <c r="M139" i="5" s="1"/>
  <c r="M138" i="5" s="1"/>
  <c r="M137" i="5" s="1"/>
  <c r="M136" i="5" s="1"/>
  <c r="M135" i="5" s="1"/>
  <c r="M134" i="5" s="1"/>
  <c r="M133" i="5" s="1"/>
  <c r="M132" i="5" s="1"/>
  <c r="M131" i="5" s="1"/>
  <c r="M130" i="5" s="1"/>
  <c r="M129" i="5" s="1"/>
  <c r="M128" i="5" s="1"/>
  <c r="M127" i="5" s="1"/>
  <c r="M126" i="5" s="1"/>
  <c r="M125" i="5" s="1"/>
  <c r="M124" i="5" s="1"/>
  <c r="M123" i="5" s="1"/>
  <c r="M122" i="5" s="1"/>
  <c r="M121" i="5" s="1"/>
  <c r="M120" i="5" s="1"/>
  <c r="M5" i="5" s="1"/>
  <c r="Q120" i="5"/>
  <c r="Q5" i="5" s="1"/>
  <c r="I5" i="2" s="1"/>
  <c r="T120" i="5"/>
  <c r="T5" i="5" s="1"/>
  <c r="L5" i="2" s="1"/>
  <c r="U120" i="5"/>
  <c r="U5" i="5" s="1"/>
  <c r="M5" i="2" s="1"/>
  <c r="N128" i="5"/>
  <c r="N127" i="5" s="1"/>
  <c r="N126" i="5" s="1"/>
  <c r="N125" i="5" s="1"/>
  <c r="N124" i="5" s="1"/>
  <c r="N123" i="5" s="1"/>
  <c r="N122" i="5" s="1"/>
  <c r="N121" i="5" s="1"/>
  <c r="N120" i="5" s="1"/>
  <c r="N5" i="5" s="1"/>
  <c r="F5" i="2" s="1"/>
  <c r="O120" i="5"/>
  <c r="O5" i="5" s="1"/>
  <c r="G5" i="2" s="1"/>
  <c r="H120" i="5"/>
  <c r="H5" i="5" s="1"/>
  <c r="I4" i="2" s="1"/>
  <c r="E120" i="5"/>
  <c r="E5" i="5" s="1"/>
  <c r="F4" i="2" s="1"/>
  <c r="J120" i="5"/>
  <c r="J5" i="5" s="1"/>
  <c r="K4" i="2" s="1"/>
  <c r="AB120" i="5"/>
  <c r="AB5" i="5" s="1"/>
  <c r="K6" i="2" s="1"/>
  <c r="Y120" i="5"/>
  <c r="Y5" i="5" s="1"/>
  <c r="H6" i="2" s="1"/>
  <c r="V120" i="5"/>
  <c r="V5" i="5" s="1"/>
  <c r="S120" i="5"/>
  <c r="S5" i="5" s="1"/>
  <c r="K5" i="2" s="1"/>
  <c r="P120" i="5"/>
  <c r="P5" i="5" s="1"/>
  <c r="H5" i="2" s="1"/>
  <c r="G120" i="5"/>
  <c r="G5" i="5" s="1"/>
  <c r="H4" i="2" s="1"/>
  <c r="B6" i="3" l="1"/>
  <c r="B2" i="3"/>
  <c r="B3" i="3"/>
  <c r="E4" i="2"/>
  <c r="E5" i="2"/>
  <c r="N4" i="2"/>
  <c r="N5" i="2"/>
  <c r="E6" i="2"/>
  <c r="B5" i="3"/>
  <c r="D1" i="3" l="1"/>
  <c r="E5" i="3" l="1"/>
  <c r="E3" i="3"/>
  <c r="E6" i="3"/>
  <c r="E2" i="3"/>
  <c r="G1" i="3"/>
  <c r="H3" i="3" l="1"/>
  <c r="H6" i="3"/>
  <c r="H2" i="3"/>
  <c r="H5" i="3"/>
  <c r="J1" i="3"/>
  <c r="K6" i="3" l="1"/>
  <c r="K2" i="3"/>
  <c r="K5" i="3"/>
  <c r="K3" i="3"/>
  <c r="M1" i="3"/>
  <c r="N5" i="3" l="1"/>
  <c r="N3" i="3"/>
  <c r="N6" i="3"/>
  <c r="N2" i="3"/>
  <c r="A8" i="3"/>
  <c r="B10" i="3" l="1"/>
  <c r="B13" i="3"/>
  <c r="B9" i="3"/>
  <c r="B12" i="3"/>
  <c r="D8" i="3"/>
  <c r="E13" i="3" l="1"/>
  <c r="E9" i="3"/>
  <c r="E12" i="3"/>
  <c r="E10" i="3"/>
  <c r="G8" i="3"/>
  <c r="H12" i="3" l="1"/>
  <c r="H10" i="3"/>
  <c r="H13" i="3"/>
  <c r="H9" i="3"/>
  <c r="J8" i="3"/>
  <c r="K10" i="3" l="1"/>
  <c r="K13" i="3"/>
  <c r="K9" i="3"/>
  <c r="K12" i="3"/>
  <c r="M8" i="3"/>
  <c r="N13" i="3" l="1"/>
  <c r="N9" i="3"/>
  <c r="N12" i="3"/>
  <c r="N10" i="3"/>
</calcChain>
</file>

<file path=xl/sharedStrings.xml><?xml version="1.0" encoding="utf-8"?>
<sst xmlns="http://schemas.openxmlformats.org/spreadsheetml/2006/main" count="239" uniqueCount="169">
  <si>
    <t>title</t>
    <phoneticPr fontId="18"/>
  </si>
  <si>
    <t>Effects</t>
  </si>
  <si>
    <t>picture</t>
    <phoneticPr fontId="18"/>
  </si>
  <si>
    <t>page</t>
    <phoneticPr fontId="18"/>
  </si>
  <si>
    <t>Resources</t>
  </si>
  <si>
    <t>Card Title</t>
  </si>
  <si>
    <t xml:space="preserve">ID No. </t>
  </si>
  <si>
    <t xml:space="preserve"> </t>
    <phoneticPr fontId="18"/>
  </si>
  <si>
    <t>↑ページ指定</t>
    <rPh sb="4" eb="6">
      <t>シテイ</t>
    </rPh>
    <phoneticPr fontId="18"/>
  </si>
  <si>
    <r>
      <t>C</t>
    </r>
    <r>
      <rPr>
        <b/>
        <sz val="10"/>
        <rFont val="Arial"/>
        <family val="2"/>
      </rPr>
      <t>hallenge</t>
    </r>
    <r>
      <rPr>
        <b/>
        <sz val="10"/>
        <rFont val="Arial"/>
        <family val="2"/>
      </rPr>
      <t xml:space="preserve"> Cards Data</t>
    </r>
    <phoneticPr fontId="23"/>
  </si>
  <si>
    <t>Phases</t>
    <phoneticPr fontId="23"/>
  </si>
  <si>
    <r>
      <t>u</t>
    </r>
    <r>
      <rPr>
        <sz val="10"/>
        <color rgb="FF000000"/>
        <rFont val="Arial"/>
        <family val="2"/>
      </rPr>
      <t>niqueness</t>
    </r>
    <phoneticPr fontId="23"/>
  </si>
  <si>
    <t>price</t>
    <phoneticPr fontId="23"/>
  </si>
  <si>
    <t>quality</t>
    <phoneticPr fontId="23"/>
  </si>
  <si>
    <t>demand</t>
    <phoneticPr fontId="23"/>
  </si>
  <si>
    <t>team</t>
    <phoneticPr fontId="23"/>
  </si>
  <si>
    <t>uniqueness</t>
    <phoneticPr fontId="23"/>
  </si>
  <si>
    <t xml:space="preserve">demnd </t>
    <phoneticPr fontId="23"/>
  </si>
  <si>
    <t>Resources Unique to the Challenge</t>
    <phoneticPr fontId="23"/>
  </si>
  <si>
    <r>
      <t>M</t>
    </r>
    <r>
      <rPr>
        <sz val="10"/>
        <color rgb="FF000000"/>
        <rFont val="Arial"/>
        <family val="2"/>
      </rPr>
      <t>ain Requirements</t>
    </r>
    <phoneticPr fontId="23"/>
  </si>
  <si>
    <r>
      <t>E</t>
    </r>
    <r>
      <rPr>
        <sz val="10"/>
        <color rgb="FF000000"/>
        <rFont val="Arial"/>
        <family val="2"/>
      </rPr>
      <t>ffects</t>
    </r>
    <phoneticPr fontId="23"/>
  </si>
  <si>
    <t>weights(a)</t>
    <phoneticPr fontId="23"/>
  </si>
  <si>
    <t>weights(b)</t>
    <phoneticPr fontId="23"/>
  </si>
  <si>
    <t>weights(c)</t>
    <phoneticPr fontId="23"/>
  </si>
  <si>
    <t>weights(d)</t>
    <phoneticPr fontId="23"/>
  </si>
  <si>
    <t>weights€</t>
    <phoneticPr fontId="23"/>
  </si>
  <si>
    <r>
      <t>A</t>
    </r>
    <r>
      <rPr>
        <sz val="10"/>
        <color rgb="FF000000"/>
        <rFont val="Arial"/>
        <family val="2"/>
      </rPr>
      <t>dditional Conditions</t>
    </r>
    <phoneticPr fontId="23"/>
  </si>
  <si>
    <t>Additional Effects</t>
    <phoneticPr fontId="23"/>
  </si>
  <si>
    <t>Main Requirements</t>
    <phoneticPr fontId="23"/>
  </si>
  <si>
    <t>a. uniqueness</t>
    <phoneticPr fontId="23"/>
  </si>
  <si>
    <t>b. price competitiveness</t>
    <phoneticPr fontId="23"/>
  </si>
  <si>
    <t>c. quality</t>
    <phoneticPr fontId="23"/>
  </si>
  <si>
    <t>d. strength of user demands</t>
    <phoneticPr fontId="23"/>
  </si>
  <si>
    <t>e. team strength</t>
    <phoneticPr fontId="23"/>
  </si>
  <si>
    <t>C:\Users\take\Desktop\RwandaCard\ChallengeCard\pic\1.png</t>
    <phoneticPr fontId="18"/>
  </si>
  <si>
    <t>C:\Users\take\Desktop\RwandaCard\ChallengeCard\pic\2.png</t>
  </si>
  <si>
    <t>C:\Users\take\Desktop\RwandaCard\ChallengeCard\pic\3.png</t>
  </si>
  <si>
    <t>C:\Users\take\Desktop\RwandaCard\ChallengeCard\pic\4.png</t>
  </si>
  <si>
    <t>C:\Users\take\Desktop\RwandaCard\ChallengeCard\pic\5.png</t>
  </si>
  <si>
    <t>C:\Users\take\Desktop\RwandaCard\ChallengeCard\pic\6.png</t>
  </si>
  <si>
    <t>C:\Users\take\Desktop\RwandaCard\ChallengeCard\pic\7.png</t>
  </si>
  <si>
    <t>C:\Users\take\Desktop\RwandaCard\ChallengeCard\pic\8.png</t>
  </si>
  <si>
    <t>C:\Users\take\Desktop\RwandaCard\ChallengeCard\pic\9.png</t>
  </si>
  <si>
    <t>C:\Users\take\Desktop\RwandaCard\ChallengeCard\pic\10.png</t>
  </si>
  <si>
    <t>C:\Users\take\Desktop\RwandaCard\ChallengeCard\pic\11.png</t>
  </si>
  <si>
    <t>C:\Users\take\Desktop\RwandaCard\ChallengeCard\pic\12.png</t>
  </si>
  <si>
    <t>C:\Users\take\Desktop\RwandaCard\ChallengeCard\pic\13.png</t>
  </si>
  <si>
    <t>C:\Users\take\Desktop\RwandaCard\ChallengeCard\pic\14.png</t>
  </si>
  <si>
    <t>C:\Users\take\Desktop\RwandaCard\ChallengeCard\pic\15.png</t>
  </si>
  <si>
    <t>C:\Users\take\Desktop\RwandaCard\ChallengeCard\pic\16.png</t>
  </si>
  <si>
    <t>C:\Users\take\Desktop\RwandaCard\ChallengeCard\pic\17.png</t>
  </si>
  <si>
    <t xml:space="preserve">web service start-up </t>
  </si>
  <si>
    <t>financial</t>
  </si>
  <si>
    <t>budget</t>
  </si>
  <si>
    <t>disposable money</t>
  </si>
  <si>
    <t>profit-loss</t>
  </si>
  <si>
    <t>asset-debt</t>
  </si>
  <si>
    <t>credit</t>
  </si>
  <si>
    <t>facilities</t>
  </si>
  <si>
    <t>software</t>
  </si>
  <si>
    <t>servers</t>
  </si>
  <si>
    <t>wood</t>
  </si>
  <si>
    <t>metal</t>
  </si>
  <si>
    <t>plastic</t>
  </si>
  <si>
    <t>electronics</t>
  </si>
  <si>
    <t>fabric</t>
  </si>
  <si>
    <t>lab members</t>
  </si>
  <si>
    <t>scale</t>
  </si>
  <si>
    <t>enthusiasm</t>
  </si>
  <si>
    <t>learning capacities</t>
  </si>
  <si>
    <t>field knowledge</t>
  </si>
  <si>
    <t>engineering knowledge</t>
  </si>
  <si>
    <t>network among members</t>
  </si>
  <si>
    <t>gifted leader</t>
  </si>
  <si>
    <t>gifted assistant</t>
  </si>
  <si>
    <t>gifted programmer</t>
  </si>
  <si>
    <t>gifted designer</t>
  </si>
  <si>
    <t>gifted business strategist</t>
  </si>
  <si>
    <t>lab staff</t>
  </si>
  <si>
    <t>agility</t>
  </si>
  <si>
    <t>ambition</t>
  </si>
  <si>
    <t>attention to details</t>
  </si>
  <si>
    <t>fun-ness</t>
  </si>
  <si>
    <t>seriousness</t>
  </si>
  <si>
    <t>initiative</t>
  </si>
  <si>
    <t>leader</t>
  </si>
  <si>
    <t>community manager</t>
  </si>
  <si>
    <t>PR</t>
  </si>
  <si>
    <t>finance</t>
  </si>
  <si>
    <t>administrator</t>
  </si>
  <si>
    <t>board</t>
  </si>
  <si>
    <t>fame</t>
  </si>
  <si>
    <t>network</t>
  </si>
  <si>
    <t>level of understanding</t>
  </si>
  <si>
    <t>knowledge</t>
  </si>
  <si>
    <t>networks</t>
  </si>
  <si>
    <t>local biz</t>
  </si>
  <si>
    <t>biz group</t>
  </si>
  <si>
    <t>govt</t>
  </si>
  <si>
    <t>investors</t>
  </si>
  <si>
    <t>media</t>
  </si>
  <si>
    <t>entrepreneurs</t>
  </si>
  <si>
    <t>technologists</t>
  </si>
  <si>
    <t>suppliers</t>
  </si>
  <si>
    <t>non-profits</t>
  </si>
  <si>
    <t>lab</t>
  </si>
  <si>
    <t>spaciousness</t>
  </si>
  <si>
    <t>ease of access</t>
  </si>
  <si>
    <t>reputation</t>
  </si>
  <si>
    <t>efficiency</t>
  </si>
  <si>
    <t>portfolio</t>
  </si>
  <si>
    <t>user rules and manuals</t>
  </si>
  <si>
    <t>organizational rules and manuals</t>
  </si>
  <si>
    <t>advanced skills: org</t>
  </si>
  <si>
    <t>law</t>
  </si>
  <si>
    <t>business model</t>
  </si>
  <si>
    <t>marketing</t>
  </si>
  <si>
    <t>team building</t>
  </si>
  <si>
    <t>project management</t>
  </si>
  <si>
    <t>social media</t>
  </si>
  <si>
    <t>negotiation</t>
  </si>
  <si>
    <t>web</t>
  </si>
  <si>
    <t>infrastructrue</t>
  </si>
  <si>
    <t>database</t>
  </si>
  <si>
    <t>mobile apps</t>
  </si>
  <si>
    <t>sensors</t>
  </si>
  <si>
    <t>security</t>
  </si>
  <si>
    <t>AI</t>
  </si>
  <si>
    <t>mobile comm</t>
  </si>
  <si>
    <t>VR&amp;AR</t>
  </si>
  <si>
    <t>fab</t>
  </si>
  <si>
    <t>wood processing</t>
  </si>
  <si>
    <t>metal processing</t>
  </si>
  <si>
    <t>plastic processing</t>
  </si>
  <si>
    <t>design</t>
  </si>
  <si>
    <t>aesthetics</t>
  </si>
  <si>
    <t>functions</t>
  </si>
  <si>
    <t>safety</t>
  </si>
  <si>
    <t>interaction</t>
  </si>
  <si>
    <t>achievements:soc</t>
  </si>
  <si>
    <t>social project</t>
  </si>
  <si>
    <t>social innovation</t>
  </si>
  <si>
    <t>non-profit biz</t>
  </si>
  <si>
    <t>commercial</t>
  </si>
  <si>
    <t>biz project</t>
  </si>
  <si>
    <t>biz enhancement</t>
  </si>
  <si>
    <t>job creation</t>
  </si>
  <si>
    <t>business</t>
  </si>
  <si>
    <t>start-up</t>
  </si>
  <si>
    <t>start-up with mvp</t>
  </si>
  <si>
    <t>start-up with customers</t>
  </si>
  <si>
    <t>education&amp; learning</t>
  </si>
  <si>
    <t>for basic literacy</t>
  </si>
  <si>
    <t>for the elites</t>
  </si>
  <si>
    <t>for entrepreneurs</t>
  </si>
  <si>
    <t>Main Requirements</t>
  </si>
  <si>
    <t>weights(a)</t>
  </si>
  <si>
    <t>weights(b)</t>
  </si>
  <si>
    <t>weights(c)</t>
  </si>
  <si>
    <t>weights(d)</t>
  </si>
  <si>
    <t>weights€</t>
  </si>
  <si>
    <t>Additional Conditions</t>
  </si>
  <si>
    <t>Additional Effects</t>
  </si>
  <si>
    <t>[STEP 1] minimum viable product</t>
    <phoneticPr fontId="23"/>
  </si>
  <si>
    <t>[STEP 2] beta with users</t>
    <phoneticPr fontId="23"/>
  </si>
  <si>
    <t>[STEP 3] scaling</t>
    <phoneticPr fontId="23"/>
  </si>
  <si>
    <t>Description</t>
    <phoneticPr fontId="18"/>
  </si>
  <si>
    <t>hogehoge</t>
    <phoneticPr fontId="18"/>
  </si>
  <si>
    <t xml:space="preserve"> (Challenge card: [type])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</si>
</sst>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2"/>
      <color theme="10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6"/>
      <name val="HGGothicE"/>
      <family val="3"/>
      <charset val="128"/>
    </font>
    <font>
      <b/>
      <sz val="10"/>
      <name val="Arial"/>
      <family val="2"/>
    </font>
    <font>
      <b/>
      <sz val="12"/>
      <color theme="1"/>
      <name val="ヒラギノ角ゴ Std W8"/>
      <family val="2"/>
      <charset val="128"/>
    </font>
    <font>
      <b/>
      <sz val="10"/>
      <color theme="1"/>
      <name val="游ゴシック"/>
      <family val="2"/>
      <charset val="128"/>
      <scheme val="minor"/>
    </font>
    <font>
      <sz val="8"/>
      <color theme="1"/>
      <name val="Verdana"/>
      <family val="2"/>
    </font>
    <font>
      <b/>
      <sz val="4"/>
      <color theme="1"/>
      <name val="Verdana"/>
      <family val="2"/>
    </font>
    <font>
      <sz val="14"/>
      <color rgb="FFFF0000"/>
      <name val="游ゴシック"/>
      <family val="3"/>
      <charset val="128"/>
      <scheme val="minor"/>
    </font>
    <font>
      <sz val="12"/>
      <name val="游ゴシック"/>
      <family val="3"/>
      <charset val="128"/>
      <scheme val="minor"/>
    </font>
    <font>
      <b/>
      <sz val="4"/>
      <color theme="0"/>
      <name val="Verdana"/>
      <family val="2"/>
    </font>
    <font>
      <b/>
      <sz val="10"/>
      <color theme="1"/>
      <name val="Verdana"/>
      <family val="2"/>
    </font>
    <font>
      <sz val="12"/>
      <name val="游ゴシック"/>
      <family val="2"/>
      <charset val="128"/>
      <scheme val="minor"/>
    </font>
    <font>
      <sz val="10"/>
      <color theme="1"/>
      <name val="Verdana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1" fillId="0" borderId="0"/>
  </cellStyleXfs>
  <cellXfs count="38">
    <xf numFmtId="0" fontId="0" fillId="0" borderId="0" xfId="0">
      <alignment vertical="center"/>
    </xf>
    <xf numFmtId="0" fontId="0" fillId="0" borderId="10" xfId="0" applyBorder="1">
      <alignment vertical="center"/>
    </xf>
    <xf numFmtId="0" fontId="0" fillId="0" borderId="0" xfId="0" applyAlignment="1">
      <alignment horizontal="left" vertical="center"/>
    </xf>
    <xf numFmtId="0" fontId="19" fillId="0" borderId="10" xfId="42" applyBorder="1">
      <alignment vertical="center"/>
    </xf>
    <xf numFmtId="0" fontId="20" fillId="33" borderId="10" xfId="0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21" fillId="0" borderId="0" xfId="43"/>
    <xf numFmtId="0" fontId="21" fillId="0" borderId="11" xfId="43" applyBorder="1"/>
    <xf numFmtId="0" fontId="22" fillId="0" borderId="0" xfId="43" applyFont="1"/>
    <xf numFmtId="0" fontId="22" fillId="34" borderId="0" xfId="43" applyFont="1" applyFill="1"/>
    <xf numFmtId="0" fontId="24" fillId="0" borderId="0" xfId="43" applyFont="1"/>
    <xf numFmtId="0" fontId="21" fillId="0" borderId="12" xfId="43" applyBorder="1"/>
    <xf numFmtId="0" fontId="21" fillId="0" borderId="13" xfId="43" applyBorder="1"/>
    <xf numFmtId="0" fontId="0" fillId="0" borderId="0" xfId="0" applyAlignment="1">
      <alignment vertical="center" wrapText="1"/>
    </xf>
    <xf numFmtId="0" fontId="20" fillId="33" borderId="10" xfId="0" applyFont="1" applyFill="1" applyBorder="1" applyAlignment="1">
      <alignment horizontal="left" vertical="center"/>
    </xf>
    <xf numFmtId="0" fontId="0" fillId="36" borderId="0" xfId="0" applyFill="1">
      <alignment vertical="center"/>
    </xf>
    <xf numFmtId="0" fontId="25" fillId="0" borderId="0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26" fillId="0" borderId="0" xfId="0" applyFont="1" applyAlignment="1">
      <alignment horizontal="left" vertical="center" wrapText="1"/>
    </xf>
    <xf numFmtId="0" fontId="21" fillId="36" borderId="0" xfId="43" applyFill="1"/>
    <xf numFmtId="0" fontId="22" fillId="36" borderId="0" xfId="43" applyFont="1" applyFill="1"/>
    <xf numFmtId="0" fontId="21" fillId="37" borderId="0" xfId="43" applyFill="1"/>
    <xf numFmtId="0" fontId="21" fillId="0" borderId="0" xfId="43" applyBorder="1"/>
    <xf numFmtId="0" fontId="21" fillId="0" borderId="14" xfId="43" applyBorder="1"/>
    <xf numFmtId="0" fontId="21" fillId="0" borderId="15" xfId="43" applyBorder="1"/>
    <xf numFmtId="0" fontId="21" fillId="35" borderId="14" xfId="43" applyNumberFormat="1" applyFill="1" applyBorder="1" applyAlignment="1">
      <alignment wrapText="1"/>
    </xf>
    <xf numFmtId="0" fontId="21" fillId="0" borderId="14" xfId="43" applyNumberFormat="1" applyBorder="1" applyAlignment="1">
      <alignment wrapText="1"/>
    </xf>
    <xf numFmtId="0" fontId="21" fillId="37" borderId="14" xfId="43" applyFill="1" applyBorder="1" applyAlignment="1">
      <alignment vertical="top" wrapText="1"/>
    </xf>
    <xf numFmtId="0" fontId="21" fillId="34" borderId="0" xfId="43" applyFill="1"/>
    <xf numFmtId="0" fontId="29" fillId="34" borderId="10" xfId="0" applyFont="1" applyFill="1" applyBorder="1" applyAlignment="1">
      <alignment horizontal="center" vertical="center"/>
    </xf>
    <xf numFmtId="0" fontId="30" fillId="38" borderId="10" xfId="42" applyFont="1" applyFill="1" applyBorder="1">
      <alignment vertical="center"/>
    </xf>
    <xf numFmtId="0" fontId="28" fillId="0" borderId="0" xfId="0" applyFont="1" applyBorder="1" applyAlignment="1">
      <alignment horizontal="center" vertical="center" wrapText="1"/>
    </xf>
    <xf numFmtId="0" fontId="31" fillId="0" borderId="0" xfId="0" applyFont="1" applyBorder="1" applyAlignment="1">
      <alignment horizontal="left" vertical="top" wrapText="1"/>
    </xf>
    <xf numFmtId="0" fontId="33" fillId="39" borderId="0" xfId="0" applyFont="1" applyFill="1">
      <alignment vertical="center"/>
    </xf>
    <xf numFmtId="0" fontId="32" fillId="0" borderId="0" xfId="0" applyFont="1" applyBorder="1" applyAlignment="1">
      <alignment horizontal="center" vertical="center" shrinkToFit="1"/>
    </xf>
    <xf numFmtId="0" fontId="34" fillId="0" borderId="0" xfId="0" applyFont="1" applyBorder="1" applyAlignment="1">
      <alignment horizontal="center" vertical="center" wrapText="1" shrinkToFit="1"/>
    </xf>
    <xf numFmtId="0" fontId="27" fillId="0" borderId="10" xfId="0" applyFont="1" applyBorder="1" applyAlignment="1">
      <alignment vertical="top" wrapText="1"/>
    </xf>
  </cellXfs>
  <cellStyles count="44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2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3" xr:uid="{7AC6E37E-CF4E-4A1C-A33F-6B25FFB009C1}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take\Desktop\RwandaCard\ChallengeCard\pic\13.png" TargetMode="External"/><Relationship Id="rId7" Type="http://schemas.openxmlformats.org/officeDocument/2006/relationships/image" Target="file:///C:\Users\take\Desktop\RwandaCard\ChallengeCard\pic\17.png" TargetMode="External"/><Relationship Id="rId2" Type="http://schemas.openxmlformats.org/officeDocument/2006/relationships/image" Target="file:///C:\Users\take\Desktop\RwandaCard\ChallengeCard\pic\12.png" TargetMode="External"/><Relationship Id="rId1" Type="http://schemas.openxmlformats.org/officeDocument/2006/relationships/image" Target="file:///C:\Users\take\Desktop\RwandaCard\ChallengeCard\pic\11.png" TargetMode="External"/><Relationship Id="rId6" Type="http://schemas.openxmlformats.org/officeDocument/2006/relationships/image" Target="file:///C:\Users\take\Desktop\RwandaCard\ChallengeCard\pic\16.png" TargetMode="External"/><Relationship Id="rId5" Type="http://schemas.openxmlformats.org/officeDocument/2006/relationships/image" Target="file:///C:\Users\take\Desktop\RwandaCard\ChallengeCard\pic\15.png" TargetMode="External"/><Relationship Id="rId4" Type="http://schemas.openxmlformats.org/officeDocument/2006/relationships/image" Target="file:///C:\Users\take\Desktop\RwandaCard\ChallengeCard\pic\14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447675</xdr:colOff>
      <xdr:row>4</xdr:row>
      <xdr:rowOff>311944</xdr:rowOff>
    </xdr:from>
    <xdr:to>
      <xdr:col>1</xdr:col>
      <xdr:colOff>1343025</xdr:colOff>
      <xdr:row>4</xdr:row>
      <xdr:rowOff>1207294</xdr:rowOff>
    </xdr:to>
    <xdr:pic>
      <xdr:nvPicPr>
        <xdr:cNvPr id="335" name="図 334">
          <a:extLst>
            <a:ext uri="{FF2B5EF4-FFF2-40B4-BE49-F238E27FC236}">
              <a16:creationId xmlns:a16="http://schemas.microsoft.com/office/drawing/2014/main" id="{05DF9B7A-5414-45E0-AA0F-04272176B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3400" y="1121569"/>
          <a:ext cx="895350" cy="895350"/>
        </a:xfrm>
        <a:prstGeom prst="rect">
          <a:avLst/>
        </a:prstGeom>
      </xdr:spPr>
    </xdr:pic>
    <xdr:clientData/>
  </xdr:twoCellAnchor>
  <xdr:twoCellAnchor editAs="oneCell">
    <xdr:from>
      <xdr:col>4</xdr:col>
      <xdr:colOff>447675</xdr:colOff>
      <xdr:row>4</xdr:row>
      <xdr:rowOff>311944</xdr:rowOff>
    </xdr:from>
    <xdr:to>
      <xdr:col>4</xdr:col>
      <xdr:colOff>1343025</xdr:colOff>
      <xdr:row>4</xdr:row>
      <xdr:rowOff>1207294</xdr:rowOff>
    </xdr:to>
    <xdr:pic>
      <xdr:nvPicPr>
        <xdr:cNvPr id="337" name="図 336">
          <a:extLst>
            <a:ext uri="{FF2B5EF4-FFF2-40B4-BE49-F238E27FC236}">
              <a16:creationId xmlns:a16="http://schemas.microsoft.com/office/drawing/2014/main" id="{A64038CF-E8C4-425B-9F95-D11F75765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95550" y="1121569"/>
          <a:ext cx="895350" cy="895350"/>
        </a:xfrm>
        <a:prstGeom prst="rect">
          <a:avLst/>
        </a:prstGeom>
      </xdr:spPr>
    </xdr:pic>
    <xdr:clientData/>
  </xdr:twoCellAnchor>
  <xdr:twoCellAnchor editAs="oneCell">
    <xdr:from>
      <xdr:col>7</xdr:col>
      <xdr:colOff>447675</xdr:colOff>
      <xdr:row>4</xdr:row>
      <xdr:rowOff>311944</xdr:rowOff>
    </xdr:from>
    <xdr:to>
      <xdr:col>7</xdr:col>
      <xdr:colOff>1343025</xdr:colOff>
      <xdr:row>4</xdr:row>
      <xdr:rowOff>1207294</xdr:rowOff>
    </xdr:to>
    <xdr:pic>
      <xdr:nvPicPr>
        <xdr:cNvPr id="339" name="図 338">
          <a:extLst>
            <a:ext uri="{FF2B5EF4-FFF2-40B4-BE49-F238E27FC236}">
              <a16:creationId xmlns:a16="http://schemas.microsoft.com/office/drawing/2014/main" id="{B7860AB6-0797-45EA-91CB-63990483C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57700" y="1121569"/>
          <a:ext cx="895350" cy="895350"/>
        </a:xfrm>
        <a:prstGeom prst="rect">
          <a:avLst/>
        </a:prstGeom>
      </xdr:spPr>
    </xdr:pic>
    <xdr:clientData/>
  </xdr:twoCellAnchor>
  <xdr:twoCellAnchor editAs="oneCell">
    <xdr:from>
      <xdr:col>10</xdr:col>
      <xdr:colOff>447675</xdr:colOff>
      <xdr:row>4</xdr:row>
      <xdr:rowOff>311944</xdr:rowOff>
    </xdr:from>
    <xdr:to>
      <xdr:col>10</xdr:col>
      <xdr:colOff>1343025</xdr:colOff>
      <xdr:row>4</xdr:row>
      <xdr:rowOff>1207294</xdr:rowOff>
    </xdr:to>
    <xdr:pic>
      <xdr:nvPicPr>
        <xdr:cNvPr id="341" name="図 340">
          <a:extLst>
            <a:ext uri="{FF2B5EF4-FFF2-40B4-BE49-F238E27FC236}">
              <a16:creationId xmlns:a16="http://schemas.microsoft.com/office/drawing/2014/main" id="{F71D59A7-1C0D-4437-8768-7EB708800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419850" y="1121569"/>
          <a:ext cx="895350" cy="895350"/>
        </a:xfrm>
        <a:prstGeom prst="rect">
          <a:avLst/>
        </a:prstGeom>
      </xdr:spPr>
    </xdr:pic>
    <xdr:clientData/>
  </xdr:twoCellAnchor>
  <xdr:twoCellAnchor editAs="oneCell">
    <xdr:from>
      <xdr:col>13</xdr:col>
      <xdr:colOff>447675</xdr:colOff>
      <xdr:row>4</xdr:row>
      <xdr:rowOff>311944</xdr:rowOff>
    </xdr:from>
    <xdr:to>
      <xdr:col>13</xdr:col>
      <xdr:colOff>1343025</xdr:colOff>
      <xdr:row>4</xdr:row>
      <xdr:rowOff>1207294</xdr:rowOff>
    </xdr:to>
    <xdr:pic>
      <xdr:nvPicPr>
        <xdr:cNvPr id="343" name="図 342">
          <a:extLst>
            <a:ext uri="{FF2B5EF4-FFF2-40B4-BE49-F238E27FC236}">
              <a16:creationId xmlns:a16="http://schemas.microsoft.com/office/drawing/2014/main" id="{A5609BC4-EB37-4B69-9BBF-17CE8F67E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8382000" y="1121569"/>
          <a:ext cx="895350" cy="8953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447675</xdr:colOff>
      <xdr:row>11</xdr:row>
      <xdr:rowOff>311944</xdr:rowOff>
    </xdr:from>
    <xdr:to>
      <xdr:col>1</xdr:col>
      <xdr:colOff>1343025</xdr:colOff>
      <xdr:row>11</xdr:row>
      <xdr:rowOff>1207294</xdr:rowOff>
    </xdr:to>
    <xdr:pic>
      <xdr:nvPicPr>
        <xdr:cNvPr id="345" name="図 344">
          <a:extLst>
            <a:ext uri="{FF2B5EF4-FFF2-40B4-BE49-F238E27FC236}">
              <a16:creationId xmlns:a16="http://schemas.microsoft.com/office/drawing/2014/main" id="{4C7B21B0-9871-4071-B49B-A198CB67E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33400" y="4283869"/>
          <a:ext cx="895350" cy="895350"/>
        </a:xfrm>
        <a:prstGeom prst="rect">
          <a:avLst/>
        </a:prstGeom>
      </xdr:spPr>
    </xdr:pic>
    <xdr:clientData/>
  </xdr:twoCellAnchor>
  <xdr:twoCellAnchor editAs="oneCell">
    <xdr:from>
      <xdr:col>4</xdr:col>
      <xdr:colOff>447675</xdr:colOff>
      <xdr:row>11</xdr:row>
      <xdr:rowOff>311944</xdr:rowOff>
    </xdr:from>
    <xdr:to>
      <xdr:col>4</xdr:col>
      <xdr:colOff>1343025</xdr:colOff>
      <xdr:row>11</xdr:row>
      <xdr:rowOff>1207294</xdr:rowOff>
    </xdr:to>
    <xdr:pic>
      <xdr:nvPicPr>
        <xdr:cNvPr id="347" name="図 346">
          <a:extLst>
            <a:ext uri="{FF2B5EF4-FFF2-40B4-BE49-F238E27FC236}">
              <a16:creationId xmlns:a16="http://schemas.microsoft.com/office/drawing/2014/main" id="{0C72B1F8-AB08-47C1-8BAC-8D27FBE5A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495550" y="4283869"/>
          <a:ext cx="895350" cy="8953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16"/>
  <sheetViews>
    <sheetView tabSelected="1" view="pageLayout" topLeftCell="A4" zoomScaleNormal="100" workbookViewId="0">
      <selection activeCell="K10" sqref="K10"/>
    </sheetView>
  </sheetViews>
  <sheetFormatPr defaultColWidth="11.44140625" defaultRowHeight="19.5"/>
  <cols>
    <col min="1" max="1" width="1" customWidth="1"/>
    <col min="2" max="2" width="21.21875" style="14" customWidth="1"/>
    <col min="3" max="4" width="1" style="14" customWidth="1"/>
    <col min="5" max="5" width="21.21875" style="14" customWidth="1"/>
    <col min="6" max="7" width="1" style="14" customWidth="1"/>
    <col min="8" max="8" width="21.21875" style="14" customWidth="1"/>
    <col min="9" max="10" width="1" style="14" customWidth="1"/>
    <col min="11" max="11" width="21.21875" style="14" customWidth="1"/>
    <col min="12" max="13" width="1" style="14" customWidth="1"/>
    <col min="14" max="14" width="21.21875" style="14" customWidth="1"/>
    <col min="15" max="15" width="1" customWidth="1"/>
    <col min="16" max="16" width="5.6640625" customWidth="1"/>
    <col min="17" max="17" width="5" customWidth="1"/>
  </cols>
  <sheetData>
    <row r="1" spans="1:18" ht="2.85" customHeight="1">
      <c r="A1">
        <f>Q6</f>
        <v>11</v>
      </c>
      <c r="D1" s="14">
        <f>A1+1</f>
        <v>12</v>
      </c>
      <c r="G1" s="14">
        <f>D1+1</f>
        <v>13</v>
      </c>
      <c r="J1" s="14">
        <f>G1+1</f>
        <v>14</v>
      </c>
      <c r="M1" s="14">
        <f>J1+1</f>
        <v>15</v>
      </c>
      <c r="P1" s="5">
        <v>1</v>
      </c>
    </row>
    <row r="2" spans="1:18" ht="21.75" customHeight="1">
      <c r="B2" s="35" t="str">
        <f>VLOOKUP(A1,data!$A$3:$J$36,1,FALSE) &amp; ". " &amp;"web service start-up"</f>
        <v>11. web service start-up</v>
      </c>
      <c r="E2" s="35" t="str">
        <f>VLOOKUP(D1,data!$A$3:$J$36,1,FALSE) &amp; ". " &amp;"web service start-up"</f>
        <v>12. web service start-up</v>
      </c>
      <c r="H2" s="35" t="str">
        <f>VLOOKUP(G1,data!$A$3:$J$36,1,FALSE) &amp; ". " &amp;"web service start-up"</f>
        <v>13. web service start-up</v>
      </c>
      <c r="K2" s="35" t="str">
        <f>VLOOKUP(J1,data!$A$3:$J$36,1,FALSE) &amp; ". " &amp;"web service start-up"</f>
        <v>14. web service start-up</v>
      </c>
      <c r="N2" s="35" t="str">
        <f>VLOOKUP(M1,data!$A$3:$J$36,1,FALSE) &amp; ". " &amp;"web service start-up"</f>
        <v>15. web service start-up</v>
      </c>
      <c r="P2" s="5">
        <v>7.7</v>
      </c>
    </row>
    <row r="3" spans="1:18" ht="33.6" customHeight="1">
      <c r="B3" s="36">
        <f>VLOOKUP(A1,data!$A$3:$J$36,2,FALSE)</f>
        <v>0</v>
      </c>
      <c r="C3" s="17"/>
      <c r="D3" s="17"/>
      <c r="E3" s="36">
        <f>VLOOKUP(D1,data!$A$3:$J$36,2,FALSE)</f>
        <v>0</v>
      </c>
      <c r="F3" s="17"/>
      <c r="G3" s="17"/>
      <c r="H3" s="36">
        <f>VLOOKUP(G1,data!$A$3:$J$36,2,FALSE)</f>
        <v>0</v>
      </c>
      <c r="I3" s="17"/>
      <c r="J3" s="17"/>
      <c r="K3" s="36">
        <f>VLOOKUP(J1,data!$A$3:$J$36,2,FALSE)</f>
        <v>0</v>
      </c>
      <c r="L3" s="17"/>
      <c r="M3" s="17"/>
      <c r="N3" s="36">
        <f>VLOOKUP(M1,data!$A$3:$J$36,2,FALSE)</f>
        <v>0</v>
      </c>
      <c r="P3" s="5">
        <v>11.9</v>
      </c>
      <c r="Q3" s="16">
        <v>2</v>
      </c>
    </row>
    <row r="4" spans="1:18" ht="6.75" customHeight="1">
      <c r="B4" s="32" t="s">
        <v>168</v>
      </c>
      <c r="C4" s="17"/>
      <c r="D4" s="17"/>
      <c r="E4" s="32" t="s">
        <v>168</v>
      </c>
      <c r="F4" s="17"/>
      <c r="G4" s="17"/>
      <c r="H4" s="32" t="s">
        <v>168</v>
      </c>
      <c r="I4" s="17"/>
      <c r="J4" s="17"/>
      <c r="K4" s="32" t="s">
        <v>168</v>
      </c>
      <c r="L4" s="17"/>
      <c r="M4" s="17"/>
      <c r="N4" s="32" t="s">
        <v>168</v>
      </c>
      <c r="P4" s="5">
        <v>2.4</v>
      </c>
    </row>
    <row r="5" spans="1:18" ht="98.85" customHeight="1">
      <c r="B5" s="33" t="str">
        <f>VLOOKUP(A1,data!$A$3:$J$36,3,FALSE)</f>
        <v>C:\Users\take\Desktop\RwandaCard\ChallengeCard\pic\11.png</v>
      </c>
      <c r="C5" s="18"/>
      <c r="D5" s="18"/>
      <c r="E5" s="33" t="str">
        <f>VLOOKUP(D1,data!$A$3:$J$36,3,FALSE)</f>
        <v>C:\Users\take\Desktop\RwandaCard\ChallengeCard\pic\12.png</v>
      </c>
      <c r="F5" s="18"/>
      <c r="G5" s="18"/>
      <c r="H5" s="33" t="str">
        <f>VLOOKUP(G1,data!$A$3:$J$36,3,FALSE)</f>
        <v>C:\Users\take\Desktop\RwandaCard\ChallengeCard\pic\13.png</v>
      </c>
      <c r="I5" s="18"/>
      <c r="J5" s="18"/>
      <c r="K5" s="33" t="str">
        <f>VLOOKUP(J1,data!$A$3:$J$36,3,FALSE)</f>
        <v>C:\Users\take\Desktop\RwandaCard\ChallengeCard\pic\14.png</v>
      </c>
      <c r="L5" s="18"/>
      <c r="M5" s="18"/>
      <c r="N5" s="33" t="str">
        <f>VLOOKUP(M1,data!$A$3:$J$36,3,FALSE)</f>
        <v>C:\Users\take\Desktop\RwandaCard\ChallengeCard\pic\15.png</v>
      </c>
      <c r="P5" s="5">
        <v>34.9</v>
      </c>
      <c r="Q5" t="s">
        <v>8</v>
      </c>
    </row>
    <row r="6" spans="1:18" s="2" customFormat="1" ht="84.95" customHeight="1">
      <c r="B6" s="37" t="str">
        <f>"Description" &amp; CHAR(10) &amp;  VLOOKUP(A1,data!$A$3:$J$36,4,FALSE)</f>
        <v>Description
hogehoge</v>
      </c>
      <c r="C6" s="19"/>
      <c r="D6" s="19"/>
      <c r="E6" s="37" t="str">
        <f>"Description" &amp; CHAR(10) &amp;  VLOOKUP(D1,data!$A$3:$J$36,4,FALSE)</f>
        <v>Description
hogehoge</v>
      </c>
      <c r="F6" s="19"/>
      <c r="G6" s="19"/>
      <c r="H6" s="37" t="str">
        <f>"Description" &amp; CHAR(10) &amp;  VLOOKUP(G1,data!$A$3:$J$36,4,FALSE)</f>
        <v>Description
hogehoge</v>
      </c>
      <c r="I6" s="19"/>
      <c r="J6" s="19"/>
      <c r="K6" s="37" t="str">
        <f>"Description" &amp; CHAR(10) &amp;  VLOOKUP(J1,data!$A$3:$J$36,4,FALSE)</f>
        <v>Description
hogehoge</v>
      </c>
      <c r="L6" s="19"/>
      <c r="M6" s="19"/>
      <c r="N6" s="37" t="str">
        <f>"Description" &amp; CHAR(10) &amp;  VLOOKUP(M1,data!$A$3:$J$36,4,FALSE)</f>
        <v>Description
hogehoge</v>
      </c>
      <c r="P6" s="6">
        <v>29.9</v>
      </c>
      <c r="Q6" s="2">
        <f>(Q3-1)*10+1</f>
        <v>11</v>
      </c>
      <c r="R6" s="2">
        <f>SUM(P1:P7)</f>
        <v>88.8</v>
      </c>
    </row>
    <row r="7" spans="1:18" s="2" customFormat="1" ht="2.85" customHeight="1"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P7" s="6">
        <v>1</v>
      </c>
    </row>
    <row r="8" spans="1:18" ht="2.85" customHeight="1">
      <c r="A8">
        <f>M1+1</f>
        <v>16</v>
      </c>
      <c r="D8" s="14">
        <f>A8+1</f>
        <v>17</v>
      </c>
      <c r="G8" s="14">
        <f>D8+1</f>
        <v>18</v>
      </c>
      <c r="J8" s="14">
        <f>G8+1</f>
        <v>19</v>
      </c>
      <c r="M8" s="14">
        <f>J8+1</f>
        <v>20</v>
      </c>
      <c r="P8" s="5">
        <v>1</v>
      </c>
    </row>
    <row r="9" spans="1:18" ht="22.35" customHeight="1">
      <c r="B9" s="35" t="str">
        <f>VLOOKUP(A8,data!$A$3:$J$36,1,FALSE) &amp; ". " &amp;"web service start-up"</f>
        <v>16. web service start-up</v>
      </c>
      <c r="E9" s="35" t="str">
        <f>VLOOKUP(D8,data!$A$3:$J$36,1,FALSE) &amp; ". " &amp;"web service start-up"</f>
        <v>17. web service start-up</v>
      </c>
      <c r="H9" s="35" t="e">
        <f>VLOOKUP(G8,data!$A$3:$J$36,1,FALSE) &amp; ". " &amp;"web service start-up"</f>
        <v>#N/A</v>
      </c>
      <c r="K9" s="35" t="e">
        <f>VLOOKUP(J8,data!$A$3:$J$36,1,FALSE) &amp; ". " &amp;"web service start-up"</f>
        <v>#N/A</v>
      </c>
      <c r="N9" s="35" t="e">
        <f>VLOOKUP(M8,data!$A$3:$J$36,1,FALSE) &amp; ". " &amp;"web service start-up"</f>
        <v>#N/A</v>
      </c>
      <c r="P9" s="5">
        <v>7.9</v>
      </c>
    </row>
    <row r="10" spans="1:18" ht="33.6" customHeight="1">
      <c r="B10" s="36">
        <f>VLOOKUP(A8,data!$A$3:$J$36,2,FALSE)</f>
        <v>0</v>
      </c>
      <c r="C10" s="17"/>
      <c r="D10" s="17"/>
      <c r="E10" s="36">
        <f>VLOOKUP(D8,data!$A$3:$J$36,2,FALSE)</f>
        <v>0</v>
      </c>
      <c r="F10" s="17"/>
      <c r="G10" s="17"/>
      <c r="H10" s="36" t="e">
        <f>VLOOKUP(G8,data!$A$3:$J$36,2,FALSE)</f>
        <v>#N/A</v>
      </c>
      <c r="I10" s="17"/>
      <c r="J10" s="17"/>
      <c r="K10" s="36" t="e">
        <f>VLOOKUP(J8,data!$A$3:$J$36,2,FALSE)</f>
        <v>#N/A</v>
      </c>
      <c r="L10" s="17"/>
      <c r="M10" s="17"/>
      <c r="N10" s="36" t="e">
        <f>VLOOKUP(M8,data!$A$3:$J$36,2,FALSE)</f>
        <v>#N/A</v>
      </c>
      <c r="P10" s="5">
        <v>11.9</v>
      </c>
      <c r="Q10" s="34">
        <v>1</v>
      </c>
    </row>
    <row r="11" spans="1:18" ht="6.75" customHeight="1">
      <c r="B11" s="32" t="s">
        <v>168</v>
      </c>
      <c r="C11" s="17"/>
      <c r="D11" s="17"/>
      <c r="E11" s="32" t="s">
        <v>168</v>
      </c>
      <c r="F11" s="17"/>
      <c r="G11" s="17"/>
      <c r="H11" s="32" t="s">
        <v>168</v>
      </c>
      <c r="I11" s="17"/>
      <c r="J11" s="17"/>
      <c r="K11" s="32" t="s">
        <v>168</v>
      </c>
      <c r="L11" s="17"/>
      <c r="M11" s="17"/>
      <c r="N11" s="32" t="s">
        <v>168</v>
      </c>
      <c r="P11" s="5">
        <v>2.4</v>
      </c>
    </row>
    <row r="12" spans="1:18" ht="98.85" customHeight="1">
      <c r="B12" s="33" t="str">
        <f>VLOOKUP(A8,data!$A$3:$J$36,3,FALSE)</f>
        <v>C:\Users\take\Desktop\RwandaCard\ChallengeCard\pic\16.png</v>
      </c>
      <c r="C12" s="18"/>
      <c r="D12" s="18"/>
      <c r="E12" s="33" t="str">
        <f>VLOOKUP(D8,data!$A$3:$J$36,3,FALSE)</f>
        <v>C:\Users\take\Desktop\RwandaCard\ChallengeCard\pic\17.png</v>
      </c>
      <c r="F12" s="18"/>
      <c r="G12" s="18"/>
      <c r="H12" s="33" t="e">
        <f>VLOOKUP(G8,data!$A$3:$J$36,3,FALSE)</f>
        <v>#N/A</v>
      </c>
      <c r="I12" s="18"/>
      <c r="J12" s="18"/>
      <c r="K12" s="33" t="e">
        <f>VLOOKUP(J8,data!$A$3:$J$36,3,FALSE)</f>
        <v>#N/A</v>
      </c>
      <c r="L12" s="18"/>
      <c r="M12" s="18"/>
      <c r="N12" s="33" t="e">
        <f>VLOOKUP(M8,data!$A$3:$J$36,3,FALSE)</f>
        <v>#N/A</v>
      </c>
      <c r="P12" s="5">
        <v>36</v>
      </c>
      <c r="Q12" t="s">
        <v>8</v>
      </c>
    </row>
    <row r="13" spans="1:18" s="2" customFormat="1" ht="84.75" customHeight="1">
      <c r="B13" s="37" t="str">
        <f>"Description" &amp; CHAR(10) &amp;  VLOOKUP(A8,data!$A$3:$J$36,4,FALSE)</f>
        <v>Description
hogehoge</v>
      </c>
      <c r="C13" s="19"/>
      <c r="D13" s="19"/>
      <c r="E13" s="37" t="str">
        <f>"Description" &amp; CHAR(10) &amp;  VLOOKUP(D8,data!$A$3:$J$36,4,FALSE)</f>
        <v>Description
hogehoge</v>
      </c>
      <c r="F13" s="19"/>
      <c r="G13" s="19"/>
      <c r="H13" s="37" t="e">
        <f>"Description" &amp; CHAR(10) &amp;  VLOOKUP(G8,data!$A$3:$J$36,4,FALSE)</f>
        <v>#N/A</v>
      </c>
      <c r="I13" s="19"/>
      <c r="J13" s="19"/>
      <c r="K13" s="37" t="e">
        <f>"Description" &amp; CHAR(10) &amp;  VLOOKUP(J8,data!$A$3:$J$36,4,FALSE)</f>
        <v>#N/A</v>
      </c>
      <c r="L13" s="19"/>
      <c r="M13" s="19"/>
      <c r="N13" s="37" t="e">
        <f>"Description" &amp; CHAR(10) &amp;  VLOOKUP(M8,data!$A$3:$J$36,4,FALSE)</f>
        <v>#N/A</v>
      </c>
      <c r="P13" s="6">
        <v>29.9</v>
      </c>
    </row>
    <row r="14" spans="1:18" s="2" customFormat="1" ht="2.85" customHeight="1"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P14" s="6">
        <v>1</v>
      </c>
    </row>
    <row r="15" spans="1:18">
      <c r="A15">
        <v>0.24</v>
      </c>
      <c r="B15" s="14">
        <v>5</v>
      </c>
      <c r="C15" s="14">
        <v>0.24</v>
      </c>
    </row>
    <row r="16" spans="1:18">
      <c r="B16" s="14">
        <f>SUM(A15:C15)</f>
        <v>5.48</v>
      </c>
    </row>
  </sheetData>
  <phoneticPr fontId="18"/>
  <pageMargins left="0.43307086614173229" right="0.43307086614173229" top="0.55118110236220474" bottom="0.55118110236220474" header="0" footer="0"/>
  <pageSetup paperSize="9" orientation="landscape" horizontalDpi="1200" verticalDpi="1200" r:id="rId1"/>
  <headerFooter>
    <oddHeader xml:space="preserve">&amp;L 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20"/>
  <sheetViews>
    <sheetView zoomScale="75" zoomScaleNormal="75" workbookViewId="0">
      <selection activeCell="C28" sqref="C28"/>
    </sheetView>
  </sheetViews>
  <sheetFormatPr defaultColWidth="11.5546875" defaultRowHeight="19.5"/>
  <cols>
    <col min="1" max="1" width="4.33203125" customWidth="1"/>
    <col min="2" max="2" width="41.5546875" customWidth="1"/>
    <col min="3" max="3" width="55.33203125" customWidth="1"/>
    <col min="4" max="4" width="28.109375" customWidth="1"/>
    <col min="5" max="5" width="12.33203125" bestFit="1" customWidth="1"/>
    <col min="6" max="6" width="10.6640625" bestFit="1" customWidth="1"/>
    <col min="7" max="7" width="18.6640625" bestFit="1" customWidth="1"/>
    <col min="8" max="8" width="8.33203125" bestFit="1" customWidth="1"/>
    <col min="9" max="9" width="35.33203125" customWidth="1"/>
    <col min="10" max="14" width="15" bestFit="1" customWidth="1"/>
  </cols>
  <sheetData>
    <row r="1" spans="1:14">
      <c r="B1">
        <v>1</v>
      </c>
      <c r="C1" t="s">
        <v>3</v>
      </c>
    </row>
    <row r="2" spans="1:14" ht="23.25" customHeight="1">
      <c r="E2">
        <v>0</v>
      </c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</row>
    <row r="3" spans="1:14" ht="24">
      <c r="B3" s="4" t="s">
        <v>0</v>
      </c>
      <c r="C3" s="4" t="s">
        <v>2</v>
      </c>
      <c r="D3" s="30" t="s">
        <v>166</v>
      </c>
      <c r="E3" s="15" t="s">
        <v>155</v>
      </c>
      <c r="F3" s="15" t="s">
        <v>1</v>
      </c>
      <c r="G3" s="15" t="s">
        <v>156</v>
      </c>
      <c r="H3" s="15" t="s">
        <v>157</v>
      </c>
      <c r="I3" s="15" t="s">
        <v>158</v>
      </c>
      <c r="J3" s="15" t="s">
        <v>159</v>
      </c>
      <c r="K3" s="15" t="s">
        <v>160</v>
      </c>
      <c r="L3" s="15" t="s">
        <v>161</v>
      </c>
      <c r="M3" s="15" t="s">
        <v>162</v>
      </c>
      <c r="N3" s="15"/>
    </row>
    <row r="4" spans="1:14" ht="24.75" customHeight="1">
      <c r="A4">
        <v>1</v>
      </c>
      <c r="B4" s="1" t="str">
        <f>INDEX(ChallengeCard!$3:$3,1,($A4*9)-5)</f>
        <v>[STEP 1] minimum viable product</v>
      </c>
      <c r="C4" s="3" t="s">
        <v>34</v>
      </c>
      <c r="D4" s="31" t="s">
        <v>167</v>
      </c>
      <c r="E4" s="1" t="str">
        <f>INDEX(ChallengeCard!$5:$5,1,($A4*9)-5+E$2)</f>
        <v xml:space="preserve">Main Requirements
disposable money(2),software(1),servers(1),scale(1),enthusiasm(1),learning capacities(1),engineering knowledge(1),scale(1),enthusiasm(1),ambition(1),web(1), </v>
      </c>
      <c r="F4" s="1" t="str">
        <f>INDEX(ChallengeCard!$5:$5,1,($A4*9)-5+F$2)</f>
        <v xml:space="preserve">Effects
disposable money(-1), </v>
      </c>
      <c r="G4" s="1" t="str">
        <f>INDEX(ChallengeCard!$5:$5,1,($A4*9)-5+G$2)</f>
        <v xml:space="preserve">weights(a)
software(1),servers(1),enthusiasm(1),gifted leader(1),gifted programmer(1),gifted designer(1),fun-ness(1),web(1),aesthetics(1),functions(1),interaction(1), </v>
      </c>
      <c r="H4" s="1" t="str">
        <f>INDEX(ChallengeCard!$5:$5,1,($A4*9)-5+H$2)</f>
        <v xml:space="preserve">weights(b)
software(1),servers(1),enthusiasm(1),learning capacities(1),engineering knowledge(1),gifted leader(1),gifted programmer(1),gifted designer(1),gifted business strategist(1),seriousness(1),technologists(0.5),business model(1),web(1), </v>
      </c>
      <c r="I4" s="1" t="str">
        <f>INDEX(ChallengeCard!$5:$5,1,($A4*9)-5+I$2)</f>
        <v xml:space="preserve">weights(c)
software(1),servers(1),enthusiasm(1),learning capacities(1),engineering knowledge(1),gifted leader(1),gifted programmer(1),gifted designer(1),gifted business strategist(1),seriousness(1),technologists(0.5),web(1),aesthetics(1),interaction(1), </v>
      </c>
      <c r="J4" s="1" t="str">
        <f>INDEX(ChallengeCard!$5:$5,1,($A4*9)-5+J$2)</f>
        <v xml:space="preserve">weights(d)
software(1),servers(1),enthusiasm(1),learning capacities(1),field knowledge(2),gifted leader(1),gifted designer(1),gifted business strategist(1),business model(1),marketing(1),aesthetics(1), </v>
      </c>
      <c r="K4" s="1" t="str">
        <f>INDEX(ChallengeCard!$5:$5,1,($A4*9)-5+K$2)</f>
        <v xml:space="preserve">weights€
enthusiasm(2),network among members(1),gifted leader(2),gifted programmer(2),fun-ness(1),seriousness(1),team building(2), </v>
      </c>
      <c r="L4" s="1" t="str">
        <f>INDEX(ChallengeCard!$5:$5,1,($A4*9)-5+L$2)</f>
        <v xml:space="preserve">Additional Conditions
 </v>
      </c>
      <c r="M4" s="1" t="str">
        <f>INDEX(ChallengeCard!$5:$5,1,($A4*9)-5+M$2)</f>
        <v xml:space="preserve">Additional Effects
a. uniqueness(1),c. quality(1),d. strength of user demands(4),e. team strength(1),disposable money(2),software(1),servers(1),field knowledge(3), </v>
      </c>
      <c r="N4" s="1" t="str">
        <f>INDEX(ChallengeCard!$5:$5,1,($A4*9)-5+N$2)</f>
        <v xml:space="preserve">Main Requirements
a. uniqueness(1),c. quality(2),d. strength of user demands(2),field knowledge(3),gifted programmer(2),gifted designer(2),finance(2),investors(2),law(2),finance(2),marketing(2), </v>
      </c>
    </row>
    <row r="5" spans="1:14">
      <c r="A5">
        <v>2</v>
      </c>
      <c r="B5" s="1" t="str">
        <f>INDEX(ChallengeCard!$3:$3,1,($A5*9)-5)</f>
        <v>[STEP 2] beta with users</v>
      </c>
      <c r="C5" s="3" t="s">
        <v>35</v>
      </c>
      <c r="D5" s="31" t="s">
        <v>167</v>
      </c>
      <c r="E5" s="1" t="str">
        <f>INDEX(ChallengeCard!$5:$5,1,($A5*9)-5+E$2)</f>
        <v xml:space="preserve">Main Requirements
a. uniqueness(1),c. quality(2),d. strength of user demands(2),field knowledge(3),gifted programmer(2),gifted designer(2),finance(2),investors(2),law(2),finance(2),marketing(2), </v>
      </c>
      <c r="F5" s="1" t="str">
        <f>INDEX(ChallengeCard!$5:$5,1,($A5*9)-5+F$2)</f>
        <v xml:space="preserve">Effects
disposable money(-2), </v>
      </c>
      <c r="G5" s="1" t="str">
        <f>INDEX(ChallengeCard!$5:$5,1,($A5*9)-5+G$2)</f>
        <v xml:space="preserve">weights(a)
servers(3), </v>
      </c>
      <c r="H5" s="1" t="str">
        <f>INDEX(ChallengeCard!$5:$5,1,($A5*9)-5+H$2)</f>
        <v xml:space="preserve">weights(b)
 </v>
      </c>
      <c r="I5" s="1" t="str">
        <f>INDEX(ChallengeCard!$5:$5,1,($A5*9)-5+I$2)</f>
        <v xml:space="preserve">weights(c)
 </v>
      </c>
      <c r="J5" s="1" t="str">
        <f>INDEX(ChallengeCard!$5:$5,1,($A5*9)-5+J$2)</f>
        <v xml:space="preserve">weights(d)
 </v>
      </c>
      <c r="K5" s="1" t="str">
        <f>INDEX(ChallengeCard!$5:$5,1,($A5*9)-5+K$2)</f>
        <v xml:space="preserve">weights€
 </v>
      </c>
      <c r="L5" s="1" t="str">
        <f>INDEX(ChallengeCard!$5:$5,1,($A5*9)-5+L$2)</f>
        <v xml:space="preserve">Additional Conditions
 </v>
      </c>
      <c r="M5" s="1" t="str">
        <f>INDEX(ChallengeCard!$5:$5,1,($A5*9)-5+M$2)</f>
        <v xml:space="preserve">Additional Effects
 </v>
      </c>
      <c r="N5" s="1" t="str">
        <f>INDEX(ChallengeCard!$5:$5,1,($A5*9)-5+N$2)</f>
        <v xml:space="preserve">Main Requirements
a. uniqueness(4),b. price competitiveness(4),c. quality(4),d. strength of user demands(4),e. team strength(4),software(2),servers(2),investors(3),media(1),technologists(2),spaciousness(1), </v>
      </c>
    </row>
    <row r="6" spans="1:14">
      <c r="A6">
        <v>3</v>
      </c>
      <c r="B6" s="1" t="str">
        <f>INDEX(ChallengeCard!$3:$3,1,($A6*9)-5)</f>
        <v>[STEP 3] scaling</v>
      </c>
      <c r="C6" s="3" t="s">
        <v>36</v>
      </c>
      <c r="D6" s="31" t="s">
        <v>167</v>
      </c>
      <c r="E6" s="1" t="str">
        <f>INDEX(ChallengeCard!$5:$5,1,($A6*9)-5+E$2)</f>
        <v xml:space="preserve">Main Requirements
a. uniqueness(4),b. price competitiveness(4),c. quality(4),d. strength of user demands(4),e. team strength(4),software(2),servers(2),investors(3),media(1),technologists(2),spaciousness(1), </v>
      </c>
      <c r="F6" s="1" t="str">
        <f>INDEX(ChallengeCard!$5:$5,1,($A6*9)-5+F$2)</f>
        <v xml:space="preserve">Effects
 </v>
      </c>
      <c r="G6" s="1" t="str">
        <f>INDEX(ChallengeCard!$5:$5,1,($A6*9)-5+G$2)</f>
        <v xml:space="preserve">weights(a)
 </v>
      </c>
      <c r="H6" s="1" t="str">
        <f>INDEX(ChallengeCard!$5:$5,1,($A6*9)-5+H$2)</f>
        <v xml:space="preserve">weights(b)
 </v>
      </c>
      <c r="I6" s="1" t="str">
        <f>INDEX(ChallengeCard!$5:$5,1,($A6*9)-5+I$2)</f>
        <v xml:space="preserve">weights(c)
 </v>
      </c>
      <c r="J6" s="1" t="str">
        <f>INDEX(ChallengeCard!$5:$5,1,($A6*9)-5+J$2)</f>
        <v xml:space="preserve">weights(d)
 </v>
      </c>
      <c r="K6" s="1" t="str">
        <f>INDEX(ChallengeCard!$5:$5,1,($A6*9)-5+K$2)</f>
        <v xml:space="preserve">weights€
 </v>
      </c>
      <c r="L6" s="1" t="str">
        <f>INDEX(ChallengeCard!$5:$5,1,($A6*9)-5+L$2)</f>
        <v xml:space="preserve">Additional Conditions
 </v>
      </c>
      <c r="M6" s="1" t="str">
        <f>INDEX(ChallengeCard!$5:$5,1,($A6*9)-5+M$2)</f>
        <v xml:space="preserve">Additional Effects
 </v>
      </c>
      <c r="N6" s="1" t="str">
        <f>INDEX(ChallengeCard!$5:$5,1,($A6*9)-5+N$2)</f>
        <v xml:space="preserve">Main Requirements
 </v>
      </c>
    </row>
    <row r="7" spans="1:14">
      <c r="A7">
        <v>4</v>
      </c>
      <c r="B7" s="1">
        <f>INDEX(ChallengeCard!$3:$3,1,($A7*9)-5)</f>
        <v>0</v>
      </c>
      <c r="C7" s="3" t="s">
        <v>37</v>
      </c>
      <c r="D7" s="31" t="s">
        <v>167</v>
      </c>
      <c r="E7" s="1" t="str">
        <f>INDEX(ChallengeCard!$5:$5,1,($A7*9)-5+E$2)</f>
        <v xml:space="preserve">Main Requirements
 </v>
      </c>
      <c r="F7" s="1" t="str">
        <f>INDEX(ChallengeCard!$5:$5,1,($A7*9)-5+F$2)</f>
        <v xml:space="preserve">weights(a)
 </v>
      </c>
      <c r="G7" s="1" t="str">
        <f>INDEX(ChallengeCard!$5:$5,1,($A7*9)-5+G$2)</f>
        <v xml:space="preserve">weights(b)
 </v>
      </c>
      <c r="H7" s="1">
        <f>INDEX(ChallengeCard!$5:$5,1,($A7*9)-5+H$2)</f>
        <v>0</v>
      </c>
      <c r="I7" s="1">
        <f>INDEX(ChallengeCard!$5:$5,1,($A7*9)-5+I$2)</f>
        <v>0</v>
      </c>
      <c r="J7" s="1">
        <f>INDEX(ChallengeCard!$5:$5,1,($A7*9)-5+J$2)</f>
        <v>0</v>
      </c>
      <c r="K7" s="1">
        <f>INDEX(ChallengeCard!$5:$5,1,($A7*9)-5+K$2)</f>
        <v>0</v>
      </c>
      <c r="L7" s="1">
        <f>INDEX(ChallengeCard!$5:$5,1,($A7*9)-5+L$2)</f>
        <v>0</v>
      </c>
      <c r="M7" s="1">
        <f>INDEX(ChallengeCard!$5:$5,1,($A7*9)-5+M$2)</f>
        <v>0</v>
      </c>
      <c r="N7" s="1">
        <f>INDEX(ChallengeCard!$5:$5,1,($A7*9)-5+N$2)</f>
        <v>0</v>
      </c>
    </row>
    <row r="8" spans="1:14">
      <c r="A8">
        <v>5</v>
      </c>
      <c r="B8" s="1">
        <f>INDEX(ChallengeCard!$3:$3,1,($A8*9)-5)</f>
        <v>0</v>
      </c>
      <c r="C8" s="3" t="s">
        <v>38</v>
      </c>
      <c r="D8" s="31" t="s">
        <v>167</v>
      </c>
      <c r="E8" s="1">
        <f>INDEX(ChallengeCard!$5:$5,1,($A8*9)-5+E$2)</f>
        <v>0</v>
      </c>
      <c r="F8" s="1">
        <f>INDEX(ChallengeCard!$5:$5,1,($A8*9)-5+F$2)</f>
        <v>0</v>
      </c>
      <c r="G8" s="1">
        <f>INDEX(ChallengeCard!$5:$5,1,($A8*9)-5+G$2)</f>
        <v>0</v>
      </c>
      <c r="H8" s="1">
        <f>INDEX(ChallengeCard!$5:$5,1,($A8*9)-5+H$2)</f>
        <v>0</v>
      </c>
      <c r="I8" s="1">
        <f>INDEX(ChallengeCard!$5:$5,1,($A8*9)-5+I$2)</f>
        <v>0</v>
      </c>
      <c r="J8" s="1">
        <f>INDEX(ChallengeCard!$5:$5,1,($A8*9)-5+J$2)</f>
        <v>0</v>
      </c>
      <c r="K8" s="1">
        <f>INDEX(ChallengeCard!$5:$5,1,($A8*9)-5+K$2)</f>
        <v>0</v>
      </c>
      <c r="L8" s="1">
        <f>INDEX(ChallengeCard!$5:$5,1,($A8*9)-5+L$2)</f>
        <v>0</v>
      </c>
      <c r="M8" s="1">
        <f>INDEX(ChallengeCard!$5:$5,1,($A8*9)-5+M$2)</f>
        <v>0</v>
      </c>
      <c r="N8" s="1">
        <f>INDEX(ChallengeCard!$5:$5,1,($A8*9)-5+N$2)</f>
        <v>0</v>
      </c>
    </row>
    <row r="9" spans="1:14">
      <c r="A9">
        <v>6</v>
      </c>
      <c r="B9" s="1">
        <f>INDEX(ChallengeCard!$3:$3,1,($A9*9)-5)</f>
        <v>0</v>
      </c>
      <c r="C9" s="3" t="s">
        <v>39</v>
      </c>
      <c r="D9" s="31" t="s">
        <v>167</v>
      </c>
      <c r="E9" s="1">
        <f>INDEX(ChallengeCard!$5:$5,1,($A9*9)-5+E$2)</f>
        <v>0</v>
      </c>
      <c r="F9" s="1">
        <f>INDEX(ChallengeCard!$5:$5,1,($A9*9)-5+F$2)</f>
        <v>0</v>
      </c>
      <c r="G9" s="1">
        <f>INDEX(ChallengeCard!$5:$5,1,($A9*9)-5+G$2)</f>
        <v>0</v>
      </c>
      <c r="H9" s="1">
        <f>INDEX(ChallengeCard!$5:$5,1,($A9*9)-5+H$2)</f>
        <v>0</v>
      </c>
      <c r="I9" s="1">
        <f>INDEX(ChallengeCard!$5:$5,1,($A9*9)-5+I$2)</f>
        <v>0</v>
      </c>
      <c r="J9" s="1">
        <f>INDEX(ChallengeCard!$5:$5,1,($A9*9)-5+J$2)</f>
        <v>0</v>
      </c>
      <c r="K9" s="1">
        <f>INDEX(ChallengeCard!$5:$5,1,($A9*9)-5+K$2)</f>
        <v>0</v>
      </c>
      <c r="L9" s="1">
        <f>INDEX(ChallengeCard!$5:$5,1,($A9*9)-5+L$2)</f>
        <v>0</v>
      </c>
      <c r="M9" s="1">
        <f>INDEX(ChallengeCard!$5:$5,1,($A9*9)-5+M$2)</f>
        <v>0</v>
      </c>
      <c r="N9" s="1">
        <f>INDEX(ChallengeCard!$5:$5,1,($A9*9)-5+N$2)</f>
        <v>0</v>
      </c>
    </row>
    <row r="10" spans="1:14">
      <c r="A10">
        <v>7</v>
      </c>
      <c r="B10" s="1">
        <f>INDEX(ChallengeCard!$3:$3,1,($A10*9)-5)</f>
        <v>0</v>
      </c>
      <c r="C10" s="3" t="s">
        <v>40</v>
      </c>
      <c r="D10" s="31" t="s">
        <v>167</v>
      </c>
      <c r="E10" s="1">
        <f>INDEX(ChallengeCard!$5:$5,1,($A10*9)-5+E$2)</f>
        <v>0</v>
      </c>
      <c r="F10" s="1">
        <f>INDEX(ChallengeCard!$5:$5,1,($A10*9)-5+F$2)</f>
        <v>0</v>
      </c>
      <c r="G10" s="1">
        <f>INDEX(ChallengeCard!$5:$5,1,($A10*9)-5+G$2)</f>
        <v>0</v>
      </c>
      <c r="H10" s="1">
        <f>INDEX(ChallengeCard!$5:$5,1,($A10*9)-5+H$2)</f>
        <v>0</v>
      </c>
      <c r="I10" s="1">
        <f>INDEX(ChallengeCard!$5:$5,1,($A10*9)-5+I$2)</f>
        <v>0</v>
      </c>
      <c r="J10" s="1">
        <f>INDEX(ChallengeCard!$5:$5,1,($A10*9)-5+J$2)</f>
        <v>0</v>
      </c>
      <c r="K10" s="1">
        <f>INDEX(ChallengeCard!$5:$5,1,($A10*9)-5+K$2)</f>
        <v>0</v>
      </c>
      <c r="L10" s="1">
        <f>INDEX(ChallengeCard!$5:$5,1,($A10*9)-5+L$2)</f>
        <v>0</v>
      </c>
      <c r="M10" s="1">
        <f>INDEX(ChallengeCard!$5:$5,1,($A10*9)-5+M$2)</f>
        <v>0</v>
      </c>
      <c r="N10" s="1">
        <f>INDEX(ChallengeCard!$5:$5,1,($A10*9)-5+N$2)</f>
        <v>0</v>
      </c>
    </row>
    <row r="11" spans="1:14">
      <c r="A11">
        <v>8</v>
      </c>
      <c r="B11" s="1">
        <f>INDEX(ChallengeCard!$3:$3,1,($A11*9)-5)</f>
        <v>0</v>
      </c>
      <c r="C11" s="3" t="s">
        <v>41</v>
      </c>
      <c r="D11" s="31" t="s">
        <v>167</v>
      </c>
      <c r="E11" s="1">
        <f>INDEX(ChallengeCard!$5:$5,1,($A11*9)-5+E$2)</f>
        <v>0</v>
      </c>
      <c r="F11" s="1">
        <f>INDEX(ChallengeCard!$5:$5,1,($A11*9)-5+F$2)</f>
        <v>0</v>
      </c>
      <c r="G11" s="1">
        <f>INDEX(ChallengeCard!$5:$5,1,($A11*9)-5+G$2)</f>
        <v>0</v>
      </c>
      <c r="H11" s="1">
        <f>INDEX(ChallengeCard!$5:$5,1,($A11*9)-5+H$2)</f>
        <v>0</v>
      </c>
      <c r="I11" s="1">
        <f>INDEX(ChallengeCard!$5:$5,1,($A11*9)-5+I$2)</f>
        <v>0</v>
      </c>
      <c r="J11" s="1">
        <f>INDEX(ChallengeCard!$5:$5,1,($A11*9)-5+J$2)</f>
        <v>0</v>
      </c>
      <c r="K11" s="1">
        <f>INDEX(ChallengeCard!$5:$5,1,($A11*9)-5+K$2)</f>
        <v>0</v>
      </c>
      <c r="L11" s="1">
        <f>INDEX(ChallengeCard!$5:$5,1,($A11*9)-5+L$2)</f>
        <v>0</v>
      </c>
      <c r="M11" s="1">
        <f>INDEX(ChallengeCard!$5:$5,1,($A11*9)-5+M$2)</f>
        <v>0</v>
      </c>
      <c r="N11" s="1">
        <f>INDEX(ChallengeCard!$5:$5,1,($A11*9)-5+N$2)</f>
        <v>0</v>
      </c>
    </row>
    <row r="12" spans="1:14">
      <c r="A12">
        <v>9</v>
      </c>
      <c r="B12" s="1">
        <f>INDEX(ChallengeCard!$3:$3,1,($A12*9)-5)</f>
        <v>0</v>
      </c>
      <c r="C12" s="3" t="s">
        <v>42</v>
      </c>
      <c r="D12" s="31" t="s">
        <v>167</v>
      </c>
      <c r="E12" s="1">
        <f>INDEX(ChallengeCard!$5:$5,1,($A12*9)-5+E$2)</f>
        <v>0</v>
      </c>
      <c r="F12" s="1">
        <f>INDEX(ChallengeCard!$5:$5,1,($A12*9)-5+F$2)</f>
        <v>0</v>
      </c>
      <c r="G12" s="1">
        <f>INDEX(ChallengeCard!$5:$5,1,($A12*9)-5+G$2)</f>
        <v>0</v>
      </c>
      <c r="H12" s="1">
        <f>INDEX(ChallengeCard!$5:$5,1,($A12*9)-5+H$2)</f>
        <v>0</v>
      </c>
      <c r="I12" s="1">
        <f>INDEX(ChallengeCard!$5:$5,1,($A12*9)-5+I$2)</f>
        <v>0</v>
      </c>
      <c r="J12" s="1">
        <f>INDEX(ChallengeCard!$5:$5,1,($A12*9)-5+J$2)</f>
        <v>0</v>
      </c>
      <c r="K12" s="1">
        <f>INDEX(ChallengeCard!$5:$5,1,($A12*9)-5+K$2)</f>
        <v>0</v>
      </c>
      <c r="L12" s="1">
        <f>INDEX(ChallengeCard!$5:$5,1,($A12*9)-5+L$2)</f>
        <v>0</v>
      </c>
      <c r="M12" s="1">
        <f>INDEX(ChallengeCard!$5:$5,1,($A12*9)-5+M$2)</f>
        <v>0</v>
      </c>
      <c r="N12" s="1">
        <f>INDEX(ChallengeCard!$5:$5,1,($A12*9)-5+N$2)</f>
        <v>0</v>
      </c>
    </row>
    <row r="13" spans="1:14">
      <c r="A13">
        <v>10</v>
      </c>
      <c r="B13" s="1">
        <f>INDEX(ChallengeCard!$3:$3,1,($A13*9)-5)</f>
        <v>0</v>
      </c>
      <c r="C13" s="3" t="s">
        <v>43</v>
      </c>
      <c r="D13" s="31" t="s">
        <v>167</v>
      </c>
      <c r="E13" s="1">
        <f>INDEX(ChallengeCard!$5:$5,1,($A13*9)-5+E$2)</f>
        <v>0</v>
      </c>
      <c r="F13" s="1">
        <f>INDEX(ChallengeCard!$5:$5,1,($A13*9)-5+F$2)</f>
        <v>0</v>
      </c>
      <c r="G13" s="1">
        <f>INDEX(ChallengeCard!$5:$5,1,($A13*9)-5+G$2)</f>
        <v>0</v>
      </c>
      <c r="H13" s="1">
        <f>INDEX(ChallengeCard!$5:$5,1,($A13*9)-5+H$2)</f>
        <v>0</v>
      </c>
      <c r="I13" s="1">
        <f>INDEX(ChallengeCard!$5:$5,1,($A13*9)-5+I$2)</f>
        <v>0</v>
      </c>
      <c r="J13" s="1">
        <f>INDEX(ChallengeCard!$5:$5,1,($A13*9)-5+J$2)</f>
        <v>0</v>
      </c>
      <c r="K13" s="1">
        <f>INDEX(ChallengeCard!$5:$5,1,($A13*9)-5+K$2)</f>
        <v>0</v>
      </c>
      <c r="L13" s="1">
        <f>INDEX(ChallengeCard!$5:$5,1,($A13*9)-5+L$2)</f>
        <v>0</v>
      </c>
      <c r="M13" s="1">
        <f>INDEX(ChallengeCard!$5:$5,1,($A13*9)-5+M$2)</f>
        <v>0</v>
      </c>
      <c r="N13" s="1">
        <f>INDEX(ChallengeCard!$5:$5,1,($A13*9)-5+N$2)</f>
        <v>0</v>
      </c>
    </row>
    <row r="14" spans="1:14">
      <c r="A14">
        <v>11</v>
      </c>
      <c r="B14" s="1">
        <f>INDEX(ChallengeCard!$3:$3,1,($A14*9)-5)</f>
        <v>0</v>
      </c>
      <c r="C14" s="3" t="s">
        <v>44</v>
      </c>
      <c r="D14" s="31" t="s">
        <v>167</v>
      </c>
      <c r="E14" s="1">
        <f>INDEX(ChallengeCard!$5:$5,1,($A14*9)-5+E$2)</f>
        <v>0</v>
      </c>
      <c r="F14" s="1">
        <f>INDEX(ChallengeCard!$5:$5,1,($A14*9)-5+F$2)</f>
        <v>0</v>
      </c>
      <c r="G14" s="1">
        <f>INDEX(ChallengeCard!$5:$5,1,($A14*9)-5+G$2)</f>
        <v>0</v>
      </c>
      <c r="H14" s="1">
        <f>INDEX(ChallengeCard!$5:$5,1,($A14*9)-5+H$2)</f>
        <v>0</v>
      </c>
      <c r="I14" s="1">
        <f>INDEX(ChallengeCard!$5:$5,1,($A14*9)-5+I$2)</f>
        <v>0</v>
      </c>
      <c r="J14" s="1">
        <f>INDEX(ChallengeCard!$5:$5,1,($A14*9)-5+J$2)</f>
        <v>0</v>
      </c>
      <c r="K14" s="1">
        <f>INDEX(ChallengeCard!$5:$5,1,($A14*9)-5+K$2)</f>
        <v>0</v>
      </c>
      <c r="L14" s="1">
        <f>INDEX(ChallengeCard!$5:$5,1,($A14*9)-5+L$2)</f>
        <v>0</v>
      </c>
      <c r="M14" s="1">
        <f>INDEX(ChallengeCard!$5:$5,1,($A14*9)-5+M$2)</f>
        <v>0</v>
      </c>
      <c r="N14" s="1">
        <f>INDEX(ChallengeCard!$5:$5,1,($A14*9)-5+N$2)</f>
        <v>0</v>
      </c>
    </row>
    <row r="15" spans="1:14">
      <c r="A15">
        <v>12</v>
      </c>
      <c r="B15" s="1">
        <f>INDEX(ChallengeCard!$3:$3,1,($A15*9)-5)</f>
        <v>0</v>
      </c>
      <c r="C15" s="3" t="s">
        <v>45</v>
      </c>
      <c r="D15" s="31" t="s">
        <v>167</v>
      </c>
      <c r="E15" s="1">
        <f>INDEX(ChallengeCard!$5:$5,1,($A15*9)-5+E$2)</f>
        <v>0</v>
      </c>
      <c r="F15" s="1">
        <f>INDEX(ChallengeCard!$5:$5,1,($A15*9)-5+F$2)</f>
        <v>0</v>
      </c>
      <c r="G15" s="1">
        <f>INDEX(ChallengeCard!$5:$5,1,($A15*9)-5+G$2)</f>
        <v>0</v>
      </c>
      <c r="H15" s="1">
        <f>INDEX(ChallengeCard!$5:$5,1,($A15*9)-5+H$2)</f>
        <v>0</v>
      </c>
      <c r="I15" s="1">
        <f>INDEX(ChallengeCard!$5:$5,1,($A15*9)-5+I$2)</f>
        <v>0</v>
      </c>
      <c r="J15" s="1">
        <f>INDEX(ChallengeCard!$5:$5,1,($A15*9)-5+J$2)</f>
        <v>0</v>
      </c>
      <c r="K15" s="1">
        <f>INDEX(ChallengeCard!$5:$5,1,($A15*9)-5+K$2)</f>
        <v>0</v>
      </c>
      <c r="L15" s="1">
        <f>INDEX(ChallengeCard!$5:$5,1,($A15*9)-5+L$2)</f>
        <v>0</v>
      </c>
      <c r="M15" s="1">
        <f>INDEX(ChallengeCard!$5:$5,1,($A15*9)-5+M$2)</f>
        <v>0</v>
      </c>
      <c r="N15" s="1">
        <f>INDEX(ChallengeCard!$5:$5,1,($A15*9)-5+N$2)</f>
        <v>0</v>
      </c>
    </row>
    <row r="16" spans="1:14">
      <c r="A16">
        <v>13</v>
      </c>
      <c r="B16" s="1">
        <f>INDEX(ChallengeCard!$3:$3,1,($A16*9)-5)</f>
        <v>0</v>
      </c>
      <c r="C16" s="3" t="s">
        <v>46</v>
      </c>
      <c r="D16" s="31" t="s">
        <v>167</v>
      </c>
      <c r="E16" s="1">
        <f>INDEX(ChallengeCard!$5:$5,1,($A16*9)-5+E$2)</f>
        <v>0</v>
      </c>
      <c r="F16" s="1">
        <f>INDEX(ChallengeCard!$5:$5,1,($A16*9)-5+F$2)</f>
        <v>0</v>
      </c>
      <c r="G16" s="1">
        <f>INDEX(ChallengeCard!$5:$5,1,($A16*9)-5+G$2)</f>
        <v>0</v>
      </c>
      <c r="H16" s="1">
        <f>INDEX(ChallengeCard!$5:$5,1,($A16*9)-5+H$2)</f>
        <v>0</v>
      </c>
      <c r="I16" s="1">
        <f>INDEX(ChallengeCard!$5:$5,1,($A16*9)-5+I$2)</f>
        <v>0</v>
      </c>
      <c r="J16" s="1">
        <f>INDEX(ChallengeCard!$5:$5,1,($A16*9)-5+J$2)</f>
        <v>0</v>
      </c>
      <c r="K16" s="1">
        <f>INDEX(ChallengeCard!$5:$5,1,($A16*9)-5+K$2)</f>
        <v>0</v>
      </c>
      <c r="L16" s="1">
        <f>INDEX(ChallengeCard!$5:$5,1,($A16*9)-5+L$2)</f>
        <v>0</v>
      </c>
      <c r="M16" s="1">
        <f>INDEX(ChallengeCard!$5:$5,1,($A16*9)-5+M$2)</f>
        <v>0</v>
      </c>
      <c r="N16" s="1">
        <f>INDEX(ChallengeCard!$5:$5,1,($A16*9)-5+N$2)</f>
        <v>0</v>
      </c>
    </row>
    <row r="17" spans="1:14">
      <c r="A17">
        <v>14</v>
      </c>
      <c r="B17" s="1">
        <f>INDEX(ChallengeCard!$3:$3,1,($A17*9)-5)</f>
        <v>0</v>
      </c>
      <c r="C17" s="3" t="s">
        <v>47</v>
      </c>
      <c r="D17" s="31" t="s">
        <v>167</v>
      </c>
      <c r="E17" s="1">
        <f>INDEX(ChallengeCard!$5:$5,1,($A17*9)-5+E$2)</f>
        <v>0</v>
      </c>
      <c r="F17" s="1">
        <f>INDEX(ChallengeCard!$5:$5,1,($A17*9)-5+F$2)</f>
        <v>0</v>
      </c>
      <c r="G17" s="1">
        <f>INDEX(ChallengeCard!$5:$5,1,($A17*9)-5+G$2)</f>
        <v>0</v>
      </c>
      <c r="H17" s="1">
        <f>INDEX(ChallengeCard!$5:$5,1,($A17*9)-5+H$2)</f>
        <v>0</v>
      </c>
      <c r="I17" s="1">
        <f>INDEX(ChallengeCard!$5:$5,1,($A17*9)-5+I$2)</f>
        <v>0</v>
      </c>
      <c r="J17" s="1">
        <f>INDEX(ChallengeCard!$5:$5,1,($A17*9)-5+J$2)</f>
        <v>0</v>
      </c>
      <c r="K17" s="1">
        <f>INDEX(ChallengeCard!$5:$5,1,($A17*9)-5+K$2)</f>
        <v>0</v>
      </c>
      <c r="L17" s="1">
        <f>INDEX(ChallengeCard!$5:$5,1,($A17*9)-5+L$2)</f>
        <v>0</v>
      </c>
      <c r="M17" s="1">
        <f>INDEX(ChallengeCard!$5:$5,1,($A17*9)-5+M$2)</f>
        <v>0</v>
      </c>
      <c r="N17" s="1">
        <f>INDEX(ChallengeCard!$5:$5,1,($A17*9)-5+N$2)</f>
        <v>0</v>
      </c>
    </row>
    <row r="18" spans="1:14">
      <c r="A18">
        <v>15</v>
      </c>
      <c r="B18" s="1">
        <f>INDEX(ChallengeCard!$3:$3,1,($A18*9)-5)</f>
        <v>0</v>
      </c>
      <c r="C18" s="3" t="s">
        <v>48</v>
      </c>
      <c r="D18" s="31" t="s">
        <v>167</v>
      </c>
      <c r="E18" s="1">
        <f>INDEX(ChallengeCard!$5:$5,1,($A18*9)-5+E$2)</f>
        <v>0</v>
      </c>
      <c r="F18" s="1">
        <f>INDEX(ChallengeCard!$5:$5,1,($A18*9)-5+F$2)</f>
        <v>0</v>
      </c>
      <c r="G18" s="1">
        <f>INDEX(ChallengeCard!$5:$5,1,($A18*9)-5+G$2)</f>
        <v>0</v>
      </c>
      <c r="H18" s="1">
        <f>INDEX(ChallengeCard!$5:$5,1,($A18*9)-5+H$2)</f>
        <v>0</v>
      </c>
      <c r="I18" s="1">
        <f>INDEX(ChallengeCard!$5:$5,1,($A18*9)-5+I$2)</f>
        <v>0</v>
      </c>
      <c r="J18" s="1">
        <f>INDEX(ChallengeCard!$5:$5,1,($A18*9)-5+J$2)</f>
        <v>0</v>
      </c>
      <c r="K18" s="1">
        <f>INDEX(ChallengeCard!$5:$5,1,($A18*9)-5+K$2)</f>
        <v>0</v>
      </c>
      <c r="L18" s="1">
        <f>INDEX(ChallengeCard!$5:$5,1,($A18*9)-5+L$2)</f>
        <v>0</v>
      </c>
      <c r="M18" s="1">
        <f>INDEX(ChallengeCard!$5:$5,1,($A18*9)-5+M$2)</f>
        <v>0</v>
      </c>
      <c r="N18" s="1">
        <f>INDEX(ChallengeCard!$5:$5,1,($A18*9)-5+N$2)</f>
        <v>0</v>
      </c>
    </row>
    <row r="19" spans="1:14">
      <c r="A19">
        <v>16</v>
      </c>
      <c r="B19" s="1">
        <f>INDEX(ChallengeCard!$3:$3,1,($A19*9)-5)</f>
        <v>0</v>
      </c>
      <c r="C19" s="3" t="s">
        <v>49</v>
      </c>
      <c r="D19" s="31" t="s">
        <v>167</v>
      </c>
      <c r="E19" s="1">
        <f>INDEX(ChallengeCard!$5:$5,1,($A19*9)-5+E$2)</f>
        <v>0</v>
      </c>
      <c r="F19" s="1">
        <f>INDEX(ChallengeCard!$5:$5,1,($A19*9)-5+F$2)</f>
        <v>0</v>
      </c>
      <c r="G19" s="1">
        <f>INDEX(ChallengeCard!$5:$5,1,($A19*9)-5+G$2)</f>
        <v>0</v>
      </c>
      <c r="H19" s="1">
        <f>INDEX(ChallengeCard!$5:$5,1,($A19*9)-5+H$2)</f>
        <v>0</v>
      </c>
      <c r="I19" s="1">
        <f>INDEX(ChallengeCard!$5:$5,1,($A19*9)-5+I$2)</f>
        <v>0</v>
      </c>
      <c r="J19" s="1">
        <f>INDEX(ChallengeCard!$5:$5,1,($A19*9)-5+J$2)</f>
        <v>0</v>
      </c>
      <c r="K19" s="1">
        <f>INDEX(ChallengeCard!$5:$5,1,($A19*9)-5+K$2)</f>
        <v>0</v>
      </c>
      <c r="L19" s="1">
        <f>INDEX(ChallengeCard!$5:$5,1,($A19*9)-5+L$2)</f>
        <v>0</v>
      </c>
      <c r="M19" s="1">
        <f>INDEX(ChallengeCard!$5:$5,1,($A19*9)-5+M$2)</f>
        <v>0</v>
      </c>
      <c r="N19" s="1">
        <f>INDEX(ChallengeCard!$5:$5,1,($A19*9)-5+N$2)</f>
        <v>0</v>
      </c>
    </row>
    <row r="20" spans="1:14">
      <c r="A20">
        <v>17</v>
      </c>
      <c r="B20" s="1">
        <f>INDEX(ChallengeCard!$3:$3,1,($A20*9)-5)</f>
        <v>0</v>
      </c>
      <c r="C20" s="3" t="s">
        <v>50</v>
      </c>
      <c r="D20" s="31" t="s">
        <v>167</v>
      </c>
      <c r="E20" s="1">
        <f>INDEX(ChallengeCard!$5:$5,1,($A20*9)-5+E$2)</f>
        <v>0</v>
      </c>
      <c r="F20" s="1">
        <f>INDEX(ChallengeCard!$5:$5,1,($A20*9)-5+F$2)</f>
        <v>0</v>
      </c>
      <c r="G20" s="1">
        <f>INDEX(ChallengeCard!$5:$5,1,($A20*9)-5+G$2)</f>
        <v>0</v>
      </c>
      <c r="H20" s="1">
        <f>INDEX(ChallengeCard!$5:$5,1,($A20*9)-5+H$2)</f>
        <v>0</v>
      </c>
      <c r="I20" s="1">
        <f>INDEX(ChallengeCard!$5:$5,1,($A20*9)-5+I$2)</f>
        <v>0</v>
      </c>
      <c r="J20" s="1">
        <f>INDEX(ChallengeCard!$5:$5,1,($A20*9)-5+J$2)</f>
        <v>0</v>
      </c>
      <c r="K20" s="1">
        <f>INDEX(ChallengeCard!$5:$5,1,($A20*9)-5+K$2)</f>
        <v>0</v>
      </c>
      <c r="L20" s="1">
        <f>INDEX(ChallengeCard!$5:$5,1,($A20*9)-5+L$2)</f>
        <v>0</v>
      </c>
      <c r="M20" s="1">
        <f>INDEX(ChallengeCard!$5:$5,1,($A20*9)-5+M$2)</f>
        <v>0</v>
      </c>
      <c r="N20" s="1">
        <f>INDEX(ChallengeCard!$5:$5,1,($A20*9)-5+N$2)</f>
        <v>0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3FB39-A91A-40F2-A969-7D7A753EF467}">
  <sheetPr codeName="Sheet5">
    <outlinePr summaryBelow="0" summaryRight="0"/>
  </sheetPr>
  <dimension ref="A1:AG228"/>
  <sheetViews>
    <sheetView topLeftCell="I1" workbookViewId="0">
      <selection activeCell="V4" sqref="V4"/>
    </sheetView>
  </sheetViews>
  <sheetFormatPr defaultColWidth="11.21875" defaultRowHeight="15.75" customHeight="1"/>
  <cols>
    <col min="1" max="1" width="2.6640625" style="7" customWidth="1"/>
    <col min="2" max="2" width="6" style="7" customWidth="1"/>
    <col min="3" max="3" width="24.88671875" style="7" customWidth="1"/>
    <col min="4" max="4" width="11.88671875" style="24" customWidth="1"/>
    <col min="5" max="11" width="11.88671875" style="23" customWidth="1"/>
    <col min="12" max="12" width="11.88671875" style="8" customWidth="1"/>
    <col min="13" max="13" width="11.21875" style="24"/>
    <col min="14" max="14" width="5.44140625" style="7" customWidth="1"/>
    <col min="15" max="15" width="7.21875" style="7" bestFit="1" customWidth="1"/>
    <col min="16" max="16" width="5" style="7" customWidth="1"/>
    <col min="17" max="18" width="7.109375" style="7" bestFit="1" customWidth="1"/>
    <col min="19" max="19" width="6.21875" style="7" bestFit="1" customWidth="1"/>
    <col min="20" max="20" width="8.109375" style="7" customWidth="1"/>
    <col min="21" max="21" width="11.21875" style="7"/>
    <col min="22" max="22" width="11.21875" style="24"/>
    <col min="23" max="16384" width="11.21875" style="7"/>
  </cols>
  <sheetData>
    <row r="1" spans="1:33" ht="15.75" customHeight="1">
      <c r="A1" s="11" t="s">
        <v>9</v>
      </c>
      <c r="C1" s="9" t="s">
        <v>6</v>
      </c>
    </row>
    <row r="2" spans="1:33" ht="15.75" customHeight="1">
      <c r="A2" s="9"/>
      <c r="B2" s="9"/>
      <c r="C2" s="9" t="s">
        <v>5</v>
      </c>
      <c r="D2" s="24" t="s">
        <v>51</v>
      </c>
    </row>
    <row r="3" spans="1:33" ht="15.75" customHeight="1">
      <c r="A3" s="9"/>
      <c r="B3" s="9"/>
      <c r="C3" s="9" t="s">
        <v>10</v>
      </c>
      <c r="D3" s="24" t="s">
        <v>163</v>
      </c>
      <c r="F3" s="23" t="s">
        <v>11</v>
      </c>
      <c r="G3" s="23" t="s">
        <v>12</v>
      </c>
      <c r="H3" s="23" t="s">
        <v>13</v>
      </c>
      <c r="I3" s="23" t="s">
        <v>14</v>
      </c>
      <c r="J3" s="23" t="s">
        <v>15</v>
      </c>
      <c r="M3" s="24" t="s">
        <v>164</v>
      </c>
      <c r="O3" s="7" t="s">
        <v>16</v>
      </c>
      <c r="P3" s="7" t="s">
        <v>12</v>
      </c>
      <c r="Q3" s="7" t="s">
        <v>13</v>
      </c>
      <c r="R3" s="7" t="s">
        <v>17</v>
      </c>
      <c r="S3" s="7" t="s">
        <v>15</v>
      </c>
      <c r="V3" s="24" t="s">
        <v>165</v>
      </c>
    </row>
    <row r="4" spans="1:33" ht="15.75" customHeight="1">
      <c r="A4" s="11" t="s">
        <v>18</v>
      </c>
      <c r="B4" s="9"/>
      <c r="C4" s="9"/>
      <c r="D4" s="24" t="s">
        <v>19</v>
      </c>
      <c r="E4" s="23" t="s">
        <v>20</v>
      </c>
      <c r="F4" s="23" t="s">
        <v>21</v>
      </c>
      <c r="G4" s="23" t="s">
        <v>22</v>
      </c>
      <c r="H4" s="23" t="s">
        <v>23</v>
      </c>
      <c r="I4" s="23" t="s">
        <v>24</v>
      </c>
      <c r="J4" s="23" t="s">
        <v>25</v>
      </c>
      <c r="K4" s="23" t="s">
        <v>26</v>
      </c>
      <c r="L4" s="8" t="s">
        <v>27</v>
      </c>
      <c r="M4" s="24" t="s">
        <v>28</v>
      </c>
      <c r="N4" s="7" t="str">
        <f t="shared" ref="N4:U4" si="0">E4</f>
        <v>Effects</v>
      </c>
      <c r="O4" s="7" t="str">
        <f t="shared" si="0"/>
        <v>weights(a)</v>
      </c>
      <c r="P4" s="7" t="str">
        <f t="shared" si="0"/>
        <v>weights(b)</v>
      </c>
      <c r="Q4" s="7" t="str">
        <f t="shared" si="0"/>
        <v>weights(c)</v>
      </c>
      <c r="R4" s="7" t="str">
        <f t="shared" si="0"/>
        <v>weights(d)</v>
      </c>
      <c r="S4" s="7" t="str">
        <f t="shared" si="0"/>
        <v>weights€</v>
      </c>
      <c r="T4" s="7" t="str">
        <f t="shared" si="0"/>
        <v>Additional Conditions</v>
      </c>
      <c r="U4" s="7" t="str">
        <f t="shared" si="0"/>
        <v>Additional Effects</v>
      </c>
      <c r="V4" s="24" t="s">
        <v>19</v>
      </c>
      <c r="W4" s="7" t="s">
        <v>20</v>
      </c>
      <c r="X4" s="7" t="str">
        <f t="shared" ref="X4:AE4" si="1">O4</f>
        <v>weights(a)</v>
      </c>
      <c r="Y4" s="7" t="str">
        <f t="shared" si="1"/>
        <v>weights(b)</v>
      </c>
      <c r="Z4" s="7" t="str">
        <f t="shared" si="1"/>
        <v>weights(c)</v>
      </c>
      <c r="AA4" s="7" t="str">
        <f t="shared" si="1"/>
        <v>weights(d)</v>
      </c>
      <c r="AB4" s="7" t="str">
        <f t="shared" si="1"/>
        <v>weights€</v>
      </c>
      <c r="AC4" s="7" t="str">
        <f t="shared" si="1"/>
        <v>Additional Conditions</v>
      </c>
      <c r="AD4" s="7" t="str">
        <f t="shared" si="1"/>
        <v>Additional Effects</v>
      </c>
      <c r="AE4" s="7" t="str">
        <f t="shared" si="1"/>
        <v>Main Requirements</v>
      </c>
      <c r="AF4" s="7" t="str">
        <f t="shared" ref="AF4:AG4" si="2">X4</f>
        <v>weights(a)</v>
      </c>
      <c r="AG4" s="7" t="str">
        <f t="shared" si="2"/>
        <v>weights(b)</v>
      </c>
    </row>
    <row r="5" spans="1:33" s="20" customFormat="1" ht="261" customHeight="1">
      <c r="A5" s="21"/>
      <c r="B5" s="21"/>
      <c r="C5" s="21"/>
      <c r="D5" s="28" t="str">
        <f>D120</f>
        <v xml:space="preserve">Main Requirements
disposable money(2),software(1),servers(1),scale(1),enthusiasm(1),learning capacities(1),engineering knowledge(1),scale(1),enthusiasm(1),ambition(1),web(1), </v>
      </c>
      <c r="E5" s="28" t="str">
        <f>E120</f>
        <v xml:space="preserve">Effects
disposable money(-1), </v>
      </c>
      <c r="F5" s="28" t="str">
        <f>F120</f>
        <v xml:space="preserve">weights(a)
software(1),servers(1),enthusiasm(1),gifted leader(1),gifted programmer(1),gifted designer(1),fun-ness(1),web(1),aesthetics(1),functions(1),interaction(1), </v>
      </c>
      <c r="G5" s="28" t="str">
        <f>G120</f>
        <v xml:space="preserve">weights(b)
software(1),servers(1),enthusiasm(1),learning capacities(1),engineering knowledge(1),gifted leader(1),gifted programmer(1),gifted designer(1),gifted business strategist(1),seriousness(1),technologists(0.5),business model(1),web(1), </v>
      </c>
      <c r="H5" s="28" t="str">
        <f>H120</f>
        <v xml:space="preserve">weights(c)
software(1),servers(1),enthusiasm(1),learning capacities(1),engineering knowledge(1),gifted leader(1),gifted programmer(1),gifted designer(1),gifted business strategist(1),seriousness(1),technologists(0.5),web(1),aesthetics(1),interaction(1), </v>
      </c>
      <c r="I5" s="28" t="str">
        <f>I120</f>
        <v xml:space="preserve">weights(d)
software(1),servers(1),enthusiasm(1),learning capacities(1),field knowledge(2),gifted leader(1),gifted designer(1),gifted business strategist(1),business model(1),marketing(1),aesthetics(1), </v>
      </c>
      <c r="J5" s="28" t="str">
        <f>J120</f>
        <v xml:space="preserve">weights€
enthusiasm(2),network among members(1),gifted leader(2),gifted programmer(2),fun-ness(1),seriousness(1),team building(2), </v>
      </c>
      <c r="K5" s="28" t="str">
        <f>K120</f>
        <v xml:space="preserve">Additional Conditions
 </v>
      </c>
      <c r="L5" s="28" t="str">
        <f>L120</f>
        <v xml:space="preserve">Additional Effects
a. uniqueness(1),c. quality(1),d. strength of user demands(4),e. team strength(1),disposable money(2),software(1),servers(1),field knowledge(3), </v>
      </c>
      <c r="M5" s="28" t="str">
        <f>M120</f>
        <v xml:space="preserve">Main Requirements
a. uniqueness(1),c. quality(2),d. strength of user demands(2),field knowledge(3),gifted programmer(2),gifted designer(2),finance(2),investors(2),law(2),finance(2),marketing(2), </v>
      </c>
      <c r="N5" s="28" t="str">
        <f>N120</f>
        <v xml:space="preserve">Effects
disposable money(-2), </v>
      </c>
      <c r="O5" s="28" t="str">
        <f>O120</f>
        <v xml:space="preserve">weights(a)
servers(3), </v>
      </c>
      <c r="P5" s="28" t="str">
        <f>P120</f>
        <v xml:space="preserve">weights(b)
 </v>
      </c>
      <c r="Q5" s="28" t="str">
        <f>Q120</f>
        <v xml:space="preserve">weights(c)
 </v>
      </c>
      <c r="R5" s="28" t="str">
        <f>R120</f>
        <v xml:space="preserve">weights(d)
 </v>
      </c>
      <c r="S5" s="28" t="str">
        <f>S120</f>
        <v xml:space="preserve">weights€
 </v>
      </c>
      <c r="T5" s="28" t="str">
        <f>T120</f>
        <v xml:space="preserve">Additional Conditions
 </v>
      </c>
      <c r="U5" s="28" t="str">
        <f>U120</f>
        <v xml:space="preserve">Additional Effects
 </v>
      </c>
      <c r="V5" s="28" t="str">
        <f>V120</f>
        <v xml:space="preserve">Main Requirements
a. uniqueness(4),b. price competitiveness(4),c. quality(4),d. strength of user demands(4),e. team strength(4),software(2),servers(2),investors(3),media(1),technologists(2),spaciousness(1), </v>
      </c>
      <c r="W5" s="28" t="str">
        <f>W120</f>
        <v xml:space="preserve">Effects
 </v>
      </c>
      <c r="X5" s="28" t="str">
        <f>X120</f>
        <v xml:space="preserve">weights(a)
 </v>
      </c>
      <c r="Y5" s="28" t="str">
        <f>Y120</f>
        <v xml:space="preserve">weights(b)
 </v>
      </c>
      <c r="Z5" s="28" t="str">
        <f>Z120</f>
        <v xml:space="preserve">weights(c)
 </v>
      </c>
      <c r="AA5" s="28" t="str">
        <f>AA120</f>
        <v xml:space="preserve">weights(d)
 </v>
      </c>
      <c r="AB5" s="28" t="str">
        <f>AB120</f>
        <v xml:space="preserve">weights€
 </v>
      </c>
      <c r="AC5" s="28" t="str">
        <f>AC120</f>
        <v xml:space="preserve">Additional Conditions
 </v>
      </c>
      <c r="AD5" s="28" t="str">
        <f>AD120</f>
        <v xml:space="preserve">Additional Effects
 </v>
      </c>
      <c r="AE5" s="28" t="str">
        <f>AE120</f>
        <v xml:space="preserve">Main Requirements
 </v>
      </c>
      <c r="AF5" s="28" t="str">
        <f>AF120</f>
        <v xml:space="preserve">weights(a)
 </v>
      </c>
      <c r="AG5" s="28" t="str">
        <f>AG120</f>
        <v xml:space="preserve">weights(b)
 </v>
      </c>
    </row>
    <row r="6" spans="1:33" ht="15.75" customHeight="1">
      <c r="A6" s="9"/>
      <c r="B6" s="9"/>
      <c r="C6" s="7" t="s">
        <v>29</v>
      </c>
      <c r="L6" s="8">
        <v>1</v>
      </c>
      <c r="M6" s="24">
        <v>1</v>
      </c>
      <c r="V6" s="24">
        <v>4</v>
      </c>
    </row>
    <row r="7" spans="1:33" ht="15.75" customHeight="1">
      <c r="A7" s="9"/>
      <c r="B7" s="9"/>
      <c r="C7" s="7" t="s">
        <v>30</v>
      </c>
      <c r="V7" s="24">
        <v>4</v>
      </c>
    </row>
    <row r="8" spans="1:33" ht="15.75" customHeight="1">
      <c r="A8" s="9"/>
      <c r="B8" s="9"/>
      <c r="C8" s="7" t="s">
        <v>31</v>
      </c>
      <c r="L8" s="8">
        <v>1</v>
      </c>
      <c r="M8" s="24">
        <v>2</v>
      </c>
      <c r="V8" s="24">
        <v>4</v>
      </c>
    </row>
    <row r="9" spans="1:33" ht="15.75" customHeight="1">
      <c r="A9" s="9"/>
      <c r="B9" s="9"/>
      <c r="C9" s="7" t="s">
        <v>32</v>
      </c>
      <c r="L9" s="8">
        <v>4</v>
      </c>
      <c r="M9" s="24">
        <v>2</v>
      </c>
      <c r="V9" s="24">
        <v>4</v>
      </c>
    </row>
    <row r="10" spans="1:33" ht="15.75" customHeight="1">
      <c r="A10" s="9"/>
      <c r="B10" s="9"/>
      <c r="C10" s="7" t="s">
        <v>33</v>
      </c>
      <c r="L10" s="8">
        <v>1</v>
      </c>
      <c r="V10" s="24">
        <v>4</v>
      </c>
    </row>
    <row r="11" spans="1:33" ht="15.75" customHeight="1">
      <c r="A11" s="11" t="s">
        <v>4</v>
      </c>
    </row>
    <row r="12" spans="1:33" ht="15.75" customHeight="1">
      <c r="B12" s="9" t="s">
        <v>52</v>
      </c>
      <c r="C12" s="9" t="s">
        <v>53</v>
      </c>
    </row>
    <row r="13" spans="1:33" ht="15.75" customHeight="1">
      <c r="B13" s="9">
        <v>0</v>
      </c>
      <c r="C13" s="9" t="s">
        <v>54</v>
      </c>
      <c r="D13" s="24">
        <v>2</v>
      </c>
      <c r="E13" s="23">
        <v>-1</v>
      </c>
      <c r="L13" s="8">
        <v>2</v>
      </c>
      <c r="N13" s="7">
        <v>-2</v>
      </c>
    </row>
    <row r="14" spans="1:33" ht="15.75" customHeight="1">
      <c r="B14" s="9">
        <v>0</v>
      </c>
      <c r="C14" s="9" t="s">
        <v>55</v>
      </c>
    </row>
    <row r="15" spans="1:33" ht="15.75" customHeight="1">
      <c r="B15" s="9">
        <v>0</v>
      </c>
      <c r="C15" s="9" t="s">
        <v>56</v>
      </c>
    </row>
    <row r="16" spans="1:33" ht="15.75" customHeight="1">
      <c r="B16" s="9">
        <v>0</v>
      </c>
      <c r="C16" s="9" t="s">
        <v>57</v>
      </c>
    </row>
    <row r="17" spans="2:22" ht="15.75" customHeight="1">
      <c r="B17" s="9" t="s">
        <v>58</v>
      </c>
      <c r="C17" s="9" t="s">
        <v>59</v>
      </c>
      <c r="D17" s="24">
        <v>1</v>
      </c>
      <c r="F17" s="23">
        <v>1</v>
      </c>
      <c r="G17" s="23">
        <v>1</v>
      </c>
      <c r="H17" s="23">
        <v>1</v>
      </c>
      <c r="I17" s="23">
        <v>1</v>
      </c>
      <c r="L17" s="8">
        <v>1</v>
      </c>
      <c r="V17" s="24">
        <v>2</v>
      </c>
    </row>
    <row r="18" spans="2:22" ht="15.75" customHeight="1">
      <c r="B18" s="9">
        <v>0</v>
      </c>
      <c r="C18" s="9" t="s">
        <v>60</v>
      </c>
      <c r="D18" s="24">
        <v>1</v>
      </c>
      <c r="F18" s="23">
        <v>1</v>
      </c>
      <c r="G18" s="23">
        <v>1</v>
      </c>
      <c r="H18" s="23">
        <v>1</v>
      </c>
      <c r="I18" s="23">
        <v>1</v>
      </c>
      <c r="L18" s="8">
        <v>1</v>
      </c>
      <c r="O18" s="7">
        <v>3</v>
      </c>
      <c r="V18" s="24">
        <v>2</v>
      </c>
    </row>
    <row r="19" spans="2:22" ht="15.75" customHeight="1">
      <c r="B19" s="9">
        <v>0</v>
      </c>
      <c r="C19" s="9" t="s">
        <v>61</v>
      </c>
    </row>
    <row r="20" spans="2:22" ht="15.75" customHeight="1">
      <c r="B20" s="9">
        <v>0</v>
      </c>
      <c r="C20" s="9" t="s">
        <v>62</v>
      </c>
    </row>
    <row r="21" spans="2:22" ht="15.75" customHeight="1">
      <c r="B21" s="9">
        <v>0</v>
      </c>
      <c r="C21" s="9" t="s">
        <v>63</v>
      </c>
    </row>
    <row r="22" spans="2:22" ht="15.75" customHeight="1">
      <c r="B22" s="9">
        <v>0</v>
      </c>
      <c r="C22" s="9" t="s">
        <v>64</v>
      </c>
    </row>
    <row r="23" spans="2:22" ht="15.75" customHeight="1">
      <c r="B23" s="9">
        <v>0</v>
      </c>
      <c r="C23" s="9" t="s">
        <v>65</v>
      </c>
    </row>
    <row r="24" spans="2:22" ht="15.75" customHeight="1">
      <c r="B24" s="9" t="s">
        <v>66</v>
      </c>
      <c r="C24" s="9" t="s">
        <v>67</v>
      </c>
      <c r="D24" s="24">
        <v>1</v>
      </c>
    </row>
    <row r="25" spans="2:22" ht="15.75" customHeight="1">
      <c r="B25" s="9">
        <v>0</v>
      </c>
      <c r="C25" s="9" t="s">
        <v>68</v>
      </c>
      <c r="D25" s="24">
        <v>1</v>
      </c>
      <c r="F25" s="23">
        <v>1</v>
      </c>
      <c r="G25" s="23">
        <v>1</v>
      </c>
      <c r="H25" s="23">
        <v>1</v>
      </c>
      <c r="I25" s="23">
        <v>1</v>
      </c>
      <c r="J25" s="23">
        <v>2</v>
      </c>
    </row>
    <row r="26" spans="2:22" ht="15.75" customHeight="1">
      <c r="B26" s="9">
        <v>0</v>
      </c>
      <c r="C26" s="9" t="s">
        <v>69</v>
      </c>
      <c r="D26" s="24">
        <v>1</v>
      </c>
      <c r="G26" s="23">
        <v>1</v>
      </c>
      <c r="H26" s="23">
        <v>1</v>
      </c>
      <c r="I26" s="23">
        <v>1</v>
      </c>
    </row>
    <row r="27" spans="2:22" ht="15.75" customHeight="1">
      <c r="B27" s="9">
        <v>0</v>
      </c>
      <c r="C27" s="9" t="s">
        <v>70</v>
      </c>
      <c r="I27" s="23">
        <v>2</v>
      </c>
      <c r="L27" s="8">
        <v>3</v>
      </c>
      <c r="M27" s="24">
        <v>3</v>
      </c>
    </row>
    <row r="28" spans="2:22" ht="15.75" customHeight="1">
      <c r="B28" s="9">
        <v>0</v>
      </c>
      <c r="C28" s="9" t="s">
        <v>71</v>
      </c>
      <c r="D28" s="24">
        <v>1</v>
      </c>
      <c r="G28" s="23">
        <v>1</v>
      </c>
      <c r="H28" s="23">
        <v>1</v>
      </c>
    </row>
    <row r="29" spans="2:22" ht="15.75" customHeight="1">
      <c r="B29" s="9">
        <v>0</v>
      </c>
      <c r="C29" s="9" t="s">
        <v>72</v>
      </c>
      <c r="J29" s="23">
        <v>1</v>
      </c>
    </row>
    <row r="30" spans="2:22" ht="15.75" customHeight="1">
      <c r="B30" s="9">
        <v>0</v>
      </c>
      <c r="C30" s="9" t="s">
        <v>73</v>
      </c>
      <c r="F30" s="23">
        <v>1</v>
      </c>
      <c r="G30" s="23">
        <v>1</v>
      </c>
      <c r="H30" s="23">
        <v>1</v>
      </c>
      <c r="I30" s="23">
        <v>1</v>
      </c>
      <c r="J30" s="23">
        <v>2</v>
      </c>
    </row>
    <row r="31" spans="2:22" ht="15.75" customHeight="1">
      <c r="B31" s="9">
        <v>0</v>
      </c>
      <c r="C31" s="9" t="s">
        <v>74</v>
      </c>
    </row>
    <row r="32" spans="2:22" ht="15.75" customHeight="1">
      <c r="B32" s="9">
        <v>0</v>
      </c>
      <c r="C32" s="9" t="s">
        <v>75</v>
      </c>
      <c r="F32" s="23">
        <v>1</v>
      </c>
      <c r="G32" s="23">
        <v>1</v>
      </c>
      <c r="H32" s="23">
        <v>1</v>
      </c>
      <c r="J32" s="23">
        <v>2</v>
      </c>
      <c r="M32" s="24">
        <v>2</v>
      </c>
    </row>
    <row r="33" spans="2:13" ht="15.75" customHeight="1">
      <c r="B33" s="9">
        <v>0</v>
      </c>
      <c r="C33" s="9" t="s">
        <v>76</v>
      </c>
      <c r="F33" s="23">
        <v>1</v>
      </c>
      <c r="G33" s="23">
        <v>1</v>
      </c>
      <c r="H33" s="23">
        <v>1</v>
      </c>
      <c r="I33" s="23">
        <v>1</v>
      </c>
      <c r="M33" s="24">
        <v>2</v>
      </c>
    </row>
    <row r="34" spans="2:13" ht="15.75" customHeight="1">
      <c r="B34" s="9">
        <v>0</v>
      </c>
      <c r="C34" s="9" t="s">
        <v>77</v>
      </c>
      <c r="G34" s="23">
        <v>1</v>
      </c>
      <c r="H34" s="23">
        <v>1</v>
      </c>
      <c r="I34" s="23">
        <v>1</v>
      </c>
    </row>
    <row r="35" spans="2:13" ht="15.75" customHeight="1">
      <c r="B35" s="9" t="s">
        <v>78</v>
      </c>
      <c r="C35" s="9" t="s">
        <v>67</v>
      </c>
      <c r="D35" s="24">
        <v>1</v>
      </c>
    </row>
    <row r="36" spans="2:13" ht="15.75" customHeight="1">
      <c r="B36" s="9">
        <v>0</v>
      </c>
      <c r="C36" s="9" t="s">
        <v>68</v>
      </c>
      <c r="D36" s="24">
        <v>1</v>
      </c>
    </row>
    <row r="37" spans="2:13" ht="15.75" customHeight="1">
      <c r="B37" s="9">
        <v>0</v>
      </c>
      <c r="C37" s="9" t="s">
        <v>79</v>
      </c>
    </row>
    <row r="38" spans="2:13" ht="15.75" customHeight="1">
      <c r="B38" s="9">
        <v>0</v>
      </c>
      <c r="C38" s="9" t="s">
        <v>80</v>
      </c>
      <c r="D38" s="24">
        <v>1</v>
      </c>
    </row>
    <row r="39" spans="2:13" ht="15.75" customHeight="1">
      <c r="B39" s="9">
        <v>0</v>
      </c>
      <c r="C39" s="9" t="s">
        <v>81</v>
      </c>
    </row>
    <row r="40" spans="2:13" ht="15.75" customHeight="1">
      <c r="B40" s="9">
        <v>0</v>
      </c>
      <c r="C40" s="9" t="s">
        <v>82</v>
      </c>
      <c r="F40" s="23">
        <v>1</v>
      </c>
      <c r="J40" s="23">
        <v>1</v>
      </c>
    </row>
    <row r="41" spans="2:13" ht="15.75" customHeight="1">
      <c r="B41" s="9">
        <v>0</v>
      </c>
      <c r="C41" s="9" t="s">
        <v>83</v>
      </c>
      <c r="G41" s="23">
        <v>1</v>
      </c>
      <c r="H41" s="23">
        <v>1</v>
      </c>
      <c r="J41" s="23">
        <v>1</v>
      </c>
    </row>
    <row r="42" spans="2:13" ht="15.75" customHeight="1">
      <c r="B42" s="9">
        <v>0</v>
      </c>
      <c r="C42" s="9" t="s">
        <v>84</v>
      </c>
    </row>
    <row r="43" spans="2:13" ht="15.75" customHeight="1">
      <c r="B43" s="9">
        <v>0</v>
      </c>
      <c r="C43" s="9" t="s">
        <v>85</v>
      </c>
    </row>
    <row r="44" spans="2:13" ht="15.75" customHeight="1">
      <c r="B44" s="9">
        <v>0</v>
      </c>
      <c r="C44" s="9" t="s">
        <v>86</v>
      </c>
    </row>
    <row r="45" spans="2:13" ht="15.75" customHeight="1">
      <c r="B45" s="9">
        <v>0</v>
      </c>
      <c r="C45" s="9" t="s">
        <v>87</v>
      </c>
    </row>
    <row r="46" spans="2:13" ht="15.75" customHeight="1">
      <c r="B46" s="9">
        <v>0</v>
      </c>
      <c r="C46" s="9" t="s">
        <v>88</v>
      </c>
      <c r="M46" s="24">
        <v>2</v>
      </c>
    </row>
    <row r="47" spans="2:13" ht="15.75" customHeight="1">
      <c r="B47" s="9">
        <v>0</v>
      </c>
      <c r="C47" s="9" t="s">
        <v>89</v>
      </c>
    </row>
    <row r="48" spans="2:13" ht="15.75" customHeight="1">
      <c r="B48" s="9" t="s">
        <v>90</v>
      </c>
      <c r="C48" s="9" t="s">
        <v>68</v>
      </c>
    </row>
    <row r="49" spans="2:22" ht="15.75" customHeight="1">
      <c r="B49" s="9">
        <v>0</v>
      </c>
      <c r="C49" s="9" t="s">
        <v>91</v>
      </c>
    </row>
    <row r="50" spans="2:22" ht="15.75" customHeight="1">
      <c r="B50" s="9">
        <v>0</v>
      </c>
      <c r="C50" s="9" t="s">
        <v>92</v>
      </c>
    </row>
    <row r="51" spans="2:22" ht="15.75" customHeight="1">
      <c r="B51" s="9">
        <v>0</v>
      </c>
      <c r="C51" s="10" t="s">
        <v>93</v>
      </c>
    </row>
    <row r="52" spans="2:22" ht="15.75" customHeight="1">
      <c r="B52" s="9">
        <v>0</v>
      </c>
      <c r="C52" s="10" t="s">
        <v>80</v>
      </c>
    </row>
    <row r="53" spans="2:22" ht="15.75" customHeight="1">
      <c r="B53" s="9">
        <v>0</v>
      </c>
      <c r="C53" s="10" t="s">
        <v>94</v>
      </c>
    </row>
    <row r="54" spans="2:22" ht="15.75" customHeight="1">
      <c r="B54" s="9" t="s">
        <v>95</v>
      </c>
      <c r="C54" s="9" t="s">
        <v>96</v>
      </c>
    </row>
    <row r="55" spans="2:22" ht="15.75" customHeight="1">
      <c r="B55" s="9">
        <v>0</v>
      </c>
      <c r="C55" s="9" t="s">
        <v>97</v>
      </c>
    </row>
    <row r="56" spans="2:22" ht="15.75" customHeight="1">
      <c r="B56" s="9">
        <v>0</v>
      </c>
      <c r="C56" s="9" t="s">
        <v>98</v>
      </c>
    </row>
    <row r="57" spans="2:22" ht="15.75" customHeight="1">
      <c r="B57" s="9">
        <v>0</v>
      </c>
      <c r="C57" s="9" t="s">
        <v>99</v>
      </c>
      <c r="M57" s="24">
        <v>2</v>
      </c>
      <c r="V57" s="24">
        <v>3</v>
      </c>
    </row>
    <row r="58" spans="2:22" ht="15.75" customHeight="1">
      <c r="B58" s="9">
        <v>0</v>
      </c>
      <c r="C58" s="9" t="s">
        <v>100</v>
      </c>
      <c r="V58" s="24">
        <v>1</v>
      </c>
    </row>
    <row r="59" spans="2:22" ht="15.75" customHeight="1">
      <c r="B59" s="9">
        <v>0</v>
      </c>
      <c r="C59" s="9" t="s">
        <v>101</v>
      </c>
    </row>
    <row r="60" spans="2:22" ht="15.75" customHeight="1">
      <c r="B60" s="9">
        <v>0</v>
      </c>
      <c r="C60" s="9" t="s">
        <v>102</v>
      </c>
      <c r="G60" s="23">
        <v>0.5</v>
      </c>
      <c r="H60" s="23">
        <v>0.5</v>
      </c>
      <c r="V60" s="24">
        <v>2</v>
      </c>
    </row>
    <row r="61" spans="2:22" ht="15.75" customHeight="1">
      <c r="B61" s="9">
        <v>0</v>
      </c>
      <c r="C61" s="9" t="s">
        <v>103</v>
      </c>
    </row>
    <row r="62" spans="2:22" ht="15.75" customHeight="1">
      <c r="B62" s="9">
        <v>0</v>
      </c>
      <c r="C62" s="9" t="s">
        <v>104</v>
      </c>
    </row>
    <row r="63" spans="2:22" ht="15.75" customHeight="1">
      <c r="B63" s="9" t="s">
        <v>105</v>
      </c>
      <c r="C63" s="9" t="s">
        <v>106</v>
      </c>
      <c r="V63" s="24">
        <v>1</v>
      </c>
    </row>
    <row r="64" spans="2:22" ht="15.75" customHeight="1">
      <c r="B64" s="9">
        <v>0</v>
      </c>
      <c r="C64" s="9" t="s">
        <v>107</v>
      </c>
    </row>
    <row r="65" spans="2:13" ht="15.75" customHeight="1">
      <c r="B65" s="9">
        <v>0</v>
      </c>
      <c r="C65" s="9" t="s">
        <v>108</v>
      </c>
    </row>
    <row r="66" spans="2:13" ht="15.75" customHeight="1">
      <c r="B66" s="9">
        <v>0</v>
      </c>
      <c r="C66" s="9" t="s">
        <v>109</v>
      </c>
    </row>
    <row r="67" spans="2:13" ht="15.75" customHeight="1">
      <c r="B67" s="9">
        <v>0</v>
      </c>
      <c r="C67" s="9" t="s">
        <v>110</v>
      </c>
    </row>
    <row r="68" spans="2:13" ht="15.75" customHeight="1">
      <c r="B68" s="9">
        <v>0</v>
      </c>
      <c r="C68" s="9" t="s">
        <v>111</v>
      </c>
    </row>
    <row r="69" spans="2:13" ht="15.75" customHeight="1">
      <c r="B69" s="9">
        <v>0</v>
      </c>
      <c r="C69" s="9" t="s">
        <v>112</v>
      </c>
    </row>
    <row r="70" spans="2:13" ht="15.75" customHeight="1">
      <c r="B70" s="9" t="s">
        <v>113</v>
      </c>
      <c r="C70" s="9" t="s">
        <v>114</v>
      </c>
      <c r="M70" s="24">
        <v>2</v>
      </c>
    </row>
    <row r="71" spans="2:13" ht="15.75" customHeight="1">
      <c r="B71" s="9">
        <v>0</v>
      </c>
      <c r="C71" s="9" t="s">
        <v>88</v>
      </c>
      <c r="M71" s="24">
        <v>2</v>
      </c>
    </row>
    <row r="72" spans="2:13" ht="15.75" customHeight="1">
      <c r="B72" s="9">
        <v>0</v>
      </c>
      <c r="C72" s="9" t="s">
        <v>115</v>
      </c>
      <c r="G72" s="23">
        <v>1</v>
      </c>
      <c r="I72" s="23">
        <v>1</v>
      </c>
    </row>
    <row r="73" spans="2:13" ht="15.75" customHeight="1">
      <c r="B73" s="9">
        <v>0</v>
      </c>
      <c r="C73" s="9" t="s">
        <v>116</v>
      </c>
      <c r="I73" s="23">
        <v>1</v>
      </c>
      <c r="M73" s="24">
        <v>2</v>
      </c>
    </row>
    <row r="74" spans="2:13" ht="15.75" customHeight="1">
      <c r="B74" s="9">
        <v>0</v>
      </c>
      <c r="C74" s="9" t="s">
        <v>117</v>
      </c>
      <c r="J74" s="23">
        <v>2</v>
      </c>
    </row>
    <row r="75" spans="2:13" ht="15.75" customHeight="1">
      <c r="B75" s="9">
        <v>0</v>
      </c>
      <c r="C75" s="9" t="s">
        <v>118</v>
      </c>
    </row>
    <row r="76" spans="2:13" ht="15.75" customHeight="1">
      <c r="B76" s="9">
        <v>0</v>
      </c>
      <c r="C76" s="9" t="s">
        <v>119</v>
      </c>
    </row>
    <row r="77" spans="2:13" ht="15.75" customHeight="1">
      <c r="B77" s="9">
        <v>0</v>
      </c>
      <c r="C77" s="9" t="s">
        <v>120</v>
      </c>
    </row>
    <row r="78" spans="2:13" ht="15.75" customHeight="1">
      <c r="B78" s="9" t="s">
        <v>59</v>
      </c>
      <c r="C78" s="9" t="s">
        <v>121</v>
      </c>
      <c r="D78" s="24">
        <v>1</v>
      </c>
      <c r="F78" s="23">
        <v>1</v>
      </c>
      <c r="G78" s="23">
        <v>1</v>
      </c>
      <c r="H78" s="23">
        <v>1</v>
      </c>
    </row>
    <row r="79" spans="2:13" ht="15.75" customHeight="1">
      <c r="B79" s="9">
        <v>0</v>
      </c>
      <c r="C79" s="9" t="s">
        <v>122</v>
      </c>
    </row>
    <row r="80" spans="2:13" ht="15.75" customHeight="1">
      <c r="B80" s="9">
        <v>0</v>
      </c>
      <c r="C80" s="9" t="s">
        <v>123</v>
      </c>
    </row>
    <row r="81" spans="2:9" ht="15.75" customHeight="1">
      <c r="B81" s="9">
        <v>0</v>
      </c>
      <c r="C81" s="9" t="s">
        <v>124</v>
      </c>
    </row>
    <row r="82" spans="2:9" ht="15.75" customHeight="1">
      <c r="B82" s="9">
        <v>0</v>
      </c>
      <c r="C82" s="9" t="s">
        <v>125</v>
      </c>
    </row>
    <row r="83" spans="2:9" ht="15.75" customHeight="1">
      <c r="B83" s="9">
        <v>0</v>
      </c>
      <c r="C83" s="9" t="s">
        <v>126</v>
      </c>
    </row>
    <row r="84" spans="2:9" ht="15.75" customHeight="1">
      <c r="B84" s="9">
        <v>0</v>
      </c>
      <c r="C84" s="9" t="s">
        <v>127</v>
      </c>
    </row>
    <row r="85" spans="2:9" ht="15.75" customHeight="1">
      <c r="B85" s="9">
        <v>0</v>
      </c>
      <c r="C85" s="9" t="s">
        <v>128</v>
      </c>
    </row>
    <row r="86" spans="2:9" ht="15.75" customHeight="1">
      <c r="B86" s="9">
        <v>0</v>
      </c>
      <c r="C86" s="9" t="s">
        <v>129</v>
      </c>
    </row>
    <row r="87" spans="2:9" ht="15.75" customHeight="1">
      <c r="B87" s="9" t="s">
        <v>130</v>
      </c>
      <c r="C87" s="9" t="s">
        <v>131</v>
      </c>
    </row>
    <row r="88" spans="2:9" ht="15.75" customHeight="1">
      <c r="B88" s="9">
        <v>0</v>
      </c>
      <c r="C88" s="9" t="s">
        <v>132</v>
      </c>
    </row>
    <row r="89" spans="2:9" ht="15.75" customHeight="1">
      <c r="B89" s="9">
        <v>0</v>
      </c>
      <c r="C89" s="9" t="s">
        <v>133</v>
      </c>
    </row>
    <row r="90" spans="2:9" ht="15.75" customHeight="1">
      <c r="B90" s="9">
        <v>0</v>
      </c>
      <c r="C90" s="9" t="s">
        <v>64</v>
      </c>
    </row>
    <row r="91" spans="2:9" ht="15.75" customHeight="1">
      <c r="B91" s="9">
        <v>0</v>
      </c>
      <c r="C91" s="9" t="s">
        <v>65</v>
      </c>
    </row>
    <row r="92" spans="2:9" ht="15.75" customHeight="1">
      <c r="B92" s="9" t="s">
        <v>134</v>
      </c>
      <c r="C92" s="9" t="s">
        <v>135</v>
      </c>
      <c r="F92" s="23">
        <v>1</v>
      </c>
      <c r="H92" s="23">
        <v>1</v>
      </c>
      <c r="I92" s="23">
        <v>1</v>
      </c>
    </row>
    <row r="93" spans="2:9" ht="15.75" customHeight="1">
      <c r="B93" s="9">
        <v>0</v>
      </c>
      <c r="C93" s="9" t="s">
        <v>136</v>
      </c>
      <c r="F93" s="23">
        <v>1</v>
      </c>
    </row>
    <row r="94" spans="2:9" ht="15.75" customHeight="1">
      <c r="B94" s="9">
        <v>0</v>
      </c>
      <c r="C94" s="9" t="s">
        <v>137</v>
      </c>
    </row>
    <row r="95" spans="2:9" ht="15.75" customHeight="1">
      <c r="B95" s="9">
        <v>0</v>
      </c>
      <c r="C95" s="9" t="s">
        <v>138</v>
      </c>
      <c r="F95" s="23">
        <v>1</v>
      </c>
      <c r="H95" s="23">
        <v>1</v>
      </c>
    </row>
    <row r="96" spans="2:9" ht="15.75" customHeight="1">
      <c r="B96" s="9" t="s">
        <v>139</v>
      </c>
      <c r="C96" s="9" t="s">
        <v>140</v>
      </c>
    </row>
    <row r="97" spans="2:22" ht="15.75" customHeight="1">
      <c r="B97" s="9">
        <v>0</v>
      </c>
      <c r="C97" s="9" t="s">
        <v>141</v>
      </c>
    </row>
    <row r="98" spans="2:22" ht="15.75" customHeight="1">
      <c r="B98" s="9">
        <v>0</v>
      </c>
      <c r="C98" s="9" t="s">
        <v>142</v>
      </c>
    </row>
    <row r="99" spans="2:22" ht="15.75" customHeight="1">
      <c r="B99" s="9" t="s">
        <v>143</v>
      </c>
      <c r="C99" s="9" t="s">
        <v>144</v>
      </c>
    </row>
    <row r="100" spans="2:22" ht="15.75" customHeight="1">
      <c r="B100" s="9">
        <v>0</v>
      </c>
      <c r="C100" s="9" t="s">
        <v>145</v>
      </c>
    </row>
    <row r="101" spans="2:22" ht="15.75" customHeight="1">
      <c r="B101" s="9">
        <v>0</v>
      </c>
      <c r="C101" s="9" t="s">
        <v>146</v>
      </c>
    </row>
    <row r="102" spans="2:22" ht="15.75" customHeight="1">
      <c r="B102" s="9">
        <v>0</v>
      </c>
      <c r="C102" s="9" t="s">
        <v>147</v>
      </c>
    </row>
    <row r="103" spans="2:22" ht="15.75" customHeight="1">
      <c r="B103" s="9" t="s">
        <v>148</v>
      </c>
      <c r="C103" s="9" t="s">
        <v>148</v>
      </c>
    </row>
    <row r="104" spans="2:22" ht="15.75" customHeight="1">
      <c r="B104" s="9">
        <v>0</v>
      </c>
      <c r="C104" s="9" t="s">
        <v>149</v>
      </c>
    </row>
    <row r="105" spans="2:22" ht="15.75" customHeight="1">
      <c r="B105" s="9">
        <v>0</v>
      </c>
      <c r="C105" s="9" t="s">
        <v>150</v>
      </c>
    </row>
    <row r="106" spans="2:22" ht="15.75" customHeight="1">
      <c r="B106" s="9" t="s">
        <v>151</v>
      </c>
      <c r="C106" s="9" t="s">
        <v>152</v>
      </c>
    </row>
    <row r="107" spans="2:22" ht="15.75" customHeight="1">
      <c r="B107" s="9">
        <v>0</v>
      </c>
      <c r="C107" s="9" t="s">
        <v>153</v>
      </c>
    </row>
    <row r="108" spans="2:22" ht="15.75" customHeight="1">
      <c r="B108" s="9">
        <v>0</v>
      </c>
      <c r="C108" s="9" t="s">
        <v>154</v>
      </c>
    </row>
    <row r="109" spans="2:22" ht="15.75" customHeight="1">
      <c r="B109" s="9">
        <v>0</v>
      </c>
      <c r="C109" s="9">
        <v>0</v>
      </c>
    </row>
    <row r="110" spans="2:22" ht="15.75" customHeight="1">
      <c r="B110" s="9">
        <v>0</v>
      </c>
      <c r="C110" s="9">
        <v>0</v>
      </c>
    </row>
    <row r="111" spans="2:22" ht="15.75" customHeight="1">
      <c r="B111" s="9">
        <v>0</v>
      </c>
      <c r="C111" s="9">
        <v>0</v>
      </c>
    </row>
    <row r="112" spans="2:22" s="12" customFormat="1" ht="15.75" customHeight="1">
      <c r="D112" s="25"/>
      <c r="L112" s="13"/>
      <c r="M112" s="25"/>
      <c r="V112" s="25"/>
    </row>
    <row r="120" spans="1:33" s="22" customFormat="1" ht="283.5" customHeight="1">
      <c r="D120" s="26" t="str">
        <f>D4&amp;CHAR(10)&amp;D121</f>
        <v xml:space="preserve">Main Requirements
disposable money(2),software(1),servers(1),scale(1),enthusiasm(1),learning capacities(1),engineering knowledge(1),scale(1),enthusiasm(1),ambition(1),web(1), </v>
      </c>
      <c r="E120" s="26" t="str">
        <f t="shared" ref="E120:AG120" si="3">E4&amp;CHAR(10)&amp;E121</f>
        <v xml:space="preserve">Effects
disposable money(-1), </v>
      </c>
      <c r="F120" s="26" t="str">
        <f t="shared" si="3"/>
        <v xml:space="preserve">weights(a)
software(1),servers(1),enthusiasm(1),gifted leader(1),gifted programmer(1),gifted designer(1),fun-ness(1),web(1),aesthetics(1),functions(1),interaction(1), </v>
      </c>
      <c r="G120" s="26" t="str">
        <f t="shared" si="3"/>
        <v xml:space="preserve">weights(b)
software(1),servers(1),enthusiasm(1),learning capacities(1),engineering knowledge(1),gifted leader(1),gifted programmer(1),gifted designer(1),gifted business strategist(1),seriousness(1),technologists(0.5),business model(1),web(1), </v>
      </c>
      <c r="H120" s="26" t="str">
        <f t="shared" si="3"/>
        <v xml:space="preserve">weights(c)
software(1),servers(1),enthusiasm(1),learning capacities(1),engineering knowledge(1),gifted leader(1),gifted programmer(1),gifted designer(1),gifted business strategist(1),seriousness(1),technologists(0.5),web(1),aesthetics(1),interaction(1), </v>
      </c>
      <c r="I120" s="26" t="str">
        <f t="shared" si="3"/>
        <v xml:space="preserve">weights(d)
software(1),servers(1),enthusiasm(1),learning capacities(1),field knowledge(2),gifted leader(1),gifted designer(1),gifted business strategist(1),business model(1),marketing(1),aesthetics(1), </v>
      </c>
      <c r="J120" s="26" t="str">
        <f t="shared" si="3"/>
        <v xml:space="preserve">weights€
enthusiasm(2),network among members(1),gifted leader(2),gifted programmer(2),fun-ness(1),seriousness(1),team building(2), </v>
      </c>
      <c r="K120" s="26" t="str">
        <f t="shared" si="3"/>
        <v xml:space="preserve">Additional Conditions
 </v>
      </c>
      <c r="L120" s="26" t="str">
        <f t="shared" si="3"/>
        <v xml:space="preserve">Additional Effects
a. uniqueness(1),c. quality(1),d. strength of user demands(4),e. team strength(1),disposable money(2),software(1),servers(1),field knowledge(3), </v>
      </c>
      <c r="M120" s="26" t="str">
        <f t="shared" si="3"/>
        <v xml:space="preserve">Main Requirements
a. uniqueness(1),c. quality(2),d. strength of user demands(2),field knowledge(3),gifted programmer(2),gifted designer(2),finance(2),investors(2),law(2),finance(2),marketing(2), </v>
      </c>
      <c r="N120" s="26" t="str">
        <f t="shared" si="3"/>
        <v xml:space="preserve">Effects
disposable money(-2), </v>
      </c>
      <c r="O120" s="26" t="str">
        <f t="shared" si="3"/>
        <v xml:space="preserve">weights(a)
servers(3), </v>
      </c>
      <c r="P120" s="26" t="str">
        <f t="shared" si="3"/>
        <v xml:space="preserve">weights(b)
 </v>
      </c>
      <c r="Q120" s="26" t="str">
        <f t="shared" si="3"/>
        <v xml:space="preserve">weights(c)
 </v>
      </c>
      <c r="R120" s="26" t="str">
        <f t="shared" si="3"/>
        <v xml:space="preserve">weights(d)
 </v>
      </c>
      <c r="S120" s="26" t="str">
        <f t="shared" si="3"/>
        <v xml:space="preserve">weights€
 </v>
      </c>
      <c r="T120" s="26" t="str">
        <f t="shared" si="3"/>
        <v xml:space="preserve">Additional Conditions
 </v>
      </c>
      <c r="U120" s="26" t="str">
        <f t="shared" si="3"/>
        <v xml:space="preserve">Additional Effects
 </v>
      </c>
      <c r="V120" s="26" t="str">
        <f t="shared" si="3"/>
        <v xml:space="preserve">Main Requirements
a. uniqueness(4),b. price competitiveness(4),c. quality(4),d. strength of user demands(4),e. team strength(4),software(2),servers(2),investors(3),media(1),technologists(2),spaciousness(1), </v>
      </c>
      <c r="W120" s="26" t="str">
        <f t="shared" si="3"/>
        <v xml:space="preserve">Effects
 </v>
      </c>
      <c r="X120" s="26" t="str">
        <f t="shared" si="3"/>
        <v xml:space="preserve">weights(a)
 </v>
      </c>
      <c r="Y120" s="26" t="str">
        <f t="shared" si="3"/>
        <v xml:space="preserve">weights(b)
 </v>
      </c>
      <c r="Z120" s="26" t="str">
        <f t="shared" si="3"/>
        <v xml:space="preserve">weights(c)
 </v>
      </c>
      <c r="AA120" s="26" t="str">
        <f t="shared" si="3"/>
        <v xml:space="preserve">weights(d)
 </v>
      </c>
      <c r="AB120" s="26" t="str">
        <f t="shared" si="3"/>
        <v xml:space="preserve">weights€
 </v>
      </c>
      <c r="AC120" s="26" t="str">
        <f t="shared" si="3"/>
        <v xml:space="preserve">Additional Conditions
 </v>
      </c>
      <c r="AD120" s="26" t="str">
        <f t="shared" si="3"/>
        <v xml:space="preserve">Additional Effects
 </v>
      </c>
      <c r="AE120" s="26" t="str">
        <f t="shared" si="3"/>
        <v xml:space="preserve">Main Requirements
 </v>
      </c>
      <c r="AF120" s="26" t="str">
        <f t="shared" si="3"/>
        <v xml:space="preserve">weights(a)
 </v>
      </c>
      <c r="AG120" s="26" t="str">
        <f t="shared" si="3"/>
        <v xml:space="preserve">weights(b)
 </v>
      </c>
    </row>
    <row r="121" spans="1:33" ht="15.75" customHeight="1">
      <c r="A121" s="9">
        <f>A6</f>
        <v>0</v>
      </c>
      <c r="B121" s="9">
        <f>B6</f>
        <v>0</v>
      </c>
      <c r="C121" s="9" t="str">
        <f>C6</f>
        <v>a. uniqueness</v>
      </c>
      <c r="D121" s="27" t="str">
        <f>IF(D6="",D122,$C121&amp;"("&amp;D6&amp;"),"&amp;D122)</f>
        <v xml:space="preserve">disposable money(2),software(1),servers(1),scale(1),enthusiasm(1),learning capacities(1),engineering knowledge(1),scale(1),enthusiasm(1),ambition(1),web(1), </v>
      </c>
      <c r="E121" s="27" t="str">
        <f t="shared" ref="E121:AG121" si="4">IF(E6="",E122,$C121&amp;"("&amp;E6&amp;"),"&amp;E122)</f>
        <v xml:space="preserve">disposable money(-1), </v>
      </c>
      <c r="F121" s="27" t="str">
        <f t="shared" si="4"/>
        <v xml:space="preserve">software(1),servers(1),enthusiasm(1),gifted leader(1),gifted programmer(1),gifted designer(1),fun-ness(1),web(1),aesthetics(1),functions(1),interaction(1), </v>
      </c>
      <c r="G121" s="27" t="str">
        <f t="shared" si="4"/>
        <v xml:space="preserve">software(1),servers(1),enthusiasm(1),learning capacities(1),engineering knowledge(1),gifted leader(1),gifted programmer(1),gifted designer(1),gifted business strategist(1),seriousness(1),technologists(0.5),business model(1),web(1), </v>
      </c>
      <c r="H121" s="27" t="str">
        <f t="shared" si="4"/>
        <v xml:space="preserve">software(1),servers(1),enthusiasm(1),learning capacities(1),engineering knowledge(1),gifted leader(1),gifted programmer(1),gifted designer(1),gifted business strategist(1),seriousness(1),technologists(0.5),web(1),aesthetics(1),interaction(1), </v>
      </c>
      <c r="I121" s="27" t="str">
        <f t="shared" si="4"/>
        <v xml:space="preserve">software(1),servers(1),enthusiasm(1),learning capacities(1),field knowledge(2),gifted leader(1),gifted designer(1),gifted business strategist(1),business model(1),marketing(1),aesthetics(1), </v>
      </c>
      <c r="J121" s="27" t="str">
        <f t="shared" si="4"/>
        <v xml:space="preserve">enthusiasm(2),network among members(1),gifted leader(2),gifted programmer(2),fun-ness(1),seriousness(1),team building(2), </v>
      </c>
      <c r="K121" s="27" t="str">
        <f t="shared" si="4"/>
        <v xml:space="preserve"> </v>
      </c>
      <c r="L121" s="27" t="str">
        <f t="shared" si="4"/>
        <v xml:space="preserve">a. uniqueness(1),c. quality(1),d. strength of user demands(4),e. team strength(1),disposable money(2),software(1),servers(1),field knowledge(3), </v>
      </c>
      <c r="M121" s="27" t="str">
        <f t="shared" si="4"/>
        <v xml:space="preserve">a. uniqueness(1),c. quality(2),d. strength of user demands(2),field knowledge(3),gifted programmer(2),gifted designer(2),finance(2),investors(2),law(2),finance(2),marketing(2), </v>
      </c>
      <c r="N121" s="27" t="str">
        <f t="shared" si="4"/>
        <v xml:space="preserve">disposable money(-2), </v>
      </c>
      <c r="O121" s="27" t="str">
        <f t="shared" si="4"/>
        <v xml:space="preserve">servers(3), </v>
      </c>
      <c r="P121" s="27" t="str">
        <f t="shared" si="4"/>
        <v xml:space="preserve"> </v>
      </c>
      <c r="Q121" s="27" t="str">
        <f t="shared" si="4"/>
        <v xml:space="preserve"> </v>
      </c>
      <c r="R121" s="27" t="str">
        <f t="shared" si="4"/>
        <v xml:space="preserve"> </v>
      </c>
      <c r="S121" s="27" t="str">
        <f t="shared" si="4"/>
        <v xml:space="preserve"> </v>
      </c>
      <c r="T121" s="27" t="str">
        <f t="shared" si="4"/>
        <v xml:space="preserve"> </v>
      </c>
      <c r="U121" s="27" t="str">
        <f t="shared" si="4"/>
        <v xml:space="preserve"> </v>
      </c>
      <c r="V121" s="27" t="str">
        <f t="shared" si="4"/>
        <v xml:space="preserve">a. uniqueness(4),b. price competitiveness(4),c. quality(4),d. strength of user demands(4),e. team strength(4),software(2),servers(2),investors(3),media(1),technologists(2),spaciousness(1), </v>
      </c>
      <c r="W121" s="27" t="str">
        <f t="shared" si="4"/>
        <v xml:space="preserve"> </v>
      </c>
      <c r="X121" s="27" t="str">
        <f t="shared" si="4"/>
        <v xml:space="preserve"> </v>
      </c>
      <c r="Y121" s="27" t="str">
        <f t="shared" si="4"/>
        <v xml:space="preserve"> </v>
      </c>
      <c r="Z121" s="27" t="str">
        <f t="shared" si="4"/>
        <v xml:space="preserve"> </v>
      </c>
      <c r="AA121" s="27" t="str">
        <f t="shared" si="4"/>
        <v xml:space="preserve"> </v>
      </c>
      <c r="AB121" s="27" t="str">
        <f t="shared" si="4"/>
        <v xml:space="preserve"> </v>
      </c>
      <c r="AC121" s="27" t="str">
        <f t="shared" si="4"/>
        <v xml:space="preserve"> </v>
      </c>
      <c r="AD121" s="27" t="str">
        <f t="shared" si="4"/>
        <v xml:space="preserve"> </v>
      </c>
      <c r="AE121" s="27" t="str">
        <f t="shared" si="4"/>
        <v xml:space="preserve"> </v>
      </c>
      <c r="AF121" s="27" t="str">
        <f t="shared" si="4"/>
        <v xml:space="preserve"> </v>
      </c>
      <c r="AG121" s="27" t="str">
        <f t="shared" si="4"/>
        <v xml:space="preserve"> </v>
      </c>
    </row>
    <row r="122" spans="1:33" ht="15.75" customHeight="1">
      <c r="A122" s="9">
        <f t="shared" ref="A122:C122" si="5">A7</f>
        <v>0</v>
      </c>
      <c r="B122" s="9">
        <f t="shared" si="5"/>
        <v>0</v>
      </c>
      <c r="C122" s="9" t="str">
        <f t="shared" si="5"/>
        <v>b. price competitiveness</v>
      </c>
      <c r="D122" s="27" t="str">
        <f t="shared" ref="D122:D185" si="6">IF(D7="",D123,$C122&amp;"("&amp;D7&amp;"),"&amp;D123)</f>
        <v xml:space="preserve">disposable money(2),software(1),servers(1),scale(1),enthusiasm(1),learning capacities(1),engineering knowledge(1),scale(1),enthusiasm(1),ambition(1),web(1), </v>
      </c>
      <c r="E122" s="27" t="str">
        <f t="shared" ref="E122:E185" si="7">IF(E7="",E123,$C122&amp;"("&amp;E7&amp;"),"&amp;E123)</f>
        <v xml:space="preserve">disposable money(-1), </v>
      </c>
      <c r="F122" s="27" t="str">
        <f t="shared" ref="F122:F185" si="8">IF(F7="",F123,$C122&amp;"("&amp;F7&amp;"),"&amp;F123)</f>
        <v xml:space="preserve">software(1),servers(1),enthusiasm(1),gifted leader(1),gifted programmer(1),gifted designer(1),fun-ness(1),web(1),aesthetics(1),functions(1),interaction(1), </v>
      </c>
      <c r="G122" s="27" t="str">
        <f t="shared" ref="G122:G185" si="9">IF(G7="",G123,$C122&amp;"("&amp;G7&amp;"),"&amp;G123)</f>
        <v xml:space="preserve">software(1),servers(1),enthusiasm(1),learning capacities(1),engineering knowledge(1),gifted leader(1),gifted programmer(1),gifted designer(1),gifted business strategist(1),seriousness(1),technologists(0.5),business model(1),web(1), </v>
      </c>
      <c r="H122" s="27" t="str">
        <f t="shared" ref="H122:H185" si="10">IF(H7="",H123,$C122&amp;"("&amp;H7&amp;"),"&amp;H123)</f>
        <v xml:space="preserve">software(1),servers(1),enthusiasm(1),learning capacities(1),engineering knowledge(1),gifted leader(1),gifted programmer(1),gifted designer(1),gifted business strategist(1),seriousness(1),technologists(0.5),web(1),aesthetics(1),interaction(1), </v>
      </c>
      <c r="I122" s="27" t="str">
        <f t="shared" ref="I122:I185" si="11">IF(I7="",I123,$C122&amp;"("&amp;I7&amp;"),"&amp;I123)</f>
        <v xml:space="preserve">software(1),servers(1),enthusiasm(1),learning capacities(1),field knowledge(2),gifted leader(1),gifted designer(1),gifted business strategist(1),business model(1),marketing(1),aesthetics(1), </v>
      </c>
      <c r="J122" s="27" t="str">
        <f t="shared" ref="J122:J185" si="12">IF(J7="",J123,$C122&amp;"("&amp;J7&amp;"),"&amp;J123)</f>
        <v xml:space="preserve">enthusiasm(2),network among members(1),gifted leader(2),gifted programmer(2),fun-ness(1),seriousness(1),team building(2), </v>
      </c>
      <c r="K122" s="27" t="str">
        <f t="shared" ref="K122:K185" si="13">IF(K7="",K123,$C122&amp;"("&amp;K7&amp;"),"&amp;K123)</f>
        <v xml:space="preserve"> </v>
      </c>
      <c r="L122" s="27" t="str">
        <f t="shared" ref="L122:L185" si="14">IF(L7="",L123,$C122&amp;"("&amp;L7&amp;"),"&amp;L123)</f>
        <v xml:space="preserve">c. quality(1),d. strength of user demands(4),e. team strength(1),disposable money(2),software(1),servers(1),field knowledge(3), </v>
      </c>
      <c r="M122" s="27" t="str">
        <f t="shared" ref="M122:M185" si="15">IF(M7="",M123,$C122&amp;"("&amp;M7&amp;"),"&amp;M123)</f>
        <v xml:space="preserve">c. quality(2),d. strength of user demands(2),field knowledge(3),gifted programmer(2),gifted designer(2),finance(2),investors(2),law(2),finance(2),marketing(2), </v>
      </c>
      <c r="N122" s="27" t="str">
        <f t="shared" ref="N122:N185" si="16">IF(N7="",N123,$C122&amp;"("&amp;N7&amp;"),"&amp;N123)</f>
        <v xml:space="preserve">disposable money(-2), </v>
      </c>
      <c r="O122" s="27" t="str">
        <f t="shared" ref="O122:O185" si="17">IF(O7="",O123,$C122&amp;"("&amp;O7&amp;"),"&amp;O123)</f>
        <v xml:space="preserve">servers(3), </v>
      </c>
      <c r="P122" s="27" t="str">
        <f t="shared" ref="P122:P185" si="18">IF(P7="",P123,$C122&amp;"("&amp;P7&amp;"),"&amp;P123)</f>
        <v xml:space="preserve"> </v>
      </c>
      <c r="Q122" s="27" t="str">
        <f t="shared" ref="Q122:Q185" si="19">IF(Q7="",Q123,$C122&amp;"("&amp;Q7&amp;"),"&amp;Q123)</f>
        <v xml:space="preserve"> </v>
      </c>
      <c r="R122" s="27" t="str">
        <f t="shared" ref="R122:R185" si="20">IF(R7="",R123,$C122&amp;"("&amp;R7&amp;"),"&amp;R123)</f>
        <v xml:space="preserve"> </v>
      </c>
      <c r="S122" s="27" t="str">
        <f t="shared" ref="S122:S185" si="21">IF(S7="",S123,$C122&amp;"("&amp;S7&amp;"),"&amp;S123)</f>
        <v xml:space="preserve"> </v>
      </c>
      <c r="T122" s="27" t="str">
        <f t="shared" ref="T122:T185" si="22">IF(T7="",T123,$C122&amp;"("&amp;T7&amp;"),"&amp;T123)</f>
        <v xml:space="preserve"> </v>
      </c>
      <c r="U122" s="27" t="str">
        <f t="shared" ref="U122:U185" si="23">IF(U7="",U123,$C122&amp;"("&amp;U7&amp;"),"&amp;U123)</f>
        <v xml:space="preserve"> </v>
      </c>
      <c r="V122" s="27" t="str">
        <f t="shared" ref="V122:V185" si="24">IF(V7="",V123,$C122&amp;"("&amp;V7&amp;"),"&amp;V123)</f>
        <v xml:space="preserve">b. price competitiveness(4),c. quality(4),d. strength of user demands(4),e. team strength(4),software(2),servers(2),investors(3),media(1),technologists(2),spaciousness(1), </v>
      </c>
      <c r="W122" s="27" t="str">
        <f t="shared" ref="W122:W185" si="25">IF(W7="",W123,$C122&amp;"("&amp;W7&amp;"),"&amp;W123)</f>
        <v xml:space="preserve"> </v>
      </c>
      <c r="X122" s="27" t="str">
        <f t="shared" ref="X122:X185" si="26">IF(X7="",X123,$C122&amp;"("&amp;X7&amp;"),"&amp;X123)</f>
        <v xml:space="preserve"> </v>
      </c>
      <c r="Y122" s="27" t="str">
        <f t="shared" ref="Y122:Y185" si="27">IF(Y7="",Y123,$C122&amp;"("&amp;Y7&amp;"),"&amp;Y123)</f>
        <v xml:space="preserve"> </v>
      </c>
      <c r="Z122" s="27" t="str">
        <f t="shared" ref="Z122:Z185" si="28">IF(Z7="",Z123,$C122&amp;"("&amp;Z7&amp;"),"&amp;Z123)</f>
        <v xml:space="preserve"> </v>
      </c>
      <c r="AA122" s="27" t="str">
        <f t="shared" ref="AA122:AA185" si="29">IF(AA7="",AA123,$C122&amp;"("&amp;AA7&amp;"),"&amp;AA123)</f>
        <v xml:space="preserve"> </v>
      </c>
      <c r="AB122" s="27" t="str">
        <f t="shared" ref="AB122:AB185" si="30">IF(AB7="",AB123,$C122&amp;"("&amp;AB7&amp;"),"&amp;AB123)</f>
        <v xml:space="preserve"> </v>
      </c>
      <c r="AC122" s="27" t="str">
        <f t="shared" ref="AC122:AC185" si="31">IF(AC7="",AC123,$C122&amp;"("&amp;AC7&amp;"),"&amp;AC123)</f>
        <v xml:space="preserve"> </v>
      </c>
      <c r="AD122" s="27" t="str">
        <f t="shared" ref="AD122:AD185" si="32">IF(AD7="",AD123,$C122&amp;"("&amp;AD7&amp;"),"&amp;AD123)</f>
        <v xml:space="preserve"> </v>
      </c>
      <c r="AE122" s="27" t="str">
        <f t="shared" ref="AE122:AE185" si="33">IF(AE7="",AE123,$C122&amp;"("&amp;AE7&amp;"),"&amp;AE123)</f>
        <v xml:space="preserve"> </v>
      </c>
      <c r="AF122" s="27" t="str">
        <f t="shared" ref="AF122:AF185" si="34">IF(AF7="",AF123,$C122&amp;"("&amp;AF7&amp;"),"&amp;AF123)</f>
        <v xml:space="preserve"> </v>
      </c>
      <c r="AG122" s="27" t="str">
        <f t="shared" ref="AG122:AG185" si="35">IF(AG7="",AG123,$C122&amp;"("&amp;AG7&amp;"),"&amp;AG123)</f>
        <v xml:space="preserve"> </v>
      </c>
    </row>
    <row r="123" spans="1:33" ht="15.75" customHeight="1">
      <c r="A123" s="9">
        <f t="shared" ref="A123:C123" si="36">A8</f>
        <v>0</v>
      </c>
      <c r="B123" s="9">
        <f t="shared" si="36"/>
        <v>0</v>
      </c>
      <c r="C123" s="9" t="str">
        <f t="shared" si="36"/>
        <v>c. quality</v>
      </c>
      <c r="D123" s="27" t="str">
        <f t="shared" si="6"/>
        <v xml:space="preserve">disposable money(2),software(1),servers(1),scale(1),enthusiasm(1),learning capacities(1),engineering knowledge(1),scale(1),enthusiasm(1),ambition(1),web(1), </v>
      </c>
      <c r="E123" s="27" t="str">
        <f t="shared" si="7"/>
        <v xml:space="preserve">disposable money(-1), </v>
      </c>
      <c r="F123" s="27" t="str">
        <f t="shared" si="8"/>
        <v xml:space="preserve">software(1),servers(1),enthusiasm(1),gifted leader(1),gifted programmer(1),gifted designer(1),fun-ness(1),web(1),aesthetics(1),functions(1),interaction(1), </v>
      </c>
      <c r="G123" s="27" t="str">
        <f t="shared" si="9"/>
        <v xml:space="preserve">software(1),servers(1),enthusiasm(1),learning capacities(1),engineering knowledge(1),gifted leader(1),gifted programmer(1),gifted designer(1),gifted business strategist(1),seriousness(1),technologists(0.5),business model(1),web(1), </v>
      </c>
      <c r="H123" s="27" t="str">
        <f t="shared" si="10"/>
        <v xml:space="preserve">software(1),servers(1),enthusiasm(1),learning capacities(1),engineering knowledge(1),gifted leader(1),gifted programmer(1),gifted designer(1),gifted business strategist(1),seriousness(1),technologists(0.5),web(1),aesthetics(1),interaction(1), </v>
      </c>
      <c r="I123" s="27" t="str">
        <f t="shared" si="11"/>
        <v xml:space="preserve">software(1),servers(1),enthusiasm(1),learning capacities(1),field knowledge(2),gifted leader(1),gifted designer(1),gifted business strategist(1),business model(1),marketing(1),aesthetics(1), </v>
      </c>
      <c r="J123" s="27" t="str">
        <f t="shared" si="12"/>
        <v xml:space="preserve">enthusiasm(2),network among members(1),gifted leader(2),gifted programmer(2),fun-ness(1),seriousness(1),team building(2), </v>
      </c>
      <c r="K123" s="27" t="str">
        <f t="shared" si="13"/>
        <v xml:space="preserve"> </v>
      </c>
      <c r="L123" s="27" t="str">
        <f t="shared" si="14"/>
        <v xml:space="preserve">c. quality(1),d. strength of user demands(4),e. team strength(1),disposable money(2),software(1),servers(1),field knowledge(3), </v>
      </c>
      <c r="M123" s="27" t="str">
        <f t="shared" si="15"/>
        <v xml:space="preserve">c. quality(2),d. strength of user demands(2),field knowledge(3),gifted programmer(2),gifted designer(2),finance(2),investors(2),law(2),finance(2),marketing(2), </v>
      </c>
      <c r="N123" s="27" t="str">
        <f t="shared" si="16"/>
        <v xml:space="preserve">disposable money(-2), </v>
      </c>
      <c r="O123" s="27" t="str">
        <f t="shared" si="17"/>
        <v xml:space="preserve">servers(3), </v>
      </c>
      <c r="P123" s="27" t="str">
        <f t="shared" si="18"/>
        <v xml:space="preserve"> </v>
      </c>
      <c r="Q123" s="27" t="str">
        <f t="shared" si="19"/>
        <v xml:space="preserve"> </v>
      </c>
      <c r="R123" s="27" t="str">
        <f t="shared" si="20"/>
        <v xml:space="preserve"> </v>
      </c>
      <c r="S123" s="27" t="str">
        <f t="shared" si="21"/>
        <v xml:space="preserve"> </v>
      </c>
      <c r="T123" s="27" t="str">
        <f t="shared" si="22"/>
        <v xml:space="preserve"> </v>
      </c>
      <c r="U123" s="27" t="str">
        <f t="shared" si="23"/>
        <v xml:space="preserve"> </v>
      </c>
      <c r="V123" s="27" t="str">
        <f t="shared" si="24"/>
        <v xml:space="preserve">c. quality(4),d. strength of user demands(4),e. team strength(4),software(2),servers(2),investors(3),media(1),technologists(2),spaciousness(1), </v>
      </c>
      <c r="W123" s="27" t="str">
        <f t="shared" si="25"/>
        <v xml:space="preserve"> </v>
      </c>
      <c r="X123" s="27" t="str">
        <f t="shared" si="26"/>
        <v xml:space="preserve"> </v>
      </c>
      <c r="Y123" s="27" t="str">
        <f t="shared" si="27"/>
        <v xml:space="preserve"> </v>
      </c>
      <c r="Z123" s="27" t="str">
        <f t="shared" si="28"/>
        <v xml:space="preserve"> </v>
      </c>
      <c r="AA123" s="27" t="str">
        <f t="shared" si="29"/>
        <v xml:space="preserve"> </v>
      </c>
      <c r="AB123" s="27" t="str">
        <f t="shared" si="30"/>
        <v xml:space="preserve"> </v>
      </c>
      <c r="AC123" s="27" t="str">
        <f t="shared" si="31"/>
        <v xml:space="preserve"> </v>
      </c>
      <c r="AD123" s="27" t="str">
        <f t="shared" si="32"/>
        <v xml:space="preserve"> </v>
      </c>
      <c r="AE123" s="27" t="str">
        <f t="shared" si="33"/>
        <v xml:space="preserve"> </v>
      </c>
      <c r="AF123" s="27" t="str">
        <f t="shared" si="34"/>
        <v xml:space="preserve"> </v>
      </c>
      <c r="AG123" s="27" t="str">
        <f t="shared" si="35"/>
        <v xml:space="preserve"> </v>
      </c>
    </row>
    <row r="124" spans="1:33" ht="15.75" customHeight="1">
      <c r="A124" s="9">
        <f t="shared" ref="A124:C124" si="37">A9</f>
        <v>0</v>
      </c>
      <c r="B124" s="9">
        <f t="shared" si="37"/>
        <v>0</v>
      </c>
      <c r="C124" s="9" t="str">
        <f t="shared" si="37"/>
        <v>d. strength of user demands</v>
      </c>
      <c r="D124" s="27" t="str">
        <f t="shared" si="6"/>
        <v xml:space="preserve">disposable money(2),software(1),servers(1),scale(1),enthusiasm(1),learning capacities(1),engineering knowledge(1),scale(1),enthusiasm(1),ambition(1),web(1), </v>
      </c>
      <c r="E124" s="27" t="str">
        <f t="shared" si="7"/>
        <v xml:space="preserve">disposable money(-1), </v>
      </c>
      <c r="F124" s="27" t="str">
        <f t="shared" si="8"/>
        <v xml:space="preserve">software(1),servers(1),enthusiasm(1),gifted leader(1),gifted programmer(1),gifted designer(1),fun-ness(1),web(1),aesthetics(1),functions(1),interaction(1), </v>
      </c>
      <c r="G124" s="27" t="str">
        <f t="shared" si="9"/>
        <v xml:space="preserve">software(1),servers(1),enthusiasm(1),learning capacities(1),engineering knowledge(1),gifted leader(1),gifted programmer(1),gifted designer(1),gifted business strategist(1),seriousness(1),technologists(0.5),business model(1),web(1), </v>
      </c>
      <c r="H124" s="27" t="str">
        <f t="shared" si="10"/>
        <v xml:space="preserve">software(1),servers(1),enthusiasm(1),learning capacities(1),engineering knowledge(1),gifted leader(1),gifted programmer(1),gifted designer(1),gifted business strategist(1),seriousness(1),technologists(0.5),web(1),aesthetics(1),interaction(1), </v>
      </c>
      <c r="I124" s="27" t="str">
        <f t="shared" si="11"/>
        <v xml:space="preserve">software(1),servers(1),enthusiasm(1),learning capacities(1),field knowledge(2),gifted leader(1),gifted designer(1),gifted business strategist(1),business model(1),marketing(1),aesthetics(1), </v>
      </c>
      <c r="J124" s="27" t="str">
        <f t="shared" si="12"/>
        <v xml:space="preserve">enthusiasm(2),network among members(1),gifted leader(2),gifted programmer(2),fun-ness(1),seriousness(1),team building(2), </v>
      </c>
      <c r="K124" s="27" t="str">
        <f t="shared" si="13"/>
        <v xml:space="preserve"> </v>
      </c>
      <c r="L124" s="27" t="str">
        <f t="shared" si="14"/>
        <v xml:space="preserve">d. strength of user demands(4),e. team strength(1),disposable money(2),software(1),servers(1),field knowledge(3), </v>
      </c>
      <c r="M124" s="27" t="str">
        <f t="shared" si="15"/>
        <v xml:space="preserve">d. strength of user demands(2),field knowledge(3),gifted programmer(2),gifted designer(2),finance(2),investors(2),law(2),finance(2),marketing(2), </v>
      </c>
      <c r="N124" s="27" t="str">
        <f t="shared" si="16"/>
        <v xml:space="preserve">disposable money(-2), </v>
      </c>
      <c r="O124" s="27" t="str">
        <f t="shared" si="17"/>
        <v xml:space="preserve">servers(3), </v>
      </c>
      <c r="P124" s="27" t="str">
        <f t="shared" si="18"/>
        <v xml:space="preserve"> </v>
      </c>
      <c r="Q124" s="27" t="str">
        <f t="shared" si="19"/>
        <v xml:space="preserve"> </v>
      </c>
      <c r="R124" s="27" t="str">
        <f t="shared" si="20"/>
        <v xml:space="preserve"> </v>
      </c>
      <c r="S124" s="27" t="str">
        <f t="shared" si="21"/>
        <v xml:space="preserve"> </v>
      </c>
      <c r="T124" s="27" t="str">
        <f t="shared" si="22"/>
        <v xml:space="preserve"> </v>
      </c>
      <c r="U124" s="27" t="str">
        <f t="shared" si="23"/>
        <v xml:space="preserve"> </v>
      </c>
      <c r="V124" s="27" t="str">
        <f t="shared" si="24"/>
        <v xml:space="preserve">d. strength of user demands(4),e. team strength(4),software(2),servers(2),investors(3),media(1),technologists(2),spaciousness(1), </v>
      </c>
      <c r="W124" s="27" t="str">
        <f t="shared" si="25"/>
        <v xml:space="preserve"> </v>
      </c>
      <c r="X124" s="27" t="str">
        <f t="shared" si="26"/>
        <v xml:space="preserve"> </v>
      </c>
      <c r="Y124" s="27" t="str">
        <f t="shared" si="27"/>
        <v xml:space="preserve"> </v>
      </c>
      <c r="Z124" s="27" t="str">
        <f t="shared" si="28"/>
        <v xml:space="preserve"> </v>
      </c>
      <c r="AA124" s="27" t="str">
        <f t="shared" si="29"/>
        <v xml:space="preserve"> </v>
      </c>
      <c r="AB124" s="27" t="str">
        <f t="shared" si="30"/>
        <v xml:space="preserve"> </v>
      </c>
      <c r="AC124" s="27" t="str">
        <f t="shared" si="31"/>
        <v xml:space="preserve"> </v>
      </c>
      <c r="AD124" s="27" t="str">
        <f t="shared" si="32"/>
        <v xml:space="preserve"> </v>
      </c>
      <c r="AE124" s="27" t="str">
        <f t="shared" si="33"/>
        <v xml:space="preserve"> </v>
      </c>
      <c r="AF124" s="27" t="str">
        <f t="shared" si="34"/>
        <v xml:space="preserve"> </v>
      </c>
      <c r="AG124" s="27" t="str">
        <f t="shared" si="35"/>
        <v xml:space="preserve"> </v>
      </c>
    </row>
    <row r="125" spans="1:33" ht="15.75" customHeight="1">
      <c r="A125" s="9">
        <f t="shared" ref="A125:C125" si="38">A10</f>
        <v>0</v>
      </c>
      <c r="B125" s="9">
        <f t="shared" si="38"/>
        <v>0</v>
      </c>
      <c r="C125" s="9" t="str">
        <f t="shared" si="38"/>
        <v>e. team strength</v>
      </c>
      <c r="D125" s="27" t="str">
        <f t="shared" si="6"/>
        <v xml:space="preserve">disposable money(2),software(1),servers(1),scale(1),enthusiasm(1),learning capacities(1),engineering knowledge(1),scale(1),enthusiasm(1),ambition(1),web(1), </v>
      </c>
      <c r="E125" s="27" t="str">
        <f t="shared" si="7"/>
        <v xml:space="preserve">disposable money(-1), </v>
      </c>
      <c r="F125" s="27" t="str">
        <f t="shared" si="8"/>
        <v xml:space="preserve">software(1),servers(1),enthusiasm(1),gifted leader(1),gifted programmer(1),gifted designer(1),fun-ness(1),web(1),aesthetics(1),functions(1),interaction(1), </v>
      </c>
      <c r="G125" s="27" t="str">
        <f t="shared" si="9"/>
        <v xml:space="preserve">software(1),servers(1),enthusiasm(1),learning capacities(1),engineering knowledge(1),gifted leader(1),gifted programmer(1),gifted designer(1),gifted business strategist(1),seriousness(1),technologists(0.5),business model(1),web(1), </v>
      </c>
      <c r="H125" s="27" t="str">
        <f t="shared" si="10"/>
        <v xml:space="preserve">software(1),servers(1),enthusiasm(1),learning capacities(1),engineering knowledge(1),gifted leader(1),gifted programmer(1),gifted designer(1),gifted business strategist(1),seriousness(1),technologists(0.5),web(1),aesthetics(1),interaction(1), </v>
      </c>
      <c r="I125" s="27" t="str">
        <f t="shared" si="11"/>
        <v xml:space="preserve">software(1),servers(1),enthusiasm(1),learning capacities(1),field knowledge(2),gifted leader(1),gifted designer(1),gifted business strategist(1),business model(1),marketing(1),aesthetics(1), </v>
      </c>
      <c r="J125" s="27" t="str">
        <f t="shared" si="12"/>
        <v xml:space="preserve">enthusiasm(2),network among members(1),gifted leader(2),gifted programmer(2),fun-ness(1),seriousness(1),team building(2), </v>
      </c>
      <c r="K125" s="27" t="str">
        <f t="shared" si="13"/>
        <v xml:space="preserve"> </v>
      </c>
      <c r="L125" s="27" t="str">
        <f t="shared" si="14"/>
        <v xml:space="preserve">e. team strength(1),disposable money(2),software(1),servers(1),field knowledge(3), </v>
      </c>
      <c r="M125" s="27" t="str">
        <f t="shared" si="15"/>
        <v xml:space="preserve">field knowledge(3),gifted programmer(2),gifted designer(2),finance(2),investors(2),law(2),finance(2),marketing(2), </v>
      </c>
      <c r="N125" s="27" t="str">
        <f t="shared" si="16"/>
        <v xml:space="preserve">disposable money(-2), </v>
      </c>
      <c r="O125" s="27" t="str">
        <f t="shared" si="17"/>
        <v xml:space="preserve">servers(3), </v>
      </c>
      <c r="P125" s="27" t="str">
        <f t="shared" si="18"/>
        <v xml:space="preserve"> </v>
      </c>
      <c r="Q125" s="27" t="str">
        <f t="shared" si="19"/>
        <v xml:space="preserve"> </v>
      </c>
      <c r="R125" s="27" t="str">
        <f t="shared" si="20"/>
        <v xml:space="preserve"> </v>
      </c>
      <c r="S125" s="27" t="str">
        <f t="shared" si="21"/>
        <v xml:space="preserve"> </v>
      </c>
      <c r="T125" s="27" t="str">
        <f t="shared" si="22"/>
        <v xml:space="preserve"> </v>
      </c>
      <c r="U125" s="27" t="str">
        <f t="shared" si="23"/>
        <v xml:space="preserve"> </v>
      </c>
      <c r="V125" s="27" t="str">
        <f t="shared" si="24"/>
        <v xml:space="preserve">e. team strength(4),software(2),servers(2),investors(3),media(1),technologists(2),spaciousness(1), </v>
      </c>
      <c r="W125" s="27" t="str">
        <f t="shared" si="25"/>
        <v xml:space="preserve"> </v>
      </c>
      <c r="X125" s="27" t="str">
        <f t="shared" si="26"/>
        <v xml:space="preserve"> </v>
      </c>
      <c r="Y125" s="27" t="str">
        <f t="shared" si="27"/>
        <v xml:space="preserve"> </v>
      </c>
      <c r="Z125" s="27" t="str">
        <f t="shared" si="28"/>
        <v xml:space="preserve"> </v>
      </c>
      <c r="AA125" s="27" t="str">
        <f t="shared" si="29"/>
        <v xml:space="preserve"> </v>
      </c>
      <c r="AB125" s="27" t="str">
        <f t="shared" si="30"/>
        <v xml:space="preserve"> </v>
      </c>
      <c r="AC125" s="27" t="str">
        <f t="shared" si="31"/>
        <v xml:space="preserve"> </v>
      </c>
      <c r="AD125" s="27" t="str">
        <f t="shared" si="32"/>
        <v xml:space="preserve"> </v>
      </c>
      <c r="AE125" s="27" t="str">
        <f t="shared" si="33"/>
        <v xml:space="preserve"> </v>
      </c>
      <c r="AF125" s="27" t="str">
        <f t="shared" si="34"/>
        <v xml:space="preserve"> </v>
      </c>
      <c r="AG125" s="27" t="str">
        <f t="shared" si="35"/>
        <v xml:space="preserve"> </v>
      </c>
    </row>
    <row r="126" spans="1:33" ht="15.75" customHeight="1">
      <c r="A126" s="9" t="str">
        <f t="shared" ref="A126:C126" si="39">A11</f>
        <v>Resources</v>
      </c>
      <c r="B126" s="9">
        <f t="shared" si="39"/>
        <v>0</v>
      </c>
      <c r="C126" s="9">
        <f t="shared" si="39"/>
        <v>0</v>
      </c>
      <c r="D126" s="27" t="str">
        <f t="shared" si="6"/>
        <v xml:space="preserve">disposable money(2),software(1),servers(1),scale(1),enthusiasm(1),learning capacities(1),engineering knowledge(1),scale(1),enthusiasm(1),ambition(1),web(1), </v>
      </c>
      <c r="E126" s="27" t="str">
        <f t="shared" si="7"/>
        <v xml:space="preserve">disposable money(-1), </v>
      </c>
      <c r="F126" s="27" t="str">
        <f t="shared" si="8"/>
        <v xml:space="preserve">software(1),servers(1),enthusiasm(1),gifted leader(1),gifted programmer(1),gifted designer(1),fun-ness(1),web(1),aesthetics(1),functions(1),interaction(1), </v>
      </c>
      <c r="G126" s="27" t="str">
        <f t="shared" si="9"/>
        <v xml:space="preserve">software(1),servers(1),enthusiasm(1),learning capacities(1),engineering knowledge(1),gifted leader(1),gifted programmer(1),gifted designer(1),gifted business strategist(1),seriousness(1),technologists(0.5),business model(1),web(1), </v>
      </c>
      <c r="H126" s="27" t="str">
        <f t="shared" si="10"/>
        <v xml:space="preserve">software(1),servers(1),enthusiasm(1),learning capacities(1),engineering knowledge(1),gifted leader(1),gifted programmer(1),gifted designer(1),gifted business strategist(1),seriousness(1),technologists(0.5),web(1),aesthetics(1),interaction(1), </v>
      </c>
      <c r="I126" s="27" t="str">
        <f t="shared" si="11"/>
        <v xml:space="preserve">software(1),servers(1),enthusiasm(1),learning capacities(1),field knowledge(2),gifted leader(1),gifted designer(1),gifted business strategist(1),business model(1),marketing(1),aesthetics(1), </v>
      </c>
      <c r="J126" s="27" t="str">
        <f t="shared" si="12"/>
        <v xml:space="preserve">enthusiasm(2),network among members(1),gifted leader(2),gifted programmer(2),fun-ness(1),seriousness(1),team building(2), </v>
      </c>
      <c r="K126" s="27" t="str">
        <f t="shared" si="13"/>
        <v xml:space="preserve"> </v>
      </c>
      <c r="L126" s="27" t="str">
        <f t="shared" si="14"/>
        <v xml:space="preserve">disposable money(2),software(1),servers(1),field knowledge(3), </v>
      </c>
      <c r="M126" s="27" t="str">
        <f t="shared" si="15"/>
        <v xml:space="preserve">field knowledge(3),gifted programmer(2),gifted designer(2),finance(2),investors(2),law(2),finance(2),marketing(2), </v>
      </c>
      <c r="N126" s="27" t="str">
        <f t="shared" si="16"/>
        <v xml:space="preserve">disposable money(-2), </v>
      </c>
      <c r="O126" s="27" t="str">
        <f t="shared" si="17"/>
        <v xml:space="preserve">servers(3), </v>
      </c>
      <c r="P126" s="27" t="str">
        <f t="shared" si="18"/>
        <v xml:space="preserve"> </v>
      </c>
      <c r="Q126" s="27" t="str">
        <f t="shared" si="19"/>
        <v xml:space="preserve"> </v>
      </c>
      <c r="R126" s="27" t="str">
        <f t="shared" si="20"/>
        <v xml:space="preserve"> </v>
      </c>
      <c r="S126" s="27" t="str">
        <f t="shared" si="21"/>
        <v xml:space="preserve"> </v>
      </c>
      <c r="T126" s="27" t="str">
        <f t="shared" si="22"/>
        <v xml:space="preserve"> </v>
      </c>
      <c r="U126" s="27" t="str">
        <f t="shared" si="23"/>
        <v xml:space="preserve"> </v>
      </c>
      <c r="V126" s="27" t="str">
        <f t="shared" si="24"/>
        <v xml:space="preserve">software(2),servers(2),investors(3),media(1),technologists(2),spaciousness(1), </v>
      </c>
      <c r="W126" s="27" t="str">
        <f t="shared" si="25"/>
        <v xml:space="preserve"> </v>
      </c>
      <c r="X126" s="27" t="str">
        <f t="shared" si="26"/>
        <v xml:space="preserve"> </v>
      </c>
      <c r="Y126" s="27" t="str">
        <f t="shared" si="27"/>
        <v xml:space="preserve"> </v>
      </c>
      <c r="Z126" s="27" t="str">
        <f t="shared" si="28"/>
        <v xml:space="preserve"> </v>
      </c>
      <c r="AA126" s="27" t="str">
        <f t="shared" si="29"/>
        <v xml:space="preserve"> </v>
      </c>
      <c r="AB126" s="27" t="str">
        <f t="shared" si="30"/>
        <v xml:space="preserve"> </v>
      </c>
      <c r="AC126" s="27" t="str">
        <f t="shared" si="31"/>
        <v xml:space="preserve"> </v>
      </c>
      <c r="AD126" s="27" t="str">
        <f t="shared" si="32"/>
        <v xml:space="preserve"> </v>
      </c>
      <c r="AE126" s="27" t="str">
        <f t="shared" si="33"/>
        <v xml:space="preserve"> </v>
      </c>
      <c r="AF126" s="27" t="str">
        <f t="shared" si="34"/>
        <v xml:space="preserve"> </v>
      </c>
      <c r="AG126" s="27" t="str">
        <f t="shared" si="35"/>
        <v xml:space="preserve"> </v>
      </c>
    </row>
    <row r="127" spans="1:33" ht="15.75" customHeight="1">
      <c r="A127" s="9">
        <f t="shared" ref="A127:C127" si="40">A12</f>
        <v>0</v>
      </c>
      <c r="B127" s="9" t="str">
        <f t="shared" si="40"/>
        <v>financial</v>
      </c>
      <c r="C127" s="9" t="str">
        <f t="shared" si="40"/>
        <v>budget</v>
      </c>
      <c r="D127" s="27" t="str">
        <f t="shared" si="6"/>
        <v xml:space="preserve">disposable money(2),software(1),servers(1),scale(1),enthusiasm(1),learning capacities(1),engineering knowledge(1),scale(1),enthusiasm(1),ambition(1),web(1), </v>
      </c>
      <c r="E127" s="27" t="str">
        <f t="shared" si="7"/>
        <v xml:space="preserve">disposable money(-1), </v>
      </c>
      <c r="F127" s="27" t="str">
        <f t="shared" si="8"/>
        <v xml:space="preserve">software(1),servers(1),enthusiasm(1),gifted leader(1),gifted programmer(1),gifted designer(1),fun-ness(1),web(1),aesthetics(1),functions(1),interaction(1), </v>
      </c>
      <c r="G127" s="27" t="str">
        <f t="shared" si="9"/>
        <v xml:space="preserve">software(1),servers(1),enthusiasm(1),learning capacities(1),engineering knowledge(1),gifted leader(1),gifted programmer(1),gifted designer(1),gifted business strategist(1),seriousness(1),technologists(0.5),business model(1),web(1), </v>
      </c>
      <c r="H127" s="27" t="str">
        <f t="shared" si="10"/>
        <v xml:space="preserve">software(1),servers(1),enthusiasm(1),learning capacities(1),engineering knowledge(1),gifted leader(1),gifted programmer(1),gifted designer(1),gifted business strategist(1),seriousness(1),technologists(0.5),web(1),aesthetics(1),interaction(1), </v>
      </c>
      <c r="I127" s="27" t="str">
        <f t="shared" si="11"/>
        <v xml:space="preserve">software(1),servers(1),enthusiasm(1),learning capacities(1),field knowledge(2),gifted leader(1),gifted designer(1),gifted business strategist(1),business model(1),marketing(1),aesthetics(1), </v>
      </c>
      <c r="J127" s="27" t="str">
        <f t="shared" si="12"/>
        <v xml:space="preserve">enthusiasm(2),network among members(1),gifted leader(2),gifted programmer(2),fun-ness(1),seriousness(1),team building(2), </v>
      </c>
      <c r="K127" s="27" t="str">
        <f t="shared" si="13"/>
        <v xml:space="preserve"> </v>
      </c>
      <c r="L127" s="27" t="str">
        <f t="shared" si="14"/>
        <v xml:space="preserve">disposable money(2),software(1),servers(1),field knowledge(3), </v>
      </c>
      <c r="M127" s="27" t="str">
        <f t="shared" si="15"/>
        <v xml:space="preserve">field knowledge(3),gifted programmer(2),gifted designer(2),finance(2),investors(2),law(2),finance(2),marketing(2), </v>
      </c>
      <c r="N127" s="27" t="str">
        <f t="shared" si="16"/>
        <v xml:space="preserve">disposable money(-2), </v>
      </c>
      <c r="O127" s="27" t="str">
        <f t="shared" si="17"/>
        <v xml:space="preserve">servers(3), </v>
      </c>
      <c r="P127" s="27" t="str">
        <f t="shared" si="18"/>
        <v xml:space="preserve"> </v>
      </c>
      <c r="Q127" s="27" t="str">
        <f t="shared" si="19"/>
        <v xml:space="preserve"> </v>
      </c>
      <c r="R127" s="27" t="str">
        <f t="shared" si="20"/>
        <v xml:space="preserve"> </v>
      </c>
      <c r="S127" s="27" t="str">
        <f t="shared" si="21"/>
        <v xml:space="preserve"> </v>
      </c>
      <c r="T127" s="27" t="str">
        <f t="shared" si="22"/>
        <v xml:space="preserve"> </v>
      </c>
      <c r="U127" s="27" t="str">
        <f t="shared" si="23"/>
        <v xml:space="preserve"> </v>
      </c>
      <c r="V127" s="27" t="str">
        <f t="shared" si="24"/>
        <v xml:space="preserve">software(2),servers(2),investors(3),media(1),technologists(2),spaciousness(1), </v>
      </c>
      <c r="W127" s="27" t="str">
        <f t="shared" si="25"/>
        <v xml:space="preserve"> </v>
      </c>
      <c r="X127" s="27" t="str">
        <f t="shared" si="26"/>
        <v xml:space="preserve"> </v>
      </c>
      <c r="Y127" s="27" t="str">
        <f t="shared" si="27"/>
        <v xml:space="preserve"> </v>
      </c>
      <c r="Z127" s="27" t="str">
        <f t="shared" si="28"/>
        <v xml:space="preserve"> </v>
      </c>
      <c r="AA127" s="27" t="str">
        <f t="shared" si="29"/>
        <v xml:space="preserve"> </v>
      </c>
      <c r="AB127" s="27" t="str">
        <f t="shared" si="30"/>
        <v xml:space="preserve"> </v>
      </c>
      <c r="AC127" s="27" t="str">
        <f t="shared" si="31"/>
        <v xml:space="preserve"> </v>
      </c>
      <c r="AD127" s="27" t="str">
        <f t="shared" si="32"/>
        <v xml:space="preserve"> </v>
      </c>
      <c r="AE127" s="27" t="str">
        <f t="shared" si="33"/>
        <v xml:space="preserve"> </v>
      </c>
      <c r="AF127" s="27" t="str">
        <f t="shared" si="34"/>
        <v xml:space="preserve"> </v>
      </c>
      <c r="AG127" s="27" t="str">
        <f t="shared" si="35"/>
        <v xml:space="preserve"> </v>
      </c>
    </row>
    <row r="128" spans="1:33" ht="15.75" customHeight="1">
      <c r="A128" s="9">
        <f t="shared" ref="A128:C128" si="41">A13</f>
        <v>0</v>
      </c>
      <c r="B128" s="9">
        <f t="shared" si="41"/>
        <v>0</v>
      </c>
      <c r="C128" s="9" t="str">
        <f t="shared" si="41"/>
        <v>disposable money</v>
      </c>
      <c r="D128" s="27" t="str">
        <f t="shared" si="6"/>
        <v xml:space="preserve">disposable money(2),software(1),servers(1),scale(1),enthusiasm(1),learning capacities(1),engineering knowledge(1),scale(1),enthusiasm(1),ambition(1),web(1), </v>
      </c>
      <c r="E128" s="27" t="str">
        <f t="shared" si="7"/>
        <v xml:space="preserve">disposable money(-1), </v>
      </c>
      <c r="F128" s="27" t="str">
        <f t="shared" si="8"/>
        <v xml:space="preserve">software(1),servers(1),enthusiasm(1),gifted leader(1),gifted programmer(1),gifted designer(1),fun-ness(1),web(1),aesthetics(1),functions(1),interaction(1), </v>
      </c>
      <c r="G128" s="27" t="str">
        <f t="shared" si="9"/>
        <v xml:space="preserve">software(1),servers(1),enthusiasm(1),learning capacities(1),engineering knowledge(1),gifted leader(1),gifted programmer(1),gifted designer(1),gifted business strategist(1),seriousness(1),technologists(0.5),business model(1),web(1), </v>
      </c>
      <c r="H128" s="27" t="str">
        <f t="shared" si="10"/>
        <v xml:space="preserve">software(1),servers(1),enthusiasm(1),learning capacities(1),engineering knowledge(1),gifted leader(1),gifted programmer(1),gifted designer(1),gifted business strategist(1),seriousness(1),technologists(0.5),web(1),aesthetics(1),interaction(1), </v>
      </c>
      <c r="I128" s="27" t="str">
        <f t="shared" si="11"/>
        <v xml:space="preserve">software(1),servers(1),enthusiasm(1),learning capacities(1),field knowledge(2),gifted leader(1),gifted designer(1),gifted business strategist(1),business model(1),marketing(1),aesthetics(1), </v>
      </c>
      <c r="J128" s="27" t="str">
        <f t="shared" si="12"/>
        <v xml:space="preserve">enthusiasm(2),network among members(1),gifted leader(2),gifted programmer(2),fun-ness(1),seriousness(1),team building(2), </v>
      </c>
      <c r="K128" s="27" t="str">
        <f t="shared" si="13"/>
        <v xml:space="preserve"> </v>
      </c>
      <c r="L128" s="27" t="str">
        <f t="shared" si="14"/>
        <v xml:space="preserve">disposable money(2),software(1),servers(1),field knowledge(3), </v>
      </c>
      <c r="M128" s="27" t="str">
        <f t="shared" si="15"/>
        <v xml:space="preserve">field knowledge(3),gifted programmer(2),gifted designer(2),finance(2),investors(2),law(2),finance(2),marketing(2), </v>
      </c>
      <c r="N128" s="27" t="str">
        <f t="shared" si="16"/>
        <v xml:space="preserve">disposable money(-2), </v>
      </c>
      <c r="O128" s="27" t="str">
        <f t="shared" si="17"/>
        <v xml:space="preserve">servers(3), </v>
      </c>
      <c r="P128" s="27" t="str">
        <f t="shared" si="18"/>
        <v xml:space="preserve"> </v>
      </c>
      <c r="Q128" s="27" t="str">
        <f t="shared" si="19"/>
        <v xml:space="preserve"> </v>
      </c>
      <c r="R128" s="27" t="str">
        <f t="shared" si="20"/>
        <v xml:space="preserve"> </v>
      </c>
      <c r="S128" s="27" t="str">
        <f t="shared" si="21"/>
        <v xml:space="preserve"> </v>
      </c>
      <c r="T128" s="27" t="str">
        <f t="shared" si="22"/>
        <v xml:space="preserve"> </v>
      </c>
      <c r="U128" s="27" t="str">
        <f t="shared" si="23"/>
        <v xml:space="preserve"> </v>
      </c>
      <c r="V128" s="27" t="str">
        <f t="shared" si="24"/>
        <v xml:space="preserve">software(2),servers(2),investors(3),media(1),technologists(2),spaciousness(1), </v>
      </c>
      <c r="W128" s="27" t="str">
        <f t="shared" si="25"/>
        <v xml:space="preserve"> </v>
      </c>
      <c r="X128" s="27" t="str">
        <f t="shared" si="26"/>
        <v xml:space="preserve"> </v>
      </c>
      <c r="Y128" s="27" t="str">
        <f t="shared" si="27"/>
        <v xml:space="preserve"> </v>
      </c>
      <c r="Z128" s="27" t="str">
        <f t="shared" si="28"/>
        <v xml:space="preserve"> </v>
      </c>
      <c r="AA128" s="27" t="str">
        <f t="shared" si="29"/>
        <v xml:space="preserve"> </v>
      </c>
      <c r="AB128" s="27" t="str">
        <f t="shared" si="30"/>
        <v xml:space="preserve"> </v>
      </c>
      <c r="AC128" s="27" t="str">
        <f t="shared" si="31"/>
        <v xml:space="preserve"> </v>
      </c>
      <c r="AD128" s="27" t="str">
        <f t="shared" si="32"/>
        <v xml:space="preserve"> </v>
      </c>
      <c r="AE128" s="27" t="str">
        <f t="shared" si="33"/>
        <v xml:space="preserve"> </v>
      </c>
      <c r="AF128" s="27" t="str">
        <f t="shared" si="34"/>
        <v xml:space="preserve"> </v>
      </c>
      <c r="AG128" s="27" t="str">
        <f t="shared" si="35"/>
        <v xml:space="preserve"> </v>
      </c>
    </row>
    <row r="129" spans="1:33" ht="15.75" customHeight="1">
      <c r="A129" s="9">
        <f t="shared" ref="A129:C129" si="42">A14</f>
        <v>0</v>
      </c>
      <c r="B129" s="9">
        <f t="shared" si="42"/>
        <v>0</v>
      </c>
      <c r="C129" s="9" t="str">
        <f t="shared" si="42"/>
        <v>profit-loss</v>
      </c>
      <c r="D129" s="27" t="str">
        <f t="shared" si="6"/>
        <v xml:space="preserve">software(1),servers(1),scale(1),enthusiasm(1),learning capacities(1),engineering knowledge(1),scale(1),enthusiasm(1),ambition(1),web(1), </v>
      </c>
      <c r="E129" s="27" t="str">
        <f t="shared" si="7"/>
        <v xml:space="preserve"> </v>
      </c>
      <c r="F129" s="27" t="str">
        <f t="shared" si="8"/>
        <v xml:space="preserve">software(1),servers(1),enthusiasm(1),gifted leader(1),gifted programmer(1),gifted designer(1),fun-ness(1),web(1),aesthetics(1),functions(1),interaction(1), </v>
      </c>
      <c r="G129" s="27" t="str">
        <f t="shared" si="9"/>
        <v xml:space="preserve">software(1),servers(1),enthusiasm(1),learning capacities(1),engineering knowledge(1),gifted leader(1),gifted programmer(1),gifted designer(1),gifted business strategist(1),seriousness(1),technologists(0.5),business model(1),web(1), </v>
      </c>
      <c r="H129" s="27" t="str">
        <f t="shared" si="10"/>
        <v xml:space="preserve">software(1),servers(1),enthusiasm(1),learning capacities(1),engineering knowledge(1),gifted leader(1),gifted programmer(1),gifted designer(1),gifted business strategist(1),seriousness(1),technologists(0.5),web(1),aesthetics(1),interaction(1), </v>
      </c>
      <c r="I129" s="27" t="str">
        <f t="shared" si="11"/>
        <v xml:space="preserve">software(1),servers(1),enthusiasm(1),learning capacities(1),field knowledge(2),gifted leader(1),gifted designer(1),gifted business strategist(1),business model(1),marketing(1),aesthetics(1), </v>
      </c>
      <c r="J129" s="27" t="str">
        <f t="shared" si="12"/>
        <v xml:space="preserve">enthusiasm(2),network among members(1),gifted leader(2),gifted programmer(2),fun-ness(1),seriousness(1),team building(2), </v>
      </c>
      <c r="K129" s="27" t="str">
        <f t="shared" si="13"/>
        <v xml:space="preserve"> </v>
      </c>
      <c r="L129" s="27" t="str">
        <f t="shared" si="14"/>
        <v xml:space="preserve">software(1),servers(1),field knowledge(3), </v>
      </c>
      <c r="M129" s="27" t="str">
        <f t="shared" si="15"/>
        <v xml:space="preserve">field knowledge(3),gifted programmer(2),gifted designer(2),finance(2),investors(2),law(2),finance(2),marketing(2), </v>
      </c>
      <c r="N129" s="27" t="str">
        <f t="shared" si="16"/>
        <v xml:space="preserve"> </v>
      </c>
      <c r="O129" s="27" t="str">
        <f t="shared" si="17"/>
        <v xml:space="preserve">servers(3), </v>
      </c>
      <c r="P129" s="27" t="str">
        <f t="shared" si="18"/>
        <v xml:space="preserve"> </v>
      </c>
      <c r="Q129" s="27" t="str">
        <f t="shared" si="19"/>
        <v xml:space="preserve"> </v>
      </c>
      <c r="R129" s="27" t="str">
        <f t="shared" si="20"/>
        <v xml:space="preserve"> </v>
      </c>
      <c r="S129" s="27" t="str">
        <f t="shared" si="21"/>
        <v xml:space="preserve"> </v>
      </c>
      <c r="T129" s="27" t="str">
        <f t="shared" si="22"/>
        <v xml:space="preserve"> </v>
      </c>
      <c r="U129" s="27" t="str">
        <f t="shared" si="23"/>
        <v xml:space="preserve"> </v>
      </c>
      <c r="V129" s="27" t="str">
        <f t="shared" si="24"/>
        <v xml:space="preserve">software(2),servers(2),investors(3),media(1),technologists(2),spaciousness(1), </v>
      </c>
      <c r="W129" s="27" t="str">
        <f t="shared" si="25"/>
        <v xml:space="preserve"> </v>
      </c>
      <c r="X129" s="27" t="str">
        <f t="shared" si="26"/>
        <v xml:space="preserve"> </v>
      </c>
      <c r="Y129" s="27" t="str">
        <f t="shared" si="27"/>
        <v xml:space="preserve"> </v>
      </c>
      <c r="Z129" s="27" t="str">
        <f t="shared" si="28"/>
        <v xml:space="preserve"> </v>
      </c>
      <c r="AA129" s="27" t="str">
        <f t="shared" si="29"/>
        <v xml:space="preserve"> </v>
      </c>
      <c r="AB129" s="27" t="str">
        <f t="shared" si="30"/>
        <v xml:space="preserve"> </v>
      </c>
      <c r="AC129" s="27" t="str">
        <f t="shared" si="31"/>
        <v xml:space="preserve"> </v>
      </c>
      <c r="AD129" s="27" t="str">
        <f t="shared" si="32"/>
        <v xml:space="preserve"> </v>
      </c>
      <c r="AE129" s="27" t="str">
        <f t="shared" si="33"/>
        <v xml:space="preserve"> </v>
      </c>
      <c r="AF129" s="27" t="str">
        <f t="shared" si="34"/>
        <v xml:space="preserve"> </v>
      </c>
      <c r="AG129" s="27" t="str">
        <f t="shared" si="35"/>
        <v xml:space="preserve"> </v>
      </c>
    </row>
    <row r="130" spans="1:33" ht="15.75" customHeight="1">
      <c r="A130" s="9">
        <f t="shared" ref="A130:C130" si="43">A15</f>
        <v>0</v>
      </c>
      <c r="B130" s="9">
        <f t="shared" si="43"/>
        <v>0</v>
      </c>
      <c r="C130" s="9" t="str">
        <f t="shared" si="43"/>
        <v>asset-debt</v>
      </c>
      <c r="D130" s="27" t="str">
        <f t="shared" si="6"/>
        <v xml:space="preserve">software(1),servers(1),scale(1),enthusiasm(1),learning capacities(1),engineering knowledge(1),scale(1),enthusiasm(1),ambition(1),web(1), </v>
      </c>
      <c r="E130" s="27" t="str">
        <f t="shared" si="7"/>
        <v xml:space="preserve"> </v>
      </c>
      <c r="F130" s="27" t="str">
        <f t="shared" si="8"/>
        <v xml:space="preserve">software(1),servers(1),enthusiasm(1),gifted leader(1),gifted programmer(1),gifted designer(1),fun-ness(1),web(1),aesthetics(1),functions(1),interaction(1), </v>
      </c>
      <c r="G130" s="27" t="str">
        <f t="shared" si="9"/>
        <v xml:space="preserve">software(1),servers(1),enthusiasm(1),learning capacities(1),engineering knowledge(1),gifted leader(1),gifted programmer(1),gifted designer(1),gifted business strategist(1),seriousness(1),technologists(0.5),business model(1),web(1), </v>
      </c>
      <c r="H130" s="27" t="str">
        <f t="shared" si="10"/>
        <v xml:space="preserve">software(1),servers(1),enthusiasm(1),learning capacities(1),engineering knowledge(1),gifted leader(1),gifted programmer(1),gifted designer(1),gifted business strategist(1),seriousness(1),technologists(0.5),web(1),aesthetics(1),interaction(1), </v>
      </c>
      <c r="I130" s="27" t="str">
        <f t="shared" si="11"/>
        <v xml:space="preserve">software(1),servers(1),enthusiasm(1),learning capacities(1),field knowledge(2),gifted leader(1),gifted designer(1),gifted business strategist(1),business model(1),marketing(1),aesthetics(1), </v>
      </c>
      <c r="J130" s="27" t="str">
        <f t="shared" si="12"/>
        <v xml:space="preserve">enthusiasm(2),network among members(1),gifted leader(2),gifted programmer(2),fun-ness(1),seriousness(1),team building(2), </v>
      </c>
      <c r="K130" s="27" t="str">
        <f t="shared" si="13"/>
        <v xml:space="preserve"> </v>
      </c>
      <c r="L130" s="27" t="str">
        <f t="shared" si="14"/>
        <v xml:space="preserve">software(1),servers(1),field knowledge(3), </v>
      </c>
      <c r="M130" s="27" t="str">
        <f t="shared" si="15"/>
        <v xml:space="preserve">field knowledge(3),gifted programmer(2),gifted designer(2),finance(2),investors(2),law(2),finance(2),marketing(2), </v>
      </c>
      <c r="N130" s="27" t="str">
        <f t="shared" si="16"/>
        <v xml:space="preserve"> </v>
      </c>
      <c r="O130" s="27" t="str">
        <f t="shared" si="17"/>
        <v xml:space="preserve">servers(3), </v>
      </c>
      <c r="P130" s="27" t="str">
        <f t="shared" si="18"/>
        <v xml:space="preserve"> </v>
      </c>
      <c r="Q130" s="27" t="str">
        <f t="shared" si="19"/>
        <v xml:space="preserve"> </v>
      </c>
      <c r="R130" s="27" t="str">
        <f t="shared" si="20"/>
        <v xml:space="preserve"> </v>
      </c>
      <c r="S130" s="27" t="str">
        <f t="shared" si="21"/>
        <v xml:space="preserve"> </v>
      </c>
      <c r="T130" s="27" t="str">
        <f t="shared" si="22"/>
        <v xml:space="preserve"> </v>
      </c>
      <c r="U130" s="27" t="str">
        <f t="shared" si="23"/>
        <v xml:space="preserve"> </v>
      </c>
      <c r="V130" s="27" t="str">
        <f t="shared" si="24"/>
        <v xml:space="preserve">software(2),servers(2),investors(3),media(1),technologists(2),spaciousness(1), </v>
      </c>
      <c r="W130" s="27" t="str">
        <f t="shared" si="25"/>
        <v xml:space="preserve"> </v>
      </c>
      <c r="X130" s="27" t="str">
        <f t="shared" si="26"/>
        <v xml:space="preserve"> </v>
      </c>
      <c r="Y130" s="27" t="str">
        <f t="shared" si="27"/>
        <v xml:space="preserve"> </v>
      </c>
      <c r="Z130" s="27" t="str">
        <f t="shared" si="28"/>
        <v xml:space="preserve"> </v>
      </c>
      <c r="AA130" s="27" t="str">
        <f t="shared" si="29"/>
        <v xml:space="preserve"> </v>
      </c>
      <c r="AB130" s="27" t="str">
        <f t="shared" si="30"/>
        <v xml:space="preserve"> </v>
      </c>
      <c r="AC130" s="27" t="str">
        <f t="shared" si="31"/>
        <v xml:space="preserve"> </v>
      </c>
      <c r="AD130" s="27" t="str">
        <f t="shared" si="32"/>
        <v xml:space="preserve"> </v>
      </c>
      <c r="AE130" s="27" t="str">
        <f t="shared" si="33"/>
        <v xml:space="preserve"> </v>
      </c>
      <c r="AF130" s="27" t="str">
        <f t="shared" si="34"/>
        <v xml:space="preserve"> </v>
      </c>
      <c r="AG130" s="27" t="str">
        <f t="shared" si="35"/>
        <v xml:space="preserve"> </v>
      </c>
    </row>
    <row r="131" spans="1:33" ht="15.75" customHeight="1">
      <c r="A131" s="9">
        <f t="shared" ref="A131:C131" si="44">A16</f>
        <v>0</v>
      </c>
      <c r="B131" s="9">
        <f t="shared" si="44"/>
        <v>0</v>
      </c>
      <c r="C131" s="9" t="str">
        <f t="shared" si="44"/>
        <v>credit</v>
      </c>
      <c r="D131" s="27" t="str">
        <f t="shared" si="6"/>
        <v xml:space="preserve">software(1),servers(1),scale(1),enthusiasm(1),learning capacities(1),engineering knowledge(1),scale(1),enthusiasm(1),ambition(1),web(1), </v>
      </c>
      <c r="E131" s="27" t="str">
        <f t="shared" si="7"/>
        <v xml:space="preserve"> </v>
      </c>
      <c r="F131" s="27" t="str">
        <f t="shared" si="8"/>
        <v xml:space="preserve">software(1),servers(1),enthusiasm(1),gifted leader(1),gifted programmer(1),gifted designer(1),fun-ness(1),web(1),aesthetics(1),functions(1),interaction(1), </v>
      </c>
      <c r="G131" s="27" t="str">
        <f t="shared" si="9"/>
        <v xml:space="preserve">software(1),servers(1),enthusiasm(1),learning capacities(1),engineering knowledge(1),gifted leader(1),gifted programmer(1),gifted designer(1),gifted business strategist(1),seriousness(1),technologists(0.5),business model(1),web(1), </v>
      </c>
      <c r="H131" s="27" t="str">
        <f t="shared" si="10"/>
        <v xml:space="preserve">software(1),servers(1),enthusiasm(1),learning capacities(1),engineering knowledge(1),gifted leader(1),gifted programmer(1),gifted designer(1),gifted business strategist(1),seriousness(1),technologists(0.5),web(1),aesthetics(1),interaction(1), </v>
      </c>
      <c r="I131" s="27" t="str">
        <f t="shared" si="11"/>
        <v xml:space="preserve">software(1),servers(1),enthusiasm(1),learning capacities(1),field knowledge(2),gifted leader(1),gifted designer(1),gifted business strategist(1),business model(1),marketing(1),aesthetics(1), </v>
      </c>
      <c r="J131" s="27" t="str">
        <f t="shared" si="12"/>
        <v xml:space="preserve">enthusiasm(2),network among members(1),gifted leader(2),gifted programmer(2),fun-ness(1),seriousness(1),team building(2), </v>
      </c>
      <c r="K131" s="27" t="str">
        <f t="shared" si="13"/>
        <v xml:space="preserve"> </v>
      </c>
      <c r="L131" s="27" t="str">
        <f t="shared" si="14"/>
        <v xml:space="preserve">software(1),servers(1),field knowledge(3), </v>
      </c>
      <c r="M131" s="27" t="str">
        <f t="shared" si="15"/>
        <v xml:space="preserve">field knowledge(3),gifted programmer(2),gifted designer(2),finance(2),investors(2),law(2),finance(2),marketing(2), </v>
      </c>
      <c r="N131" s="27" t="str">
        <f t="shared" si="16"/>
        <v xml:space="preserve"> </v>
      </c>
      <c r="O131" s="27" t="str">
        <f t="shared" si="17"/>
        <v xml:space="preserve">servers(3), </v>
      </c>
      <c r="P131" s="27" t="str">
        <f t="shared" si="18"/>
        <v xml:space="preserve"> </v>
      </c>
      <c r="Q131" s="27" t="str">
        <f t="shared" si="19"/>
        <v xml:space="preserve"> </v>
      </c>
      <c r="R131" s="27" t="str">
        <f t="shared" si="20"/>
        <v xml:space="preserve"> </v>
      </c>
      <c r="S131" s="27" t="str">
        <f t="shared" si="21"/>
        <v xml:space="preserve"> </v>
      </c>
      <c r="T131" s="27" t="str">
        <f t="shared" si="22"/>
        <v xml:space="preserve"> </v>
      </c>
      <c r="U131" s="27" t="str">
        <f t="shared" si="23"/>
        <v xml:space="preserve"> </v>
      </c>
      <c r="V131" s="27" t="str">
        <f t="shared" si="24"/>
        <v xml:space="preserve">software(2),servers(2),investors(3),media(1),technologists(2),spaciousness(1), </v>
      </c>
      <c r="W131" s="27" t="str">
        <f t="shared" si="25"/>
        <v xml:space="preserve"> </v>
      </c>
      <c r="X131" s="27" t="str">
        <f t="shared" si="26"/>
        <v xml:space="preserve"> </v>
      </c>
      <c r="Y131" s="27" t="str">
        <f t="shared" si="27"/>
        <v xml:space="preserve"> </v>
      </c>
      <c r="Z131" s="27" t="str">
        <f t="shared" si="28"/>
        <v xml:space="preserve"> </v>
      </c>
      <c r="AA131" s="27" t="str">
        <f t="shared" si="29"/>
        <v xml:space="preserve"> </v>
      </c>
      <c r="AB131" s="27" t="str">
        <f t="shared" si="30"/>
        <v xml:space="preserve"> </v>
      </c>
      <c r="AC131" s="27" t="str">
        <f t="shared" si="31"/>
        <v xml:space="preserve"> </v>
      </c>
      <c r="AD131" s="27" t="str">
        <f t="shared" si="32"/>
        <v xml:space="preserve"> </v>
      </c>
      <c r="AE131" s="27" t="str">
        <f t="shared" si="33"/>
        <v xml:space="preserve"> </v>
      </c>
      <c r="AF131" s="27" t="str">
        <f t="shared" si="34"/>
        <v xml:space="preserve"> </v>
      </c>
      <c r="AG131" s="27" t="str">
        <f t="shared" si="35"/>
        <v xml:space="preserve"> </v>
      </c>
    </row>
    <row r="132" spans="1:33" ht="15.75" customHeight="1">
      <c r="A132" s="9">
        <f t="shared" ref="A132:C132" si="45">A17</f>
        <v>0</v>
      </c>
      <c r="B132" s="9" t="str">
        <f t="shared" si="45"/>
        <v>facilities</v>
      </c>
      <c r="C132" s="9" t="str">
        <f t="shared" si="45"/>
        <v>software</v>
      </c>
      <c r="D132" s="27" t="str">
        <f t="shared" si="6"/>
        <v xml:space="preserve">software(1),servers(1),scale(1),enthusiasm(1),learning capacities(1),engineering knowledge(1),scale(1),enthusiasm(1),ambition(1),web(1), </v>
      </c>
      <c r="E132" s="27" t="str">
        <f t="shared" si="7"/>
        <v xml:space="preserve"> </v>
      </c>
      <c r="F132" s="27" t="str">
        <f t="shared" si="8"/>
        <v xml:space="preserve">software(1),servers(1),enthusiasm(1),gifted leader(1),gifted programmer(1),gifted designer(1),fun-ness(1),web(1),aesthetics(1),functions(1),interaction(1), </v>
      </c>
      <c r="G132" s="27" t="str">
        <f t="shared" si="9"/>
        <v xml:space="preserve">software(1),servers(1),enthusiasm(1),learning capacities(1),engineering knowledge(1),gifted leader(1),gifted programmer(1),gifted designer(1),gifted business strategist(1),seriousness(1),technologists(0.5),business model(1),web(1), </v>
      </c>
      <c r="H132" s="27" t="str">
        <f t="shared" si="10"/>
        <v xml:space="preserve">software(1),servers(1),enthusiasm(1),learning capacities(1),engineering knowledge(1),gifted leader(1),gifted programmer(1),gifted designer(1),gifted business strategist(1),seriousness(1),technologists(0.5),web(1),aesthetics(1),interaction(1), </v>
      </c>
      <c r="I132" s="27" t="str">
        <f t="shared" si="11"/>
        <v xml:space="preserve">software(1),servers(1),enthusiasm(1),learning capacities(1),field knowledge(2),gifted leader(1),gifted designer(1),gifted business strategist(1),business model(1),marketing(1),aesthetics(1), </v>
      </c>
      <c r="J132" s="27" t="str">
        <f t="shared" si="12"/>
        <v xml:space="preserve">enthusiasm(2),network among members(1),gifted leader(2),gifted programmer(2),fun-ness(1),seriousness(1),team building(2), </v>
      </c>
      <c r="K132" s="27" t="str">
        <f t="shared" si="13"/>
        <v xml:space="preserve"> </v>
      </c>
      <c r="L132" s="27" t="str">
        <f t="shared" si="14"/>
        <v xml:space="preserve">software(1),servers(1),field knowledge(3), </v>
      </c>
      <c r="M132" s="27" t="str">
        <f t="shared" si="15"/>
        <v xml:space="preserve">field knowledge(3),gifted programmer(2),gifted designer(2),finance(2),investors(2),law(2),finance(2),marketing(2), </v>
      </c>
      <c r="N132" s="27" t="str">
        <f t="shared" si="16"/>
        <v xml:space="preserve"> </v>
      </c>
      <c r="O132" s="27" t="str">
        <f t="shared" si="17"/>
        <v xml:space="preserve">servers(3), </v>
      </c>
      <c r="P132" s="27" t="str">
        <f t="shared" si="18"/>
        <v xml:space="preserve"> </v>
      </c>
      <c r="Q132" s="27" t="str">
        <f t="shared" si="19"/>
        <v xml:space="preserve"> </v>
      </c>
      <c r="R132" s="27" t="str">
        <f t="shared" si="20"/>
        <v xml:space="preserve"> </v>
      </c>
      <c r="S132" s="27" t="str">
        <f t="shared" si="21"/>
        <v xml:space="preserve"> </v>
      </c>
      <c r="T132" s="27" t="str">
        <f t="shared" si="22"/>
        <v xml:space="preserve"> </v>
      </c>
      <c r="U132" s="27" t="str">
        <f t="shared" si="23"/>
        <v xml:space="preserve"> </v>
      </c>
      <c r="V132" s="27" t="str">
        <f t="shared" si="24"/>
        <v xml:space="preserve">software(2),servers(2),investors(3),media(1),technologists(2),spaciousness(1), </v>
      </c>
      <c r="W132" s="27" t="str">
        <f t="shared" si="25"/>
        <v xml:space="preserve"> </v>
      </c>
      <c r="X132" s="27" t="str">
        <f t="shared" si="26"/>
        <v xml:space="preserve"> </v>
      </c>
      <c r="Y132" s="27" t="str">
        <f t="shared" si="27"/>
        <v xml:space="preserve"> </v>
      </c>
      <c r="Z132" s="27" t="str">
        <f t="shared" si="28"/>
        <v xml:space="preserve"> </v>
      </c>
      <c r="AA132" s="27" t="str">
        <f t="shared" si="29"/>
        <v xml:space="preserve"> </v>
      </c>
      <c r="AB132" s="27" t="str">
        <f t="shared" si="30"/>
        <v xml:space="preserve"> </v>
      </c>
      <c r="AC132" s="27" t="str">
        <f t="shared" si="31"/>
        <v xml:space="preserve"> </v>
      </c>
      <c r="AD132" s="27" t="str">
        <f t="shared" si="32"/>
        <v xml:space="preserve"> </v>
      </c>
      <c r="AE132" s="27" t="str">
        <f t="shared" si="33"/>
        <v xml:space="preserve"> </v>
      </c>
      <c r="AF132" s="27" t="str">
        <f t="shared" si="34"/>
        <v xml:space="preserve"> </v>
      </c>
      <c r="AG132" s="27" t="str">
        <f t="shared" si="35"/>
        <v xml:space="preserve"> </v>
      </c>
    </row>
    <row r="133" spans="1:33" ht="15.75" customHeight="1">
      <c r="A133" s="9">
        <f t="shared" ref="A133:C133" si="46">A18</f>
        <v>0</v>
      </c>
      <c r="B133" s="9">
        <f t="shared" si="46"/>
        <v>0</v>
      </c>
      <c r="C133" s="9" t="str">
        <f t="shared" si="46"/>
        <v>servers</v>
      </c>
      <c r="D133" s="27" t="str">
        <f t="shared" si="6"/>
        <v xml:space="preserve">servers(1),scale(1),enthusiasm(1),learning capacities(1),engineering knowledge(1),scale(1),enthusiasm(1),ambition(1),web(1), </v>
      </c>
      <c r="E133" s="27" t="str">
        <f t="shared" si="7"/>
        <v xml:space="preserve"> </v>
      </c>
      <c r="F133" s="27" t="str">
        <f t="shared" si="8"/>
        <v xml:space="preserve">servers(1),enthusiasm(1),gifted leader(1),gifted programmer(1),gifted designer(1),fun-ness(1),web(1),aesthetics(1),functions(1),interaction(1), </v>
      </c>
      <c r="G133" s="27" t="str">
        <f t="shared" si="9"/>
        <v xml:space="preserve">servers(1),enthusiasm(1),learning capacities(1),engineering knowledge(1),gifted leader(1),gifted programmer(1),gifted designer(1),gifted business strategist(1),seriousness(1),technologists(0.5),business model(1),web(1), </v>
      </c>
      <c r="H133" s="27" t="str">
        <f t="shared" si="10"/>
        <v xml:space="preserve">servers(1),enthusiasm(1),learning capacities(1),engineering knowledge(1),gifted leader(1),gifted programmer(1),gifted designer(1),gifted business strategist(1),seriousness(1),technologists(0.5),web(1),aesthetics(1),interaction(1), </v>
      </c>
      <c r="I133" s="27" t="str">
        <f t="shared" si="11"/>
        <v xml:space="preserve">servers(1),enthusiasm(1),learning capacities(1),field knowledge(2),gifted leader(1),gifted designer(1),gifted business strategist(1),business model(1),marketing(1),aesthetics(1), </v>
      </c>
      <c r="J133" s="27" t="str">
        <f t="shared" si="12"/>
        <v xml:space="preserve">enthusiasm(2),network among members(1),gifted leader(2),gifted programmer(2),fun-ness(1),seriousness(1),team building(2), </v>
      </c>
      <c r="K133" s="27" t="str">
        <f t="shared" si="13"/>
        <v xml:space="preserve"> </v>
      </c>
      <c r="L133" s="27" t="str">
        <f t="shared" si="14"/>
        <v xml:space="preserve">servers(1),field knowledge(3), </v>
      </c>
      <c r="M133" s="27" t="str">
        <f t="shared" si="15"/>
        <v xml:space="preserve">field knowledge(3),gifted programmer(2),gifted designer(2),finance(2),investors(2),law(2),finance(2),marketing(2), </v>
      </c>
      <c r="N133" s="27" t="str">
        <f t="shared" si="16"/>
        <v xml:space="preserve"> </v>
      </c>
      <c r="O133" s="27" t="str">
        <f t="shared" si="17"/>
        <v xml:space="preserve">servers(3), </v>
      </c>
      <c r="P133" s="27" t="str">
        <f t="shared" si="18"/>
        <v xml:space="preserve"> </v>
      </c>
      <c r="Q133" s="27" t="str">
        <f t="shared" si="19"/>
        <v xml:space="preserve"> </v>
      </c>
      <c r="R133" s="27" t="str">
        <f t="shared" si="20"/>
        <v xml:space="preserve"> </v>
      </c>
      <c r="S133" s="27" t="str">
        <f t="shared" si="21"/>
        <v xml:space="preserve"> </v>
      </c>
      <c r="T133" s="27" t="str">
        <f t="shared" si="22"/>
        <v xml:space="preserve"> </v>
      </c>
      <c r="U133" s="27" t="str">
        <f t="shared" si="23"/>
        <v xml:space="preserve"> </v>
      </c>
      <c r="V133" s="27" t="str">
        <f t="shared" si="24"/>
        <v xml:space="preserve">servers(2),investors(3),media(1),technologists(2),spaciousness(1), </v>
      </c>
      <c r="W133" s="27" t="str">
        <f t="shared" si="25"/>
        <v xml:space="preserve"> </v>
      </c>
      <c r="X133" s="27" t="str">
        <f t="shared" si="26"/>
        <v xml:space="preserve"> </v>
      </c>
      <c r="Y133" s="27" t="str">
        <f t="shared" si="27"/>
        <v xml:space="preserve"> </v>
      </c>
      <c r="Z133" s="27" t="str">
        <f t="shared" si="28"/>
        <v xml:space="preserve"> </v>
      </c>
      <c r="AA133" s="27" t="str">
        <f t="shared" si="29"/>
        <v xml:space="preserve"> </v>
      </c>
      <c r="AB133" s="27" t="str">
        <f t="shared" si="30"/>
        <v xml:space="preserve"> </v>
      </c>
      <c r="AC133" s="27" t="str">
        <f t="shared" si="31"/>
        <v xml:space="preserve"> </v>
      </c>
      <c r="AD133" s="27" t="str">
        <f t="shared" si="32"/>
        <v xml:space="preserve"> </v>
      </c>
      <c r="AE133" s="27" t="str">
        <f t="shared" si="33"/>
        <v xml:space="preserve"> </v>
      </c>
      <c r="AF133" s="27" t="str">
        <f t="shared" si="34"/>
        <v xml:space="preserve"> </v>
      </c>
      <c r="AG133" s="27" t="str">
        <f t="shared" si="35"/>
        <v xml:space="preserve"> </v>
      </c>
    </row>
    <row r="134" spans="1:33" ht="15.75" customHeight="1">
      <c r="A134" s="9">
        <f t="shared" ref="A134:C134" si="47">A19</f>
        <v>0</v>
      </c>
      <c r="B134" s="9">
        <f t="shared" si="47"/>
        <v>0</v>
      </c>
      <c r="C134" s="9" t="str">
        <f t="shared" si="47"/>
        <v>wood</v>
      </c>
      <c r="D134" s="27" t="str">
        <f t="shared" si="6"/>
        <v xml:space="preserve">scale(1),enthusiasm(1),learning capacities(1),engineering knowledge(1),scale(1),enthusiasm(1),ambition(1),web(1), </v>
      </c>
      <c r="E134" s="27" t="str">
        <f t="shared" si="7"/>
        <v xml:space="preserve"> </v>
      </c>
      <c r="F134" s="27" t="str">
        <f t="shared" si="8"/>
        <v xml:space="preserve">enthusiasm(1),gifted leader(1),gifted programmer(1),gifted designer(1),fun-ness(1),web(1),aesthetics(1),functions(1),interaction(1), </v>
      </c>
      <c r="G134" s="27" t="str">
        <f t="shared" si="9"/>
        <v xml:space="preserve">enthusiasm(1),learning capacities(1),engineering knowledge(1),gifted leader(1),gifted programmer(1),gifted designer(1),gifted business strategist(1),seriousness(1),technologists(0.5),business model(1),web(1), </v>
      </c>
      <c r="H134" s="27" t="str">
        <f t="shared" si="10"/>
        <v xml:space="preserve">enthusiasm(1),learning capacities(1),engineering knowledge(1),gifted leader(1),gifted programmer(1),gifted designer(1),gifted business strategist(1),seriousness(1),technologists(0.5),web(1),aesthetics(1),interaction(1), </v>
      </c>
      <c r="I134" s="27" t="str">
        <f t="shared" si="11"/>
        <v xml:space="preserve">enthusiasm(1),learning capacities(1),field knowledge(2),gifted leader(1),gifted designer(1),gifted business strategist(1),business model(1),marketing(1),aesthetics(1), </v>
      </c>
      <c r="J134" s="27" t="str">
        <f t="shared" si="12"/>
        <v xml:space="preserve">enthusiasm(2),network among members(1),gifted leader(2),gifted programmer(2),fun-ness(1),seriousness(1),team building(2), </v>
      </c>
      <c r="K134" s="27" t="str">
        <f t="shared" si="13"/>
        <v xml:space="preserve"> </v>
      </c>
      <c r="L134" s="27" t="str">
        <f t="shared" si="14"/>
        <v xml:space="preserve">field knowledge(3), </v>
      </c>
      <c r="M134" s="27" t="str">
        <f t="shared" si="15"/>
        <v xml:space="preserve">field knowledge(3),gifted programmer(2),gifted designer(2),finance(2),investors(2),law(2),finance(2),marketing(2), </v>
      </c>
      <c r="N134" s="27" t="str">
        <f t="shared" si="16"/>
        <v xml:space="preserve"> </v>
      </c>
      <c r="O134" s="27" t="str">
        <f t="shared" si="17"/>
        <v xml:space="preserve"> </v>
      </c>
      <c r="P134" s="27" t="str">
        <f t="shared" si="18"/>
        <v xml:space="preserve"> </v>
      </c>
      <c r="Q134" s="27" t="str">
        <f t="shared" si="19"/>
        <v xml:space="preserve"> </v>
      </c>
      <c r="R134" s="27" t="str">
        <f t="shared" si="20"/>
        <v xml:space="preserve"> </v>
      </c>
      <c r="S134" s="27" t="str">
        <f t="shared" si="21"/>
        <v xml:space="preserve"> </v>
      </c>
      <c r="T134" s="27" t="str">
        <f t="shared" si="22"/>
        <v xml:space="preserve"> </v>
      </c>
      <c r="U134" s="27" t="str">
        <f t="shared" si="23"/>
        <v xml:space="preserve"> </v>
      </c>
      <c r="V134" s="27" t="str">
        <f t="shared" si="24"/>
        <v xml:space="preserve">investors(3),media(1),technologists(2),spaciousness(1), </v>
      </c>
      <c r="W134" s="27" t="str">
        <f t="shared" si="25"/>
        <v xml:space="preserve"> </v>
      </c>
      <c r="X134" s="27" t="str">
        <f t="shared" si="26"/>
        <v xml:space="preserve"> </v>
      </c>
      <c r="Y134" s="27" t="str">
        <f t="shared" si="27"/>
        <v xml:space="preserve"> </v>
      </c>
      <c r="Z134" s="27" t="str">
        <f t="shared" si="28"/>
        <v xml:space="preserve"> </v>
      </c>
      <c r="AA134" s="27" t="str">
        <f t="shared" si="29"/>
        <v xml:space="preserve"> </v>
      </c>
      <c r="AB134" s="27" t="str">
        <f t="shared" si="30"/>
        <v xml:space="preserve"> </v>
      </c>
      <c r="AC134" s="27" t="str">
        <f t="shared" si="31"/>
        <v xml:space="preserve"> </v>
      </c>
      <c r="AD134" s="27" t="str">
        <f t="shared" si="32"/>
        <v xml:space="preserve"> </v>
      </c>
      <c r="AE134" s="27" t="str">
        <f t="shared" si="33"/>
        <v xml:space="preserve"> </v>
      </c>
      <c r="AF134" s="27" t="str">
        <f t="shared" si="34"/>
        <v xml:space="preserve"> </v>
      </c>
      <c r="AG134" s="27" t="str">
        <f t="shared" si="35"/>
        <v xml:space="preserve"> </v>
      </c>
    </row>
    <row r="135" spans="1:33" ht="15.75" customHeight="1">
      <c r="A135" s="9">
        <f t="shared" ref="A135:C135" si="48">A20</f>
        <v>0</v>
      </c>
      <c r="B135" s="9">
        <f t="shared" si="48"/>
        <v>0</v>
      </c>
      <c r="C135" s="9" t="str">
        <f t="shared" si="48"/>
        <v>metal</v>
      </c>
      <c r="D135" s="27" t="str">
        <f t="shared" si="6"/>
        <v xml:space="preserve">scale(1),enthusiasm(1),learning capacities(1),engineering knowledge(1),scale(1),enthusiasm(1),ambition(1),web(1), </v>
      </c>
      <c r="E135" s="27" t="str">
        <f t="shared" si="7"/>
        <v xml:space="preserve"> </v>
      </c>
      <c r="F135" s="27" t="str">
        <f t="shared" si="8"/>
        <v xml:space="preserve">enthusiasm(1),gifted leader(1),gifted programmer(1),gifted designer(1),fun-ness(1),web(1),aesthetics(1),functions(1),interaction(1), </v>
      </c>
      <c r="G135" s="27" t="str">
        <f t="shared" si="9"/>
        <v xml:space="preserve">enthusiasm(1),learning capacities(1),engineering knowledge(1),gifted leader(1),gifted programmer(1),gifted designer(1),gifted business strategist(1),seriousness(1),technologists(0.5),business model(1),web(1), </v>
      </c>
      <c r="H135" s="27" t="str">
        <f t="shared" si="10"/>
        <v xml:space="preserve">enthusiasm(1),learning capacities(1),engineering knowledge(1),gifted leader(1),gifted programmer(1),gifted designer(1),gifted business strategist(1),seriousness(1),technologists(0.5),web(1),aesthetics(1),interaction(1), </v>
      </c>
      <c r="I135" s="27" t="str">
        <f t="shared" si="11"/>
        <v xml:space="preserve">enthusiasm(1),learning capacities(1),field knowledge(2),gifted leader(1),gifted designer(1),gifted business strategist(1),business model(1),marketing(1),aesthetics(1), </v>
      </c>
      <c r="J135" s="27" t="str">
        <f t="shared" si="12"/>
        <v xml:space="preserve">enthusiasm(2),network among members(1),gifted leader(2),gifted programmer(2),fun-ness(1),seriousness(1),team building(2), </v>
      </c>
      <c r="K135" s="27" t="str">
        <f t="shared" si="13"/>
        <v xml:space="preserve"> </v>
      </c>
      <c r="L135" s="27" t="str">
        <f t="shared" si="14"/>
        <v xml:space="preserve">field knowledge(3), </v>
      </c>
      <c r="M135" s="27" t="str">
        <f t="shared" si="15"/>
        <v xml:space="preserve">field knowledge(3),gifted programmer(2),gifted designer(2),finance(2),investors(2),law(2),finance(2),marketing(2), </v>
      </c>
      <c r="N135" s="27" t="str">
        <f t="shared" si="16"/>
        <v xml:space="preserve"> </v>
      </c>
      <c r="O135" s="27" t="str">
        <f t="shared" si="17"/>
        <v xml:space="preserve"> </v>
      </c>
      <c r="P135" s="27" t="str">
        <f t="shared" si="18"/>
        <v xml:space="preserve"> </v>
      </c>
      <c r="Q135" s="27" t="str">
        <f t="shared" si="19"/>
        <v xml:space="preserve"> </v>
      </c>
      <c r="R135" s="27" t="str">
        <f t="shared" si="20"/>
        <v xml:space="preserve"> </v>
      </c>
      <c r="S135" s="27" t="str">
        <f t="shared" si="21"/>
        <v xml:space="preserve"> </v>
      </c>
      <c r="T135" s="27" t="str">
        <f t="shared" si="22"/>
        <v xml:space="preserve"> </v>
      </c>
      <c r="U135" s="27" t="str">
        <f t="shared" si="23"/>
        <v xml:space="preserve"> </v>
      </c>
      <c r="V135" s="27" t="str">
        <f t="shared" si="24"/>
        <v xml:space="preserve">investors(3),media(1),technologists(2),spaciousness(1), </v>
      </c>
      <c r="W135" s="27" t="str">
        <f t="shared" si="25"/>
        <v xml:space="preserve"> </v>
      </c>
      <c r="X135" s="27" t="str">
        <f t="shared" si="26"/>
        <v xml:space="preserve"> </v>
      </c>
      <c r="Y135" s="27" t="str">
        <f t="shared" si="27"/>
        <v xml:space="preserve"> </v>
      </c>
      <c r="Z135" s="27" t="str">
        <f t="shared" si="28"/>
        <v xml:space="preserve"> </v>
      </c>
      <c r="AA135" s="27" t="str">
        <f t="shared" si="29"/>
        <v xml:space="preserve"> </v>
      </c>
      <c r="AB135" s="27" t="str">
        <f t="shared" si="30"/>
        <v xml:space="preserve"> </v>
      </c>
      <c r="AC135" s="27" t="str">
        <f t="shared" si="31"/>
        <v xml:space="preserve"> </v>
      </c>
      <c r="AD135" s="27" t="str">
        <f t="shared" si="32"/>
        <v xml:space="preserve"> </v>
      </c>
      <c r="AE135" s="27" t="str">
        <f t="shared" si="33"/>
        <v xml:space="preserve"> </v>
      </c>
      <c r="AF135" s="27" t="str">
        <f t="shared" si="34"/>
        <v xml:space="preserve"> </v>
      </c>
      <c r="AG135" s="27" t="str">
        <f t="shared" si="35"/>
        <v xml:space="preserve"> </v>
      </c>
    </row>
    <row r="136" spans="1:33" ht="15.75" customHeight="1">
      <c r="A136" s="9">
        <f t="shared" ref="A136:C136" si="49">A21</f>
        <v>0</v>
      </c>
      <c r="B136" s="9">
        <f t="shared" si="49"/>
        <v>0</v>
      </c>
      <c r="C136" s="9" t="str">
        <f t="shared" si="49"/>
        <v>plastic</v>
      </c>
      <c r="D136" s="27" t="str">
        <f t="shared" si="6"/>
        <v xml:space="preserve">scale(1),enthusiasm(1),learning capacities(1),engineering knowledge(1),scale(1),enthusiasm(1),ambition(1),web(1), </v>
      </c>
      <c r="E136" s="27" t="str">
        <f t="shared" si="7"/>
        <v xml:space="preserve"> </v>
      </c>
      <c r="F136" s="27" t="str">
        <f t="shared" si="8"/>
        <v xml:space="preserve">enthusiasm(1),gifted leader(1),gifted programmer(1),gifted designer(1),fun-ness(1),web(1),aesthetics(1),functions(1),interaction(1), </v>
      </c>
      <c r="G136" s="27" t="str">
        <f t="shared" si="9"/>
        <v xml:space="preserve">enthusiasm(1),learning capacities(1),engineering knowledge(1),gifted leader(1),gifted programmer(1),gifted designer(1),gifted business strategist(1),seriousness(1),technologists(0.5),business model(1),web(1), </v>
      </c>
      <c r="H136" s="27" t="str">
        <f t="shared" si="10"/>
        <v xml:space="preserve">enthusiasm(1),learning capacities(1),engineering knowledge(1),gifted leader(1),gifted programmer(1),gifted designer(1),gifted business strategist(1),seriousness(1),technologists(0.5),web(1),aesthetics(1),interaction(1), </v>
      </c>
      <c r="I136" s="27" t="str">
        <f t="shared" si="11"/>
        <v xml:space="preserve">enthusiasm(1),learning capacities(1),field knowledge(2),gifted leader(1),gifted designer(1),gifted business strategist(1),business model(1),marketing(1),aesthetics(1), </v>
      </c>
      <c r="J136" s="27" t="str">
        <f t="shared" si="12"/>
        <v xml:space="preserve">enthusiasm(2),network among members(1),gifted leader(2),gifted programmer(2),fun-ness(1),seriousness(1),team building(2), </v>
      </c>
      <c r="K136" s="27" t="str">
        <f t="shared" si="13"/>
        <v xml:space="preserve"> </v>
      </c>
      <c r="L136" s="27" t="str">
        <f t="shared" si="14"/>
        <v xml:space="preserve">field knowledge(3), </v>
      </c>
      <c r="M136" s="27" t="str">
        <f t="shared" si="15"/>
        <v xml:space="preserve">field knowledge(3),gifted programmer(2),gifted designer(2),finance(2),investors(2),law(2),finance(2),marketing(2), </v>
      </c>
      <c r="N136" s="27" t="str">
        <f t="shared" si="16"/>
        <v xml:space="preserve"> </v>
      </c>
      <c r="O136" s="27" t="str">
        <f t="shared" si="17"/>
        <v xml:space="preserve"> </v>
      </c>
      <c r="P136" s="27" t="str">
        <f t="shared" si="18"/>
        <v xml:space="preserve"> </v>
      </c>
      <c r="Q136" s="27" t="str">
        <f t="shared" si="19"/>
        <v xml:space="preserve"> </v>
      </c>
      <c r="R136" s="27" t="str">
        <f t="shared" si="20"/>
        <v xml:space="preserve"> </v>
      </c>
      <c r="S136" s="27" t="str">
        <f t="shared" si="21"/>
        <v xml:space="preserve"> </v>
      </c>
      <c r="T136" s="27" t="str">
        <f t="shared" si="22"/>
        <v xml:space="preserve"> </v>
      </c>
      <c r="U136" s="27" t="str">
        <f t="shared" si="23"/>
        <v xml:space="preserve"> </v>
      </c>
      <c r="V136" s="27" t="str">
        <f t="shared" si="24"/>
        <v xml:space="preserve">investors(3),media(1),technologists(2),spaciousness(1), </v>
      </c>
      <c r="W136" s="27" t="str">
        <f t="shared" si="25"/>
        <v xml:space="preserve"> </v>
      </c>
      <c r="X136" s="27" t="str">
        <f t="shared" si="26"/>
        <v xml:space="preserve"> </v>
      </c>
      <c r="Y136" s="27" t="str">
        <f t="shared" si="27"/>
        <v xml:space="preserve"> </v>
      </c>
      <c r="Z136" s="27" t="str">
        <f t="shared" si="28"/>
        <v xml:space="preserve"> </v>
      </c>
      <c r="AA136" s="27" t="str">
        <f t="shared" si="29"/>
        <v xml:space="preserve"> </v>
      </c>
      <c r="AB136" s="27" t="str">
        <f t="shared" si="30"/>
        <v xml:space="preserve"> </v>
      </c>
      <c r="AC136" s="27" t="str">
        <f t="shared" si="31"/>
        <v xml:space="preserve"> </v>
      </c>
      <c r="AD136" s="27" t="str">
        <f t="shared" si="32"/>
        <v xml:space="preserve"> </v>
      </c>
      <c r="AE136" s="27" t="str">
        <f t="shared" si="33"/>
        <v xml:space="preserve"> </v>
      </c>
      <c r="AF136" s="27" t="str">
        <f t="shared" si="34"/>
        <v xml:space="preserve"> </v>
      </c>
      <c r="AG136" s="27" t="str">
        <f t="shared" si="35"/>
        <v xml:space="preserve"> </v>
      </c>
    </row>
    <row r="137" spans="1:33" ht="15.75" customHeight="1">
      <c r="A137" s="9">
        <f t="shared" ref="A137:C137" si="50">A22</f>
        <v>0</v>
      </c>
      <c r="B137" s="9">
        <f t="shared" si="50"/>
        <v>0</v>
      </c>
      <c r="C137" s="9" t="str">
        <f t="shared" si="50"/>
        <v>electronics</v>
      </c>
      <c r="D137" s="27" t="str">
        <f t="shared" si="6"/>
        <v xml:space="preserve">scale(1),enthusiasm(1),learning capacities(1),engineering knowledge(1),scale(1),enthusiasm(1),ambition(1),web(1), </v>
      </c>
      <c r="E137" s="27" t="str">
        <f t="shared" si="7"/>
        <v xml:space="preserve"> </v>
      </c>
      <c r="F137" s="27" t="str">
        <f t="shared" si="8"/>
        <v xml:space="preserve">enthusiasm(1),gifted leader(1),gifted programmer(1),gifted designer(1),fun-ness(1),web(1),aesthetics(1),functions(1),interaction(1), </v>
      </c>
      <c r="G137" s="27" t="str">
        <f t="shared" si="9"/>
        <v xml:space="preserve">enthusiasm(1),learning capacities(1),engineering knowledge(1),gifted leader(1),gifted programmer(1),gifted designer(1),gifted business strategist(1),seriousness(1),technologists(0.5),business model(1),web(1), </v>
      </c>
      <c r="H137" s="27" t="str">
        <f t="shared" si="10"/>
        <v xml:space="preserve">enthusiasm(1),learning capacities(1),engineering knowledge(1),gifted leader(1),gifted programmer(1),gifted designer(1),gifted business strategist(1),seriousness(1),technologists(0.5),web(1),aesthetics(1),interaction(1), </v>
      </c>
      <c r="I137" s="27" t="str">
        <f t="shared" si="11"/>
        <v xml:space="preserve">enthusiasm(1),learning capacities(1),field knowledge(2),gifted leader(1),gifted designer(1),gifted business strategist(1),business model(1),marketing(1),aesthetics(1), </v>
      </c>
      <c r="J137" s="27" t="str">
        <f t="shared" si="12"/>
        <v xml:space="preserve">enthusiasm(2),network among members(1),gifted leader(2),gifted programmer(2),fun-ness(1),seriousness(1),team building(2), </v>
      </c>
      <c r="K137" s="27" t="str">
        <f t="shared" si="13"/>
        <v xml:space="preserve"> </v>
      </c>
      <c r="L137" s="27" t="str">
        <f t="shared" si="14"/>
        <v xml:space="preserve">field knowledge(3), </v>
      </c>
      <c r="M137" s="27" t="str">
        <f t="shared" si="15"/>
        <v xml:space="preserve">field knowledge(3),gifted programmer(2),gifted designer(2),finance(2),investors(2),law(2),finance(2),marketing(2), </v>
      </c>
      <c r="N137" s="27" t="str">
        <f t="shared" si="16"/>
        <v xml:space="preserve"> </v>
      </c>
      <c r="O137" s="27" t="str">
        <f t="shared" si="17"/>
        <v xml:space="preserve"> </v>
      </c>
      <c r="P137" s="27" t="str">
        <f t="shared" si="18"/>
        <v xml:space="preserve"> </v>
      </c>
      <c r="Q137" s="27" t="str">
        <f t="shared" si="19"/>
        <v xml:space="preserve"> </v>
      </c>
      <c r="R137" s="27" t="str">
        <f t="shared" si="20"/>
        <v xml:space="preserve"> </v>
      </c>
      <c r="S137" s="27" t="str">
        <f t="shared" si="21"/>
        <v xml:space="preserve"> </v>
      </c>
      <c r="T137" s="27" t="str">
        <f t="shared" si="22"/>
        <v xml:space="preserve"> </v>
      </c>
      <c r="U137" s="27" t="str">
        <f t="shared" si="23"/>
        <v xml:space="preserve"> </v>
      </c>
      <c r="V137" s="27" t="str">
        <f t="shared" si="24"/>
        <v xml:space="preserve">investors(3),media(1),technologists(2),spaciousness(1), </v>
      </c>
      <c r="W137" s="27" t="str">
        <f t="shared" si="25"/>
        <v xml:space="preserve"> </v>
      </c>
      <c r="X137" s="27" t="str">
        <f t="shared" si="26"/>
        <v xml:space="preserve"> </v>
      </c>
      <c r="Y137" s="27" t="str">
        <f t="shared" si="27"/>
        <v xml:space="preserve"> </v>
      </c>
      <c r="Z137" s="27" t="str">
        <f t="shared" si="28"/>
        <v xml:space="preserve"> </v>
      </c>
      <c r="AA137" s="27" t="str">
        <f t="shared" si="29"/>
        <v xml:space="preserve"> </v>
      </c>
      <c r="AB137" s="27" t="str">
        <f t="shared" si="30"/>
        <v xml:space="preserve"> </v>
      </c>
      <c r="AC137" s="27" t="str">
        <f t="shared" si="31"/>
        <v xml:space="preserve"> </v>
      </c>
      <c r="AD137" s="27" t="str">
        <f t="shared" si="32"/>
        <v xml:space="preserve"> </v>
      </c>
      <c r="AE137" s="27" t="str">
        <f t="shared" si="33"/>
        <v xml:space="preserve"> </v>
      </c>
      <c r="AF137" s="27" t="str">
        <f t="shared" si="34"/>
        <v xml:space="preserve"> </v>
      </c>
      <c r="AG137" s="27" t="str">
        <f t="shared" si="35"/>
        <v xml:space="preserve"> </v>
      </c>
    </row>
    <row r="138" spans="1:33" ht="15.75" customHeight="1">
      <c r="A138" s="9">
        <f t="shared" ref="A138:C138" si="51">A23</f>
        <v>0</v>
      </c>
      <c r="B138" s="9">
        <f t="shared" si="51"/>
        <v>0</v>
      </c>
      <c r="C138" s="9" t="str">
        <f t="shared" si="51"/>
        <v>fabric</v>
      </c>
      <c r="D138" s="27" t="str">
        <f t="shared" si="6"/>
        <v xml:space="preserve">scale(1),enthusiasm(1),learning capacities(1),engineering knowledge(1),scale(1),enthusiasm(1),ambition(1),web(1), </v>
      </c>
      <c r="E138" s="27" t="str">
        <f t="shared" si="7"/>
        <v xml:space="preserve"> </v>
      </c>
      <c r="F138" s="27" t="str">
        <f t="shared" si="8"/>
        <v xml:space="preserve">enthusiasm(1),gifted leader(1),gifted programmer(1),gifted designer(1),fun-ness(1),web(1),aesthetics(1),functions(1),interaction(1), </v>
      </c>
      <c r="G138" s="27" t="str">
        <f t="shared" si="9"/>
        <v xml:space="preserve">enthusiasm(1),learning capacities(1),engineering knowledge(1),gifted leader(1),gifted programmer(1),gifted designer(1),gifted business strategist(1),seriousness(1),technologists(0.5),business model(1),web(1), </v>
      </c>
      <c r="H138" s="27" t="str">
        <f t="shared" si="10"/>
        <v xml:space="preserve">enthusiasm(1),learning capacities(1),engineering knowledge(1),gifted leader(1),gifted programmer(1),gifted designer(1),gifted business strategist(1),seriousness(1),technologists(0.5),web(1),aesthetics(1),interaction(1), </v>
      </c>
      <c r="I138" s="27" t="str">
        <f t="shared" si="11"/>
        <v xml:space="preserve">enthusiasm(1),learning capacities(1),field knowledge(2),gifted leader(1),gifted designer(1),gifted business strategist(1),business model(1),marketing(1),aesthetics(1), </v>
      </c>
      <c r="J138" s="27" t="str">
        <f t="shared" si="12"/>
        <v xml:space="preserve">enthusiasm(2),network among members(1),gifted leader(2),gifted programmer(2),fun-ness(1),seriousness(1),team building(2), </v>
      </c>
      <c r="K138" s="27" t="str">
        <f t="shared" si="13"/>
        <v xml:space="preserve"> </v>
      </c>
      <c r="L138" s="27" t="str">
        <f t="shared" si="14"/>
        <v xml:space="preserve">field knowledge(3), </v>
      </c>
      <c r="M138" s="27" t="str">
        <f t="shared" si="15"/>
        <v xml:space="preserve">field knowledge(3),gifted programmer(2),gifted designer(2),finance(2),investors(2),law(2),finance(2),marketing(2), </v>
      </c>
      <c r="N138" s="27" t="str">
        <f t="shared" si="16"/>
        <v xml:space="preserve"> </v>
      </c>
      <c r="O138" s="27" t="str">
        <f t="shared" si="17"/>
        <v xml:space="preserve"> </v>
      </c>
      <c r="P138" s="27" t="str">
        <f t="shared" si="18"/>
        <v xml:space="preserve"> </v>
      </c>
      <c r="Q138" s="27" t="str">
        <f t="shared" si="19"/>
        <v xml:space="preserve"> </v>
      </c>
      <c r="R138" s="27" t="str">
        <f t="shared" si="20"/>
        <v xml:space="preserve"> </v>
      </c>
      <c r="S138" s="27" t="str">
        <f t="shared" si="21"/>
        <v xml:space="preserve"> </v>
      </c>
      <c r="T138" s="27" t="str">
        <f t="shared" si="22"/>
        <v xml:space="preserve"> </v>
      </c>
      <c r="U138" s="27" t="str">
        <f t="shared" si="23"/>
        <v xml:space="preserve"> </v>
      </c>
      <c r="V138" s="27" t="str">
        <f t="shared" si="24"/>
        <v xml:space="preserve">investors(3),media(1),technologists(2),spaciousness(1), </v>
      </c>
      <c r="W138" s="27" t="str">
        <f t="shared" si="25"/>
        <v xml:space="preserve"> </v>
      </c>
      <c r="X138" s="27" t="str">
        <f t="shared" si="26"/>
        <v xml:space="preserve"> </v>
      </c>
      <c r="Y138" s="27" t="str">
        <f t="shared" si="27"/>
        <v xml:space="preserve"> </v>
      </c>
      <c r="Z138" s="27" t="str">
        <f t="shared" si="28"/>
        <v xml:space="preserve"> </v>
      </c>
      <c r="AA138" s="27" t="str">
        <f t="shared" si="29"/>
        <v xml:space="preserve"> </v>
      </c>
      <c r="AB138" s="27" t="str">
        <f t="shared" si="30"/>
        <v xml:space="preserve"> </v>
      </c>
      <c r="AC138" s="27" t="str">
        <f t="shared" si="31"/>
        <v xml:space="preserve"> </v>
      </c>
      <c r="AD138" s="27" t="str">
        <f t="shared" si="32"/>
        <v xml:space="preserve"> </v>
      </c>
      <c r="AE138" s="27" t="str">
        <f t="shared" si="33"/>
        <v xml:space="preserve"> </v>
      </c>
      <c r="AF138" s="27" t="str">
        <f t="shared" si="34"/>
        <v xml:space="preserve"> </v>
      </c>
      <c r="AG138" s="27" t="str">
        <f t="shared" si="35"/>
        <v xml:space="preserve"> </v>
      </c>
    </row>
    <row r="139" spans="1:33" ht="15.75" customHeight="1">
      <c r="A139" s="9">
        <f t="shared" ref="A139:C139" si="52">A24</f>
        <v>0</v>
      </c>
      <c r="B139" s="9" t="str">
        <f t="shared" si="52"/>
        <v>lab members</v>
      </c>
      <c r="C139" s="9" t="str">
        <f t="shared" si="52"/>
        <v>scale</v>
      </c>
      <c r="D139" s="27" t="str">
        <f t="shared" si="6"/>
        <v xml:space="preserve">scale(1),enthusiasm(1),learning capacities(1),engineering knowledge(1),scale(1),enthusiasm(1),ambition(1),web(1), </v>
      </c>
      <c r="E139" s="27" t="str">
        <f t="shared" si="7"/>
        <v xml:space="preserve"> </v>
      </c>
      <c r="F139" s="27" t="str">
        <f t="shared" si="8"/>
        <v xml:space="preserve">enthusiasm(1),gifted leader(1),gifted programmer(1),gifted designer(1),fun-ness(1),web(1),aesthetics(1),functions(1),interaction(1), </v>
      </c>
      <c r="G139" s="27" t="str">
        <f t="shared" si="9"/>
        <v xml:space="preserve">enthusiasm(1),learning capacities(1),engineering knowledge(1),gifted leader(1),gifted programmer(1),gifted designer(1),gifted business strategist(1),seriousness(1),technologists(0.5),business model(1),web(1), </v>
      </c>
      <c r="H139" s="27" t="str">
        <f t="shared" si="10"/>
        <v xml:space="preserve">enthusiasm(1),learning capacities(1),engineering knowledge(1),gifted leader(1),gifted programmer(1),gifted designer(1),gifted business strategist(1),seriousness(1),technologists(0.5),web(1),aesthetics(1),interaction(1), </v>
      </c>
      <c r="I139" s="27" t="str">
        <f t="shared" si="11"/>
        <v xml:space="preserve">enthusiasm(1),learning capacities(1),field knowledge(2),gifted leader(1),gifted designer(1),gifted business strategist(1),business model(1),marketing(1),aesthetics(1), </v>
      </c>
      <c r="J139" s="27" t="str">
        <f t="shared" si="12"/>
        <v xml:space="preserve">enthusiasm(2),network among members(1),gifted leader(2),gifted programmer(2),fun-ness(1),seriousness(1),team building(2), </v>
      </c>
      <c r="K139" s="27" t="str">
        <f t="shared" si="13"/>
        <v xml:space="preserve"> </v>
      </c>
      <c r="L139" s="27" t="str">
        <f t="shared" si="14"/>
        <v xml:space="preserve">field knowledge(3), </v>
      </c>
      <c r="M139" s="27" t="str">
        <f t="shared" si="15"/>
        <v xml:space="preserve">field knowledge(3),gifted programmer(2),gifted designer(2),finance(2),investors(2),law(2),finance(2),marketing(2), </v>
      </c>
      <c r="N139" s="27" t="str">
        <f t="shared" si="16"/>
        <v xml:space="preserve"> </v>
      </c>
      <c r="O139" s="27" t="str">
        <f t="shared" si="17"/>
        <v xml:space="preserve"> </v>
      </c>
      <c r="P139" s="27" t="str">
        <f t="shared" si="18"/>
        <v xml:space="preserve"> </v>
      </c>
      <c r="Q139" s="27" t="str">
        <f t="shared" si="19"/>
        <v xml:space="preserve"> </v>
      </c>
      <c r="R139" s="27" t="str">
        <f t="shared" si="20"/>
        <v xml:space="preserve"> </v>
      </c>
      <c r="S139" s="27" t="str">
        <f t="shared" si="21"/>
        <v xml:space="preserve"> </v>
      </c>
      <c r="T139" s="27" t="str">
        <f t="shared" si="22"/>
        <v xml:space="preserve"> </v>
      </c>
      <c r="U139" s="27" t="str">
        <f t="shared" si="23"/>
        <v xml:space="preserve"> </v>
      </c>
      <c r="V139" s="27" t="str">
        <f t="shared" si="24"/>
        <v xml:space="preserve">investors(3),media(1),technologists(2),spaciousness(1), </v>
      </c>
      <c r="W139" s="27" t="str">
        <f t="shared" si="25"/>
        <v xml:space="preserve"> </v>
      </c>
      <c r="X139" s="27" t="str">
        <f t="shared" si="26"/>
        <v xml:space="preserve"> </v>
      </c>
      <c r="Y139" s="27" t="str">
        <f t="shared" si="27"/>
        <v xml:space="preserve"> </v>
      </c>
      <c r="Z139" s="27" t="str">
        <f t="shared" si="28"/>
        <v xml:space="preserve"> </v>
      </c>
      <c r="AA139" s="27" t="str">
        <f t="shared" si="29"/>
        <v xml:space="preserve"> </v>
      </c>
      <c r="AB139" s="27" t="str">
        <f t="shared" si="30"/>
        <v xml:space="preserve"> </v>
      </c>
      <c r="AC139" s="27" t="str">
        <f t="shared" si="31"/>
        <v xml:space="preserve"> </v>
      </c>
      <c r="AD139" s="27" t="str">
        <f t="shared" si="32"/>
        <v xml:space="preserve"> </v>
      </c>
      <c r="AE139" s="27" t="str">
        <f t="shared" si="33"/>
        <v xml:space="preserve"> </v>
      </c>
      <c r="AF139" s="27" t="str">
        <f t="shared" si="34"/>
        <v xml:space="preserve"> </v>
      </c>
      <c r="AG139" s="27" t="str">
        <f t="shared" si="35"/>
        <v xml:space="preserve"> </v>
      </c>
    </row>
    <row r="140" spans="1:33" ht="15.75" customHeight="1">
      <c r="A140" s="9">
        <f t="shared" ref="A140:C140" si="53">A25</f>
        <v>0</v>
      </c>
      <c r="B140" s="9">
        <f t="shared" si="53"/>
        <v>0</v>
      </c>
      <c r="C140" s="9" t="str">
        <f t="shared" si="53"/>
        <v>enthusiasm</v>
      </c>
      <c r="D140" s="27" t="str">
        <f t="shared" si="6"/>
        <v xml:space="preserve">enthusiasm(1),learning capacities(1),engineering knowledge(1),scale(1),enthusiasm(1),ambition(1),web(1), </v>
      </c>
      <c r="E140" s="27" t="str">
        <f t="shared" si="7"/>
        <v xml:space="preserve"> </v>
      </c>
      <c r="F140" s="27" t="str">
        <f t="shared" si="8"/>
        <v xml:space="preserve">enthusiasm(1),gifted leader(1),gifted programmer(1),gifted designer(1),fun-ness(1),web(1),aesthetics(1),functions(1),interaction(1), </v>
      </c>
      <c r="G140" s="27" t="str">
        <f t="shared" si="9"/>
        <v xml:space="preserve">enthusiasm(1),learning capacities(1),engineering knowledge(1),gifted leader(1),gifted programmer(1),gifted designer(1),gifted business strategist(1),seriousness(1),technologists(0.5),business model(1),web(1), </v>
      </c>
      <c r="H140" s="27" t="str">
        <f t="shared" si="10"/>
        <v xml:space="preserve">enthusiasm(1),learning capacities(1),engineering knowledge(1),gifted leader(1),gifted programmer(1),gifted designer(1),gifted business strategist(1),seriousness(1),technologists(0.5),web(1),aesthetics(1),interaction(1), </v>
      </c>
      <c r="I140" s="27" t="str">
        <f t="shared" si="11"/>
        <v xml:space="preserve">enthusiasm(1),learning capacities(1),field knowledge(2),gifted leader(1),gifted designer(1),gifted business strategist(1),business model(1),marketing(1),aesthetics(1), </v>
      </c>
      <c r="J140" s="27" t="str">
        <f t="shared" si="12"/>
        <v xml:space="preserve">enthusiasm(2),network among members(1),gifted leader(2),gifted programmer(2),fun-ness(1),seriousness(1),team building(2), </v>
      </c>
      <c r="K140" s="27" t="str">
        <f t="shared" si="13"/>
        <v xml:space="preserve"> </v>
      </c>
      <c r="L140" s="27" t="str">
        <f t="shared" si="14"/>
        <v xml:space="preserve">field knowledge(3), </v>
      </c>
      <c r="M140" s="27" t="str">
        <f t="shared" si="15"/>
        <v xml:space="preserve">field knowledge(3),gifted programmer(2),gifted designer(2),finance(2),investors(2),law(2),finance(2),marketing(2), </v>
      </c>
      <c r="N140" s="27" t="str">
        <f t="shared" si="16"/>
        <v xml:space="preserve"> </v>
      </c>
      <c r="O140" s="27" t="str">
        <f t="shared" si="17"/>
        <v xml:space="preserve"> </v>
      </c>
      <c r="P140" s="27" t="str">
        <f t="shared" si="18"/>
        <v xml:space="preserve"> </v>
      </c>
      <c r="Q140" s="27" t="str">
        <f t="shared" si="19"/>
        <v xml:space="preserve"> </v>
      </c>
      <c r="R140" s="27" t="str">
        <f t="shared" si="20"/>
        <v xml:space="preserve"> </v>
      </c>
      <c r="S140" s="27" t="str">
        <f t="shared" si="21"/>
        <v xml:space="preserve"> </v>
      </c>
      <c r="T140" s="27" t="str">
        <f t="shared" si="22"/>
        <v xml:space="preserve"> </v>
      </c>
      <c r="U140" s="27" t="str">
        <f t="shared" si="23"/>
        <v xml:space="preserve"> </v>
      </c>
      <c r="V140" s="27" t="str">
        <f t="shared" si="24"/>
        <v xml:space="preserve">investors(3),media(1),technologists(2),spaciousness(1), </v>
      </c>
      <c r="W140" s="27" t="str">
        <f t="shared" si="25"/>
        <v xml:space="preserve"> </v>
      </c>
      <c r="X140" s="27" t="str">
        <f t="shared" si="26"/>
        <v xml:space="preserve"> </v>
      </c>
      <c r="Y140" s="27" t="str">
        <f t="shared" si="27"/>
        <v xml:space="preserve"> </v>
      </c>
      <c r="Z140" s="27" t="str">
        <f t="shared" si="28"/>
        <v xml:space="preserve"> </v>
      </c>
      <c r="AA140" s="27" t="str">
        <f t="shared" si="29"/>
        <v xml:space="preserve"> </v>
      </c>
      <c r="AB140" s="27" t="str">
        <f t="shared" si="30"/>
        <v xml:space="preserve"> </v>
      </c>
      <c r="AC140" s="27" t="str">
        <f t="shared" si="31"/>
        <v xml:space="preserve"> </v>
      </c>
      <c r="AD140" s="27" t="str">
        <f t="shared" si="32"/>
        <v xml:space="preserve"> </v>
      </c>
      <c r="AE140" s="27" t="str">
        <f t="shared" si="33"/>
        <v xml:space="preserve"> </v>
      </c>
      <c r="AF140" s="27" t="str">
        <f t="shared" si="34"/>
        <v xml:space="preserve"> </v>
      </c>
      <c r="AG140" s="27" t="str">
        <f t="shared" si="35"/>
        <v xml:space="preserve"> </v>
      </c>
    </row>
    <row r="141" spans="1:33" ht="15.75" customHeight="1">
      <c r="A141" s="9">
        <f t="shared" ref="A141:C141" si="54">A26</f>
        <v>0</v>
      </c>
      <c r="B141" s="9">
        <f t="shared" si="54"/>
        <v>0</v>
      </c>
      <c r="C141" s="9" t="str">
        <f t="shared" si="54"/>
        <v>learning capacities</v>
      </c>
      <c r="D141" s="27" t="str">
        <f t="shared" si="6"/>
        <v xml:space="preserve">learning capacities(1),engineering knowledge(1),scale(1),enthusiasm(1),ambition(1),web(1), </v>
      </c>
      <c r="E141" s="27" t="str">
        <f t="shared" si="7"/>
        <v xml:space="preserve"> </v>
      </c>
      <c r="F141" s="27" t="str">
        <f t="shared" si="8"/>
        <v xml:space="preserve">gifted leader(1),gifted programmer(1),gifted designer(1),fun-ness(1),web(1),aesthetics(1),functions(1),interaction(1), </v>
      </c>
      <c r="G141" s="27" t="str">
        <f t="shared" si="9"/>
        <v xml:space="preserve">learning capacities(1),engineering knowledge(1),gifted leader(1),gifted programmer(1),gifted designer(1),gifted business strategist(1),seriousness(1),technologists(0.5),business model(1),web(1), </v>
      </c>
      <c r="H141" s="27" t="str">
        <f t="shared" si="10"/>
        <v xml:space="preserve">learning capacities(1),engineering knowledge(1),gifted leader(1),gifted programmer(1),gifted designer(1),gifted business strategist(1),seriousness(1),technologists(0.5),web(1),aesthetics(1),interaction(1), </v>
      </c>
      <c r="I141" s="27" t="str">
        <f t="shared" si="11"/>
        <v xml:space="preserve">learning capacities(1),field knowledge(2),gifted leader(1),gifted designer(1),gifted business strategist(1),business model(1),marketing(1),aesthetics(1), </v>
      </c>
      <c r="J141" s="27" t="str">
        <f t="shared" si="12"/>
        <v xml:space="preserve">network among members(1),gifted leader(2),gifted programmer(2),fun-ness(1),seriousness(1),team building(2), </v>
      </c>
      <c r="K141" s="27" t="str">
        <f t="shared" si="13"/>
        <v xml:space="preserve"> </v>
      </c>
      <c r="L141" s="27" t="str">
        <f t="shared" si="14"/>
        <v xml:space="preserve">field knowledge(3), </v>
      </c>
      <c r="M141" s="27" t="str">
        <f t="shared" si="15"/>
        <v xml:space="preserve">field knowledge(3),gifted programmer(2),gifted designer(2),finance(2),investors(2),law(2),finance(2),marketing(2), </v>
      </c>
      <c r="N141" s="27" t="str">
        <f t="shared" si="16"/>
        <v xml:space="preserve"> </v>
      </c>
      <c r="O141" s="27" t="str">
        <f t="shared" si="17"/>
        <v xml:space="preserve"> </v>
      </c>
      <c r="P141" s="27" t="str">
        <f t="shared" si="18"/>
        <v xml:space="preserve"> </v>
      </c>
      <c r="Q141" s="27" t="str">
        <f t="shared" si="19"/>
        <v xml:space="preserve"> </v>
      </c>
      <c r="R141" s="27" t="str">
        <f t="shared" si="20"/>
        <v xml:space="preserve"> </v>
      </c>
      <c r="S141" s="27" t="str">
        <f t="shared" si="21"/>
        <v xml:space="preserve"> </v>
      </c>
      <c r="T141" s="27" t="str">
        <f t="shared" si="22"/>
        <v xml:space="preserve"> </v>
      </c>
      <c r="U141" s="27" t="str">
        <f t="shared" si="23"/>
        <v xml:space="preserve"> </v>
      </c>
      <c r="V141" s="27" t="str">
        <f t="shared" si="24"/>
        <v xml:space="preserve">investors(3),media(1),technologists(2),spaciousness(1), </v>
      </c>
      <c r="W141" s="27" t="str">
        <f t="shared" si="25"/>
        <v xml:space="preserve"> </v>
      </c>
      <c r="X141" s="27" t="str">
        <f t="shared" si="26"/>
        <v xml:space="preserve"> </v>
      </c>
      <c r="Y141" s="27" t="str">
        <f t="shared" si="27"/>
        <v xml:space="preserve"> </v>
      </c>
      <c r="Z141" s="27" t="str">
        <f t="shared" si="28"/>
        <v xml:space="preserve"> </v>
      </c>
      <c r="AA141" s="27" t="str">
        <f t="shared" si="29"/>
        <v xml:space="preserve"> </v>
      </c>
      <c r="AB141" s="27" t="str">
        <f t="shared" si="30"/>
        <v xml:space="preserve"> </v>
      </c>
      <c r="AC141" s="27" t="str">
        <f t="shared" si="31"/>
        <v xml:space="preserve"> </v>
      </c>
      <c r="AD141" s="27" t="str">
        <f t="shared" si="32"/>
        <v xml:space="preserve"> </v>
      </c>
      <c r="AE141" s="27" t="str">
        <f t="shared" si="33"/>
        <v xml:space="preserve"> </v>
      </c>
      <c r="AF141" s="27" t="str">
        <f t="shared" si="34"/>
        <v xml:space="preserve"> </v>
      </c>
      <c r="AG141" s="27" t="str">
        <f t="shared" si="35"/>
        <v xml:space="preserve"> </v>
      </c>
    </row>
    <row r="142" spans="1:33" ht="15.75" customHeight="1">
      <c r="A142" s="9">
        <f t="shared" ref="A142:C142" si="55">A27</f>
        <v>0</v>
      </c>
      <c r="B142" s="9">
        <f t="shared" si="55"/>
        <v>0</v>
      </c>
      <c r="C142" s="9" t="str">
        <f t="shared" si="55"/>
        <v>field knowledge</v>
      </c>
      <c r="D142" s="27" t="str">
        <f t="shared" si="6"/>
        <v xml:space="preserve">engineering knowledge(1),scale(1),enthusiasm(1),ambition(1),web(1), </v>
      </c>
      <c r="E142" s="27" t="str">
        <f t="shared" si="7"/>
        <v xml:space="preserve"> </v>
      </c>
      <c r="F142" s="27" t="str">
        <f t="shared" si="8"/>
        <v xml:space="preserve">gifted leader(1),gifted programmer(1),gifted designer(1),fun-ness(1),web(1),aesthetics(1),functions(1),interaction(1), </v>
      </c>
      <c r="G142" s="27" t="str">
        <f t="shared" si="9"/>
        <v xml:space="preserve">engineering knowledge(1),gifted leader(1),gifted programmer(1),gifted designer(1),gifted business strategist(1),seriousness(1),technologists(0.5),business model(1),web(1), </v>
      </c>
      <c r="H142" s="27" t="str">
        <f t="shared" si="10"/>
        <v xml:space="preserve">engineering knowledge(1),gifted leader(1),gifted programmer(1),gifted designer(1),gifted business strategist(1),seriousness(1),technologists(0.5),web(1),aesthetics(1),interaction(1), </v>
      </c>
      <c r="I142" s="27" t="str">
        <f t="shared" si="11"/>
        <v xml:space="preserve">field knowledge(2),gifted leader(1),gifted designer(1),gifted business strategist(1),business model(1),marketing(1),aesthetics(1), </v>
      </c>
      <c r="J142" s="27" t="str">
        <f t="shared" si="12"/>
        <v xml:space="preserve">network among members(1),gifted leader(2),gifted programmer(2),fun-ness(1),seriousness(1),team building(2), </v>
      </c>
      <c r="K142" s="27" t="str">
        <f t="shared" si="13"/>
        <v xml:space="preserve"> </v>
      </c>
      <c r="L142" s="27" t="str">
        <f t="shared" si="14"/>
        <v xml:space="preserve">field knowledge(3), </v>
      </c>
      <c r="M142" s="27" t="str">
        <f t="shared" si="15"/>
        <v xml:space="preserve">field knowledge(3),gifted programmer(2),gifted designer(2),finance(2),investors(2),law(2),finance(2),marketing(2), </v>
      </c>
      <c r="N142" s="27" t="str">
        <f t="shared" si="16"/>
        <v xml:space="preserve"> </v>
      </c>
      <c r="O142" s="27" t="str">
        <f t="shared" si="17"/>
        <v xml:space="preserve"> </v>
      </c>
      <c r="P142" s="27" t="str">
        <f t="shared" si="18"/>
        <v xml:space="preserve"> </v>
      </c>
      <c r="Q142" s="27" t="str">
        <f t="shared" si="19"/>
        <v xml:space="preserve"> </v>
      </c>
      <c r="R142" s="27" t="str">
        <f t="shared" si="20"/>
        <v xml:space="preserve"> </v>
      </c>
      <c r="S142" s="27" t="str">
        <f t="shared" si="21"/>
        <v xml:space="preserve"> </v>
      </c>
      <c r="T142" s="27" t="str">
        <f t="shared" si="22"/>
        <v xml:space="preserve"> </v>
      </c>
      <c r="U142" s="27" t="str">
        <f t="shared" si="23"/>
        <v xml:space="preserve"> </v>
      </c>
      <c r="V142" s="27" t="str">
        <f t="shared" si="24"/>
        <v xml:space="preserve">investors(3),media(1),technologists(2),spaciousness(1), </v>
      </c>
      <c r="W142" s="27" t="str">
        <f t="shared" si="25"/>
        <v xml:space="preserve"> </v>
      </c>
      <c r="X142" s="27" t="str">
        <f t="shared" si="26"/>
        <v xml:space="preserve"> </v>
      </c>
      <c r="Y142" s="27" t="str">
        <f t="shared" si="27"/>
        <v xml:space="preserve"> </v>
      </c>
      <c r="Z142" s="27" t="str">
        <f t="shared" si="28"/>
        <v xml:space="preserve"> </v>
      </c>
      <c r="AA142" s="27" t="str">
        <f t="shared" si="29"/>
        <v xml:space="preserve"> </v>
      </c>
      <c r="AB142" s="27" t="str">
        <f t="shared" si="30"/>
        <v xml:space="preserve"> </v>
      </c>
      <c r="AC142" s="27" t="str">
        <f t="shared" si="31"/>
        <v xml:space="preserve"> </v>
      </c>
      <c r="AD142" s="27" t="str">
        <f t="shared" si="32"/>
        <v xml:space="preserve"> </v>
      </c>
      <c r="AE142" s="27" t="str">
        <f t="shared" si="33"/>
        <v xml:space="preserve"> </v>
      </c>
      <c r="AF142" s="27" t="str">
        <f t="shared" si="34"/>
        <v xml:space="preserve"> </v>
      </c>
      <c r="AG142" s="27" t="str">
        <f t="shared" si="35"/>
        <v xml:space="preserve"> </v>
      </c>
    </row>
    <row r="143" spans="1:33" ht="15.75" customHeight="1">
      <c r="A143" s="9">
        <f t="shared" ref="A143:C143" si="56">A28</f>
        <v>0</v>
      </c>
      <c r="B143" s="9">
        <f t="shared" si="56"/>
        <v>0</v>
      </c>
      <c r="C143" s="9" t="str">
        <f t="shared" si="56"/>
        <v>engineering knowledge</v>
      </c>
      <c r="D143" s="27" t="str">
        <f t="shared" si="6"/>
        <v xml:space="preserve">engineering knowledge(1),scale(1),enthusiasm(1),ambition(1),web(1), </v>
      </c>
      <c r="E143" s="27" t="str">
        <f t="shared" si="7"/>
        <v xml:space="preserve"> </v>
      </c>
      <c r="F143" s="27" t="str">
        <f t="shared" si="8"/>
        <v xml:space="preserve">gifted leader(1),gifted programmer(1),gifted designer(1),fun-ness(1),web(1),aesthetics(1),functions(1),interaction(1), </v>
      </c>
      <c r="G143" s="27" t="str">
        <f t="shared" si="9"/>
        <v xml:space="preserve">engineering knowledge(1),gifted leader(1),gifted programmer(1),gifted designer(1),gifted business strategist(1),seriousness(1),technologists(0.5),business model(1),web(1), </v>
      </c>
      <c r="H143" s="27" t="str">
        <f t="shared" si="10"/>
        <v xml:space="preserve">engineering knowledge(1),gifted leader(1),gifted programmer(1),gifted designer(1),gifted business strategist(1),seriousness(1),technologists(0.5),web(1),aesthetics(1),interaction(1), </v>
      </c>
      <c r="I143" s="27" t="str">
        <f t="shared" si="11"/>
        <v xml:space="preserve">gifted leader(1),gifted designer(1),gifted business strategist(1),business model(1),marketing(1),aesthetics(1), </v>
      </c>
      <c r="J143" s="27" t="str">
        <f t="shared" si="12"/>
        <v xml:space="preserve">network among members(1),gifted leader(2),gifted programmer(2),fun-ness(1),seriousness(1),team building(2), </v>
      </c>
      <c r="K143" s="27" t="str">
        <f t="shared" si="13"/>
        <v xml:space="preserve"> </v>
      </c>
      <c r="L143" s="27" t="str">
        <f t="shared" si="14"/>
        <v xml:space="preserve"> </v>
      </c>
      <c r="M143" s="27" t="str">
        <f t="shared" si="15"/>
        <v xml:space="preserve">gifted programmer(2),gifted designer(2),finance(2),investors(2),law(2),finance(2),marketing(2), </v>
      </c>
      <c r="N143" s="27" t="str">
        <f t="shared" si="16"/>
        <v xml:space="preserve"> </v>
      </c>
      <c r="O143" s="27" t="str">
        <f t="shared" si="17"/>
        <v xml:space="preserve"> </v>
      </c>
      <c r="P143" s="27" t="str">
        <f t="shared" si="18"/>
        <v xml:space="preserve"> </v>
      </c>
      <c r="Q143" s="27" t="str">
        <f t="shared" si="19"/>
        <v xml:space="preserve"> </v>
      </c>
      <c r="R143" s="27" t="str">
        <f t="shared" si="20"/>
        <v xml:space="preserve"> </v>
      </c>
      <c r="S143" s="27" t="str">
        <f t="shared" si="21"/>
        <v xml:space="preserve"> </v>
      </c>
      <c r="T143" s="27" t="str">
        <f t="shared" si="22"/>
        <v xml:space="preserve"> </v>
      </c>
      <c r="U143" s="27" t="str">
        <f t="shared" si="23"/>
        <v xml:space="preserve"> </v>
      </c>
      <c r="V143" s="27" t="str">
        <f t="shared" si="24"/>
        <v xml:space="preserve">investors(3),media(1),technologists(2),spaciousness(1), </v>
      </c>
      <c r="W143" s="27" t="str">
        <f t="shared" si="25"/>
        <v xml:space="preserve"> </v>
      </c>
      <c r="X143" s="27" t="str">
        <f t="shared" si="26"/>
        <v xml:space="preserve"> </v>
      </c>
      <c r="Y143" s="27" t="str">
        <f t="shared" si="27"/>
        <v xml:space="preserve"> </v>
      </c>
      <c r="Z143" s="27" t="str">
        <f t="shared" si="28"/>
        <v xml:space="preserve"> </v>
      </c>
      <c r="AA143" s="27" t="str">
        <f t="shared" si="29"/>
        <v xml:space="preserve"> </v>
      </c>
      <c r="AB143" s="27" t="str">
        <f t="shared" si="30"/>
        <v xml:space="preserve"> </v>
      </c>
      <c r="AC143" s="27" t="str">
        <f t="shared" si="31"/>
        <v xml:space="preserve"> </v>
      </c>
      <c r="AD143" s="27" t="str">
        <f t="shared" si="32"/>
        <v xml:space="preserve"> </v>
      </c>
      <c r="AE143" s="27" t="str">
        <f t="shared" si="33"/>
        <v xml:space="preserve"> </v>
      </c>
      <c r="AF143" s="27" t="str">
        <f t="shared" si="34"/>
        <v xml:space="preserve"> </v>
      </c>
      <c r="AG143" s="27" t="str">
        <f t="shared" si="35"/>
        <v xml:space="preserve"> </v>
      </c>
    </row>
    <row r="144" spans="1:33" ht="15.75" customHeight="1">
      <c r="A144" s="9">
        <f t="shared" ref="A144:C144" si="57">A29</f>
        <v>0</v>
      </c>
      <c r="B144" s="9">
        <f t="shared" si="57"/>
        <v>0</v>
      </c>
      <c r="C144" s="9" t="str">
        <f t="shared" si="57"/>
        <v>network among members</v>
      </c>
      <c r="D144" s="27" t="str">
        <f t="shared" si="6"/>
        <v xml:space="preserve">scale(1),enthusiasm(1),ambition(1),web(1), </v>
      </c>
      <c r="E144" s="27" t="str">
        <f t="shared" si="7"/>
        <v xml:space="preserve"> </v>
      </c>
      <c r="F144" s="27" t="str">
        <f t="shared" si="8"/>
        <v xml:space="preserve">gifted leader(1),gifted programmer(1),gifted designer(1),fun-ness(1),web(1),aesthetics(1),functions(1),interaction(1), </v>
      </c>
      <c r="G144" s="27" t="str">
        <f t="shared" si="9"/>
        <v xml:space="preserve">gifted leader(1),gifted programmer(1),gifted designer(1),gifted business strategist(1),seriousness(1),technologists(0.5),business model(1),web(1), </v>
      </c>
      <c r="H144" s="27" t="str">
        <f t="shared" si="10"/>
        <v xml:space="preserve">gifted leader(1),gifted programmer(1),gifted designer(1),gifted business strategist(1),seriousness(1),technologists(0.5),web(1),aesthetics(1),interaction(1), </v>
      </c>
      <c r="I144" s="27" t="str">
        <f t="shared" si="11"/>
        <v xml:space="preserve">gifted leader(1),gifted designer(1),gifted business strategist(1),business model(1),marketing(1),aesthetics(1), </v>
      </c>
      <c r="J144" s="27" t="str">
        <f t="shared" si="12"/>
        <v xml:space="preserve">network among members(1),gifted leader(2),gifted programmer(2),fun-ness(1),seriousness(1),team building(2), </v>
      </c>
      <c r="K144" s="27" t="str">
        <f t="shared" si="13"/>
        <v xml:space="preserve"> </v>
      </c>
      <c r="L144" s="27" t="str">
        <f t="shared" si="14"/>
        <v xml:space="preserve"> </v>
      </c>
      <c r="M144" s="27" t="str">
        <f t="shared" si="15"/>
        <v xml:space="preserve">gifted programmer(2),gifted designer(2),finance(2),investors(2),law(2),finance(2),marketing(2), </v>
      </c>
      <c r="N144" s="27" t="str">
        <f t="shared" si="16"/>
        <v xml:space="preserve"> </v>
      </c>
      <c r="O144" s="27" t="str">
        <f t="shared" si="17"/>
        <v xml:space="preserve"> </v>
      </c>
      <c r="P144" s="27" t="str">
        <f t="shared" si="18"/>
        <v xml:space="preserve"> </v>
      </c>
      <c r="Q144" s="27" t="str">
        <f t="shared" si="19"/>
        <v xml:space="preserve"> </v>
      </c>
      <c r="R144" s="27" t="str">
        <f t="shared" si="20"/>
        <v xml:space="preserve"> </v>
      </c>
      <c r="S144" s="27" t="str">
        <f t="shared" si="21"/>
        <v xml:space="preserve"> </v>
      </c>
      <c r="T144" s="27" t="str">
        <f t="shared" si="22"/>
        <v xml:space="preserve"> </v>
      </c>
      <c r="U144" s="27" t="str">
        <f t="shared" si="23"/>
        <v xml:space="preserve"> </v>
      </c>
      <c r="V144" s="27" t="str">
        <f t="shared" si="24"/>
        <v xml:space="preserve">investors(3),media(1),technologists(2),spaciousness(1), </v>
      </c>
      <c r="W144" s="27" t="str">
        <f t="shared" si="25"/>
        <v xml:space="preserve"> </v>
      </c>
      <c r="X144" s="27" t="str">
        <f t="shared" si="26"/>
        <v xml:space="preserve"> </v>
      </c>
      <c r="Y144" s="27" t="str">
        <f t="shared" si="27"/>
        <v xml:space="preserve"> </v>
      </c>
      <c r="Z144" s="27" t="str">
        <f t="shared" si="28"/>
        <v xml:space="preserve"> </v>
      </c>
      <c r="AA144" s="27" t="str">
        <f t="shared" si="29"/>
        <v xml:space="preserve"> </v>
      </c>
      <c r="AB144" s="27" t="str">
        <f t="shared" si="30"/>
        <v xml:space="preserve"> </v>
      </c>
      <c r="AC144" s="27" t="str">
        <f t="shared" si="31"/>
        <v xml:space="preserve"> </v>
      </c>
      <c r="AD144" s="27" t="str">
        <f t="shared" si="32"/>
        <v xml:space="preserve"> </v>
      </c>
      <c r="AE144" s="27" t="str">
        <f t="shared" si="33"/>
        <v xml:space="preserve"> </v>
      </c>
      <c r="AF144" s="27" t="str">
        <f t="shared" si="34"/>
        <v xml:space="preserve"> </v>
      </c>
      <c r="AG144" s="27" t="str">
        <f t="shared" si="35"/>
        <v xml:space="preserve"> </v>
      </c>
    </row>
    <row r="145" spans="1:33" ht="15.75" customHeight="1">
      <c r="A145" s="9">
        <f t="shared" ref="A145:C145" si="58">A30</f>
        <v>0</v>
      </c>
      <c r="B145" s="9">
        <f t="shared" si="58"/>
        <v>0</v>
      </c>
      <c r="C145" s="9" t="str">
        <f t="shared" si="58"/>
        <v>gifted leader</v>
      </c>
      <c r="D145" s="27" t="str">
        <f t="shared" si="6"/>
        <v xml:space="preserve">scale(1),enthusiasm(1),ambition(1),web(1), </v>
      </c>
      <c r="E145" s="27" t="str">
        <f t="shared" si="7"/>
        <v xml:space="preserve"> </v>
      </c>
      <c r="F145" s="27" t="str">
        <f t="shared" si="8"/>
        <v xml:space="preserve">gifted leader(1),gifted programmer(1),gifted designer(1),fun-ness(1),web(1),aesthetics(1),functions(1),interaction(1), </v>
      </c>
      <c r="G145" s="27" t="str">
        <f t="shared" si="9"/>
        <v xml:space="preserve">gifted leader(1),gifted programmer(1),gifted designer(1),gifted business strategist(1),seriousness(1),technologists(0.5),business model(1),web(1), </v>
      </c>
      <c r="H145" s="27" t="str">
        <f t="shared" si="10"/>
        <v xml:space="preserve">gifted leader(1),gifted programmer(1),gifted designer(1),gifted business strategist(1),seriousness(1),technologists(0.5),web(1),aesthetics(1),interaction(1), </v>
      </c>
      <c r="I145" s="27" t="str">
        <f t="shared" si="11"/>
        <v xml:space="preserve">gifted leader(1),gifted designer(1),gifted business strategist(1),business model(1),marketing(1),aesthetics(1), </v>
      </c>
      <c r="J145" s="27" t="str">
        <f t="shared" si="12"/>
        <v xml:space="preserve">gifted leader(2),gifted programmer(2),fun-ness(1),seriousness(1),team building(2), </v>
      </c>
      <c r="K145" s="27" t="str">
        <f t="shared" si="13"/>
        <v xml:space="preserve"> </v>
      </c>
      <c r="L145" s="27" t="str">
        <f t="shared" si="14"/>
        <v xml:space="preserve"> </v>
      </c>
      <c r="M145" s="27" t="str">
        <f t="shared" si="15"/>
        <v xml:space="preserve">gifted programmer(2),gifted designer(2),finance(2),investors(2),law(2),finance(2),marketing(2), </v>
      </c>
      <c r="N145" s="27" t="str">
        <f t="shared" si="16"/>
        <v xml:space="preserve"> </v>
      </c>
      <c r="O145" s="27" t="str">
        <f t="shared" si="17"/>
        <v xml:space="preserve"> </v>
      </c>
      <c r="P145" s="27" t="str">
        <f t="shared" si="18"/>
        <v xml:space="preserve"> </v>
      </c>
      <c r="Q145" s="27" t="str">
        <f t="shared" si="19"/>
        <v xml:space="preserve"> </v>
      </c>
      <c r="R145" s="27" t="str">
        <f t="shared" si="20"/>
        <v xml:space="preserve"> </v>
      </c>
      <c r="S145" s="27" t="str">
        <f t="shared" si="21"/>
        <v xml:space="preserve"> </v>
      </c>
      <c r="T145" s="27" t="str">
        <f t="shared" si="22"/>
        <v xml:space="preserve"> </v>
      </c>
      <c r="U145" s="27" t="str">
        <f t="shared" si="23"/>
        <v xml:space="preserve"> </v>
      </c>
      <c r="V145" s="27" t="str">
        <f t="shared" si="24"/>
        <v xml:space="preserve">investors(3),media(1),technologists(2),spaciousness(1), </v>
      </c>
      <c r="W145" s="27" t="str">
        <f t="shared" si="25"/>
        <v xml:space="preserve"> </v>
      </c>
      <c r="X145" s="27" t="str">
        <f t="shared" si="26"/>
        <v xml:space="preserve"> </v>
      </c>
      <c r="Y145" s="27" t="str">
        <f t="shared" si="27"/>
        <v xml:space="preserve"> </v>
      </c>
      <c r="Z145" s="27" t="str">
        <f t="shared" si="28"/>
        <v xml:space="preserve"> </v>
      </c>
      <c r="AA145" s="27" t="str">
        <f t="shared" si="29"/>
        <v xml:space="preserve"> </v>
      </c>
      <c r="AB145" s="27" t="str">
        <f t="shared" si="30"/>
        <v xml:space="preserve"> </v>
      </c>
      <c r="AC145" s="27" t="str">
        <f t="shared" si="31"/>
        <v xml:space="preserve"> </v>
      </c>
      <c r="AD145" s="27" t="str">
        <f t="shared" si="32"/>
        <v xml:space="preserve"> </v>
      </c>
      <c r="AE145" s="27" t="str">
        <f t="shared" si="33"/>
        <v xml:space="preserve"> </v>
      </c>
      <c r="AF145" s="27" t="str">
        <f t="shared" si="34"/>
        <v xml:space="preserve"> </v>
      </c>
      <c r="AG145" s="27" t="str">
        <f t="shared" si="35"/>
        <v xml:space="preserve"> </v>
      </c>
    </row>
    <row r="146" spans="1:33" ht="15.75" customHeight="1">
      <c r="A146" s="9">
        <f t="shared" ref="A146:C146" si="59">A31</f>
        <v>0</v>
      </c>
      <c r="B146" s="9">
        <f t="shared" si="59"/>
        <v>0</v>
      </c>
      <c r="C146" s="9" t="str">
        <f t="shared" si="59"/>
        <v>gifted assistant</v>
      </c>
      <c r="D146" s="27" t="str">
        <f t="shared" si="6"/>
        <v xml:space="preserve">scale(1),enthusiasm(1),ambition(1),web(1), </v>
      </c>
      <c r="E146" s="27" t="str">
        <f t="shared" si="7"/>
        <v xml:space="preserve"> </v>
      </c>
      <c r="F146" s="27" t="str">
        <f t="shared" si="8"/>
        <v xml:space="preserve">gifted programmer(1),gifted designer(1),fun-ness(1),web(1),aesthetics(1),functions(1),interaction(1), </v>
      </c>
      <c r="G146" s="27" t="str">
        <f t="shared" si="9"/>
        <v xml:space="preserve">gifted programmer(1),gifted designer(1),gifted business strategist(1),seriousness(1),technologists(0.5),business model(1),web(1), </v>
      </c>
      <c r="H146" s="27" t="str">
        <f t="shared" si="10"/>
        <v xml:space="preserve">gifted programmer(1),gifted designer(1),gifted business strategist(1),seriousness(1),technologists(0.5),web(1),aesthetics(1),interaction(1), </v>
      </c>
      <c r="I146" s="27" t="str">
        <f t="shared" si="11"/>
        <v xml:space="preserve">gifted designer(1),gifted business strategist(1),business model(1),marketing(1),aesthetics(1), </v>
      </c>
      <c r="J146" s="27" t="str">
        <f t="shared" si="12"/>
        <v xml:space="preserve">gifted programmer(2),fun-ness(1),seriousness(1),team building(2), </v>
      </c>
      <c r="K146" s="27" t="str">
        <f t="shared" si="13"/>
        <v xml:space="preserve"> </v>
      </c>
      <c r="L146" s="27" t="str">
        <f t="shared" si="14"/>
        <v xml:space="preserve"> </v>
      </c>
      <c r="M146" s="27" t="str">
        <f t="shared" si="15"/>
        <v xml:space="preserve">gifted programmer(2),gifted designer(2),finance(2),investors(2),law(2),finance(2),marketing(2), </v>
      </c>
      <c r="N146" s="27" t="str">
        <f t="shared" si="16"/>
        <v xml:space="preserve"> </v>
      </c>
      <c r="O146" s="27" t="str">
        <f t="shared" si="17"/>
        <v xml:space="preserve"> </v>
      </c>
      <c r="P146" s="27" t="str">
        <f t="shared" si="18"/>
        <v xml:space="preserve"> </v>
      </c>
      <c r="Q146" s="27" t="str">
        <f t="shared" si="19"/>
        <v xml:space="preserve"> </v>
      </c>
      <c r="R146" s="27" t="str">
        <f t="shared" si="20"/>
        <v xml:space="preserve"> </v>
      </c>
      <c r="S146" s="27" t="str">
        <f t="shared" si="21"/>
        <v xml:space="preserve"> </v>
      </c>
      <c r="T146" s="27" t="str">
        <f t="shared" si="22"/>
        <v xml:space="preserve"> </v>
      </c>
      <c r="U146" s="27" t="str">
        <f t="shared" si="23"/>
        <v xml:space="preserve"> </v>
      </c>
      <c r="V146" s="27" t="str">
        <f t="shared" si="24"/>
        <v xml:space="preserve">investors(3),media(1),technologists(2),spaciousness(1), </v>
      </c>
      <c r="W146" s="27" t="str">
        <f t="shared" si="25"/>
        <v xml:space="preserve"> </v>
      </c>
      <c r="X146" s="27" t="str">
        <f t="shared" si="26"/>
        <v xml:space="preserve"> </v>
      </c>
      <c r="Y146" s="27" t="str">
        <f t="shared" si="27"/>
        <v xml:space="preserve"> </v>
      </c>
      <c r="Z146" s="27" t="str">
        <f t="shared" si="28"/>
        <v xml:space="preserve"> </v>
      </c>
      <c r="AA146" s="27" t="str">
        <f t="shared" si="29"/>
        <v xml:space="preserve"> </v>
      </c>
      <c r="AB146" s="27" t="str">
        <f t="shared" si="30"/>
        <v xml:space="preserve"> </v>
      </c>
      <c r="AC146" s="27" t="str">
        <f t="shared" si="31"/>
        <v xml:space="preserve"> </v>
      </c>
      <c r="AD146" s="27" t="str">
        <f t="shared" si="32"/>
        <v xml:space="preserve"> </v>
      </c>
      <c r="AE146" s="27" t="str">
        <f t="shared" si="33"/>
        <v xml:space="preserve"> </v>
      </c>
      <c r="AF146" s="27" t="str">
        <f t="shared" si="34"/>
        <v xml:space="preserve"> </v>
      </c>
      <c r="AG146" s="27" t="str">
        <f t="shared" si="35"/>
        <v xml:space="preserve"> </v>
      </c>
    </row>
    <row r="147" spans="1:33" ht="15.75" customHeight="1">
      <c r="A147" s="9">
        <f t="shared" ref="A147:C147" si="60">A32</f>
        <v>0</v>
      </c>
      <c r="B147" s="9">
        <f t="shared" si="60"/>
        <v>0</v>
      </c>
      <c r="C147" s="9" t="str">
        <f t="shared" si="60"/>
        <v>gifted programmer</v>
      </c>
      <c r="D147" s="27" t="str">
        <f t="shared" si="6"/>
        <v xml:space="preserve">scale(1),enthusiasm(1),ambition(1),web(1), </v>
      </c>
      <c r="E147" s="27" t="str">
        <f t="shared" si="7"/>
        <v xml:space="preserve"> </v>
      </c>
      <c r="F147" s="27" t="str">
        <f t="shared" si="8"/>
        <v xml:space="preserve">gifted programmer(1),gifted designer(1),fun-ness(1),web(1),aesthetics(1),functions(1),interaction(1), </v>
      </c>
      <c r="G147" s="27" t="str">
        <f t="shared" si="9"/>
        <v xml:space="preserve">gifted programmer(1),gifted designer(1),gifted business strategist(1),seriousness(1),technologists(0.5),business model(1),web(1), </v>
      </c>
      <c r="H147" s="27" t="str">
        <f t="shared" si="10"/>
        <v xml:space="preserve">gifted programmer(1),gifted designer(1),gifted business strategist(1),seriousness(1),technologists(0.5),web(1),aesthetics(1),interaction(1), </v>
      </c>
      <c r="I147" s="27" t="str">
        <f t="shared" si="11"/>
        <v xml:space="preserve">gifted designer(1),gifted business strategist(1),business model(1),marketing(1),aesthetics(1), </v>
      </c>
      <c r="J147" s="27" t="str">
        <f t="shared" si="12"/>
        <v xml:space="preserve">gifted programmer(2),fun-ness(1),seriousness(1),team building(2), </v>
      </c>
      <c r="K147" s="27" t="str">
        <f t="shared" si="13"/>
        <v xml:space="preserve"> </v>
      </c>
      <c r="L147" s="27" t="str">
        <f t="shared" si="14"/>
        <v xml:space="preserve"> </v>
      </c>
      <c r="M147" s="27" t="str">
        <f t="shared" si="15"/>
        <v xml:space="preserve">gifted programmer(2),gifted designer(2),finance(2),investors(2),law(2),finance(2),marketing(2), </v>
      </c>
      <c r="N147" s="27" t="str">
        <f t="shared" si="16"/>
        <v xml:space="preserve"> </v>
      </c>
      <c r="O147" s="27" t="str">
        <f t="shared" si="17"/>
        <v xml:space="preserve"> </v>
      </c>
      <c r="P147" s="27" t="str">
        <f t="shared" si="18"/>
        <v xml:space="preserve"> </v>
      </c>
      <c r="Q147" s="27" t="str">
        <f t="shared" si="19"/>
        <v xml:space="preserve"> </v>
      </c>
      <c r="R147" s="27" t="str">
        <f t="shared" si="20"/>
        <v xml:space="preserve"> </v>
      </c>
      <c r="S147" s="27" t="str">
        <f t="shared" si="21"/>
        <v xml:space="preserve"> </v>
      </c>
      <c r="T147" s="27" t="str">
        <f t="shared" si="22"/>
        <v xml:space="preserve"> </v>
      </c>
      <c r="U147" s="27" t="str">
        <f t="shared" si="23"/>
        <v xml:space="preserve"> </v>
      </c>
      <c r="V147" s="27" t="str">
        <f t="shared" si="24"/>
        <v xml:space="preserve">investors(3),media(1),technologists(2),spaciousness(1), </v>
      </c>
      <c r="W147" s="27" t="str">
        <f t="shared" si="25"/>
        <v xml:space="preserve"> </v>
      </c>
      <c r="X147" s="27" t="str">
        <f t="shared" si="26"/>
        <v xml:space="preserve"> </v>
      </c>
      <c r="Y147" s="27" t="str">
        <f t="shared" si="27"/>
        <v xml:space="preserve"> </v>
      </c>
      <c r="Z147" s="27" t="str">
        <f t="shared" si="28"/>
        <v xml:space="preserve"> </v>
      </c>
      <c r="AA147" s="27" t="str">
        <f t="shared" si="29"/>
        <v xml:space="preserve"> </v>
      </c>
      <c r="AB147" s="27" t="str">
        <f t="shared" si="30"/>
        <v xml:space="preserve"> </v>
      </c>
      <c r="AC147" s="27" t="str">
        <f t="shared" si="31"/>
        <v xml:space="preserve"> </v>
      </c>
      <c r="AD147" s="27" t="str">
        <f t="shared" si="32"/>
        <v xml:space="preserve"> </v>
      </c>
      <c r="AE147" s="27" t="str">
        <f t="shared" si="33"/>
        <v xml:space="preserve"> </v>
      </c>
      <c r="AF147" s="27" t="str">
        <f t="shared" si="34"/>
        <v xml:space="preserve"> </v>
      </c>
      <c r="AG147" s="27" t="str">
        <f t="shared" si="35"/>
        <v xml:space="preserve"> </v>
      </c>
    </row>
    <row r="148" spans="1:33" ht="15.75" customHeight="1">
      <c r="A148" s="9">
        <f t="shared" ref="A148:C148" si="61">A33</f>
        <v>0</v>
      </c>
      <c r="B148" s="9">
        <f t="shared" si="61"/>
        <v>0</v>
      </c>
      <c r="C148" s="9" t="str">
        <f t="shared" si="61"/>
        <v>gifted designer</v>
      </c>
      <c r="D148" s="27" t="str">
        <f t="shared" si="6"/>
        <v xml:space="preserve">scale(1),enthusiasm(1),ambition(1),web(1), </v>
      </c>
      <c r="E148" s="27" t="str">
        <f t="shared" si="7"/>
        <v xml:space="preserve"> </v>
      </c>
      <c r="F148" s="27" t="str">
        <f t="shared" si="8"/>
        <v xml:space="preserve">gifted designer(1),fun-ness(1),web(1),aesthetics(1),functions(1),interaction(1), </v>
      </c>
      <c r="G148" s="27" t="str">
        <f t="shared" si="9"/>
        <v xml:space="preserve">gifted designer(1),gifted business strategist(1),seriousness(1),technologists(0.5),business model(1),web(1), </v>
      </c>
      <c r="H148" s="27" t="str">
        <f t="shared" si="10"/>
        <v xml:space="preserve">gifted designer(1),gifted business strategist(1),seriousness(1),technologists(0.5),web(1),aesthetics(1),interaction(1), </v>
      </c>
      <c r="I148" s="27" t="str">
        <f t="shared" si="11"/>
        <v xml:space="preserve">gifted designer(1),gifted business strategist(1),business model(1),marketing(1),aesthetics(1), </v>
      </c>
      <c r="J148" s="27" t="str">
        <f t="shared" si="12"/>
        <v xml:space="preserve">fun-ness(1),seriousness(1),team building(2), </v>
      </c>
      <c r="K148" s="27" t="str">
        <f t="shared" si="13"/>
        <v xml:space="preserve"> </v>
      </c>
      <c r="L148" s="27" t="str">
        <f t="shared" si="14"/>
        <v xml:space="preserve"> </v>
      </c>
      <c r="M148" s="27" t="str">
        <f t="shared" si="15"/>
        <v xml:space="preserve">gifted designer(2),finance(2),investors(2),law(2),finance(2),marketing(2), </v>
      </c>
      <c r="N148" s="27" t="str">
        <f t="shared" si="16"/>
        <v xml:space="preserve"> </v>
      </c>
      <c r="O148" s="27" t="str">
        <f t="shared" si="17"/>
        <v xml:space="preserve"> </v>
      </c>
      <c r="P148" s="27" t="str">
        <f t="shared" si="18"/>
        <v xml:space="preserve"> </v>
      </c>
      <c r="Q148" s="27" t="str">
        <f t="shared" si="19"/>
        <v xml:space="preserve"> </v>
      </c>
      <c r="R148" s="27" t="str">
        <f t="shared" si="20"/>
        <v xml:space="preserve"> </v>
      </c>
      <c r="S148" s="27" t="str">
        <f t="shared" si="21"/>
        <v xml:space="preserve"> </v>
      </c>
      <c r="T148" s="27" t="str">
        <f t="shared" si="22"/>
        <v xml:space="preserve"> </v>
      </c>
      <c r="U148" s="27" t="str">
        <f t="shared" si="23"/>
        <v xml:space="preserve"> </v>
      </c>
      <c r="V148" s="27" t="str">
        <f t="shared" si="24"/>
        <v xml:space="preserve">investors(3),media(1),technologists(2),spaciousness(1), </v>
      </c>
      <c r="W148" s="27" t="str">
        <f t="shared" si="25"/>
        <v xml:space="preserve"> </v>
      </c>
      <c r="X148" s="27" t="str">
        <f t="shared" si="26"/>
        <v xml:space="preserve"> </v>
      </c>
      <c r="Y148" s="27" t="str">
        <f t="shared" si="27"/>
        <v xml:space="preserve"> </v>
      </c>
      <c r="Z148" s="27" t="str">
        <f t="shared" si="28"/>
        <v xml:space="preserve"> </v>
      </c>
      <c r="AA148" s="27" t="str">
        <f t="shared" si="29"/>
        <v xml:space="preserve"> </v>
      </c>
      <c r="AB148" s="27" t="str">
        <f t="shared" si="30"/>
        <v xml:space="preserve"> </v>
      </c>
      <c r="AC148" s="27" t="str">
        <f t="shared" si="31"/>
        <v xml:space="preserve"> </v>
      </c>
      <c r="AD148" s="27" t="str">
        <f t="shared" si="32"/>
        <v xml:space="preserve"> </v>
      </c>
      <c r="AE148" s="27" t="str">
        <f t="shared" si="33"/>
        <v xml:space="preserve"> </v>
      </c>
      <c r="AF148" s="27" t="str">
        <f t="shared" si="34"/>
        <v xml:space="preserve"> </v>
      </c>
      <c r="AG148" s="27" t="str">
        <f t="shared" si="35"/>
        <v xml:space="preserve"> </v>
      </c>
    </row>
    <row r="149" spans="1:33" ht="15.75" customHeight="1">
      <c r="A149" s="9">
        <f t="shared" ref="A149:C149" si="62">A34</f>
        <v>0</v>
      </c>
      <c r="B149" s="9">
        <f t="shared" si="62"/>
        <v>0</v>
      </c>
      <c r="C149" s="9" t="str">
        <f t="shared" si="62"/>
        <v>gifted business strategist</v>
      </c>
      <c r="D149" s="27" t="str">
        <f t="shared" si="6"/>
        <v xml:space="preserve">scale(1),enthusiasm(1),ambition(1),web(1), </v>
      </c>
      <c r="E149" s="27" t="str">
        <f t="shared" si="7"/>
        <v xml:space="preserve"> </v>
      </c>
      <c r="F149" s="27" t="str">
        <f t="shared" si="8"/>
        <v xml:space="preserve">fun-ness(1),web(1),aesthetics(1),functions(1),interaction(1), </v>
      </c>
      <c r="G149" s="27" t="str">
        <f t="shared" si="9"/>
        <v xml:space="preserve">gifted business strategist(1),seriousness(1),technologists(0.5),business model(1),web(1), </v>
      </c>
      <c r="H149" s="27" t="str">
        <f t="shared" si="10"/>
        <v xml:space="preserve">gifted business strategist(1),seriousness(1),technologists(0.5),web(1),aesthetics(1),interaction(1), </v>
      </c>
      <c r="I149" s="27" t="str">
        <f t="shared" si="11"/>
        <v xml:space="preserve">gifted business strategist(1),business model(1),marketing(1),aesthetics(1), </v>
      </c>
      <c r="J149" s="27" t="str">
        <f t="shared" si="12"/>
        <v xml:space="preserve">fun-ness(1),seriousness(1),team building(2), </v>
      </c>
      <c r="K149" s="27" t="str">
        <f t="shared" si="13"/>
        <v xml:space="preserve"> </v>
      </c>
      <c r="L149" s="27" t="str">
        <f t="shared" si="14"/>
        <v xml:space="preserve"> </v>
      </c>
      <c r="M149" s="27" t="str">
        <f t="shared" si="15"/>
        <v xml:space="preserve">finance(2),investors(2),law(2),finance(2),marketing(2), </v>
      </c>
      <c r="N149" s="27" t="str">
        <f t="shared" si="16"/>
        <v xml:space="preserve"> </v>
      </c>
      <c r="O149" s="27" t="str">
        <f t="shared" si="17"/>
        <v xml:space="preserve"> </v>
      </c>
      <c r="P149" s="27" t="str">
        <f t="shared" si="18"/>
        <v xml:space="preserve"> </v>
      </c>
      <c r="Q149" s="27" t="str">
        <f t="shared" si="19"/>
        <v xml:space="preserve"> </v>
      </c>
      <c r="R149" s="27" t="str">
        <f t="shared" si="20"/>
        <v xml:space="preserve"> </v>
      </c>
      <c r="S149" s="27" t="str">
        <f t="shared" si="21"/>
        <v xml:space="preserve"> </v>
      </c>
      <c r="T149" s="27" t="str">
        <f t="shared" si="22"/>
        <v xml:space="preserve"> </v>
      </c>
      <c r="U149" s="27" t="str">
        <f t="shared" si="23"/>
        <v xml:space="preserve"> </v>
      </c>
      <c r="V149" s="27" t="str">
        <f t="shared" si="24"/>
        <v xml:space="preserve">investors(3),media(1),technologists(2),spaciousness(1), </v>
      </c>
      <c r="W149" s="27" t="str">
        <f t="shared" si="25"/>
        <v xml:space="preserve"> </v>
      </c>
      <c r="X149" s="27" t="str">
        <f t="shared" si="26"/>
        <v xml:space="preserve"> </v>
      </c>
      <c r="Y149" s="27" t="str">
        <f t="shared" si="27"/>
        <v xml:space="preserve"> </v>
      </c>
      <c r="Z149" s="27" t="str">
        <f t="shared" si="28"/>
        <v xml:space="preserve"> </v>
      </c>
      <c r="AA149" s="27" t="str">
        <f t="shared" si="29"/>
        <v xml:space="preserve"> </v>
      </c>
      <c r="AB149" s="27" t="str">
        <f t="shared" si="30"/>
        <v xml:space="preserve"> </v>
      </c>
      <c r="AC149" s="27" t="str">
        <f t="shared" si="31"/>
        <v xml:space="preserve"> </v>
      </c>
      <c r="AD149" s="27" t="str">
        <f t="shared" si="32"/>
        <v xml:space="preserve"> </v>
      </c>
      <c r="AE149" s="27" t="str">
        <f t="shared" si="33"/>
        <v xml:space="preserve"> </v>
      </c>
      <c r="AF149" s="27" t="str">
        <f t="shared" si="34"/>
        <v xml:space="preserve"> </v>
      </c>
      <c r="AG149" s="27" t="str">
        <f t="shared" si="35"/>
        <v xml:space="preserve"> </v>
      </c>
    </row>
    <row r="150" spans="1:33" ht="15.75" customHeight="1">
      <c r="A150" s="9">
        <f t="shared" ref="A150:C150" si="63">A35</f>
        <v>0</v>
      </c>
      <c r="B150" s="9" t="str">
        <f t="shared" si="63"/>
        <v>lab staff</v>
      </c>
      <c r="C150" s="9" t="str">
        <f t="shared" si="63"/>
        <v>scale</v>
      </c>
      <c r="D150" s="27" t="str">
        <f t="shared" si="6"/>
        <v xml:space="preserve">scale(1),enthusiasm(1),ambition(1),web(1), </v>
      </c>
      <c r="E150" s="27" t="str">
        <f t="shared" si="7"/>
        <v xml:space="preserve"> </v>
      </c>
      <c r="F150" s="27" t="str">
        <f t="shared" si="8"/>
        <v xml:space="preserve">fun-ness(1),web(1),aesthetics(1),functions(1),interaction(1), </v>
      </c>
      <c r="G150" s="27" t="str">
        <f t="shared" si="9"/>
        <v xml:space="preserve">seriousness(1),technologists(0.5),business model(1),web(1), </v>
      </c>
      <c r="H150" s="27" t="str">
        <f t="shared" si="10"/>
        <v xml:space="preserve">seriousness(1),technologists(0.5),web(1),aesthetics(1),interaction(1), </v>
      </c>
      <c r="I150" s="27" t="str">
        <f t="shared" si="11"/>
        <v xml:space="preserve">business model(1),marketing(1),aesthetics(1), </v>
      </c>
      <c r="J150" s="27" t="str">
        <f t="shared" si="12"/>
        <v xml:space="preserve">fun-ness(1),seriousness(1),team building(2), </v>
      </c>
      <c r="K150" s="27" t="str">
        <f t="shared" si="13"/>
        <v xml:space="preserve"> </v>
      </c>
      <c r="L150" s="27" t="str">
        <f t="shared" si="14"/>
        <v xml:space="preserve"> </v>
      </c>
      <c r="M150" s="27" t="str">
        <f t="shared" si="15"/>
        <v xml:space="preserve">finance(2),investors(2),law(2),finance(2),marketing(2), </v>
      </c>
      <c r="N150" s="27" t="str">
        <f t="shared" si="16"/>
        <v xml:space="preserve"> </v>
      </c>
      <c r="O150" s="27" t="str">
        <f t="shared" si="17"/>
        <v xml:space="preserve"> </v>
      </c>
      <c r="P150" s="27" t="str">
        <f t="shared" si="18"/>
        <v xml:space="preserve"> </v>
      </c>
      <c r="Q150" s="27" t="str">
        <f t="shared" si="19"/>
        <v xml:space="preserve"> </v>
      </c>
      <c r="R150" s="27" t="str">
        <f t="shared" si="20"/>
        <v xml:space="preserve"> </v>
      </c>
      <c r="S150" s="27" t="str">
        <f t="shared" si="21"/>
        <v xml:space="preserve"> </v>
      </c>
      <c r="T150" s="27" t="str">
        <f t="shared" si="22"/>
        <v xml:space="preserve"> </v>
      </c>
      <c r="U150" s="27" t="str">
        <f t="shared" si="23"/>
        <v xml:space="preserve"> </v>
      </c>
      <c r="V150" s="27" t="str">
        <f t="shared" si="24"/>
        <v xml:space="preserve">investors(3),media(1),technologists(2),spaciousness(1), </v>
      </c>
      <c r="W150" s="27" t="str">
        <f t="shared" si="25"/>
        <v xml:space="preserve"> </v>
      </c>
      <c r="X150" s="27" t="str">
        <f t="shared" si="26"/>
        <v xml:space="preserve"> </v>
      </c>
      <c r="Y150" s="27" t="str">
        <f t="shared" si="27"/>
        <v xml:space="preserve"> </v>
      </c>
      <c r="Z150" s="27" t="str">
        <f t="shared" si="28"/>
        <v xml:space="preserve"> </v>
      </c>
      <c r="AA150" s="27" t="str">
        <f t="shared" si="29"/>
        <v xml:space="preserve"> </v>
      </c>
      <c r="AB150" s="27" t="str">
        <f t="shared" si="30"/>
        <v xml:space="preserve"> </v>
      </c>
      <c r="AC150" s="27" t="str">
        <f t="shared" si="31"/>
        <v xml:space="preserve"> </v>
      </c>
      <c r="AD150" s="27" t="str">
        <f t="shared" si="32"/>
        <v xml:space="preserve"> </v>
      </c>
      <c r="AE150" s="27" t="str">
        <f t="shared" si="33"/>
        <v xml:space="preserve"> </v>
      </c>
      <c r="AF150" s="27" t="str">
        <f t="shared" si="34"/>
        <v xml:space="preserve"> </v>
      </c>
      <c r="AG150" s="27" t="str">
        <f t="shared" si="35"/>
        <v xml:space="preserve"> </v>
      </c>
    </row>
    <row r="151" spans="1:33" ht="15.75" customHeight="1">
      <c r="A151" s="9">
        <f t="shared" ref="A151:C151" si="64">A36</f>
        <v>0</v>
      </c>
      <c r="B151" s="9">
        <f t="shared" si="64"/>
        <v>0</v>
      </c>
      <c r="C151" s="9" t="str">
        <f t="shared" si="64"/>
        <v>enthusiasm</v>
      </c>
      <c r="D151" s="27" t="str">
        <f t="shared" si="6"/>
        <v xml:space="preserve">enthusiasm(1),ambition(1),web(1), </v>
      </c>
      <c r="E151" s="27" t="str">
        <f t="shared" si="7"/>
        <v xml:space="preserve"> </v>
      </c>
      <c r="F151" s="27" t="str">
        <f t="shared" si="8"/>
        <v xml:space="preserve">fun-ness(1),web(1),aesthetics(1),functions(1),interaction(1), </v>
      </c>
      <c r="G151" s="27" t="str">
        <f t="shared" si="9"/>
        <v xml:space="preserve">seriousness(1),technologists(0.5),business model(1),web(1), </v>
      </c>
      <c r="H151" s="27" t="str">
        <f t="shared" si="10"/>
        <v xml:space="preserve">seriousness(1),technologists(0.5),web(1),aesthetics(1),interaction(1), </v>
      </c>
      <c r="I151" s="27" t="str">
        <f t="shared" si="11"/>
        <v xml:space="preserve">business model(1),marketing(1),aesthetics(1), </v>
      </c>
      <c r="J151" s="27" t="str">
        <f t="shared" si="12"/>
        <v xml:space="preserve">fun-ness(1),seriousness(1),team building(2), </v>
      </c>
      <c r="K151" s="27" t="str">
        <f t="shared" si="13"/>
        <v xml:space="preserve"> </v>
      </c>
      <c r="L151" s="27" t="str">
        <f t="shared" si="14"/>
        <v xml:space="preserve"> </v>
      </c>
      <c r="M151" s="27" t="str">
        <f t="shared" si="15"/>
        <v xml:space="preserve">finance(2),investors(2),law(2),finance(2),marketing(2), </v>
      </c>
      <c r="N151" s="27" t="str">
        <f t="shared" si="16"/>
        <v xml:space="preserve"> </v>
      </c>
      <c r="O151" s="27" t="str">
        <f t="shared" si="17"/>
        <v xml:space="preserve"> </v>
      </c>
      <c r="P151" s="27" t="str">
        <f t="shared" si="18"/>
        <v xml:space="preserve"> </v>
      </c>
      <c r="Q151" s="27" t="str">
        <f t="shared" si="19"/>
        <v xml:space="preserve"> </v>
      </c>
      <c r="R151" s="27" t="str">
        <f t="shared" si="20"/>
        <v xml:space="preserve"> </v>
      </c>
      <c r="S151" s="27" t="str">
        <f t="shared" si="21"/>
        <v xml:space="preserve"> </v>
      </c>
      <c r="T151" s="27" t="str">
        <f t="shared" si="22"/>
        <v xml:space="preserve"> </v>
      </c>
      <c r="U151" s="27" t="str">
        <f t="shared" si="23"/>
        <v xml:space="preserve"> </v>
      </c>
      <c r="V151" s="27" t="str">
        <f t="shared" si="24"/>
        <v xml:space="preserve">investors(3),media(1),technologists(2),spaciousness(1), </v>
      </c>
      <c r="W151" s="27" t="str">
        <f t="shared" si="25"/>
        <v xml:space="preserve"> </v>
      </c>
      <c r="X151" s="27" t="str">
        <f t="shared" si="26"/>
        <v xml:space="preserve"> </v>
      </c>
      <c r="Y151" s="27" t="str">
        <f t="shared" si="27"/>
        <v xml:space="preserve"> </v>
      </c>
      <c r="Z151" s="27" t="str">
        <f t="shared" si="28"/>
        <v xml:space="preserve"> </v>
      </c>
      <c r="AA151" s="27" t="str">
        <f t="shared" si="29"/>
        <v xml:space="preserve"> </v>
      </c>
      <c r="AB151" s="27" t="str">
        <f t="shared" si="30"/>
        <v xml:space="preserve"> </v>
      </c>
      <c r="AC151" s="27" t="str">
        <f t="shared" si="31"/>
        <v xml:space="preserve"> </v>
      </c>
      <c r="AD151" s="27" t="str">
        <f t="shared" si="32"/>
        <v xml:space="preserve"> </v>
      </c>
      <c r="AE151" s="27" t="str">
        <f t="shared" si="33"/>
        <v xml:space="preserve"> </v>
      </c>
      <c r="AF151" s="27" t="str">
        <f t="shared" si="34"/>
        <v xml:space="preserve"> </v>
      </c>
      <c r="AG151" s="27" t="str">
        <f t="shared" si="35"/>
        <v xml:space="preserve"> </v>
      </c>
    </row>
    <row r="152" spans="1:33" ht="15.75" customHeight="1">
      <c r="A152" s="9">
        <f t="shared" ref="A152:C152" si="65">A37</f>
        <v>0</v>
      </c>
      <c r="B152" s="9">
        <f t="shared" si="65"/>
        <v>0</v>
      </c>
      <c r="C152" s="9" t="str">
        <f t="shared" si="65"/>
        <v>agility</v>
      </c>
      <c r="D152" s="27" t="str">
        <f t="shared" si="6"/>
        <v xml:space="preserve">ambition(1),web(1), </v>
      </c>
      <c r="E152" s="27" t="str">
        <f t="shared" si="7"/>
        <v xml:space="preserve"> </v>
      </c>
      <c r="F152" s="27" t="str">
        <f t="shared" si="8"/>
        <v xml:space="preserve">fun-ness(1),web(1),aesthetics(1),functions(1),interaction(1), </v>
      </c>
      <c r="G152" s="27" t="str">
        <f t="shared" si="9"/>
        <v xml:space="preserve">seriousness(1),technologists(0.5),business model(1),web(1), </v>
      </c>
      <c r="H152" s="27" t="str">
        <f t="shared" si="10"/>
        <v xml:space="preserve">seriousness(1),technologists(0.5),web(1),aesthetics(1),interaction(1), </v>
      </c>
      <c r="I152" s="27" t="str">
        <f t="shared" si="11"/>
        <v xml:space="preserve">business model(1),marketing(1),aesthetics(1), </v>
      </c>
      <c r="J152" s="27" t="str">
        <f t="shared" si="12"/>
        <v xml:space="preserve">fun-ness(1),seriousness(1),team building(2), </v>
      </c>
      <c r="K152" s="27" t="str">
        <f t="shared" si="13"/>
        <v xml:space="preserve"> </v>
      </c>
      <c r="L152" s="27" t="str">
        <f t="shared" si="14"/>
        <v xml:space="preserve"> </v>
      </c>
      <c r="M152" s="27" t="str">
        <f t="shared" si="15"/>
        <v xml:space="preserve">finance(2),investors(2),law(2),finance(2),marketing(2), </v>
      </c>
      <c r="N152" s="27" t="str">
        <f t="shared" si="16"/>
        <v xml:space="preserve"> </v>
      </c>
      <c r="O152" s="27" t="str">
        <f t="shared" si="17"/>
        <v xml:space="preserve"> </v>
      </c>
      <c r="P152" s="27" t="str">
        <f t="shared" si="18"/>
        <v xml:space="preserve"> </v>
      </c>
      <c r="Q152" s="27" t="str">
        <f t="shared" si="19"/>
        <v xml:space="preserve"> </v>
      </c>
      <c r="R152" s="27" t="str">
        <f t="shared" si="20"/>
        <v xml:space="preserve"> </v>
      </c>
      <c r="S152" s="27" t="str">
        <f t="shared" si="21"/>
        <v xml:space="preserve"> </v>
      </c>
      <c r="T152" s="27" t="str">
        <f t="shared" si="22"/>
        <v xml:space="preserve"> </v>
      </c>
      <c r="U152" s="27" t="str">
        <f t="shared" si="23"/>
        <v xml:space="preserve"> </v>
      </c>
      <c r="V152" s="27" t="str">
        <f t="shared" si="24"/>
        <v xml:space="preserve">investors(3),media(1),technologists(2),spaciousness(1), </v>
      </c>
      <c r="W152" s="27" t="str">
        <f t="shared" si="25"/>
        <v xml:space="preserve"> </v>
      </c>
      <c r="X152" s="27" t="str">
        <f t="shared" si="26"/>
        <v xml:space="preserve"> </v>
      </c>
      <c r="Y152" s="27" t="str">
        <f t="shared" si="27"/>
        <v xml:space="preserve"> </v>
      </c>
      <c r="Z152" s="27" t="str">
        <f t="shared" si="28"/>
        <v xml:space="preserve"> </v>
      </c>
      <c r="AA152" s="27" t="str">
        <f t="shared" si="29"/>
        <v xml:space="preserve"> </v>
      </c>
      <c r="AB152" s="27" t="str">
        <f t="shared" si="30"/>
        <v xml:space="preserve"> </v>
      </c>
      <c r="AC152" s="27" t="str">
        <f t="shared" si="31"/>
        <v xml:space="preserve"> </v>
      </c>
      <c r="AD152" s="27" t="str">
        <f t="shared" si="32"/>
        <v xml:space="preserve"> </v>
      </c>
      <c r="AE152" s="27" t="str">
        <f t="shared" si="33"/>
        <v xml:space="preserve"> </v>
      </c>
      <c r="AF152" s="27" t="str">
        <f t="shared" si="34"/>
        <v xml:space="preserve"> </v>
      </c>
      <c r="AG152" s="27" t="str">
        <f t="shared" si="35"/>
        <v xml:space="preserve"> </v>
      </c>
    </row>
    <row r="153" spans="1:33" ht="15.75" customHeight="1">
      <c r="A153" s="9">
        <f t="shared" ref="A153:C153" si="66">A38</f>
        <v>0</v>
      </c>
      <c r="B153" s="9">
        <f t="shared" si="66"/>
        <v>0</v>
      </c>
      <c r="C153" s="9" t="str">
        <f t="shared" si="66"/>
        <v>ambition</v>
      </c>
      <c r="D153" s="27" t="str">
        <f t="shared" si="6"/>
        <v xml:space="preserve">ambition(1),web(1), </v>
      </c>
      <c r="E153" s="27" t="str">
        <f t="shared" si="7"/>
        <v xml:space="preserve"> </v>
      </c>
      <c r="F153" s="27" t="str">
        <f t="shared" si="8"/>
        <v xml:space="preserve">fun-ness(1),web(1),aesthetics(1),functions(1),interaction(1), </v>
      </c>
      <c r="G153" s="27" t="str">
        <f t="shared" si="9"/>
        <v xml:space="preserve">seriousness(1),technologists(0.5),business model(1),web(1), </v>
      </c>
      <c r="H153" s="27" t="str">
        <f t="shared" si="10"/>
        <v xml:space="preserve">seriousness(1),technologists(0.5),web(1),aesthetics(1),interaction(1), </v>
      </c>
      <c r="I153" s="27" t="str">
        <f t="shared" si="11"/>
        <v xml:space="preserve">business model(1),marketing(1),aesthetics(1), </v>
      </c>
      <c r="J153" s="27" t="str">
        <f t="shared" si="12"/>
        <v xml:space="preserve">fun-ness(1),seriousness(1),team building(2), </v>
      </c>
      <c r="K153" s="27" t="str">
        <f t="shared" si="13"/>
        <v xml:space="preserve"> </v>
      </c>
      <c r="L153" s="27" t="str">
        <f t="shared" si="14"/>
        <v xml:space="preserve"> </v>
      </c>
      <c r="M153" s="27" t="str">
        <f t="shared" si="15"/>
        <v xml:space="preserve">finance(2),investors(2),law(2),finance(2),marketing(2), </v>
      </c>
      <c r="N153" s="27" t="str">
        <f t="shared" si="16"/>
        <v xml:space="preserve"> </v>
      </c>
      <c r="O153" s="27" t="str">
        <f t="shared" si="17"/>
        <v xml:space="preserve"> </v>
      </c>
      <c r="P153" s="27" t="str">
        <f t="shared" si="18"/>
        <v xml:space="preserve"> </v>
      </c>
      <c r="Q153" s="27" t="str">
        <f t="shared" si="19"/>
        <v xml:space="preserve"> </v>
      </c>
      <c r="R153" s="27" t="str">
        <f t="shared" si="20"/>
        <v xml:space="preserve"> </v>
      </c>
      <c r="S153" s="27" t="str">
        <f t="shared" si="21"/>
        <v xml:space="preserve"> </v>
      </c>
      <c r="T153" s="27" t="str">
        <f t="shared" si="22"/>
        <v xml:space="preserve"> </v>
      </c>
      <c r="U153" s="27" t="str">
        <f t="shared" si="23"/>
        <v xml:space="preserve"> </v>
      </c>
      <c r="V153" s="27" t="str">
        <f t="shared" si="24"/>
        <v xml:space="preserve">investors(3),media(1),technologists(2),spaciousness(1), </v>
      </c>
      <c r="W153" s="27" t="str">
        <f t="shared" si="25"/>
        <v xml:space="preserve"> </v>
      </c>
      <c r="X153" s="27" t="str">
        <f t="shared" si="26"/>
        <v xml:space="preserve"> </v>
      </c>
      <c r="Y153" s="27" t="str">
        <f t="shared" si="27"/>
        <v xml:space="preserve"> </v>
      </c>
      <c r="Z153" s="27" t="str">
        <f t="shared" si="28"/>
        <v xml:space="preserve"> </v>
      </c>
      <c r="AA153" s="27" t="str">
        <f t="shared" si="29"/>
        <v xml:space="preserve"> </v>
      </c>
      <c r="AB153" s="27" t="str">
        <f t="shared" si="30"/>
        <v xml:space="preserve"> </v>
      </c>
      <c r="AC153" s="27" t="str">
        <f t="shared" si="31"/>
        <v xml:space="preserve"> </v>
      </c>
      <c r="AD153" s="27" t="str">
        <f t="shared" si="32"/>
        <v xml:space="preserve"> </v>
      </c>
      <c r="AE153" s="27" t="str">
        <f t="shared" si="33"/>
        <v xml:space="preserve"> </v>
      </c>
      <c r="AF153" s="27" t="str">
        <f t="shared" si="34"/>
        <v xml:space="preserve"> </v>
      </c>
      <c r="AG153" s="27" t="str">
        <f t="shared" si="35"/>
        <v xml:space="preserve"> </v>
      </c>
    </row>
    <row r="154" spans="1:33" ht="15.75" customHeight="1">
      <c r="A154" s="9">
        <f t="shared" ref="A154:C154" si="67">A39</f>
        <v>0</v>
      </c>
      <c r="B154" s="9">
        <f t="shared" si="67"/>
        <v>0</v>
      </c>
      <c r="C154" s="9" t="str">
        <f t="shared" si="67"/>
        <v>attention to details</v>
      </c>
      <c r="D154" s="27" t="str">
        <f t="shared" si="6"/>
        <v xml:space="preserve">web(1), </v>
      </c>
      <c r="E154" s="27" t="str">
        <f t="shared" si="7"/>
        <v xml:space="preserve"> </v>
      </c>
      <c r="F154" s="27" t="str">
        <f t="shared" si="8"/>
        <v xml:space="preserve">fun-ness(1),web(1),aesthetics(1),functions(1),interaction(1), </v>
      </c>
      <c r="G154" s="27" t="str">
        <f t="shared" si="9"/>
        <v xml:space="preserve">seriousness(1),technologists(0.5),business model(1),web(1), </v>
      </c>
      <c r="H154" s="27" t="str">
        <f t="shared" si="10"/>
        <v xml:space="preserve">seriousness(1),technologists(0.5),web(1),aesthetics(1),interaction(1), </v>
      </c>
      <c r="I154" s="27" t="str">
        <f t="shared" si="11"/>
        <v xml:space="preserve">business model(1),marketing(1),aesthetics(1), </v>
      </c>
      <c r="J154" s="27" t="str">
        <f t="shared" si="12"/>
        <v xml:space="preserve">fun-ness(1),seriousness(1),team building(2), </v>
      </c>
      <c r="K154" s="27" t="str">
        <f t="shared" si="13"/>
        <v xml:space="preserve"> </v>
      </c>
      <c r="L154" s="27" t="str">
        <f t="shared" si="14"/>
        <v xml:space="preserve"> </v>
      </c>
      <c r="M154" s="27" t="str">
        <f t="shared" si="15"/>
        <v xml:space="preserve">finance(2),investors(2),law(2),finance(2),marketing(2), </v>
      </c>
      <c r="N154" s="27" t="str">
        <f t="shared" si="16"/>
        <v xml:space="preserve"> </v>
      </c>
      <c r="O154" s="27" t="str">
        <f t="shared" si="17"/>
        <v xml:space="preserve"> </v>
      </c>
      <c r="P154" s="27" t="str">
        <f t="shared" si="18"/>
        <v xml:space="preserve"> </v>
      </c>
      <c r="Q154" s="27" t="str">
        <f t="shared" si="19"/>
        <v xml:space="preserve"> </v>
      </c>
      <c r="R154" s="27" t="str">
        <f t="shared" si="20"/>
        <v xml:space="preserve"> </v>
      </c>
      <c r="S154" s="27" t="str">
        <f t="shared" si="21"/>
        <v xml:space="preserve"> </v>
      </c>
      <c r="T154" s="27" t="str">
        <f t="shared" si="22"/>
        <v xml:space="preserve"> </v>
      </c>
      <c r="U154" s="27" t="str">
        <f t="shared" si="23"/>
        <v xml:space="preserve"> </v>
      </c>
      <c r="V154" s="27" t="str">
        <f t="shared" si="24"/>
        <v xml:space="preserve">investors(3),media(1),technologists(2),spaciousness(1), </v>
      </c>
      <c r="W154" s="27" t="str">
        <f t="shared" si="25"/>
        <v xml:space="preserve"> </v>
      </c>
      <c r="X154" s="27" t="str">
        <f t="shared" si="26"/>
        <v xml:space="preserve"> </v>
      </c>
      <c r="Y154" s="27" t="str">
        <f t="shared" si="27"/>
        <v xml:space="preserve"> </v>
      </c>
      <c r="Z154" s="27" t="str">
        <f t="shared" si="28"/>
        <v xml:space="preserve"> </v>
      </c>
      <c r="AA154" s="27" t="str">
        <f t="shared" si="29"/>
        <v xml:space="preserve"> </v>
      </c>
      <c r="AB154" s="27" t="str">
        <f t="shared" si="30"/>
        <v xml:space="preserve"> </v>
      </c>
      <c r="AC154" s="27" t="str">
        <f t="shared" si="31"/>
        <v xml:space="preserve"> </v>
      </c>
      <c r="AD154" s="27" t="str">
        <f t="shared" si="32"/>
        <v xml:space="preserve"> </v>
      </c>
      <c r="AE154" s="27" t="str">
        <f t="shared" si="33"/>
        <v xml:space="preserve"> </v>
      </c>
      <c r="AF154" s="27" t="str">
        <f t="shared" si="34"/>
        <v xml:space="preserve"> </v>
      </c>
      <c r="AG154" s="27" t="str">
        <f t="shared" si="35"/>
        <v xml:space="preserve"> </v>
      </c>
    </row>
    <row r="155" spans="1:33" ht="15.75" customHeight="1">
      <c r="A155" s="9">
        <f t="shared" ref="A155:C155" si="68">A40</f>
        <v>0</v>
      </c>
      <c r="B155" s="9">
        <f t="shared" si="68"/>
        <v>0</v>
      </c>
      <c r="C155" s="9" t="str">
        <f t="shared" si="68"/>
        <v>fun-ness</v>
      </c>
      <c r="D155" s="27" t="str">
        <f t="shared" si="6"/>
        <v xml:space="preserve">web(1), </v>
      </c>
      <c r="E155" s="27" t="str">
        <f t="shared" si="7"/>
        <v xml:space="preserve"> </v>
      </c>
      <c r="F155" s="27" t="str">
        <f t="shared" si="8"/>
        <v xml:space="preserve">fun-ness(1),web(1),aesthetics(1),functions(1),interaction(1), </v>
      </c>
      <c r="G155" s="27" t="str">
        <f t="shared" si="9"/>
        <v xml:space="preserve">seriousness(1),technologists(0.5),business model(1),web(1), </v>
      </c>
      <c r="H155" s="27" t="str">
        <f t="shared" si="10"/>
        <v xml:space="preserve">seriousness(1),technologists(0.5),web(1),aesthetics(1),interaction(1), </v>
      </c>
      <c r="I155" s="27" t="str">
        <f t="shared" si="11"/>
        <v xml:space="preserve">business model(1),marketing(1),aesthetics(1), </v>
      </c>
      <c r="J155" s="27" t="str">
        <f t="shared" si="12"/>
        <v xml:space="preserve">fun-ness(1),seriousness(1),team building(2), </v>
      </c>
      <c r="K155" s="27" t="str">
        <f t="shared" si="13"/>
        <v xml:space="preserve"> </v>
      </c>
      <c r="L155" s="27" t="str">
        <f t="shared" si="14"/>
        <v xml:space="preserve"> </v>
      </c>
      <c r="M155" s="27" t="str">
        <f t="shared" si="15"/>
        <v xml:space="preserve">finance(2),investors(2),law(2),finance(2),marketing(2), </v>
      </c>
      <c r="N155" s="27" t="str">
        <f t="shared" si="16"/>
        <v xml:space="preserve"> </v>
      </c>
      <c r="O155" s="27" t="str">
        <f t="shared" si="17"/>
        <v xml:space="preserve"> </v>
      </c>
      <c r="P155" s="27" t="str">
        <f t="shared" si="18"/>
        <v xml:space="preserve"> </v>
      </c>
      <c r="Q155" s="27" t="str">
        <f t="shared" si="19"/>
        <v xml:space="preserve"> </v>
      </c>
      <c r="R155" s="27" t="str">
        <f t="shared" si="20"/>
        <v xml:space="preserve"> </v>
      </c>
      <c r="S155" s="27" t="str">
        <f t="shared" si="21"/>
        <v xml:space="preserve"> </v>
      </c>
      <c r="T155" s="27" t="str">
        <f t="shared" si="22"/>
        <v xml:space="preserve"> </v>
      </c>
      <c r="U155" s="27" t="str">
        <f t="shared" si="23"/>
        <v xml:space="preserve"> </v>
      </c>
      <c r="V155" s="27" t="str">
        <f t="shared" si="24"/>
        <v xml:space="preserve">investors(3),media(1),technologists(2),spaciousness(1), </v>
      </c>
      <c r="W155" s="27" t="str">
        <f t="shared" si="25"/>
        <v xml:space="preserve"> </v>
      </c>
      <c r="X155" s="27" t="str">
        <f t="shared" si="26"/>
        <v xml:space="preserve"> </v>
      </c>
      <c r="Y155" s="27" t="str">
        <f t="shared" si="27"/>
        <v xml:space="preserve"> </v>
      </c>
      <c r="Z155" s="27" t="str">
        <f t="shared" si="28"/>
        <v xml:space="preserve"> </v>
      </c>
      <c r="AA155" s="27" t="str">
        <f t="shared" si="29"/>
        <v xml:space="preserve"> </v>
      </c>
      <c r="AB155" s="27" t="str">
        <f t="shared" si="30"/>
        <v xml:space="preserve"> </v>
      </c>
      <c r="AC155" s="27" t="str">
        <f t="shared" si="31"/>
        <v xml:space="preserve"> </v>
      </c>
      <c r="AD155" s="27" t="str">
        <f t="shared" si="32"/>
        <v xml:space="preserve"> </v>
      </c>
      <c r="AE155" s="27" t="str">
        <f t="shared" si="33"/>
        <v xml:space="preserve"> </v>
      </c>
      <c r="AF155" s="27" t="str">
        <f t="shared" si="34"/>
        <v xml:space="preserve"> </v>
      </c>
      <c r="AG155" s="27" t="str">
        <f t="shared" si="35"/>
        <v xml:space="preserve"> </v>
      </c>
    </row>
    <row r="156" spans="1:33" ht="15.75" customHeight="1">
      <c r="A156" s="9">
        <f t="shared" ref="A156:C156" si="69">A41</f>
        <v>0</v>
      </c>
      <c r="B156" s="9">
        <f t="shared" si="69"/>
        <v>0</v>
      </c>
      <c r="C156" s="9" t="str">
        <f t="shared" si="69"/>
        <v>seriousness</v>
      </c>
      <c r="D156" s="27" t="str">
        <f t="shared" si="6"/>
        <v xml:space="preserve">web(1), </v>
      </c>
      <c r="E156" s="27" t="str">
        <f t="shared" si="7"/>
        <v xml:space="preserve"> </v>
      </c>
      <c r="F156" s="27" t="str">
        <f t="shared" si="8"/>
        <v xml:space="preserve">web(1),aesthetics(1),functions(1),interaction(1), </v>
      </c>
      <c r="G156" s="27" t="str">
        <f t="shared" si="9"/>
        <v xml:space="preserve">seriousness(1),technologists(0.5),business model(1),web(1), </v>
      </c>
      <c r="H156" s="27" t="str">
        <f t="shared" si="10"/>
        <v xml:space="preserve">seriousness(1),technologists(0.5),web(1),aesthetics(1),interaction(1), </v>
      </c>
      <c r="I156" s="27" t="str">
        <f t="shared" si="11"/>
        <v xml:space="preserve">business model(1),marketing(1),aesthetics(1), </v>
      </c>
      <c r="J156" s="27" t="str">
        <f t="shared" si="12"/>
        <v xml:space="preserve">seriousness(1),team building(2), </v>
      </c>
      <c r="K156" s="27" t="str">
        <f t="shared" si="13"/>
        <v xml:space="preserve"> </v>
      </c>
      <c r="L156" s="27" t="str">
        <f t="shared" si="14"/>
        <v xml:space="preserve"> </v>
      </c>
      <c r="M156" s="27" t="str">
        <f t="shared" si="15"/>
        <v xml:space="preserve">finance(2),investors(2),law(2),finance(2),marketing(2), </v>
      </c>
      <c r="N156" s="27" t="str">
        <f t="shared" si="16"/>
        <v xml:space="preserve"> </v>
      </c>
      <c r="O156" s="27" t="str">
        <f t="shared" si="17"/>
        <v xml:space="preserve"> </v>
      </c>
      <c r="P156" s="27" t="str">
        <f t="shared" si="18"/>
        <v xml:space="preserve"> </v>
      </c>
      <c r="Q156" s="27" t="str">
        <f t="shared" si="19"/>
        <v xml:space="preserve"> </v>
      </c>
      <c r="R156" s="27" t="str">
        <f t="shared" si="20"/>
        <v xml:space="preserve"> </v>
      </c>
      <c r="S156" s="27" t="str">
        <f t="shared" si="21"/>
        <v xml:space="preserve"> </v>
      </c>
      <c r="T156" s="27" t="str">
        <f t="shared" si="22"/>
        <v xml:space="preserve"> </v>
      </c>
      <c r="U156" s="27" t="str">
        <f t="shared" si="23"/>
        <v xml:space="preserve"> </v>
      </c>
      <c r="V156" s="27" t="str">
        <f t="shared" si="24"/>
        <v xml:space="preserve">investors(3),media(1),technologists(2),spaciousness(1), </v>
      </c>
      <c r="W156" s="27" t="str">
        <f t="shared" si="25"/>
        <v xml:space="preserve"> </v>
      </c>
      <c r="X156" s="27" t="str">
        <f t="shared" si="26"/>
        <v xml:space="preserve"> </v>
      </c>
      <c r="Y156" s="27" t="str">
        <f t="shared" si="27"/>
        <v xml:space="preserve"> </v>
      </c>
      <c r="Z156" s="27" t="str">
        <f t="shared" si="28"/>
        <v xml:space="preserve"> </v>
      </c>
      <c r="AA156" s="27" t="str">
        <f t="shared" si="29"/>
        <v xml:space="preserve"> </v>
      </c>
      <c r="AB156" s="27" t="str">
        <f t="shared" si="30"/>
        <v xml:space="preserve"> </v>
      </c>
      <c r="AC156" s="27" t="str">
        <f t="shared" si="31"/>
        <v xml:space="preserve"> </v>
      </c>
      <c r="AD156" s="27" t="str">
        <f t="shared" si="32"/>
        <v xml:space="preserve"> </v>
      </c>
      <c r="AE156" s="27" t="str">
        <f t="shared" si="33"/>
        <v xml:space="preserve"> </v>
      </c>
      <c r="AF156" s="27" t="str">
        <f t="shared" si="34"/>
        <v xml:space="preserve"> </v>
      </c>
      <c r="AG156" s="27" t="str">
        <f t="shared" si="35"/>
        <v xml:space="preserve"> </v>
      </c>
    </row>
    <row r="157" spans="1:33" ht="15.75" customHeight="1">
      <c r="A157" s="9">
        <f t="shared" ref="A157:C157" si="70">A42</f>
        <v>0</v>
      </c>
      <c r="B157" s="9">
        <f t="shared" si="70"/>
        <v>0</v>
      </c>
      <c r="C157" s="9" t="str">
        <f t="shared" si="70"/>
        <v>initiative</v>
      </c>
      <c r="D157" s="27" t="str">
        <f t="shared" si="6"/>
        <v xml:space="preserve">web(1), </v>
      </c>
      <c r="E157" s="27" t="str">
        <f t="shared" si="7"/>
        <v xml:space="preserve"> </v>
      </c>
      <c r="F157" s="27" t="str">
        <f t="shared" si="8"/>
        <v xml:space="preserve">web(1),aesthetics(1),functions(1),interaction(1), </v>
      </c>
      <c r="G157" s="27" t="str">
        <f t="shared" si="9"/>
        <v xml:space="preserve">technologists(0.5),business model(1),web(1), </v>
      </c>
      <c r="H157" s="27" t="str">
        <f t="shared" si="10"/>
        <v xml:space="preserve">technologists(0.5),web(1),aesthetics(1),interaction(1), </v>
      </c>
      <c r="I157" s="27" t="str">
        <f t="shared" si="11"/>
        <v xml:space="preserve">business model(1),marketing(1),aesthetics(1), </v>
      </c>
      <c r="J157" s="27" t="str">
        <f t="shared" si="12"/>
        <v xml:space="preserve">team building(2), </v>
      </c>
      <c r="K157" s="27" t="str">
        <f t="shared" si="13"/>
        <v xml:space="preserve"> </v>
      </c>
      <c r="L157" s="27" t="str">
        <f t="shared" si="14"/>
        <v xml:space="preserve"> </v>
      </c>
      <c r="M157" s="27" t="str">
        <f t="shared" si="15"/>
        <v xml:space="preserve">finance(2),investors(2),law(2),finance(2),marketing(2), </v>
      </c>
      <c r="N157" s="27" t="str">
        <f t="shared" si="16"/>
        <v xml:space="preserve"> </v>
      </c>
      <c r="O157" s="27" t="str">
        <f t="shared" si="17"/>
        <v xml:space="preserve"> </v>
      </c>
      <c r="P157" s="27" t="str">
        <f t="shared" si="18"/>
        <v xml:space="preserve"> </v>
      </c>
      <c r="Q157" s="27" t="str">
        <f t="shared" si="19"/>
        <v xml:space="preserve"> </v>
      </c>
      <c r="R157" s="27" t="str">
        <f t="shared" si="20"/>
        <v xml:space="preserve"> </v>
      </c>
      <c r="S157" s="27" t="str">
        <f t="shared" si="21"/>
        <v xml:space="preserve"> </v>
      </c>
      <c r="T157" s="27" t="str">
        <f t="shared" si="22"/>
        <v xml:space="preserve"> </v>
      </c>
      <c r="U157" s="27" t="str">
        <f t="shared" si="23"/>
        <v xml:space="preserve"> </v>
      </c>
      <c r="V157" s="27" t="str">
        <f t="shared" si="24"/>
        <v xml:space="preserve">investors(3),media(1),technologists(2),spaciousness(1), </v>
      </c>
      <c r="W157" s="27" t="str">
        <f t="shared" si="25"/>
        <v xml:space="preserve"> </v>
      </c>
      <c r="X157" s="27" t="str">
        <f t="shared" si="26"/>
        <v xml:space="preserve"> </v>
      </c>
      <c r="Y157" s="27" t="str">
        <f t="shared" si="27"/>
        <v xml:space="preserve"> </v>
      </c>
      <c r="Z157" s="27" t="str">
        <f t="shared" si="28"/>
        <v xml:space="preserve"> </v>
      </c>
      <c r="AA157" s="27" t="str">
        <f t="shared" si="29"/>
        <v xml:space="preserve"> </v>
      </c>
      <c r="AB157" s="27" t="str">
        <f t="shared" si="30"/>
        <v xml:space="preserve"> </v>
      </c>
      <c r="AC157" s="27" t="str">
        <f t="shared" si="31"/>
        <v xml:space="preserve"> </v>
      </c>
      <c r="AD157" s="27" t="str">
        <f t="shared" si="32"/>
        <v xml:space="preserve"> </v>
      </c>
      <c r="AE157" s="27" t="str">
        <f t="shared" si="33"/>
        <v xml:space="preserve"> </v>
      </c>
      <c r="AF157" s="27" t="str">
        <f t="shared" si="34"/>
        <v xml:space="preserve"> </v>
      </c>
      <c r="AG157" s="27" t="str">
        <f t="shared" si="35"/>
        <v xml:space="preserve"> </v>
      </c>
    </row>
    <row r="158" spans="1:33" ht="15.75" customHeight="1">
      <c r="A158" s="9">
        <f t="shared" ref="A158:C158" si="71">A43</f>
        <v>0</v>
      </c>
      <c r="B158" s="9">
        <f t="shared" si="71"/>
        <v>0</v>
      </c>
      <c r="C158" s="9" t="str">
        <f t="shared" si="71"/>
        <v>leader</v>
      </c>
      <c r="D158" s="27" t="str">
        <f t="shared" si="6"/>
        <v xml:space="preserve">web(1), </v>
      </c>
      <c r="E158" s="27" t="str">
        <f t="shared" si="7"/>
        <v xml:space="preserve"> </v>
      </c>
      <c r="F158" s="27" t="str">
        <f t="shared" si="8"/>
        <v xml:space="preserve">web(1),aesthetics(1),functions(1),interaction(1), </v>
      </c>
      <c r="G158" s="27" t="str">
        <f t="shared" si="9"/>
        <v xml:space="preserve">technologists(0.5),business model(1),web(1), </v>
      </c>
      <c r="H158" s="27" t="str">
        <f t="shared" si="10"/>
        <v xml:space="preserve">technologists(0.5),web(1),aesthetics(1),interaction(1), </v>
      </c>
      <c r="I158" s="27" t="str">
        <f t="shared" si="11"/>
        <v xml:space="preserve">business model(1),marketing(1),aesthetics(1), </v>
      </c>
      <c r="J158" s="27" t="str">
        <f t="shared" si="12"/>
        <v xml:space="preserve">team building(2), </v>
      </c>
      <c r="K158" s="27" t="str">
        <f t="shared" si="13"/>
        <v xml:space="preserve"> </v>
      </c>
      <c r="L158" s="27" t="str">
        <f t="shared" si="14"/>
        <v xml:space="preserve"> </v>
      </c>
      <c r="M158" s="27" t="str">
        <f t="shared" si="15"/>
        <v xml:space="preserve">finance(2),investors(2),law(2),finance(2),marketing(2), </v>
      </c>
      <c r="N158" s="27" t="str">
        <f t="shared" si="16"/>
        <v xml:space="preserve"> </v>
      </c>
      <c r="O158" s="27" t="str">
        <f t="shared" si="17"/>
        <v xml:space="preserve"> </v>
      </c>
      <c r="P158" s="27" t="str">
        <f t="shared" si="18"/>
        <v xml:space="preserve"> </v>
      </c>
      <c r="Q158" s="27" t="str">
        <f t="shared" si="19"/>
        <v xml:space="preserve"> </v>
      </c>
      <c r="R158" s="27" t="str">
        <f t="shared" si="20"/>
        <v xml:space="preserve"> </v>
      </c>
      <c r="S158" s="27" t="str">
        <f t="shared" si="21"/>
        <v xml:space="preserve"> </v>
      </c>
      <c r="T158" s="27" t="str">
        <f t="shared" si="22"/>
        <v xml:space="preserve"> </v>
      </c>
      <c r="U158" s="27" t="str">
        <f t="shared" si="23"/>
        <v xml:space="preserve"> </v>
      </c>
      <c r="V158" s="27" t="str">
        <f t="shared" si="24"/>
        <v xml:space="preserve">investors(3),media(1),technologists(2),spaciousness(1), </v>
      </c>
      <c r="W158" s="27" t="str">
        <f t="shared" si="25"/>
        <v xml:space="preserve"> </v>
      </c>
      <c r="X158" s="27" t="str">
        <f t="shared" si="26"/>
        <v xml:space="preserve"> </v>
      </c>
      <c r="Y158" s="27" t="str">
        <f t="shared" si="27"/>
        <v xml:space="preserve"> </v>
      </c>
      <c r="Z158" s="27" t="str">
        <f t="shared" si="28"/>
        <v xml:space="preserve"> </v>
      </c>
      <c r="AA158" s="27" t="str">
        <f t="shared" si="29"/>
        <v xml:space="preserve"> </v>
      </c>
      <c r="AB158" s="27" t="str">
        <f t="shared" si="30"/>
        <v xml:space="preserve"> </v>
      </c>
      <c r="AC158" s="27" t="str">
        <f t="shared" si="31"/>
        <v xml:space="preserve"> </v>
      </c>
      <c r="AD158" s="27" t="str">
        <f t="shared" si="32"/>
        <v xml:space="preserve"> </v>
      </c>
      <c r="AE158" s="27" t="str">
        <f t="shared" si="33"/>
        <v xml:space="preserve"> </v>
      </c>
      <c r="AF158" s="27" t="str">
        <f t="shared" si="34"/>
        <v xml:space="preserve"> </v>
      </c>
      <c r="AG158" s="27" t="str">
        <f t="shared" si="35"/>
        <v xml:space="preserve"> </v>
      </c>
    </row>
    <row r="159" spans="1:33" ht="15.75" customHeight="1">
      <c r="A159" s="9">
        <f t="shared" ref="A159:C159" si="72">A44</f>
        <v>0</v>
      </c>
      <c r="B159" s="9">
        <f t="shared" si="72"/>
        <v>0</v>
      </c>
      <c r="C159" s="9" t="str">
        <f t="shared" si="72"/>
        <v>community manager</v>
      </c>
      <c r="D159" s="27" t="str">
        <f t="shared" si="6"/>
        <v xml:space="preserve">web(1), </v>
      </c>
      <c r="E159" s="27" t="str">
        <f t="shared" si="7"/>
        <v xml:space="preserve"> </v>
      </c>
      <c r="F159" s="27" t="str">
        <f t="shared" si="8"/>
        <v xml:space="preserve">web(1),aesthetics(1),functions(1),interaction(1), </v>
      </c>
      <c r="G159" s="27" t="str">
        <f t="shared" si="9"/>
        <v xml:space="preserve">technologists(0.5),business model(1),web(1), </v>
      </c>
      <c r="H159" s="27" t="str">
        <f t="shared" si="10"/>
        <v xml:space="preserve">technologists(0.5),web(1),aesthetics(1),interaction(1), </v>
      </c>
      <c r="I159" s="27" t="str">
        <f t="shared" si="11"/>
        <v xml:space="preserve">business model(1),marketing(1),aesthetics(1), </v>
      </c>
      <c r="J159" s="27" t="str">
        <f t="shared" si="12"/>
        <v xml:space="preserve">team building(2), </v>
      </c>
      <c r="K159" s="27" t="str">
        <f t="shared" si="13"/>
        <v xml:space="preserve"> </v>
      </c>
      <c r="L159" s="27" t="str">
        <f t="shared" si="14"/>
        <v xml:space="preserve"> </v>
      </c>
      <c r="M159" s="27" t="str">
        <f t="shared" si="15"/>
        <v xml:space="preserve">finance(2),investors(2),law(2),finance(2),marketing(2), </v>
      </c>
      <c r="N159" s="27" t="str">
        <f t="shared" si="16"/>
        <v xml:space="preserve"> </v>
      </c>
      <c r="O159" s="27" t="str">
        <f t="shared" si="17"/>
        <v xml:space="preserve"> </v>
      </c>
      <c r="P159" s="27" t="str">
        <f t="shared" si="18"/>
        <v xml:space="preserve"> </v>
      </c>
      <c r="Q159" s="27" t="str">
        <f t="shared" si="19"/>
        <v xml:space="preserve"> </v>
      </c>
      <c r="R159" s="27" t="str">
        <f t="shared" si="20"/>
        <v xml:space="preserve"> </v>
      </c>
      <c r="S159" s="27" t="str">
        <f t="shared" si="21"/>
        <v xml:space="preserve"> </v>
      </c>
      <c r="T159" s="27" t="str">
        <f t="shared" si="22"/>
        <v xml:space="preserve"> </v>
      </c>
      <c r="U159" s="27" t="str">
        <f t="shared" si="23"/>
        <v xml:space="preserve"> </v>
      </c>
      <c r="V159" s="27" t="str">
        <f t="shared" si="24"/>
        <v xml:space="preserve">investors(3),media(1),technologists(2),spaciousness(1), </v>
      </c>
      <c r="W159" s="27" t="str">
        <f t="shared" si="25"/>
        <v xml:space="preserve"> </v>
      </c>
      <c r="X159" s="27" t="str">
        <f t="shared" si="26"/>
        <v xml:space="preserve"> </v>
      </c>
      <c r="Y159" s="27" t="str">
        <f t="shared" si="27"/>
        <v xml:space="preserve"> </v>
      </c>
      <c r="Z159" s="27" t="str">
        <f t="shared" si="28"/>
        <v xml:space="preserve"> </v>
      </c>
      <c r="AA159" s="27" t="str">
        <f t="shared" si="29"/>
        <v xml:space="preserve"> </v>
      </c>
      <c r="AB159" s="27" t="str">
        <f t="shared" si="30"/>
        <v xml:space="preserve"> </v>
      </c>
      <c r="AC159" s="27" t="str">
        <f t="shared" si="31"/>
        <v xml:space="preserve"> </v>
      </c>
      <c r="AD159" s="27" t="str">
        <f t="shared" si="32"/>
        <v xml:space="preserve"> </v>
      </c>
      <c r="AE159" s="27" t="str">
        <f t="shared" si="33"/>
        <v xml:space="preserve"> </v>
      </c>
      <c r="AF159" s="27" t="str">
        <f t="shared" si="34"/>
        <v xml:space="preserve"> </v>
      </c>
      <c r="AG159" s="27" t="str">
        <f t="shared" si="35"/>
        <v xml:space="preserve"> </v>
      </c>
    </row>
    <row r="160" spans="1:33" ht="15.75" customHeight="1">
      <c r="A160" s="9">
        <f t="shared" ref="A160:C160" si="73">A45</f>
        <v>0</v>
      </c>
      <c r="B160" s="9">
        <f t="shared" si="73"/>
        <v>0</v>
      </c>
      <c r="C160" s="9" t="str">
        <f t="shared" si="73"/>
        <v>PR</v>
      </c>
      <c r="D160" s="27" t="str">
        <f t="shared" si="6"/>
        <v xml:space="preserve">web(1), </v>
      </c>
      <c r="E160" s="27" t="str">
        <f t="shared" si="7"/>
        <v xml:space="preserve"> </v>
      </c>
      <c r="F160" s="27" t="str">
        <f t="shared" si="8"/>
        <v xml:space="preserve">web(1),aesthetics(1),functions(1),interaction(1), </v>
      </c>
      <c r="G160" s="27" t="str">
        <f t="shared" si="9"/>
        <v xml:space="preserve">technologists(0.5),business model(1),web(1), </v>
      </c>
      <c r="H160" s="27" t="str">
        <f t="shared" si="10"/>
        <v xml:space="preserve">technologists(0.5),web(1),aesthetics(1),interaction(1), </v>
      </c>
      <c r="I160" s="27" t="str">
        <f t="shared" si="11"/>
        <v xml:space="preserve">business model(1),marketing(1),aesthetics(1), </v>
      </c>
      <c r="J160" s="27" t="str">
        <f t="shared" si="12"/>
        <v xml:space="preserve">team building(2), </v>
      </c>
      <c r="K160" s="27" t="str">
        <f t="shared" si="13"/>
        <v xml:space="preserve"> </v>
      </c>
      <c r="L160" s="27" t="str">
        <f t="shared" si="14"/>
        <v xml:space="preserve"> </v>
      </c>
      <c r="M160" s="27" t="str">
        <f t="shared" si="15"/>
        <v xml:space="preserve">finance(2),investors(2),law(2),finance(2),marketing(2), </v>
      </c>
      <c r="N160" s="27" t="str">
        <f t="shared" si="16"/>
        <v xml:space="preserve"> </v>
      </c>
      <c r="O160" s="27" t="str">
        <f t="shared" si="17"/>
        <v xml:space="preserve"> </v>
      </c>
      <c r="P160" s="27" t="str">
        <f t="shared" si="18"/>
        <v xml:space="preserve"> </v>
      </c>
      <c r="Q160" s="27" t="str">
        <f t="shared" si="19"/>
        <v xml:space="preserve"> </v>
      </c>
      <c r="R160" s="27" t="str">
        <f t="shared" si="20"/>
        <v xml:space="preserve"> </v>
      </c>
      <c r="S160" s="27" t="str">
        <f t="shared" si="21"/>
        <v xml:space="preserve"> </v>
      </c>
      <c r="T160" s="27" t="str">
        <f t="shared" si="22"/>
        <v xml:space="preserve"> </v>
      </c>
      <c r="U160" s="27" t="str">
        <f t="shared" si="23"/>
        <v xml:space="preserve"> </v>
      </c>
      <c r="V160" s="27" t="str">
        <f t="shared" si="24"/>
        <v xml:space="preserve">investors(3),media(1),technologists(2),spaciousness(1), </v>
      </c>
      <c r="W160" s="27" t="str">
        <f t="shared" si="25"/>
        <v xml:space="preserve"> </v>
      </c>
      <c r="X160" s="27" t="str">
        <f t="shared" si="26"/>
        <v xml:space="preserve"> </v>
      </c>
      <c r="Y160" s="27" t="str">
        <f t="shared" si="27"/>
        <v xml:space="preserve"> </v>
      </c>
      <c r="Z160" s="27" t="str">
        <f t="shared" si="28"/>
        <v xml:space="preserve"> </v>
      </c>
      <c r="AA160" s="27" t="str">
        <f t="shared" si="29"/>
        <v xml:space="preserve"> </v>
      </c>
      <c r="AB160" s="27" t="str">
        <f t="shared" si="30"/>
        <v xml:space="preserve"> </v>
      </c>
      <c r="AC160" s="27" t="str">
        <f t="shared" si="31"/>
        <v xml:space="preserve"> </v>
      </c>
      <c r="AD160" s="27" t="str">
        <f t="shared" si="32"/>
        <v xml:space="preserve"> </v>
      </c>
      <c r="AE160" s="27" t="str">
        <f t="shared" si="33"/>
        <v xml:space="preserve"> </v>
      </c>
      <c r="AF160" s="27" t="str">
        <f t="shared" si="34"/>
        <v xml:space="preserve"> </v>
      </c>
      <c r="AG160" s="27" t="str">
        <f t="shared" si="35"/>
        <v xml:space="preserve"> </v>
      </c>
    </row>
    <row r="161" spans="1:33" ht="15.75" customHeight="1">
      <c r="A161" s="9">
        <f t="shared" ref="A161:C161" si="74">A46</f>
        <v>0</v>
      </c>
      <c r="B161" s="9">
        <f t="shared" si="74"/>
        <v>0</v>
      </c>
      <c r="C161" s="9" t="str">
        <f t="shared" si="74"/>
        <v>finance</v>
      </c>
      <c r="D161" s="27" t="str">
        <f t="shared" si="6"/>
        <v xml:space="preserve">web(1), </v>
      </c>
      <c r="E161" s="27" t="str">
        <f t="shared" si="7"/>
        <v xml:space="preserve"> </v>
      </c>
      <c r="F161" s="27" t="str">
        <f t="shared" si="8"/>
        <v xml:space="preserve">web(1),aesthetics(1),functions(1),interaction(1), </v>
      </c>
      <c r="G161" s="27" t="str">
        <f t="shared" si="9"/>
        <v xml:space="preserve">technologists(0.5),business model(1),web(1), </v>
      </c>
      <c r="H161" s="27" t="str">
        <f t="shared" si="10"/>
        <v xml:space="preserve">technologists(0.5),web(1),aesthetics(1),interaction(1), </v>
      </c>
      <c r="I161" s="27" t="str">
        <f t="shared" si="11"/>
        <v xml:space="preserve">business model(1),marketing(1),aesthetics(1), </v>
      </c>
      <c r="J161" s="27" t="str">
        <f t="shared" si="12"/>
        <v xml:space="preserve">team building(2), </v>
      </c>
      <c r="K161" s="27" t="str">
        <f t="shared" si="13"/>
        <v xml:space="preserve"> </v>
      </c>
      <c r="L161" s="27" t="str">
        <f t="shared" si="14"/>
        <v xml:space="preserve"> </v>
      </c>
      <c r="M161" s="27" t="str">
        <f t="shared" si="15"/>
        <v xml:space="preserve">finance(2),investors(2),law(2),finance(2),marketing(2), </v>
      </c>
      <c r="N161" s="27" t="str">
        <f t="shared" si="16"/>
        <v xml:space="preserve"> </v>
      </c>
      <c r="O161" s="27" t="str">
        <f t="shared" si="17"/>
        <v xml:space="preserve"> </v>
      </c>
      <c r="P161" s="27" t="str">
        <f t="shared" si="18"/>
        <v xml:space="preserve"> </v>
      </c>
      <c r="Q161" s="27" t="str">
        <f t="shared" si="19"/>
        <v xml:space="preserve"> </v>
      </c>
      <c r="R161" s="27" t="str">
        <f t="shared" si="20"/>
        <v xml:space="preserve"> </v>
      </c>
      <c r="S161" s="27" t="str">
        <f t="shared" si="21"/>
        <v xml:space="preserve"> </v>
      </c>
      <c r="T161" s="27" t="str">
        <f t="shared" si="22"/>
        <v xml:space="preserve"> </v>
      </c>
      <c r="U161" s="27" t="str">
        <f t="shared" si="23"/>
        <v xml:space="preserve"> </v>
      </c>
      <c r="V161" s="27" t="str">
        <f t="shared" si="24"/>
        <v xml:space="preserve">investors(3),media(1),technologists(2),spaciousness(1), </v>
      </c>
      <c r="W161" s="27" t="str">
        <f t="shared" si="25"/>
        <v xml:space="preserve"> </v>
      </c>
      <c r="X161" s="27" t="str">
        <f t="shared" si="26"/>
        <v xml:space="preserve"> </v>
      </c>
      <c r="Y161" s="27" t="str">
        <f t="shared" si="27"/>
        <v xml:space="preserve"> </v>
      </c>
      <c r="Z161" s="27" t="str">
        <f t="shared" si="28"/>
        <v xml:space="preserve"> </v>
      </c>
      <c r="AA161" s="27" t="str">
        <f t="shared" si="29"/>
        <v xml:space="preserve"> </v>
      </c>
      <c r="AB161" s="27" t="str">
        <f t="shared" si="30"/>
        <v xml:space="preserve"> </v>
      </c>
      <c r="AC161" s="27" t="str">
        <f t="shared" si="31"/>
        <v xml:space="preserve"> </v>
      </c>
      <c r="AD161" s="27" t="str">
        <f t="shared" si="32"/>
        <v xml:space="preserve"> </v>
      </c>
      <c r="AE161" s="27" t="str">
        <f t="shared" si="33"/>
        <v xml:space="preserve"> </v>
      </c>
      <c r="AF161" s="27" t="str">
        <f t="shared" si="34"/>
        <v xml:space="preserve"> </v>
      </c>
      <c r="AG161" s="27" t="str">
        <f t="shared" si="35"/>
        <v xml:space="preserve"> </v>
      </c>
    </row>
    <row r="162" spans="1:33" ht="15.75" customHeight="1">
      <c r="A162" s="9">
        <f t="shared" ref="A162:C162" si="75">A47</f>
        <v>0</v>
      </c>
      <c r="B162" s="9">
        <f t="shared" si="75"/>
        <v>0</v>
      </c>
      <c r="C162" s="9" t="str">
        <f t="shared" si="75"/>
        <v>administrator</v>
      </c>
      <c r="D162" s="27" t="str">
        <f t="shared" si="6"/>
        <v xml:space="preserve">web(1), </v>
      </c>
      <c r="E162" s="27" t="str">
        <f t="shared" si="7"/>
        <v xml:space="preserve"> </v>
      </c>
      <c r="F162" s="27" t="str">
        <f t="shared" si="8"/>
        <v xml:space="preserve">web(1),aesthetics(1),functions(1),interaction(1), </v>
      </c>
      <c r="G162" s="27" t="str">
        <f t="shared" si="9"/>
        <v xml:space="preserve">technologists(0.5),business model(1),web(1), </v>
      </c>
      <c r="H162" s="27" t="str">
        <f t="shared" si="10"/>
        <v xml:space="preserve">technologists(0.5),web(1),aesthetics(1),interaction(1), </v>
      </c>
      <c r="I162" s="27" t="str">
        <f t="shared" si="11"/>
        <v xml:space="preserve">business model(1),marketing(1),aesthetics(1), </v>
      </c>
      <c r="J162" s="27" t="str">
        <f t="shared" si="12"/>
        <v xml:space="preserve">team building(2), </v>
      </c>
      <c r="K162" s="27" t="str">
        <f t="shared" si="13"/>
        <v xml:space="preserve"> </v>
      </c>
      <c r="L162" s="27" t="str">
        <f t="shared" si="14"/>
        <v xml:space="preserve"> </v>
      </c>
      <c r="M162" s="27" t="str">
        <f t="shared" si="15"/>
        <v xml:space="preserve">investors(2),law(2),finance(2),marketing(2), </v>
      </c>
      <c r="N162" s="27" t="str">
        <f t="shared" si="16"/>
        <v xml:space="preserve"> </v>
      </c>
      <c r="O162" s="27" t="str">
        <f t="shared" si="17"/>
        <v xml:space="preserve"> </v>
      </c>
      <c r="P162" s="27" t="str">
        <f t="shared" si="18"/>
        <v xml:space="preserve"> </v>
      </c>
      <c r="Q162" s="27" t="str">
        <f t="shared" si="19"/>
        <v xml:space="preserve"> </v>
      </c>
      <c r="R162" s="27" t="str">
        <f t="shared" si="20"/>
        <v xml:space="preserve"> </v>
      </c>
      <c r="S162" s="27" t="str">
        <f t="shared" si="21"/>
        <v xml:space="preserve"> </v>
      </c>
      <c r="T162" s="27" t="str">
        <f t="shared" si="22"/>
        <v xml:space="preserve"> </v>
      </c>
      <c r="U162" s="27" t="str">
        <f t="shared" si="23"/>
        <v xml:space="preserve"> </v>
      </c>
      <c r="V162" s="27" t="str">
        <f t="shared" si="24"/>
        <v xml:space="preserve">investors(3),media(1),technologists(2),spaciousness(1), </v>
      </c>
      <c r="W162" s="27" t="str">
        <f t="shared" si="25"/>
        <v xml:space="preserve"> </v>
      </c>
      <c r="X162" s="27" t="str">
        <f t="shared" si="26"/>
        <v xml:space="preserve"> </v>
      </c>
      <c r="Y162" s="27" t="str">
        <f t="shared" si="27"/>
        <v xml:space="preserve"> </v>
      </c>
      <c r="Z162" s="27" t="str">
        <f t="shared" si="28"/>
        <v xml:space="preserve"> </v>
      </c>
      <c r="AA162" s="27" t="str">
        <f t="shared" si="29"/>
        <v xml:space="preserve"> </v>
      </c>
      <c r="AB162" s="27" t="str">
        <f t="shared" si="30"/>
        <v xml:space="preserve"> </v>
      </c>
      <c r="AC162" s="27" t="str">
        <f t="shared" si="31"/>
        <v xml:space="preserve"> </v>
      </c>
      <c r="AD162" s="27" t="str">
        <f t="shared" si="32"/>
        <v xml:space="preserve"> </v>
      </c>
      <c r="AE162" s="27" t="str">
        <f t="shared" si="33"/>
        <v xml:space="preserve"> </v>
      </c>
      <c r="AF162" s="27" t="str">
        <f t="shared" si="34"/>
        <v xml:space="preserve"> </v>
      </c>
      <c r="AG162" s="27" t="str">
        <f t="shared" si="35"/>
        <v xml:space="preserve"> </v>
      </c>
    </row>
    <row r="163" spans="1:33" ht="15.75" customHeight="1">
      <c r="A163" s="9">
        <f t="shared" ref="A163:C163" si="76">A48</f>
        <v>0</v>
      </c>
      <c r="B163" s="9" t="str">
        <f t="shared" si="76"/>
        <v>board</v>
      </c>
      <c r="C163" s="9" t="str">
        <f t="shared" si="76"/>
        <v>enthusiasm</v>
      </c>
      <c r="D163" s="27" t="str">
        <f t="shared" si="6"/>
        <v xml:space="preserve">web(1), </v>
      </c>
      <c r="E163" s="27" t="str">
        <f t="shared" si="7"/>
        <v xml:space="preserve"> </v>
      </c>
      <c r="F163" s="27" t="str">
        <f t="shared" si="8"/>
        <v xml:space="preserve">web(1),aesthetics(1),functions(1),interaction(1), </v>
      </c>
      <c r="G163" s="27" t="str">
        <f t="shared" si="9"/>
        <v xml:space="preserve">technologists(0.5),business model(1),web(1), </v>
      </c>
      <c r="H163" s="27" t="str">
        <f t="shared" si="10"/>
        <v xml:space="preserve">technologists(0.5),web(1),aesthetics(1),interaction(1), </v>
      </c>
      <c r="I163" s="27" t="str">
        <f t="shared" si="11"/>
        <v xml:space="preserve">business model(1),marketing(1),aesthetics(1), </v>
      </c>
      <c r="J163" s="27" t="str">
        <f t="shared" si="12"/>
        <v xml:space="preserve">team building(2), </v>
      </c>
      <c r="K163" s="27" t="str">
        <f t="shared" si="13"/>
        <v xml:space="preserve"> </v>
      </c>
      <c r="L163" s="27" t="str">
        <f t="shared" si="14"/>
        <v xml:space="preserve"> </v>
      </c>
      <c r="M163" s="27" t="str">
        <f t="shared" si="15"/>
        <v xml:space="preserve">investors(2),law(2),finance(2),marketing(2), </v>
      </c>
      <c r="N163" s="27" t="str">
        <f t="shared" si="16"/>
        <v xml:space="preserve"> </v>
      </c>
      <c r="O163" s="27" t="str">
        <f t="shared" si="17"/>
        <v xml:space="preserve"> </v>
      </c>
      <c r="P163" s="27" t="str">
        <f t="shared" si="18"/>
        <v xml:space="preserve"> </v>
      </c>
      <c r="Q163" s="27" t="str">
        <f t="shared" si="19"/>
        <v xml:space="preserve"> </v>
      </c>
      <c r="R163" s="27" t="str">
        <f t="shared" si="20"/>
        <v xml:space="preserve"> </v>
      </c>
      <c r="S163" s="27" t="str">
        <f t="shared" si="21"/>
        <v xml:space="preserve"> </v>
      </c>
      <c r="T163" s="27" t="str">
        <f t="shared" si="22"/>
        <v xml:space="preserve"> </v>
      </c>
      <c r="U163" s="27" t="str">
        <f t="shared" si="23"/>
        <v xml:space="preserve"> </v>
      </c>
      <c r="V163" s="27" t="str">
        <f t="shared" si="24"/>
        <v xml:space="preserve">investors(3),media(1),technologists(2),spaciousness(1), </v>
      </c>
      <c r="W163" s="27" t="str">
        <f t="shared" si="25"/>
        <v xml:space="preserve"> </v>
      </c>
      <c r="X163" s="27" t="str">
        <f t="shared" si="26"/>
        <v xml:space="preserve"> </v>
      </c>
      <c r="Y163" s="27" t="str">
        <f t="shared" si="27"/>
        <v xml:space="preserve"> </v>
      </c>
      <c r="Z163" s="27" t="str">
        <f t="shared" si="28"/>
        <v xml:space="preserve"> </v>
      </c>
      <c r="AA163" s="27" t="str">
        <f t="shared" si="29"/>
        <v xml:space="preserve"> </v>
      </c>
      <c r="AB163" s="27" t="str">
        <f t="shared" si="30"/>
        <v xml:space="preserve"> </v>
      </c>
      <c r="AC163" s="27" t="str">
        <f t="shared" si="31"/>
        <v xml:space="preserve"> </v>
      </c>
      <c r="AD163" s="27" t="str">
        <f t="shared" si="32"/>
        <v xml:space="preserve"> </v>
      </c>
      <c r="AE163" s="27" t="str">
        <f t="shared" si="33"/>
        <v xml:space="preserve"> </v>
      </c>
      <c r="AF163" s="27" t="str">
        <f t="shared" si="34"/>
        <v xml:space="preserve"> </v>
      </c>
      <c r="AG163" s="27" t="str">
        <f t="shared" si="35"/>
        <v xml:space="preserve"> </v>
      </c>
    </row>
    <row r="164" spans="1:33" ht="15.75" customHeight="1">
      <c r="A164" s="9">
        <f t="shared" ref="A164:C164" si="77">A49</f>
        <v>0</v>
      </c>
      <c r="B164" s="9">
        <f t="shared" si="77"/>
        <v>0</v>
      </c>
      <c r="C164" s="9" t="str">
        <f t="shared" si="77"/>
        <v>fame</v>
      </c>
      <c r="D164" s="27" t="str">
        <f t="shared" si="6"/>
        <v xml:space="preserve">web(1), </v>
      </c>
      <c r="E164" s="27" t="str">
        <f t="shared" si="7"/>
        <v xml:space="preserve"> </v>
      </c>
      <c r="F164" s="27" t="str">
        <f t="shared" si="8"/>
        <v xml:space="preserve">web(1),aesthetics(1),functions(1),interaction(1), </v>
      </c>
      <c r="G164" s="27" t="str">
        <f t="shared" si="9"/>
        <v xml:space="preserve">technologists(0.5),business model(1),web(1), </v>
      </c>
      <c r="H164" s="27" t="str">
        <f t="shared" si="10"/>
        <v xml:space="preserve">technologists(0.5),web(1),aesthetics(1),interaction(1), </v>
      </c>
      <c r="I164" s="27" t="str">
        <f t="shared" si="11"/>
        <v xml:space="preserve">business model(1),marketing(1),aesthetics(1), </v>
      </c>
      <c r="J164" s="27" t="str">
        <f t="shared" si="12"/>
        <v xml:space="preserve">team building(2), </v>
      </c>
      <c r="K164" s="27" t="str">
        <f t="shared" si="13"/>
        <v xml:space="preserve"> </v>
      </c>
      <c r="L164" s="27" t="str">
        <f t="shared" si="14"/>
        <v xml:space="preserve"> </v>
      </c>
      <c r="M164" s="27" t="str">
        <f t="shared" si="15"/>
        <v xml:space="preserve">investors(2),law(2),finance(2),marketing(2), </v>
      </c>
      <c r="N164" s="27" t="str">
        <f t="shared" si="16"/>
        <v xml:space="preserve"> </v>
      </c>
      <c r="O164" s="27" t="str">
        <f t="shared" si="17"/>
        <v xml:space="preserve"> </v>
      </c>
      <c r="P164" s="27" t="str">
        <f t="shared" si="18"/>
        <v xml:space="preserve"> </v>
      </c>
      <c r="Q164" s="27" t="str">
        <f t="shared" si="19"/>
        <v xml:space="preserve"> </v>
      </c>
      <c r="R164" s="27" t="str">
        <f t="shared" si="20"/>
        <v xml:space="preserve"> </v>
      </c>
      <c r="S164" s="27" t="str">
        <f t="shared" si="21"/>
        <v xml:space="preserve"> </v>
      </c>
      <c r="T164" s="27" t="str">
        <f t="shared" si="22"/>
        <v xml:space="preserve"> </v>
      </c>
      <c r="U164" s="27" t="str">
        <f t="shared" si="23"/>
        <v xml:space="preserve"> </v>
      </c>
      <c r="V164" s="27" t="str">
        <f t="shared" si="24"/>
        <v xml:space="preserve">investors(3),media(1),technologists(2),spaciousness(1), </v>
      </c>
      <c r="W164" s="27" t="str">
        <f t="shared" si="25"/>
        <v xml:space="preserve"> </v>
      </c>
      <c r="X164" s="27" t="str">
        <f t="shared" si="26"/>
        <v xml:space="preserve"> </v>
      </c>
      <c r="Y164" s="27" t="str">
        <f t="shared" si="27"/>
        <v xml:space="preserve"> </v>
      </c>
      <c r="Z164" s="27" t="str">
        <f t="shared" si="28"/>
        <v xml:space="preserve"> </v>
      </c>
      <c r="AA164" s="27" t="str">
        <f t="shared" si="29"/>
        <v xml:space="preserve"> </v>
      </c>
      <c r="AB164" s="27" t="str">
        <f t="shared" si="30"/>
        <v xml:space="preserve"> </v>
      </c>
      <c r="AC164" s="27" t="str">
        <f t="shared" si="31"/>
        <v xml:space="preserve"> </v>
      </c>
      <c r="AD164" s="27" t="str">
        <f t="shared" si="32"/>
        <v xml:space="preserve"> </v>
      </c>
      <c r="AE164" s="27" t="str">
        <f t="shared" si="33"/>
        <v xml:space="preserve"> </v>
      </c>
      <c r="AF164" s="27" t="str">
        <f t="shared" si="34"/>
        <v xml:space="preserve"> </v>
      </c>
      <c r="AG164" s="27" t="str">
        <f t="shared" si="35"/>
        <v xml:space="preserve"> </v>
      </c>
    </row>
    <row r="165" spans="1:33" ht="15.75" customHeight="1">
      <c r="A165" s="9">
        <f t="shared" ref="A165:C165" si="78">A50</f>
        <v>0</v>
      </c>
      <c r="B165" s="9">
        <f t="shared" si="78"/>
        <v>0</v>
      </c>
      <c r="C165" s="9" t="str">
        <f t="shared" si="78"/>
        <v>network</v>
      </c>
      <c r="D165" s="27" t="str">
        <f t="shared" si="6"/>
        <v xml:space="preserve">web(1), </v>
      </c>
      <c r="E165" s="27" t="str">
        <f t="shared" si="7"/>
        <v xml:space="preserve"> </v>
      </c>
      <c r="F165" s="27" t="str">
        <f t="shared" si="8"/>
        <v xml:space="preserve">web(1),aesthetics(1),functions(1),interaction(1), </v>
      </c>
      <c r="G165" s="27" t="str">
        <f t="shared" si="9"/>
        <v xml:space="preserve">technologists(0.5),business model(1),web(1), </v>
      </c>
      <c r="H165" s="27" t="str">
        <f t="shared" si="10"/>
        <v xml:space="preserve">technologists(0.5),web(1),aesthetics(1),interaction(1), </v>
      </c>
      <c r="I165" s="27" t="str">
        <f t="shared" si="11"/>
        <v xml:space="preserve">business model(1),marketing(1),aesthetics(1), </v>
      </c>
      <c r="J165" s="27" t="str">
        <f t="shared" si="12"/>
        <v xml:space="preserve">team building(2), </v>
      </c>
      <c r="K165" s="27" t="str">
        <f t="shared" si="13"/>
        <v xml:space="preserve"> </v>
      </c>
      <c r="L165" s="27" t="str">
        <f t="shared" si="14"/>
        <v xml:space="preserve"> </v>
      </c>
      <c r="M165" s="27" t="str">
        <f t="shared" si="15"/>
        <v xml:space="preserve">investors(2),law(2),finance(2),marketing(2), </v>
      </c>
      <c r="N165" s="27" t="str">
        <f t="shared" si="16"/>
        <v xml:space="preserve"> </v>
      </c>
      <c r="O165" s="27" t="str">
        <f t="shared" si="17"/>
        <v xml:space="preserve"> </v>
      </c>
      <c r="P165" s="27" t="str">
        <f t="shared" si="18"/>
        <v xml:space="preserve"> </v>
      </c>
      <c r="Q165" s="27" t="str">
        <f t="shared" si="19"/>
        <v xml:space="preserve"> </v>
      </c>
      <c r="R165" s="27" t="str">
        <f t="shared" si="20"/>
        <v xml:space="preserve"> </v>
      </c>
      <c r="S165" s="27" t="str">
        <f t="shared" si="21"/>
        <v xml:space="preserve"> </v>
      </c>
      <c r="T165" s="27" t="str">
        <f t="shared" si="22"/>
        <v xml:space="preserve"> </v>
      </c>
      <c r="U165" s="27" t="str">
        <f t="shared" si="23"/>
        <v xml:space="preserve"> </v>
      </c>
      <c r="V165" s="27" t="str">
        <f t="shared" si="24"/>
        <v xml:space="preserve">investors(3),media(1),technologists(2),spaciousness(1), </v>
      </c>
      <c r="W165" s="27" t="str">
        <f t="shared" si="25"/>
        <v xml:space="preserve"> </v>
      </c>
      <c r="X165" s="27" t="str">
        <f t="shared" si="26"/>
        <v xml:space="preserve"> </v>
      </c>
      <c r="Y165" s="27" t="str">
        <f t="shared" si="27"/>
        <v xml:space="preserve"> </v>
      </c>
      <c r="Z165" s="27" t="str">
        <f t="shared" si="28"/>
        <v xml:space="preserve"> </v>
      </c>
      <c r="AA165" s="27" t="str">
        <f t="shared" si="29"/>
        <v xml:space="preserve"> </v>
      </c>
      <c r="AB165" s="27" t="str">
        <f t="shared" si="30"/>
        <v xml:space="preserve"> </v>
      </c>
      <c r="AC165" s="27" t="str">
        <f t="shared" si="31"/>
        <v xml:space="preserve"> </v>
      </c>
      <c r="AD165" s="27" t="str">
        <f t="shared" si="32"/>
        <v xml:space="preserve"> </v>
      </c>
      <c r="AE165" s="27" t="str">
        <f t="shared" si="33"/>
        <v xml:space="preserve"> </v>
      </c>
      <c r="AF165" s="27" t="str">
        <f t="shared" si="34"/>
        <v xml:space="preserve"> </v>
      </c>
      <c r="AG165" s="27" t="str">
        <f t="shared" si="35"/>
        <v xml:space="preserve"> </v>
      </c>
    </row>
    <row r="166" spans="1:33" ht="15.75" customHeight="1">
      <c r="A166" s="9">
        <f t="shared" ref="A166:C166" si="79">A51</f>
        <v>0</v>
      </c>
      <c r="B166" s="9">
        <f t="shared" si="79"/>
        <v>0</v>
      </c>
      <c r="C166" s="9" t="str">
        <f t="shared" si="79"/>
        <v>level of understanding</v>
      </c>
      <c r="D166" s="27" t="str">
        <f t="shared" si="6"/>
        <v xml:space="preserve">web(1), </v>
      </c>
      <c r="E166" s="27" t="str">
        <f t="shared" si="7"/>
        <v xml:space="preserve"> </v>
      </c>
      <c r="F166" s="27" t="str">
        <f t="shared" si="8"/>
        <v xml:space="preserve">web(1),aesthetics(1),functions(1),interaction(1), </v>
      </c>
      <c r="G166" s="27" t="str">
        <f t="shared" si="9"/>
        <v xml:space="preserve">technologists(0.5),business model(1),web(1), </v>
      </c>
      <c r="H166" s="27" t="str">
        <f t="shared" si="10"/>
        <v xml:space="preserve">technologists(0.5),web(1),aesthetics(1),interaction(1), </v>
      </c>
      <c r="I166" s="27" t="str">
        <f t="shared" si="11"/>
        <v xml:space="preserve">business model(1),marketing(1),aesthetics(1), </v>
      </c>
      <c r="J166" s="27" t="str">
        <f t="shared" si="12"/>
        <v xml:space="preserve">team building(2), </v>
      </c>
      <c r="K166" s="27" t="str">
        <f t="shared" si="13"/>
        <v xml:space="preserve"> </v>
      </c>
      <c r="L166" s="27" t="str">
        <f t="shared" si="14"/>
        <v xml:space="preserve"> </v>
      </c>
      <c r="M166" s="27" t="str">
        <f t="shared" si="15"/>
        <v xml:space="preserve">investors(2),law(2),finance(2),marketing(2), </v>
      </c>
      <c r="N166" s="27" t="str">
        <f t="shared" si="16"/>
        <v xml:space="preserve"> </v>
      </c>
      <c r="O166" s="27" t="str">
        <f t="shared" si="17"/>
        <v xml:space="preserve"> </v>
      </c>
      <c r="P166" s="27" t="str">
        <f t="shared" si="18"/>
        <v xml:space="preserve"> </v>
      </c>
      <c r="Q166" s="27" t="str">
        <f t="shared" si="19"/>
        <v xml:space="preserve"> </v>
      </c>
      <c r="R166" s="27" t="str">
        <f t="shared" si="20"/>
        <v xml:space="preserve"> </v>
      </c>
      <c r="S166" s="27" t="str">
        <f t="shared" si="21"/>
        <v xml:space="preserve"> </v>
      </c>
      <c r="T166" s="27" t="str">
        <f t="shared" si="22"/>
        <v xml:space="preserve"> </v>
      </c>
      <c r="U166" s="27" t="str">
        <f t="shared" si="23"/>
        <v xml:space="preserve"> </v>
      </c>
      <c r="V166" s="27" t="str">
        <f t="shared" si="24"/>
        <v xml:space="preserve">investors(3),media(1),technologists(2),spaciousness(1), </v>
      </c>
      <c r="W166" s="27" t="str">
        <f t="shared" si="25"/>
        <v xml:space="preserve"> </v>
      </c>
      <c r="X166" s="27" t="str">
        <f t="shared" si="26"/>
        <v xml:space="preserve"> </v>
      </c>
      <c r="Y166" s="27" t="str">
        <f t="shared" si="27"/>
        <v xml:space="preserve"> </v>
      </c>
      <c r="Z166" s="27" t="str">
        <f t="shared" si="28"/>
        <v xml:space="preserve"> </v>
      </c>
      <c r="AA166" s="27" t="str">
        <f t="shared" si="29"/>
        <v xml:space="preserve"> </v>
      </c>
      <c r="AB166" s="27" t="str">
        <f t="shared" si="30"/>
        <v xml:space="preserve"> </v>
      </c>
      <c r="AC166" s="27" t="str">
        <f t="shared" si="31"/>
        <v xml:space="preserve"> </v>
      </c>
      <c r="AD166" s="27" t="str">
        <f t="shared" si="32"/>
        <v xml:space="preserve"> </v>
      </c>
      <c r="AE166" s="27" t="str">
        <f t="shared" si="33"/>
        <v xml:space="preserve"> </v>
      </c>
      <c r="AF166" s="27" t="str">
        <f t="shared" si="34"/>
        <v xml:space="preserve"> </v>
      </c>
      <c r="AG166" s="27" t="str">
        <f t="shared" si="35"/>
        <v xml:space="preserve"> </v>
      </c>
    </row>
    <row r="167" spans="1:33" ht="15.75" customHeight="1">
      <c r="A167" s="9">
        <f t="shared" ref="A167:C167" si="80">A52</f>
        <v>0</v>
      </c>
      <c r="B167" s="9">
        <f t="shared" si="80"/>
        <v>0</v>
      </c>
      <c r="C167" s="9" t="str">
        <f t="shared" si="80"/>
        <v>ambition</v>
      </c>
      <c r="D167" s="27" t="str">
        <f t="shared" si="6"/>
        <v xml:space="preserve">web(1), </v>
      </c>
      <c r="E167" s="27" t="str">
        <f t="shared" si="7"/>
        <v xml:space="preserve"> </v>
      </c>
      <c r="F167" s="27" t="str">
        <f t="shared" si="8"/>
        <v xml:space="preserve">web(1),aesthetics(1),functions(1),interaction(1), </v>
      </c>
      <c r="G167" s="27" t="str">
        <f t="shared" si="9"/>
        <v xml:space="preserve">technologists(0.5),business model(1),web(1), </v>
      </c>
      <c r="H167" s="27" t="str">
        <f t="shared" si="10"/>
        <v xml:space="preserve">technologists(0.5),web(1),aesthetics(1),interaction(1), </v>
      </c>
      <c r="I167" s="27" t="str">
        <f t="shared" si="11"/>
        <v xml:space="preserve">business model(1),marketing(1),aesthetics(1), </v>
      </c>
      <c r="J167" s="27" t="str">
        <f t="shared" si="12"/>
        <v xml:space="preserve">team building(2), </v>
      </c>
      <c r="K167" s="27" t="str">
        <f t="shared" si="13"/>
        <v xml:space="preserve"> </v>
      </c>
      <c r="L167" s="27" t="str">
        <f t="shared" si="14"/>
        <v xml:space="preserve"> </v>
      </c>
      <c r="M167" s="27" t="str">
        <f t="shared" si="15"/>
        <v xml:space="preserve">investors(2),law(2),finance(2),marketing(2), </v>
      </c>
      <c r="N167" s="27" t="str">
        <f t="shared" si="16"/>
        <v xml:space="preserve"> </v>
      </c>
      <c r="O167" s="27" t="str">
        <f t="shared" si="17"/>
        <v xml:space="preserve"> </v>
      </c>
      <c r="P167" s="27" t="str">
        <f t="shared" si="18"/>
        <v xml:space="preserve"> </v>
      </c>
      <c r="Q167" s="27" t="str">
        <f t="shared" si="19"/>
        <v xml:space="preserve"> </v>
      </c>
      <c r="R167" s="27" t="str">
        <f t="shared" si="20"/>
        <v xml:space="preserve"> </v>
      </c>
      <c r="S167" s="27" t="str">
        <f t="shared" si="21"/>
        <v xml:space="preserve"> </v>
      </c>
      <c r="T167" s="27" t="str">
        <f t="shared" si="22"/>
        <v xml:space="preserve"> </v>
      </c>
      <c r="U167" s="27" t="str">
        <f t="shared" si="23"/>
        <v xml:space="preserve"> </v>
      </c>
      <c r="V167" s="27" t="str">
        <f t="shared" si="24"/>
        <v xml:space="preserve">investors(3),media(1),technologists(2),spaciousness(1), </v>
      </c>
      <c r="W167" s="27" t="str">
        <f t="shared" si="25"/>
        <v xml:space="preserve"> </v>
      </c>
      <c r="X167" s="27" t="str">
        <f t="shared" si="26"/>
        <v xml:space="preserve"> </v>
      </c>
      <c r="Y167" s="27" t="str">
        <f t="shared" si="27"/>
        <v xml:space="preserve"> </v>
      </c>
      <c r="Z167" s="27" t="str">
        <f t="shared" si="28"/>
        <v xml:space="preserve"> </v>
      </c>
      <c r="AA167" s="27" t="str">
        <f t="shared" si="29"/>
        <v xml:space="preserve"> </v>
      </c>
      <c r="AB167" s="27" t="str">
        <f t="shared" si="30"/>
        <v xml:space="preserve"> </v>
      </c>
      <c r="AC167" s="27" t="str">
        <f t="shared" si="31"/>
        <v xml:space="preserve"> </v>
      </c>
      <c r="AD167" s="27" t="str">
        <f t="shared" si="32"/>
        <v xml:space="preserve"> </v>
      </c>
      <c r="AE167" s="27" t="str">
        <f t="shared" si="33"/>
        <v xml:space="preserve"> </v>
      </c>
      <c r="AF167" s="27" t="str">
        <f t="shared" si="34"/>
        <v xml:space="preserve"> </v>
      </c>
      <c r="AG167" s="27" t="str">
        <f t="shared" si="35"/>
        <v xml:space="preserve"> </v>
      </c>
    </row>
    <row r="168" spans="1:33" ht="15.75" customHeight="1">
      <c r="A168" s="9">
        <f t="shared" ref="A168:C168" si="81">A53</f>
        <v>0</v>
      </c>
      <c r="B168" s="9">
        <f t="shared" si="81"/>
        <v>0</v>
      </c>
      <c r="C168" s="9" t="str">
        <f t="shared" si="81"/>
        <v>knowledge</v>
      </c>
      <c r="D168" s="27" t="str">
        <f t="shared" si="6"/>
        <v xml:space="preserve">web(1), </v>
      </c>
      <c r="E168" s="27" t="str">
        <f t="shared" si="7"/>
        <v xml:space="preserve"> </v>
      </c>
      <c r="F168" s="27" t="str">
        <f t="shared" si="8"/>
        <v xml:space="preserve">web(1),aesthetics(1),functions(1),interaction(1), </v>
      </c>
      <c r="G168" s="27" t="str">
        <f t="shared" si="9"/>
        <v xml:space="preserve">technologists(0.5),business model(1),web(1), </v>
      </c>
      <c r="H168" s="27" t="str">
        <f t="shared" si="10"/>
        <v xml:space="preserve">technologists(0.5),web(1),aesthetics(1),interaction(1), </v>
      </c>
      <c r="I168" s="27" t="str">
        <f t="shared" si="11"/>
        <v xml:space="preserve">business model(1),marketing(1),aesthetics(1), </v>
      </c>
      <c r="J168" s="27" t="str">
        <f t="shared" si="12"/>
        <v xml:space="preserve">team building(2), </v>
      </c>
      <c r="K168" s="27" t="str">
        <f t="shared" si="13"/>
        <v xml:space="preserve"> </v>
      </c>
      <c r="L168" s="27" t="str">
        <f t="shared" si="14"/>
        <v xml:space="preserve"> </v>
      </c>
      <c r="M168" s="27" t="str">
        <f t="shared" si="15"/>
        <v xml:space="preserve">investors(2),law(2),finance(2),marketing(2), </v>
      </c>
      <c r="N168" s="27" t="str">
        <f t="shared" si="16"/>
        <v xml:space="preserve"> </v>
      </c>
      <c r="O168" s="27" t="str">
        <f t="shared" si="17"/>
        <v xml:space="preserve"> </v>
      </c>
      <c r="P168" s="27" t="str">
        <f t="shared" si="18"/>
        <v xml:space="preserve"> </v>
      </c>
      <c r="Q168" s="27" t="str">
        <f t="shared" si="19"/>
        <v xml:space="preserve"> </v>
      </c>
      <c r="R168" s="27" t="str">
        <f t="shared" si="20"/>
        <v xml:space="preserve"> </v>
      </c>
      <c r="S168" s="27" t="str">
        <f t="shared" si="21"/>
        <v xml:space="preserve"> </v>
      </c>
      <c r="T168" s="27" t="str">
        <f t="shared" si="22"/>
        <v xml:space="preserve"> </v>
      </c>
      <c r="U168" s="27" t="str">
        <f t="shared" si="23"/>
        <v xml:space="preserve"> </v>
      </c>
      <c r="V168" s="27" t="str">
        <f t="shared" si="24"/>
        <v xml:space="preserve">investors(3),media(1),technologists(2),spaciousness(1), </v>
      </c>
      <c r="W168" s="27" t="str">
        <f t="shared" si="25"/>
        <v xml:space="preserve"> </v>
      </c>
      <c r="X168" s="27" t="str">
        <f t="shared" si="26"/>
        <v xml:space="preserve"> </v>
      </c>
      <c r="Y168" s="27" t="str">
        <f t="shared" si="27"/>
        <v xml:space="preserve"> </v>
      </c>
      <c r="Z168" s="27" t="str">
        <f t="shared" si="28"/>
        <v xml:space="preserve"> </v>
      </c>
      <c r="AA168" s="27" t="str">
        <f t="shared" si="29"/>
        <v xml:space="preserve"> </v>
      </c>
      <c r="AB168" s="27" t="str">
        <f t="shared" si="30"/>
        <v xml:space="preserve"> </v>
      </c>
      <c r="AC168" s="27" t="str">
        <f t="shared" si="31"/>
        <v xml:space="preserve"> </v>
      </c>
      <c r="AD168" s="27" t="str">
        <f t="shared" si="32"/>
        <v xml:space="preserve"> </v>
      </c>
      <c r="AE168" s="27" t="str">
        <f t="shared" si="33"/>
        <v xml:space="preserve"> </v>
      </c>
      <c r="AF168" s="27" t="str">
        <f t="shared" si="34"/>
        <v xml:space="preserve"> </v>
      </c>
      <c r="AG168" s="27" t="str">
        <f t="shared" si="35"/>
        <v xml:space="preserve"> </v>
      </c>
    </row>
    <row r="169" spans="1:33" ht="15.75" customHeight="1">
      <c r="A169" s="9">
        <f t="shared" ref="A169:C169" si="82">A54</f>
        <v>0</v>
      </c>
      <c r="B169" s="9" t="str">
        <f t="shared" si="82"/>
        <v>networks</v>
      </c>
      <c r="C169" s="9" t="str">
        <f t="shared" si="82"/>
        <v>local biz</v>
      </c>
      <c r="D169" s="27" t="str">
        <f t="shared" si="6"/>
        <v xml:space="preserve">web(1), </v>
      </c>
      <c r="E169" s="27" t="str">
        <f t="shared" si="7"/>
        <v xml:space="preserve"> </v>
      </c>
      <c r="F169" s="27" t="str">
        <f t="shared" si="8"/>
        <v xml:space="preserve">web(1),aesthetics(1),functions(1),interaction(1), </v>
      </c>
      <c r="G169" s="27" t="str">
        <f t="shared" si="9"/>
        <v xml:space="preserve">technologists(0.5),business model(1),web(1), </v>
      </c>
      <c r="H169" s="27" t="str">
        <f t="shared" si="10"/>
        <v xml:space="preserve">technologists(0.5),web(1),aesthetics(1),interaction(1), </v>
      </c>
      <c r="I169" s="27" t="str">
        <f t="shared" si="11"/>
        <v xml:space="preserve">business model(1),marketing(1),aesthetics(1), </v>
      </c>
      <c r="J169" s="27" t="str">
        <f t="shared" si="12"/>
        <v xml:space="preserve">team building(2), </v>
      </c>
      <c r="K169" s="27" t="str">
        <f t="shared" si="13"/>
        <v xml:space="preserve"> </v>
      </c>
      <c r="L169" s="27" t="str">
        <f t="shared" si="14"/>
        <v xml:space="preserve"> </v>
      </c>
      <c r="M169" s="27" t="str">
        <f t="shared" si="15"/>
        <v xml:space="preserve">investors(2),law(2),finance(2),marketing(2), </v>
      </c>
      <c r="N169" s="27" t="str">
        <f t="shared" si="16"/>
        <v xml:space="preserve"> </v>
      </c>
      <c r="O169" s="27" t="str">
        <f t="shared" si="17"/>
        <v xml:space="preserve"> </v>
      </c>
      <c r="P169" s="27" t="str">
        <f t="shared" si="18"/>
        <v xml:space="preserve"> </v>
      </c>
      <c r="Q169" s="27" t="str">
        <f t="shared" si="19"/>
        <v xml:space="preserve"> </v>
      </c>
      <c r="R169" s="27" t="str">
        <f t="shared" si="20"/>
        <v xml:space="preserve"> </v>
      </c>
      <c r="S169" s="27" t="str">
        <f t="shared" si="21"/>
        <v xml:space="preserve"> </v>
      </c>
      <c r="T169" s="27" t="str">
        <f t="shared" si="22"/>
        <v xml:space="preserve"> </v>
      </c>
      <c r="U169" s="27" t="str">
        <f t="shared" si="23"/>
        <v xml:space="preserve"> </v>
      </c>
      <c r="V169" s="27" t="str">
        <f t="shared" si="24"/>
        <v xml:space="preserve">investors(3),media(1),technologists(2),spaciousness(1), </v>
      </c>
      <c r="W169" s="27" t="str">
        <f t="shared" si="25"/>
        <v xml:space="preserve"> </v>
      </c>
      <c r="X169" s="27" t="str">
        <f t="shared" si="26"/>
        <v xml:space="preserve"> </v>
      </c>
      <c r="Y169" s="27" t="str">
        <f t="shared" si="27"/>
        <v xml:space="preserve"> </v>
      </c>
      <c r="Z169" s="27" t="str">
        <f t="shared" si="28"/>
        <v xml:space="preserve"> </v>
      </c>
      <c r="AA169" s="27" t="str">
        <f t="shared" si="29"/>
        <v xml:space="preserve"> </v>
      </c>
      <c r="AB169" s="27" t="str">
        <f t="shared" si="30"/>
        <v xml:space="preserve"> </v>
      </c>
      <c r="AC169" s="27" t="str">
        <f t="shared" si="31"/>
        <v xml:space="preserve"> </v>
      </c>
      <c r="AD169" s="27" t="str">
        <f t="shared" si="32"/>
        <v xml:space="preserve"> </v>
      </c>
      <c r="AE169" s="27" t="str">
        <f t="shared" si="33"/>
        <v xml:space="preserve"> </v>
      </c>
      <c r="AF169" s="27" t="str">
        <f t="shared" si="34"/>
        <v xml:space="preserve"> </v>
      </c>
      <c r="AG169" s="27" t="str">
        <f t="shared" si="35"/>
        <v xml:space="preserve"> </v>
      </c>
    </row>
    <row r="170" spans="1:33" ht="15.75" customHeight="1">
      <c r="A170" s="9">
        <f t="shared" ref="A170:C170" si="83">A55</f>
        <v>0</v>
      </c>
      <c r="B170" s="9">
        <f t="shared" si="83"/>
        <v>0</v>
      </c>
      <c r="C170" s="9" t="str">
        <f t="shared" si="83"/>
        <v>biz group</v>
      </c>
      <c r="D170" s="27" t="str">
        <f t="shared" si="6"/>
        <v xml:space="preserve">web(1), </v>
      </c>
      <c r="E170" s="27" t="str">
        <f t="shared" si="7"/>
        <v xml:space="preserve"> </v>
      </c>
      <c r="F170" s="27" t="str">
        <f t="shared" si="8"/>
        <v xml:space="preserve">web(1),aesthetics(1),functions(1),interaction(1), </v>
      </c>
      <c r="G170" s="27" t="str">
        <f t="shared" si="9"/>
        <v xml:space="preserve">technologists(0.5),business model(1),web(1), </v>
      </c>
      <c r="H170" s="27" t="str">
        <f t="shared" si="10"/>
        <v xml:space="preserve">technologists(0.5),web(1),aesthetics(1),interaction(1), </v>
      </c>
      <c r="I170" s="27" t="str">
        <f t="shared" si="11"/>
        <v xml:space="preserve">business model(1),marketing(1),aesthetics(1), </v>
      </c>
      <c r="J170" s="27" t="str">
        <f t="shared" si="12"/>
        <v xml:space="preserve">team building(2), </v>
      </c>
      <c r="K170" s="27" t="str">
        <f t="shared" si="13"/>
        <v xml:space="preserve"> </v>
      </c>
      <c r="L170" s="27" t="str">
        <f t="shared" si="14"/>
        <v xml:space="preserve"> </v>
      </c>
      <c r="M170" s="27" t="str">
        <f t="shared" si="15"/>
        <v xml:space="preserve">investors(2),law(2),finance(2),marketing(2), </v>
      </c>
      <c r="N170" s="27" t="str">
        <f t="shared" si="16"/>
        <v xml:space="preserve"> </v>
      </c>
      <c r="O170" s="27" t="str">
        <f t="shared" si="17"/>
        <v xml:space="preserve"> </v>
      </c>
      <c r="P170" s="27" t="str">
        <f t="shared" si="18"/>
        <v xml:space="preserve"> </v>
      </c>
      <c r="Q170" s="27" t="str">
        <f t="shared" si="19"/>
        <v xml:space="preserve"> </v>
      </c>
      <c r="R170" s="27" t="str">
        <f t="shared" si="20"/>
        <v xml:space="preserve"> </v>
      </c>
      <c r="S170" s="27" t="str">
        <f t="shared" si="21"/>
        <v xml:space="preserve"> </v>
      </c>
      <c r="T170" s="27" t="str">
        <f t="shared" si="22"/>
        <v xml:space="preserve"> </v>
      </c>
      <c r="U170" s="27" t="str">
        <f t="shared" si="23"/>
        <v xml:space="preserve"> </v>
      </c>
      <c r="V170" s="27" t="str">
        <f t="shared" si="24"/>
        <v xml:space="preserve">investors(3),media(1),technologists(2),spaciousness(1), </v>
      </c>
      <c r="W170" s="27" t="str">
        <f t="shared" si="25"/>
        <v xml:space="preserve"> </v>
      </c>
      <c r="X170" s="27" t="str">
        <f t="shared" si="26"/>
        <v xml:space="preserve"> </v>
      </c>
      <c r="Y170" s="27" t="str">
        <f t="shared" si="27"/>
        <v xml:space="preserve"> </v>
      </c>
      <c r="Z170" s="27" t="str">
        <f t="shared" si="28"/>
        <v xml:space="preserve"> </v>
      </c>
      <c r="AA170" s="27" t="str">
        <f t="shared" si="29"/>
        <v xml:space="preserve"> </v>
      </c>
      <c r="AB170" s="27" t="str">
        <f t="shared" si="30"/>
        <v xml:space="preserve"> </v>
      </c>
      <c r="AC170" s="27" t="str">
        <f t="shared" si="31"/>
        <v xml:space="preserve"> </v>
      </c>
      <c r="AD170" s="27" t="str">
        <f t="shared" si="32"/>
        <v xml:space="preserve"> </v>
      </c>
      <c r="AE170" s="27" t="str">
        <f t="shared" si="33"/>
        <v xml:space="preserve"> </v>
      </c>
      <c r="AF170" s="27" t="str">
        <f t="shared" si="34"/>
        <v xml:space="preserve"> </v>
      </c>
      <c r="AG170" s="27" t="str">
        <f t="shared" si="35"/>
        <v xml:space="preserve"> </v>
      </c>
    </row>
    <row r="171" spans="1:33" ht="15.75" customHeight="1">
      <c r="A171" s="9">
        <f t="shared" ref="A171:C171" si="84">A56</f>
        <v>0</v>
      </c>
      <c r="B171" s="9">
        <f t="shared" si="84"/>
        <v>0</v>
      </c>
      <c r="C171" s="9" t="str">
        <f t="shared" si="84"/>
        <v>govt</v>
      </c>
      <c r="D171" s="27" t="str">
        <f t="shared" si="6"/>
        <v xml:space="preserve">web(1), </v>
      </c>
      <c r="E171" s="27" t="str">
        <f t="shared" si="7"/>
        <v xml:space="preserve"> </v>
      </c>
      <c r="F171" s="27" t="str">
        <f t="shared" si="8"/>
        <v xml:space="preserve">web(1),aesthetics(1),functions(1),interaction(1), </v>
      </c>
      <c r="G171" s="27" t="str">
        <f t="shared" si="9"/>
        <v xml:space="preserve">technologists(0.5),business model(1),web(1), </v>
      </c>
      <c r="H171" s="27" t="str">
        <f t="shared" si="10"/>
        <v xml:space="preserve">technologists(0.5),web(1),aesthetics(1),interaction(1), </v>
      </c>
      <c r="I171" s="27" t="str">
        <f t="shared" si="11"/>
        <v xml:space="preserve">business model(1),marketing(1),aesthetics(1), </v>
      </c>
      <c r="J171" s="27" t="str">
        <f t="shared" si="12"/>
        <v xml:space="preserve">team building(2), </v>
      </c>
      <c r="K171" s="27" t="str">
        <f t="shared" si="13"/>
        <v xml:space="preserve"> </v>
      </c>
      <c r="L171" s="27" t="str">
        <f t="shared" si="14"/>
        <v xml:space="preserve"> </v>
      </c>
      <c r="M171" s="27" t="str">
        <f t="shared" si="15"/>
        <v xml:space="preserve">investors(2),law(2),finance(2),marketing(2), </v>
      </c>
      <c r="N171" s="27" t="str">
        <f t="shared" si="16"/>
        <v xml:space="preserve"> </v>
      </c>
      <c r="O171" s="27" t="str">
        <f t="shared" si="17"/>
        <v xml:space="preserve"> </v>
      </c>
      <c r="P171" s="27" t="str">
        <f t="shared" si="18"/>
        <v xml:space="preserve"> </v>
      </c>
      <c r="Q171" s="27" t="str">
        <f t="shared" si="19"/>
        <v xml:space="preserve"> </v>
      </c>
      <c r="R171" s="27" t="str">
        <f t="shared" si="20"/>
        <v xml:space="preserve"> </v>
      </c>
      <c r="S171" s="27" t="str">
        <f t="shared" si="21"/>
        <v xml:space="preserve"> </v>
      </c>
      <c r="T171" s="27" t="str">
        <f t="shared" si="22"/>
        <v xml:space="preserve"> </v>
      </c>
      <c r="U171" s="27" t="str">
        <f t="shared" si="23"/>
        <v xml:space="preserve"> </v>
      </c>
      <c r="V171" s="27" t="str">
        <f t="shared" si="24"/>
        <v xml:space="preserve">investors(3),media(1),technologists(2),spaciousness(1), </v>
      </c>
      <c r="W171" s="27" t="str">
        <f t="shared" si="25"/>
        <v xml:space="preserve"> </v>
      </c>
      <c r="X171" s="27" t="str">
        <f t="shared" si="26"/>
        <v xml:space="preserve"> </v>
      </c>
      <c r="Y171" s="27" t="str">
        <f t="shared" si="27"/>
        <v xml:space="preserve"> </v>
      </c>
      <c r="Z171" s="27" t="str">
        <f t="shared" si="28"/>
        <v xml:space="preserve"> </v>
      </c>
      <c r="AA171" s="27" t="str">
        <f t="shared" si="29"/>
        <v xml:space="preserve"> </v>
      </c>
      <c r="AB171" s="27" t="str">
        <f t="shared" si="30"/>
        <v xml:space="preserve"> </v>
      </c>
      <c r="AC171" s="27" t="str">
        <f t="shared" si="31"/>
        <v xml:space="preserve"> </v>
      </c>
      <c r="AD171" s="27" t="str">
        <f t="shared" si="32"/>
        <v xml:space="preserve"> </v>
      </c>
      <c r="AE171" s="27" t="str">
        <f t="shared" si="33"/>
        <v xml:space="preserve"> </v>
      </c>
      <c r="AF171" s="27" t="str">
        <f t="shared" si="34"/>
        <v xml:space="preserve"> </v>
      </c>
      <c r="AG171" s="27" t="str">
        <f t="shared" si="35"/>
        <v xml:space="preserve"> </v>
      </c>
    </row>
    <row r="172" spans="1:33" ht="15.75" customHeight="1">
      <c r="A172" s="9">
        <f t="shared" ref="A172:C172" si="85">A57</f>
        <v>0</v>
      </c>
      <c r="B172" s="9">
        <f t="shared" si="85"/>
        <v>0</v>
      </c>
      <c r="C172" s="9" t="str">
        <f t="shared" si="85"/>
        <v>investors</v>
      </c>
      <c r="D172" s="27" t="str">
        <f t="shared" si="6"/>
        <v xml:space="preserve">web(1), </v>
      </c>
      <c r="E172" s="27" t="str">
        <f t="shared" si="7"/>
        <v xml:space="preserve"> </v>
      </c>
      <c r="F172" s="27" t="str">
        <f t="shared" si="8"/>
        <v xml:space="preserve">web(1),aesthetics(1),functions(1),interaction(1), </v>
      </c>
      <c r="G172" s="27" t="str">
        <f t="shared" si="9"/>
        <v xml:space="preserve">technologists(0.5),business model(1),web(1), </v>
      </c>
      <c r="H172" s="27" t="str">
        <f t="shared" si="10"/>
        <v xml:space="preserve">technologists(0.5),web(1),aesthetics(1),interaction(1), </v>
      </c>
      <c r="I172" s="27" t="str">
        <f t="shared" si="11"/>
        <v xml:space="preserve">business model(1),marketing(1),aesthetics(1), </v>
      </c>
      <c r="J172" s="27" t="str">
        <f t="shared" si="12"/>
        <v xml:space="preserve">team building(2), </v>
      </c>
      <c r="K172" s="27" t="str">
        <f t="shared" si="13"/>
        <v xml:space="preserve"> </v>
      </c>
      <c r="L172" s="27" t="str">
        <f t="shared" si="14"/>
        <v xml:space="preserve"> </v>
      </c>
      <c r="M172" s="27" t="str">
        <f t="shared" si="15"/>
        <v xml:space="preserve">investors(2),law(2),finance(2),marketing(2), </v>
      </c>
      <c r="N172" s="27" t="str">
        <f t="shared" si="16"/>
        <v xml:space="preserve"> </v>
      </c>
      <c r="O172" s="27" t="str">
        <f t="shared" si="17"/>
        <v xml:space="preserve"> </v>
      </c>
      <c r="P172" s="27" t="str">
        <f t="shared" si="18"/>
        <v xml:space="preserve"> </v>
      </c>
      <c r="Q172" s="27" t="str">
        <f t="shared" si="19"/>
        <v xml:space="preserve"> </v>
      </c>
      <c r="R172" s="27" t="str">
        <f t="shared" si="20"/>
        <v xml:space="preserve"> </v>
      </c>
      <c r="S172" s="27" t="str">
        <f t="shared" si="21"/>
        <v xml:space="preserve"> </v>
      </c>
      <c r="T172" s="27" t="str">
        <f t="shared" si="22"/>
        <v xml:space="preserve"> </v>
      </c>
      <c r="U172" s="27" t="str">
        <f t="shared" si="23"/>
        <v xml:space="preserve"> </v>
      </c>
      <c r="V172" s="27" t="str">
        <f t="shared" si="24"/>
        <v xml:space="preserve">investors(3),media(1),technologists(2),spaciousness(1), </v>
      </c>
      <c r="W172" s="27" t="str">
        <f t="shared" si="25"/>
        <v xml:space="preserve"> </v>
      </c>
      <c r="X172" s="27" t="str">
        <f t="shared" si="26"/>
        <v xml:space="preserve"> </v>
      </c>
      <c r="Y172" s="27" t="str">
        <f t="shared" si="27"/>
        <v xml:space="preserve"> </v>
      </c>
      <c r="Z172" s="27" t="str">
        <f t="shared" si="28"/>
        <v xml:space="preserve"> </v>
      </c>
      <c r="AA172" s="27" t="str">
        <f t="shared" si="29"/>
        <v xml:space="preserve"> </v>
      </c>
      <c r="AB172" s="27" t="str">
        <f t="shared" si="30"/>
        <v xml:space="preserve"> </v>
      </c>
      <c r="AC172" s="27" t="str">
        <f t="shared" si="31"/>
        <v xml:space="preserve"> </v>
      </c>
      <c r="AD172" s="27" t="str">
        <f t="shared" si="32"/>
        <v xml:space="preserve"> </v>
      </c>
      <c r="AE172" s="27" t="str">
        <f t="shared" si="33"/>
        <v xml:space="preserve"> </v>
      </c>
      <c r="AF172" s="27" t="str">
        <f t="shared" si="34"/>
        <v xml:space="preserve"> </v>
      </c>
      <c r="AG172" s="27" t="str">
        <f t="shared" si="35"/>
        <v xml:space="preserve"> </v>
      </c>
    </row>
    <row r="173" spans="1:33" ht="15.75" customHeight="1">
      <c r="A173" s="9">
        <f t="shared" ref="A173:C173" si="86">A58</f>
        <v>0</v>
      </c>
      <c r="B173" s="9">
        <f t="shared" si="86"/>
        <v>0</v>
      </c>
      <c r="C173" s="9" t="str">
        <f t="shared" si="86"/>
        <v>media</v>
      </c>
      <c r="D173" s="27" t="str">
        <f t="shared" si="6"/>
        <v xml:space="preserve">web(1), </v>
      </c>
      <c r="E173" s="27" t="str">
        <f t="shared" si="7"/>
        <v xml:space="preserve"> </v>
      </c>
      <c r="F173" s="27" t="str">
        <f t="shared" si="8"/>
        <v xml:space="preserve">web(1),aesthetics(1),functions(1),interaction(1), </v>
      </c>
      <c r="G173" s="27" t="str">
        <f t="shared" si="9"/>
        <v xml:space="preserve">technologists(0.5),business model(1),web(1), </v>
      </c>
      <c r="H173" s="27" t="str">
        <f t="shared" si="10"/>
        <v xml:space="preserve">technologists(0.5),web(1),aesthetics(1),interaction(1), </v>
      </c>
      <c r="I173" s="27" t="str">
        <f t="shared" si="11"/>
        <v xml:space="preserve">business model(1),marketing(1),aesthetics(1), </v>
      </c>
      <c r="J173" s="27" t="str">
        <f t="shared" si="12"/>
        <v xml:space="preserve">team building(2), </v>
      </c>
      <c r="K173" s="27" t="str">
        <f t="shared" si="13"/>
        <v xml:space="preserve"> </v>
      </c>
      <c r="L173" s="27" t="str">
        <f t="shared" si="14"/>
        <v xml:space="preserve"> </v>
      </c>
      <c r="M173" s="27" t="str">
        <f t="shared" si="15"/>
        <v xml:space="preserve">law(2),finance(2),marketing(2), </v>
      </c>
      <c r="N173" s="27" t="str">
        <f t="shared" si="16"/>
        <v xml:space="preserve"> </v>
      </c>
      <c r="O173" s="27" t="str">
        <f t="shared" si="17"/>
        <v xml:space="preserve"> </v>
      </c>
      <c r="P173" s="27" t="str">
        <f t="shared" si="18"/>
        <v xml:space="preserve"> </v>
      </c>
      <c r="Q173" s="27" t="str">
        <f t="shared" si="19"/>
        <v xml:space="preserve"> </v>
      </c>
      <c r="R173" s="27" t="str">
        <f t="shared" si="20"/>
        <v xml:space="preserve"> </v>
      </c>
      <c r="S173" s="27" t="str">
        <f t="shared" si="21"/>
        <v xml:space="preserve"> </v>
      </c>
      <c r="T173" s="27" t="str">
        <f t="shared" si="22"/>
        <v xml:space="preserve"> </v>
      </c>
      <c r="U173" s="27" t="str">
        <f t="shared" si="23"/>
        <v xml:space="preserve"> </v>
      </c>
      <c r="V173" s="27" t="str">
        <f t="shared" si="24"/>
        <v xml:space="preserve">media(1),technologists(2),spaciousness(1), </v>
      </c>
      <c r="W173" s="27" t="str">
        <f t="shared" si="25"/>
        <v xml:space="preserve"> </v>
      </c>
      <c r="X173" s="27" t="str">
        <f t="shared" si="26"/>
        <v xml:space="preserve"> </v>
      </c>
      <c r="Y173" s="27" t="str">
        <f t="shared" si="27"/>
        <v xml:space="preserve"> </v>
      </c>
      <c r="Z173" s="27" t="str">
        <f t="shared" si="28"/>
        <v xml:space="preserve"> </v>
      </c>
      <c r="AA173" s="27" t="str">
        <f t="shared" si="29"/>
        <v xml:space="preserve"> </v>
      </c>
      <c r="AB173" s="27" t="str">
        <f t="shared" si="30"/>
        <v xml:space="preserve"> </v>
      </c>
      <c r="AC173" s="27" t="str">
        <f t="shared" si="31"/>
        <v xml:space="preserve"> </v>
      </c>
      <c r="AD173" s="27" t="str">
        <f t="shared" si="32"/>
        <v xml:space="preserve"> </v>
      </c>
      <c r="AE173" s="27" t="str">
        <f t="shared" si="33"/>
        <v xml:space="preserve"> </v>
      </c>
      <c r="AF173" s="27" t="str">
        <f t="shared" si="34"/>
        <v xml:space="preserve"> </v>
      </c>
      <c r="AG173" s="27" t="str">
        <f t="shared" si="35"/>
        <v xml:space="preserve"> </v>
      </c>
    </row>
    <row r="174" spans="1:33" ht="15.75" customHeight="1">
      <c r="A174" s="9">
        <f t="shared" ref="A174:C174" si="87">A59</f>
        <v>0</v>
      </c>
      <c r="B174" s="9">
        <f t="shared" si="87"/>
        <v>0</v>
      </c>
      <c r="C174" s="9" t="str">
        <f t="shared" si="87"/>
        <v>entrepreneurs</v>
      </c>
      <c r="D174" s="27" t="str">
        <f t="shared" si="6"/>
        <v xml:space="preserve">web(1), </v>
      </c>
      <c r="E174" s="27" t="str">
        <f t="shared" si="7"/>
        <v xml:space="preserve"> </v>
      </c>
      <c r="F174" s="27" t="str">
        <f t="shared" si="8"/>
        <v xml:space="preserve">web(1),aesthetics(1),functions(1),interaction(1), </v>
      </c>
      <c r="G174" s="27" t="str">
        <f t="shared" si="9"/>
        <v xml:space="preserve">technologists(0.5),business model(1),web(1), </v>
      </c>
      <c r="H174" s="27" t="str">
        <f t="shared" si="10"/>
        <v xml:space="preserve">technologists(0.5),web(1),aesthetics(1),interaction(1), </v>
      </c>
      <c r="I174" s="27" t="str">
        <f t="shared" si="11"/>
        <v xml:space="preserve">business model(1),marketing(1),aesthetics(1), </v>
      </c>
      <c r="J174" s="27" t="str">
        <f t="shared" si="12"/>
        <v xml:space="preserve">team building(2), </v>
      </c>
      <c r="K174" s="27" t="str">
        <f t="shared" si="13"/>
        <v xml:space="preserve"> </v>
      </c>
      <c r="L174" s="27" t="str">
        <f t="shared" si="14"/>
        <v xml:space="preserve"> </v>
      </c>
      <c r="M174" s="27" t="str">
        <f t="shared" si="15"/>
        <v xml:space="preserve">law(2),finance(2),marketing(2), </v>
      </c>
      <c r="N174" s="27" t="str">
        <f t="shared" si="16"/>
        <v xml:space="preserve"> </v>
      </c>
      <c r="O174" s="27" t="str">
        <f t="shared" si="17"/>
        <v xml:space="preserve"> </v>
      </c>
      <c r="P174" s="27" t="str">
        <f t="shared" si="18"/>
        <v xml:space="preserve"> </v>
      </c>
      <c r="Q174" s="27" t="str">
        <f t="shared" si="19"/>
        <v xml:space="preserve"> </v>
      </c>
      <c r="R174" s="27" t="str">
        <f t="shared" si="20"/>
        <v xml:space="preserve"> </v>
      </c>
      <c r="S174" s="27" t="str">
        <f t="shared" si="21"/>
        <v xml:space="preserve"> </v>
      </c>
      <c r="T174" s="27" t="str">
        <f t="shared" si="22"/>
        <v xml:space="preserve"> </v>
      </c>
      <c r="U174" s="27" t="str">
        <f t="shared" si="23"/>
        <v xml:space="preserve"> </v>
      </c>
      <c r="V174" s="27" t="str">
        <f t="shared" si="24"/>
        <v xml:space="preserve">technologists(2),spaciousness(1), </v>
      </c>
      <c r="W174" s="27" t="str">
        <f t="shared" si="25"/>
        <v xml:space="preserve"> </v>
      </c>
      <c r="X174" s="27" t="str">
        <f t="shared" si="26"/>
        <v xml:space="preserve"> </v>
      </c>
      <c r="Y174" s="27" t="str">
        <f t="shared" si="27"/>
        <v xml:space="preserve"> </v>
      </c>
      <c r="Z174" s="27" t="str">
        <f t="shared" si="28"/>
        <v xml:space="preserve"> </v>
      </c>
      <c r="AA174" s="27" t="str">
        <f t="shared" si="29"/>
        <v xml:space="preserve"> </v>
      </c>
      <c r="AB174" s="27" t="str">
        <f t="shared" si="30"/>
        <v xml:space="preserve"> </v>
      </c>
      <c r="AC174" s="27" t="str">
        <f t="shared" si="31"/>
        <v xml:space="preserve"> </v>
      </c>
      <c r="AD174" s="27" t="str">
        <f t="shared" si="32"/>
        <v xml:space="preserve"> </v>
      </c>
      <c r="AE174" s="27" t="str">
        <f t="shared" si="33"/>
        <v xml:space="preserve"> </v>
      </c>
      <c r="AF174" s="27" t="str">
        <f t="shared" si="34"/>
        <v xml:space="preserve"> </v>
      </c>
      <c r="AG174" s="27" t="str">
        <f t="shared" si="35"/>
        <v xml:space="preserve"> </v>
      </c>
    </row>
    <row r="175" spans="1:33" ht="15.75" customHeight="1">
      <c r="A175" s="9">
        <f t="shared" ref="A175:C175" si="88">A60</f>
        <v>0</v>
      </c>
      <c r="B175" s="9">
        <f t="shared" si="88"/>
        <v>0</v>
      </c>
      <c r="C175" s="9" t="str">
        <f t="shared" si="88"/>
        <v>technologists</v>
      </c>
      <c r="D175" s="27" t="str">
        <f t="shared" si="6"/>
        <v xml:space="preserve">web(1), </v>
      </c>
      <c r="E175" s="27" t="str">
        <f t="shared" si="7"/>
        <v xml:space="preserve"> </v>
      </c>
      <c r="F175" s="27" t="str">
        <f t="shared" si="8"/>
        <v xml:space="preserve">web(1),aesthetics(1),functions(1),interaction(1), </v>
      </c>
      <c r="G175" s="27" t="str">
        <f t="shared" si="9"/>
        <v xml:space="preserve">technologists(0.5),business model(1),web(1), </v>
      </c>
      <c r="H175" s="27" t="str">
        <f t="shared" si="10"/>
        <v xml:space="preserve">technologists(0.5),web(1),aesthetics(1),interaction(1), </v>
      </c>
      <c r="I175" s="27" t="str">
        <f t="shared" si="11"/>
        <v xml:space="preserve">business model(1),marketing(1),aesthetics(1), </v>
      </c>
      <c r="J175" s="27" t="str">
        <f t="shared" si="12"/>
        <v xml:space="preserve">team building(2), </v>
      </c>
      <c r="K175" s="27" t="str">
        <f t="shared" si="13"/>
        <v xml:space="preserve"> </v>
      </c>
      <c r="L175" s="27" t="str">
        <f t="shared" si="14"/>
        <v xml:space="preserve"> </v>
      </c>
      <c r="M175" s="27" t="str">
        <f t="shared" si="15"/>
        <v xml:space="preserve">law(2),finance(2),marketing(2), </v>
      </c>
      <c r="N175" s="27" t="str">
        <f t="shared" si="16"/>
        <v xml:space="preserve"> </v>
      </c>
      <c r="O175" s="27" t="str">
        <f t="shared" si="17"/>
        <v xml:space="preserve"> </v>
      </c>
      <c r="P175" s="27" t="str">
        <f t="shared" si="18"/>
        <v xml:space="preserve"> </v>
      </c>
      <c r="Q175" s="27" t="str">
        <f t="shared" si="19"/>
        <v xml:space="preserve"> </v>
      </c>
      <c r="R175" s="27" t="str">
        <f t="shared" si="20"/>
        <v xml:space="preserve"> </v>
      </c>
      <c r="S175" s="27" t="str">
        <f t="shared" si="21"/>
        <v xml:space="preserve"> </v>
      </c>
      <c r="T175" s="27" t="str">
        <f t="shared" si="22"/>
        <v xml:space="preserve"> </v>
      </c>
      <c r="U175" s="27" t="str">
        <f t="shared" si="23"/>
        <v xml:space="preserve"> </v>
      </c>
      <c r="V175" s="27" t="str">
        <f t="shared" si="24"/>
        <v xml:space="preserve">technologists(2),spaciousness(1), </v>
      </c>
      <c r="W175" s="27" t="str">
        <f t="shared" si="25"/>
        <v xml:space="preserve"> </v>
      </c>
      <c r="X175" s="27" t="str">
        <f t="shared" si="26"/>
        <v xml:space="preserve"> </v>
      </c>
      <c r="Y175" s="27" t="str">
        <f t="shared" si="27"/>
        <v xml:space="preserve"> </v>
      </c>
      <c r="Z175" s="27" t="str">
        <f t="shared" si="28"/>
        <v xml:space="preserve"> </v>
      </c>
      <c r="AA175" s="27" t="str">
        <f t="shared" si="29"/>
        <v xml:space="preserve"> </v>
      </c>
      <c r="AB175" s="27" t="str">
        <f t="shared" si="30"/>
        <v xml:space="preserve"> </v>
      </c>
      <c r="AC175" s="27" t="str">
        <f t="shared" si="31"/>
        <v xml:space="preserve"> </v>
      </c>
      <c r="AD175" s="27" t="str">
        <f t="shared" si="32"/>
        <v xml:space="preserve"> </v>
      </c>
      <c r="AE175" s="27" t="str">
        <f t="shared" si="33"/>
        <v xml:space="preserve"> </v>
      </c>
      <c r="AF175" s="27" t="str">
        <f t="shared" si="34"/>
        <v xml:space="preserve"> </v>
      </c>
      <c r="AG175" s="27" t="str">
        <f t="shared" si="35"/>
        <v xml:space="preserve"> </v>
      </c>
    </row>
    <row r="176" spans="1:33" ht="15.75" customHeight="1">
      <c r="A176" s="9">
        <f t="shared" ref="A176:C176" si="89">A61</f>
        <v>0</v>
      </c>
      <c r="B176" s="9">
        <f t="shared" si="89"/>
        <v>0</v>
      </c>
      <c r="C176" s="9" t="str">
        <f t="shared" si="89"/>
        <v>suppliers</v>
      </c>
      <c r="D176" s="27" t="str">
        <f t="shared" si="6"/>
        <v xml:space="preserve">web(1), </v>
      </c>
      <c r="E176" s="27" t="str">
        <f t="shared" si="7"/>
        <v xml:space="preserve"> </v>
      </c>
      <c r="F176" s="27" t="str">
        <f t="shared" si="8"/>
        <v xml:space="preserve">web(1),aesthetics(1),functions(1),interaction(1), </v>
      </c>
      <c r="G176" s="27" t="str">
        <f t="shared" si="9"/>
        <v xml:space="preserve">business model(1),web(1), </v>
      </c>
      <c r="H176" s="27" t="str">
        <f t="shared" si="10"/>
        <v xml:space="preserve">web(1),aesthetics(1),interaction(1), </v>
      </c>
      <c r="I176" s="27" t="str">
        <f t="shared" si="11"/>
        <v xml:space="preserve">business model(1),marketing(1),aesthetics(1), </v>
      </c>
      <c r="J176" s="27" t="str">
        <f t="shared" si="12"/>
        <v xml:space="preserve">team building(2), </v>
      </c>
      <c r="K176" s="27" t="str">
        <f t="shared" si="13"/>
        <v xml:space="preserve"> </v>
      </c>
      <c r="L176" s="27" t="str">
        <f t="shared" si="14"/>
        <v xml:space="preserve"> </v>
      </c>
      <c r="M176" s="27" t="str">
        <f t="shared" si="15"/>
        <v xml:space="preserve">law(2),finance(2),marketing(2), </v>
      </c>
      <c r="N176" s="27" t="str">
        <f t="shared" si="16"/>
        <v xml:space="preserve"> </v>
      </c>
      <c r="O176" s="27" t="str">
        <f t="shared" si="17"/>
        <v xml:space="preserve"> </v>
      </c>
      <c r="P176" s="27" t="str">
        <f t="shared" si="18"/>
        <v xml:space="preserve"> </v>
      </c>
      <c r="Q176" s="27" t="str">
        <f t="shared" si="19"/>
        <v xml:space="preserve"> </v>
      </c>
      <c r="R176" s="27" t="str">
        <f t="shared" si="20"/>
        <v xml:space="preserve"> </v>
      </c>
      <c r="S176" s="27" t="str">
        <f t="shared" si="21"/>
        <v xml:space="preserve"> </v>
      </c>
      <c r="T176" s="27" t="str">
        <f t="shared" si="22"/>
        <v xml:space="preserve"> </v>
      </c>
      <c r="U176" s="27" t="str">
        <f t="shared" si="23"/>
        <v xml:space="preserve"> </v>
      </c>
      <c r="V176" s="27" t="str">
        <f t="shared" si="24"/>
        <v xml:space="preserve">spaciousness(1), </v>
      </c>
      <c r="W176" s="27" t="str">
        <f t="shared" si="25"/>
        <v xml:space="preserve"> </v>
      </c>
      <c r="X176" s="27" t="str">
        <f t="shared" si="26"/>
        <v xml:space="preserve"> </v>
      </c>
      <c r="Y176" s="27" t="str">
        <f t="shared" si="27"/>
        <v xml:space="preserve"> </v>
      </c>
      <c r="Z176" s="27" t="str">
        <f t="shared" si="28"/>
        <v xml:space="preserve"> </v>
      </c>
      <c r="AA176" s="27" t="str">
        <f t="shared" si="29"/>
        <v xml:space="preserve"> </v>
      </c>
      <c r="AB176" s="27" t="str">
        <f t="shared" si="30"/>
        <v xml:space="preserve"> </v>
      </c>
      <c r="AC176" s="27" t="str">
        <f t="shared" si="31"/>
        <v xml:space="preserve"> </v>
      </c>
      <c r="AD176" s="27" t="str">
        <f t="shared" si="32"/>
        <v xml:space="preserve"> </v>
      </c>
      <c r="AE176" s="27" t="str">
        <f t="shared" si="33"/>
        <v xml:space="preserve"> </v>
      </c>
      <c r="AF176" s="27" t="str">
        <f t="shared" si="34"/>
        <v xml:space="preserve"> </v>
      </c>
      <c r="AG176" s="27" t="str">
        <f t="shared" si="35"/>
        <v xml:space="preserve"> </v>
      </c>
    </row>
    <row r="177" spans="1:33" ht="15.75" customHeight="1">
      <c r="A177" s="9">
        <f t="shared" ref="A177:C177" si="90">A62</f>
        <v>0</v>
      </c>
      <c r="B177" s="9">
        <f t="shared" si="90"/>
        <v>0</v>
      </c>
      <c r="C177" s="9" t="str">
        <f t="shared" si="90"/>
        <v>non-profits</v>
      </c>
      <c r="D177" s="27" t="str">
        <f t="shared" si="6"/>
        <v xml:space="preserve">web(1), </v>
      </c>
      <c r="E177" s="27" t="str">
        <f t="shared" si="7"/>
        <v xml:space="preserve"> </v>
      </c>
      <c r="F177" s="27" t="str">
        <f t="shared" si="8"/>
        <v xml:space="preserve">web(1),aesthetics(1),functions(1),interaction(1), </v>
      </c>
      <c r="G177" s="27" t="str">
        <f t="shared" si="9"/>
        <v xml:space="preserve">business model(1),web(1), </v>
      </c>
      <c r="H177" s="27" t="str">
        <f t="shared" si="10"/>
        <v xml:space="preserve">web(1),aesthetics(1),interaction(1), </v>
      </c>
      <c r="I177" s="27" t="str">
        <f t="shared" si="11"/>
        <v xml:space="preserve">business model(1),marketing(1),aesthetics(1), </v>
      </c>
      <c r="J177" s="27" t="str">
        <f t="shared" si="12"/>
        <v xml:space="preserve">team building(2), </v>
      </c>
      <c r="K177" s="27" t="str">
        <f t="shared" si="13"/>
        <v xml:space="preserve"> </v>
      </c>
      <c r="L177" s="27" t="str">
        <f t="shared" si="14"/>
        <v xml:space="preserve"> </v>
      </c>
      <c r="M177" s="27" t="str">
        <f t="shared" si="15"/>
        <v xml:space="preserve">law(2),finance(2),marketing(2), </v>
      </c>
      <c r="N177" s="27" t="str">
        <f t="shared" si="16"/>
        <v xml:space="preserve"> </v>
      </c>
      <c r="O177" s="27" t="str">
        <f t="shared" si="17"/>
        <v xml:space="preserve"> </v>
      </c>
      <c r="P177" s="27" t="str">
        <f t="shared" si="18"/>
        <v xml:space="preserve"> </v>
      </c>
      <c r="Q177" s="27" t="str">
        <f t="shared" si="19"/>
        <v xml:space="preserve"> </v>
      </c>
      <c r="R177" s="27" t="str">
        <f t="shared" si="20"/>
        <v xml:space="preserve"> </v>
      </c>
      <c r="S177" s="27" t="str">
        <f t="shared" si="21"/>
        <v xml:space="preserve"> </v>
      </c>
      <c r="T177" s="27" t="str">
        <f t="shared" si="22"/>
        <v xml:space="preserve"> </v>
      </c>
      <c r="U177" s="27" t="str">
        <f t="shared" si="23"/>
        <v xml:space="preserve"> </v>
      </c>
      <c r="V177" s="27" t="str">
        <f t="shared" si="24"/>
        <v xml:space="preserve">spaciousness(1), </v>
      </c>
      <c r="W177" s="27" t="str">
        <f t="shared" si="25"/>
        <v xml:space="preserve"> </v>
      </c>
      <c r="X177" s="27" t="str">
        <f t="shared" si="26"/>
        <v xml:space="preserve"> </v>
      </c>
      <c r="Y177" s="27" t="str">
        <f t="shared" si="27"/>
        <v xml:space="preserve"> </v>
      </c>
      <c r="Z177" s="27" t="str">
        <f t="shared" si="28"/>
        <v xml:space="preserve"> </v>
      </c>
      <c r="AA177" s="27" t="str">
        <f t="shared" si="29"/>
        <v xml:space="preserve"> </v>
      </c>
      <c r="AB177" s="27" t="str">
        <f t="shared" si="30"/>
        <v xml:space="preserve"> </v>
      </c>
      <c r="AC177" s="27" t="str">
        <f t="shared" si="31"/>
        <v xml:space="preserve"> </v>
      </c>
      <c r="AD177" s="27" t="str">
        <f t="shared" si="32"/>
        <v xml:space="preserve"> </v>
      </c>
      <c r="AE177" s="27" t="str">
        <f t="shared" si="33"/>
        <v xml:space="preserve"> </v>
      </c>
      <c r="AF177" s="27" t="str">
        <f t="shared" si="34"/>
        <v xml:space="preserve"> </v>
      </c>
      <c r="AG177" s="27" t="str">
        <f t="shared" si="35"/>
        <v xml:space="preserve"> </v>
      </c>
    </row>
    <row r="178" spans="1:33" ht="15.75" customHeight="1">
      <c r="A178" s="9">
        <f t="shared" ref="A178:C178" si="91">A63</f>
        <v>0</v>
      </c>
      <c r="B178" s="9" t="str">
        <f t="shared" si="91"/>
        <v>lab</v>
      </c>
      <c r="C178" s="9" t="str">
        <f t="shared" si="91"/>
        <v>spaciousness</v>
      </c>
      <c r="D178" s="27" t="str">
        <f t="shared" si="6"/>
        <v xml:space="preserve">web(1), </v>
      </c>
      <c r="E178" s="27" t="str">
        <f t="shared" si="7"/>
        <v xml:space="preserve"> </v>
      </c>
      <c r="F178" s="27" t="str">
        <f t="shared" si="8"/>
        <v xml:space="preserve">web(1),aesthetics(1),functions(1),interaction(1), </v>
      </c>
      <c r="G178" s="27" t="str">
        <f t="shared" si="9"/>
        <v xml:space="preserve">business model(1),web(1), </v>
      </c>
      <c r="H178" s="27" t="str">
        <f t="shared" si="10"/>
        <v xml:space="preserve">web(1),aesthetics(1),interaction(1), </v>
      </c>
      <c r="I178" s="27" t="str">
        <f t="shared" si="11"/>
        <v xml:space="preserve">business model(1),marketing(1),aesthetics(1), </v>
      </c>
      <c r="J178" s="27" t="str">
        <f t="shared" si="12"/>
        <v xml:space="preserve">team building(2), </v>
      </c>
      <c r="K178" s="27" t="str">
        <f t="shared" si="13"/>
        <v xml:space="preserve"> </v>
      </c>
      <c r="L178" s="27" t="str">
        <f t="shared" si="14"/>
        <v xml:space="preserve"> </v>
      </c>
      <c r="M178" s="27" t="str">
        <f t="shared" si="15"/>
        <v xml:space="preserve">law(2),finance(2),marketing(2), </v>
      </c>
      <c r="N178" s="27" t="str">
        <f t="shared" si="16"/>
        <v xml:space="preserve"> </v>
      </c>
      <c r="O178" s="27" t="str">
        <f t="shared" si="17"/>
        <v xml:space="preserve"> </v>
      </c>
      <c r="P178" s="27" t="str">
        <f t="shared" si="18"/>
        <v xml:space="preserve"> </v>
      </c>
      <c r="Q178" s="27" t="str">
        <f t="shared" si="19"/>
        <v xml:space="preserve"> </v>
      </c>
      <c r="R178" s="27" t="str">
        <f t="shared" si="20"/>
        <v xml:space="preserve"> </v>
      </c>
      <c r="S178" s="27" t="str">
        <f t="shared" si="21"/>
        <v xml:space="preserve"> </v>
      </c>
      <c r="T178" s="27" t="str">
        <f t="shared" si="22"/>
        <v xml:space="preserve"> </v>
      </c>
      <c r="U178" s="27" t="str">
        <f t="shared" si="23"/>
        <v xml:space="preserve"> </v>
      </c>
      <c r="V178" s="27" t="str">
        <f t="shared" si="24"/>
        <v xml:space="preserve">spaciousness(1), </v>
      </c>
      <c r="W178" s="27" t="str">
        <f t="shared" si="25"/>
        <v xml:space="preserve"> </v>
      </c>
      <c r="X178" s="27" t="str">
        <f t="shared" si="26"/>
        <v xml:space="preserve"> </v>
      </c>
      <c r="Y178" s="27" t="str">
        <f t="shared" si="27"/>
        <v xml:space="preserve"> </v>
      </c>
      <c r="Z178" s="27" t="str">
        <f t="shared" si="28"/>
        <v xml:space="preserve"> </v>
      </c>
      <c r="AA178" s="27" t="str">
        <f t="shared" si="29"/>
        <v xml:space="preserve"> </v>
      </c>
      <c r="AB178" s="27" t="str">
        <f t="shared" si="30"/>
        <v xml:space="preserve"> </v>
      </c>
      <c r="AC178" s="27" t="str">
        <f t="shared" si="31"/>
        <v xml:space="preserve"> </v>
      </c>
      <c r="AD178" s="27" t="str">
        <f t="shared" si="32"/>
        <v xml:space="preserve"> </v>
      </c>
      <c r="AE178" s="27" t="str">
        <f t="shared" si="33"/>
        <v xml:space="preserve"> </v>
      </c>
      <c r="AF178" s="27" t="str">
        <f t="shared" si="34"/>
        <v xml:space="preserve"> </v>
      </c>
      <c r="AG178" s="27" t="str">
        <f t="shared" si="35"/>
        <v xml:space="preserve"> </v>
      </c>
    </row>
    <row r="179" spans="1:33" ht="15.75" customHeight="1">
      <c r="A179" s="9">
        <f t="shared" ref="A179:C179" si="92">A64</f>
        <v>0</v>
      </c>
      <c r="B179" s="9">
        <f t="shared" si="92"/>
        <v>0</v>
      </c>
      <c r="C179" s="9" t="str">
        <f t="shared" si="92"/>
        <v>ease of access</v>
      </c>
      <c r="D179" s="27" t="str">
        <f t="shared" si="6"/>
        <v xml:space="preserve">web(1), </v>
      </c>
      <c r="E179" s="27" t="str">
        <f t="shared" si="7"/>
        <v xml:space="preserve"> </v>
      </c>
      <c r="F179" s="27" t="str">
        <f t="shared" si="8"/>
        <v xml:space="preserve">web(1),aesthetics(1),functions(1),interaction(1), </v>
      </c>
      <c r="G179" s="27" t="str">
        <f t="shared" si="9"/>
        <v xml:space="preserve">business model(1),web(1), </v>
      </c>
      <c r="H179" s="27" t="str">
        <f t="shared" si="10"/>
        <v xml:space="preserve">web(1),aesthetics(1),interaction(1), </v>
      </c>
      <c r="I179" s="27" t="str">
        <f t="shared" si="11"/>
        <v xml:space="preserve">business model(1),marketing(1),aesthetics(1), </v>
      </c>
      <c r="J179" s="27" t="str">
        <f t="shared" si="12"/>
        <v xml:space="preserve">team building(2), </v>
      </c>
      <c r="K179" s="27" t="str">
        <f t="shared" si="13"/>
        <v xml:space="preserve"> </v>
      </c>
      <c r="L179" s="27" t="str">
        <f t="shared" si="14"/>
        <v xml:space="preserve"> </v>
      </c>
      <c r="M179" s="27" t="str">
        <f t="shared" si="15"/>
        <v xml:space="preserve">law(2),finance(2),marketing(2), </v>
      </c>
      <c r="N179" s="27" t="str">
        <f t="shared" si="16"/>
        <v xml:space="preserve"> </v>
      </c>
      <c r="O179" s="27" t="str">
        <f t="shared" si="17"/>
        <v xml:space="preserve"> </v>
      </c>
      <c r="P179" s="27" t="str">
        <f t="shared" si="18"/>
        <v xml:space="preserve"> </v>
      </c>
      <c r="Q179" s="27" t="str">
        <f t="shared" si="19"/>
        <v xml:space="preserve"> </v>
      </c>
      <c r="R179" s="27" t="str">
        <f t="shared" si="20"/>
        <v xml:space="preserve"> </v>
      </c>
      <c r="S179" s="27" t="str">
        <f t="shared" si="21"/>
        <v xml:space="preserve"> </v>
      </c>
      <c r="T179" s="27" t="str">
        <f t="shared" si="22"/>
        <v xml:space="preserve"> </v>
      </c>
      <c r="U179" s="27" t="str">
        <f t="shared" si="23"/>
        <v xml:space="preserve"> </v>
      </c>
      <c r="V179" s="27" t="str">
        <f t="shared" si="24"/>
        <v xml:space="preserve"> </v>
      </c>
      <c r="W179" s="27" t="str">
        <f t="shared" si="25"/>
        <v xml:space="preserve"> </v>
      </c>
      <c r="X179" s="27" t="str">
        <f t="shared" si="26"/>
        <v xml:space="preserve"> </v>
      </c>
      <c r="Y179" s="27" t="str">
        <f t="shared" si="27"/>
        <v xml:space="preserve"> </v>
      </c>
      <c r="Z179" s="27" t="str">
        <f t="shared" si="28"/>
        <v xml:space="preserve"> </v>
      </c>
      <c r="AA179" s="27" t="str">
        <f t="shared" si="29"/>
        <v xml:space="preserve"> </v>
      </c>
      <c r="AB179" s="27" t="str">
        <f t="shared" si="30"/>
        <v xml:space="preserve"> </v>
      </c>
      <c r="AC179" s="27" t="str">
        <f t="shared" si="31"/>
        <v xml:space="preserve"> </v>
      </c>
      <c r="AD179" s="27" t="str">
        <f t="shared" si="32"/>
        <v xml:space="preserve"> </v>
      </c>
      <c r="AE179" s="27" t="str">
        <f t="shared" si="33"/>
        <v xml:space="preserve"> </v>
      </c>
      <c r="AF179" s="27" t="str">
        <f t="shared" si="34"/>
        <v xml:space="preserve"> </v>
      </c>
      <c r="AG179" s="27" t="str">
        <f t="shared" si="35"/>
        <v xml:space="preserve"> </v>
      </c>
    </row>
    <row r="180" spans="1:33" ht="15.75" customHeight="1">
      <c r="A180" s="9">
        <f t="shared" ref="A180:C180" si="93">A65</f>
        <v>0</v>
      </c>
      <c r="B180" s="9">
        <f t="shared" si="93"/>
        <v>0</v>
      </c>
      <c r="C180" s="9" t="str">
        <f t="shared" si="93"/>
        <v>reputation</v>
      </c>
      <c r="D180" s="27" t="str">
        <f t="shared" si="6"/>
        <v xml:space="preserve">web(1), </v>
      </c>
      <c r="E180" s="27" t="str">
        <f t="shared" si="7"/>
        <v xml:space="preserve"> </v>
      </c>
      <c r="F180" s="27" t="str">
        <f t="shared" si="8"/>
        <v xml:space="preserve">web(1),aesthetics(1),functions(1),interaction(1), </v>
      </c>
      <c r="G180" s="27" t="str">
        <f t="shared" si="9"/>
        <v xml:space="preserve">business model(1),web(1), </v>
      </c>
      <c r="H180" s="27" t="str">
        <f t="shared" si="10"/>
        <v xml:space="preserve">web(1),aesthetics(1),interaction(1), </v>
      </c>
      <c r="I180" s="27" t="str">
        <f t="shared" si="11"/>
        <v xml:space="preserve">business model(1),marketing(1),aesthetics(1), </v>
      </c>
      <c r="J180" s="27" t="str">
        <f t="shared" si="12"/>
        <v xml:space="preserve">team building(2), </v>
      </c>
      <c r="K180" s="27" t="str">
        <f t="shared" si="13"/>
        <v xml:space="preserve"> </v>
      </c>
      <c r="L180" s="27" t="str">
        <f t="shared" si="14"/>
        <v xml:space="preserve"> </v>
      </c>
      <c r="M180" s="27" t="str">
        <f t="shared" si="15"/>
        <v xml:space="preserve">law(2),finance(2),marketing(2), </v>
      </c>
      <c r="N180" s="27" t="str">
        <f t="shared" si="16"/>
        <v xml:space="preserve"> </v>
      </c>
      <c r="O180" s="27" t="str">
        <f t="shared" si="17"/>
        <v xml:space="preserve"> </v>
      </c>
      <c r="P180" s="27" t="str">
        <f t="shared" si="18"/>
        <v xml:space="preserve"> </v>
      </c>
      <c r="Q180" s="27" t="str">
        <f t="shared" si="19"/>
        <v xml:space="preserve"> </v>
      </c>
      <c r="R180" s="27" t="str">
        <f t="shared" si="20"/>
        <v xml:space="preserve"> </v>
      </c>
      <c r="S180" s="27" t="str">
        <f t="shared" si="21"/>
        <v xml:space="preserve"> </v>
      </c>
      <c r="T180" s="27" t="str">
        <f t="shared" si="22"/>
        <v xml:space="preserve"> </v>
      </c>
      <c r="U180" s="27" t="str">
        <f t="shared" si="23"/>
        <v xml:space="preserve"> </v>
      </c>
      <c r="V180" s="27" t="str">
        <f t="shared" si="24"/>
        <v xml:space="preserve"> </v>
      </c>
      <c r="W180" s="27" t="str">
        <f t="shared" si="25"/>
        <v xml:space="preserve"> </v>
      </c>
      <c r="X180" s="27" t="str">
        <f t="shared" si="26"/>
        <v xml:space="preserve"> </v>
      </c>
      <c r="Y180" s="27" t="str">
        <f t="shared" si="27"/>
        <v xml:space="preserve"> </v>
      </c>
      <c r="Z180" s="27" t="str">
        <f t="shared" si="28"/>
        <v xml:space="preserve"> </v>
      </c>
      <c r="AA180" s="27" t="str">
        <f t="shared" si="29"/>
        <v xml:space="preserve"> </v>
      </c>
      <c r="AB180" s="27" t="str">
        <f t="shared" si="30"/>
        <v xml:space="preserve"> </v>
      </c>
      <c r="AC180" s="27" t="str">
        <f t="shared" si="31"/>
        <v xml:space="preserve"> </v>
      </c>
      <c r="AD180" s="27" t="str">
        <f t="shared" si="32"/>
        <v xml:space="preserve"> </v>
      </c>
      <c r="AE180" s="27" t="str">
        <f t="shared" si="33"/>
        <v xml:space="preserve"> </v>
      </c>
      <c r="AF180" s="27" t="str">
        <f t="shared" si="34"/>
        <v xml:space="preserve"> </v>
      </c>
      <c r="AG180" s="27" t="str">
        <f t="shared" si="35"/>
        <v xml:space="preserve"> </v>
      </c>
    </row>
    <row r="181" spans="1:33" ht="15.75" customHeight="1">
      <c r="A181" s="9">
        <f t="shared" ref="A181:C181" si="94">A66</f>
        <v>0</v>
      </c>
      <c r="B181" s="9">
        <f t="shared" si="94"/>
        <v>0</v>
      </c>
      <c r="C181" s="9" t="str">
        <f t="shared" si="94"/>
        <v>efficiency</v>
      </c>
      <c r="D181" s="27" t="str">
        <f t="shared" si="6"/>
        <v xml:space="preserve">web(1), </v>
      </c>
      <c r="E181" s="27" t="str">
        <f t="shared" si="7"/>
        <v xml:space="preserve"> </v>
      </c>
      <c r="F181" s="27" t="str">
        <f t="shared" si="8"/>
        <v xml:space="preserve">web(1),aesthetics(1),functions(1),interaction(1), </v>
      </c>
      <c r="G181" s="27" t="str">
        <f t="shared" si="9"/>
        <v xml:space="preserve">business model(1),web(1), </v>
      </c>
      <c r="H181" s="27" t="str">
        <f t="shared" si="10"/>
        <v xml:space="preserve">web(1),aesthetics(1),interaction(1), </v>
      </c>
      <c r="I181" s="27" t="str">
        <f t="shared" si="11"/>
        <v xml:space="preserve">business model(1),marketing(1),aesthetics(1), </v>
      </c>
      <c r="J181" s="27" t="str">
        <f t="shared" si="12"/>
        <v xml:space="preserve">team building(2), </v>
      </c>
      <c r="K181" s="27" t="str">
        <f t="shared" si="13"/>
        <v xml:space="preserve"> </v>
      </c>
      <c r="L181" s="27" t="str">
        <f t="shared" si="14"/>
        <v xml:space="preserve"> </v>
      </c>
      <c r="M181" s="27" t="str">
        <f t="shared" si="15"/>
        <v xml:space="preserve">law(2),finance(2),marketing(2), </v>
      </c>
      <c r="N181" s="27" t="str">
        <f t="shared" si="16"/>
        <v xml:space="preserve"> </v>
      </c>
      <c r="O181" s="27" t="str">
        <f t="shared" si="17"/>
        <v xml:space="preserve"> </v>
      </c>
      <c r="P181" s="27" t="str">
        <f t="shared" si="18"/>
        <v xml:space="preserve"> </v>
      </c>
      <c r="Q181" s="27" t="str">
        <f t="shared" si="19"/>
        <v xml:space="preserve"> </v>
      </c>
      <c r="R181" s="27" t="str">
        <f t="shared" si="20"/>
        <v xml:space="preserve"> </v>
      </c>
      <c r="S181" s="27" t="str">
        <f t="shared" si="21"/>
        <v xml:space="preserve"> </v>
      </c>
      <c r="T181" s="27" t="str">
        <f t="shared" si="22"/>
        <v xml:space="preserve"> </v>
      </c>
      <c r="U181" s="27" t="str">
        <f t="shared" si="23"/>
        <v xml:space="preserve"> </v>
      </c>
      <c r="V181" s="27" t="str">
        <f t="shared" si="24"/>
        <v xml:space="preserve"> </v>
      </c>
      <c r="W181" s="27" t="str">
        <f t="shared" si="25"/>
        <v xml:space="preserve"> </v>
      </c>
      <c r="X181" s="27" t="str">
        <f t="shared" si="26"/>
        <v xml:space="preserve"> </v>
      </c>
      <c r="Y181" s="27" t="str">
        <f t="shared" si="27"/>
        <v xml:space="preserve"> </v>
      </c>
      <c r="Z181" s="27" t="str">
        <f t="shared" si="28"/>
        <v xml:space="preserve"> </v>
      </c>
      <c r="AA181" s="27" t="str">
        <f t="shared" si="29"/>
        <v xml:space="preserve"> </v>
      </c>
      <c r="AB181" s="27" t="str">
        <f t="shared" si="30"/>
        <v xml:space="preserve"> </v>
      </c>
      <c r="AC181" s="27" t="str">
        <f t="shared" si="31"/>
        <v xml:space="preserve"> </v>
      </c>
      <c r="AD181" s="27" t="str">
        <f t="shared" si="32"/>
        <v xml:space="preserve"> </v>
      </c>
      <c r="AE181" s="27" t="str">
        <f t="shared" si="33"/>
        <v xml:space="preserve"> </v>
      </c>
      <c r="AF181" s="27" t="str">
        <f t="shared" si="34"/>
        <v xml:space="preserve"> </v>
      </c>
      <c r="AG181" s="27" t="str">
        <f t="shared" si="35"/>
        <v xml:space="preserve"> </v>
      </c>
    </row>
    <row r="182" spans="1:33" ht="15.75" customHeight="1">
      <c r="A182" s="9">
        <f t="shared" ref="A182:C182" si="95">A67</f>
        <v>0</v>
      </c>
      <c r="B182" s="9">
        <f t="shared" si="95"/>
        <v>0</v>
      </c>
      <c r="C182" s="9" t="str">
        <f t="shared" si="95"/>
        <v>portfolio</v>
      </c>
      <c r="D182" s="27" t="str">
        <f t="shared" si="6"/>
        <v xml:space="preserve">web(1), </v>
      </c>
      <c r="E182" s="27" t="str">
        <f t="shared" si="7"/>
        <v xml:space="preserve"> </v>
      </c>
      <c r="F182" s="27" t="str">
        <f t="shared" si="8"/>
        <v xml:space="preserve">web(1),aesthetics(1),functions(1),interaction(1), </v>
      </c>
      <c r="G182" s="27" t="str">
        <f t="shared" si="9"/>
        <v xml:space="preserve">business model(1),web(1), </v>
      </c>
      <c r="H182" s="27" t="str">
        <f t="shared" si="10"/>
        <v xml:space="preserve">web(1),aesthetics(1),interaction(1), </v>
      </c>
      <c r="I182" s="27" t="str">
        <f t="shared" si="11"/>
        <v xml:space="preserve">business model(1),marketing(1),aesthetics(1), </v>
      </c>
      <c r="J182" s="27" t="str">
        <f t="shared" si="12"/>
        <v xml:space="preserve">team building(2), </v>
      </c>
      <c r="K182" s="27" t="str">
        <f t="shared" si="13"/>
        <v xml:space="preserve"> </v>
      </c>
      <c r="L182" s="27" t="str">
        <f t="shared" si="14"/>
        <v xml:space="preserve"> </v>
      </c>
      <c r="M182" s="27" t="str">
        <f t="shared" si="15"/>
        <v xml:space="preserve">law(2),finance(2),marketing(2), </v>
      </c>
      <c r="N182" s="27" t="str">
        <f t="shared" si="16"/>
        <v xml:space="preserve"> </v>
      </c>
      <c r="O182" s="27" t="str">
        <f t="shared" si="17"/>
        <v xml:space="preserve"> </v>
      </c>
      <c r="P182" s="27" t="str">
        <f t="shared" si="18"/>
        <v xml:space="preserve"> </v>
      </c>
      <c r="Q182" s="27" t="str">
        <f t="shared" si="19"/>
        <v xml:space="preserve"> </v>
      </c>
      <c r="R182" s="27" t="str">
        <f t="shared" si="20"/>
        <v xml:space="preserve"> </v>
      </c>
      <c r="S182" s="27" t="str">
        <f t="shared" si="21"/>
        <v xml:space="preserve"> </v>
      </c>
      <c r="T182" s="27" t="str">
        <f t="shared" si="22"/>
        <v xml:space="preserve"> </v>
      </c>
      <c r="U182" s="27" t="str">
        <f t="shared" si="23"/>
        <v xml:space="preserve"> </v>
      </c>
      <c r="V182" s="27" t="str">
        <f t="shared" si="24"/>
        <v xml:space="preserve"> </v>
      </c>
      <c r="W182" s="27" t="str">
        <f t="shared" si="25"/>
        <v xml:space="preserve"> </v>
      </c>
      <c r="X182" s="27" t="str">
        <f t="shared" si="26"/>
        <v xml:space="preserve"> </v>
      </c>
      <c r="Y182" s="27" t="str">
        <f t="shared" si="27"/>
        <v xml:space="preserve"> </v>
      </c>
      <c r="Z182" s="27" t="str">
        <f t="shared" si="28"/>
        <v xml:space="preserve"> </v>
      </c>
      <c r="AA182" s="27" t="str">
        <f t="shared" si="29"/>
        <v xml:space="preserve"> </v>
      </c>
      <c r="AB182" s="27" t="str">
        <f t="shared" si="30"/>
        <v xml:space="preserve"> </v>
      </c>
      <c r="AC182" s="27" t="str">
        <f t="shared" si="31"/>
        <v xml:space="preserve"> </v>
      </c>
      <c r="AD182" s="27" t="str">
        <f t="shared" si="32"/>
        <v xml:space="preserve"> </v>
      </c>
      <c r="AE182" s="27" t="str">
        <f t="shared" si="33"/>
        <v xml:space="preserve"> </v>
      </c>
      <c r="AF182" s="27" t="str">
        <f t="shared" si="34"/>
        <v xml:space="preserve"> </v>
      </c>
      <c r="AG182" s="27" t="str">
        <f t="shared" si="35"/>
        <v xml:space="preserve"> </v>
      </c>
    </row>
    <row r="183" spans="1:33" ht="15.75" customHeight="1">
      <c r="A183" s="9">
        <f t="shared" ref="A183:C183" si="96">A68</f>
        <v>0</v>
      </c>
      <c r="B183" s="9">
        <f t="shared" si="96"/>
        <v>0</v>
      </c>
      <c r="C183" s="9" t="str">
        <f t="shared" si="96"/>
        <v>user rules and manuals</v>
      </c>
      <c r="D183" s="27" t="str">
        <f t="shared" si="6"/>
        <v xml:space="preserve">web(1), </v>
      </c>
      <c r="E183" s="27" t="str">
        <f t="shared" si="7"/>
        <v xml:space="preserve"> </v>
      </c>
      <c r="F183" s="27" t="str">
        <f t="shared" si="8"/>
        <v xml:space="preserve">web(1),aesthetics(1),functions(1),interaction(1), </v>
      </c>
      <c r="G183" s="27" t="str">
        <f t="shared" si="9"/>
        <v xml:space="preserve">business model(1),web(1), </v>
      </c>
      <c r="H183" s="27" t="str">
        <f t="shared" si="10"/>
        <v xml:space="preserve">web(1),aesthetics(1),interaction(1), </v>
      </c>
      <c r="I183" s="27" t="str">
        <f t="shared" si="11"/>
        <v xml:space="preserve">business model(1),marketing(1),aesthetics(1), </v>
      </c>
      <c r="J183" s="27" t="str">
        <f t="shared" si="12"/>
        <v xml:space="preserve">team building(2), </v>
      </c>
      <c r="K183" s="27" t="str">
        <f t="shared" si="13"/>
        <v xml:space="preserve"> </v>
      </c>
      <c r="L183" s="27" t="str">
        <f t="shared" si="14"/>
        <v xml:space="preserve"> </v>
      </c>
      <c r="M183" s="27" t="str">
        <f t="shared" si="15"/>
        <v xml:space="preserve">law(2),finance(2),marketing(2), </v>
      </c>
      <c r="N183" s="27" t="str">
        <f t="shared" si="16"/>
        <v xml:space="preserve"> </v>
      </c>
      <c r="O183" s="27" t="str">
        <f t="shared" si="17"/>
        <v xml:space="preserve"> </v>
      </c>
      <c r="P183" s="27" t="str">
        <f t="shared" si="18"/>
        <v xml:space="preserve"> </v>
      </c>
      <c r="Q183" s="27" t="str">
        <f t="shared" si="19"/>
        <v xml:space="preserve"> </v>
      </c>
      <c r="R183" s="27" t="str">
        <f t="shared" si="20"/>
        <v xml:space="preserve"> </v>
      </c>
      <c r="S183" s="27" t="str">
        <f t="shared" si="21"/>
        <v xml:space="preserve"> </v>
      </c>
      <c r="T183" s="27" t="str">
        <f t="shared" si="22"/>
        <v xml:space="preserve"> </v>
      </c>
      <c r="U183" s="27" t="str">
        <f t="shared" si="23"/>
        <v xml:space="preserve"> </v>
      </c>
      <c r="V183" s="27" t="str">
        <f t="shared" si="24"/>
        <v xml:space="preserve"> </v>
      </c>
      <c r="W183" s="27" t="str">
        <f t="shared" si="25"/>
        <v xml:space="preserve"> </v>
      </c>
      <c r="X183" s="27" t="str">
        <f t="shared" si="26"/>
        <v xml:space="preserve"> </v>
      </c>
      <c r="Y183" s="27" t="str">
        <f t="shared" si="27"/>
        <v xml:space="preserve"> </v>
      </c>
      <c r="Z183" s="27" t="str">
        <f t="shared" si="28"/>
        <v xml:space="preserve"> </v>
      </c>
      <c r="AA183" s="27" t="str">
        <f t="shared" si="29"/>
        <v xml:space="preserve"> </v>
      </c>
      <c r="AB183" s="27" t="str">
        <f t="shared" si="30"/>
        <v xml:space="preserve"> </v>
      </c>
      <c r="AC183" s="27" t="str">
        <f t="shared" si="31"/>
        <v xml:space="preserve"> </v>
      </c>
      <c r="AD183" s="27" t="str">
        <f t="shared" si="32"/>
        <v xml:space="preserve"> </v>
      </c>
      <c r="AE183" s="27" t="str">
        <f t="shared" si="33"/>
        <v xml:space="preserve"> </v>
      </c>
      <c r="AF183" s="27" t="str">
        <f t="shared" si="34"/>
        <v xml:space="preserve"> </v>
      </c>
      <c r="AG183" s="27" t="str">
        <f t="shared" si="35"/>
        <v xml:space="preserve"> </v>
      </c>
    </row>
    <row r="184" spans="1:33" ht="15.75" customHeight="1">
      <c r="A184" s="9">
        <f t="shared" ref="A184:C184" si="97">A69</f>
        <v>0</v>
      </c>
      <c r="B184" s="9">
        <f t="shared" si="97"/>
        <v>0</v>
      </c>
      <c r="C184" s="9" t="str">
        <f t="shared" si="97"/>
        <v>organizational rules and manuals</v>
      </c>
      <c r="D184" s="27" t="str">
        <f t="shared" si="6"/>
        <v xml:space="preserve">web(1), </v>
      </c>
      <c r="E184" s="27" t="str">
        <f t="shared" si="7"/>
        <v xml:space="preserve"> </v>
      </c>
      <c r="F184" s="27" t="str">
        <f t="shared" si="8"/>
        <v xml:space="preserve">web(1),aesthetics(1),functions(1),interaction(1), </v>
      </c>
      <c r="G184" s="27" t="str">
        <f t="shared" si="9"/>
        <v xml:space="preserve">business model(1),web(1), </v>
      </c>
      <c r="H184" s="27" t="str">
        <f t="shared" si="10"/>
        <v xml:space="preserve">web(1),aesthetics(1),interaction(1), </v>
      </c>
      <c r="I184" s="27" t="str">
        <f t="shared" si="11"/>
        <v xml:space="preserve">business model(1),marketing(1),aesthetics(1), </v>
      </c>
      <c r="J184" s="27" t="str">
        <f t="shared" si="12"/>
        <v xml:space="preserve">team building(2), </v>
      </c>
      <c r="K184" s="27" t="str">
        <f t="shared" si="13"/>
        <v xml:space="preserve"> </v>
      </c>
      <c r="L184" s="27" t="str">
        <f t="shared" si="14"/>
        <v xml:space="preserve"> </v>
      </c>
      <c r="M184" s="27" t="str">
        <f t="shared" si="15"/>
        <v xml:space="preserve">law(2),finance(2),marketing(2), </v>
      </c>
      <c r="N184" s="27" t="str">
        <f t="shared" si="16"/>
        <v xml:space="preserve"> </v>
      </c>
      <c r="O184" s="27" t="str">
        <f t="shared" si="17"/>
        <v xml:space="preserve"> </v>
      </c>
      <c r="P184" s="27" t="str">
        <f t="shared" si="18"/>
        <v xml:space="preserve"> </v>
      </c>
      <c r="Q184" s="27" t="str">
        <f t="shared" si="19"/>
        <v xml:space="preserve"> </v>
      </c>
      <c r="R184" s="27" t="str">
        <f t="shared" si="20"/>
        <v xml:space="preserve"> </v>
      </c>
      <c r="S184" s="27" t="str">
        <f t="shared" si="21"/>
        <v xml:space="preserve"> </v>
      </c>
      <c r="T184" s="27" t="str">
        <f t="shared" si="22"/>
        <v xml:space="preserve"> </v>
      </c>
      <c r="U184" s="27" t="str">
        <f t="shared" si="23"/>
        <v xml:space="preserve"> </v>
      </c>
      <c r="V184" s="27" t="str">
        <f t="shared" si="24"/>
        <v xml:space="preserve"> </v>
      </c>
      <c r="W184" s="27" t="str">
        <f t="shared" si="25"/>
        <v xml:space="preserve"> </v>
      </c>
      <c r="X184" s="27" t="str">
        <f t="shared" si="26"/>
        <v xml:space="preserve"> </v>
      </c>
      <c r="Y184" s="27" t="str">
        <f t="shared" si="27"/>
        <v xml:space="preserve"> </v>
      </c>
      <c r="Z184" s="27" t="str">
        <f t="shared" si="28"/>
        <v xml:space="preserve"> </v>
      </c>
      <c r="AA184" s="27" t="str">
        <f t="shared" si="29"/>
        <v xml:space="preserve"> </v>
      </c>
      <c r="AB184" s="27" t="str">
        <f t="shared" si="30"/>
        <v xml:space="preserve"> </v>
      </c>
      <c r="AC184" s="27" t="str">
        <f t="shared" si="31"/>
        <v xml:space="preserve"> </v>
      </c>
      <c r="AD184" s="27" t="str">
        <f t="shared" si="32"/>
        <v xml:space="preserve"> </v>
      </c>
      <c r="AE184" s="27" t="str">
        <f t="shared" si="33"/>
        <v xml:space="preserve"> </v>
      </c>
      <c r="AF184" s="27" t="str">
        <f t="shared" si="34"/>
        <v xml:space="preserve"> </v>
      </c>
      <c r="AG184" s="27" t="str">
        <f t="shared" si="35"/>
        <v xml:space="preserve"> </v>
      </c>
    </row>
    <row r="185" spans="1:33" ht="15.75" customHeight="1">
      <c r="A185" s="9">
        <f t="shared" ref="A185:C185" si="98">A70</f>
        <v>0</v>
      </c>
      <c r="B185" s="9" t="str">
        <f t="shared" si="98"/>
        <v>advanced skills: org</v>
      </c>
      <c r="C185" s="9" t="str">
        <f t="shared" si="98"/>
        <v>law</v>
      </c>
      <c r="D185" s="27" t="str">
        <f t="shared" si="6"/>
        <v xml:space="preserve">web(1), </v>
      </c>
      <c r="E185" s="27" t="str">
        <f t="shared" si="7"/>
        <v xml:space="preserve"> </v>
      </c>
      <c r="F185" s="27" t="str">
        <f t="shared" si="8"/>
        <v xml:space="preserve">web(1),aesthetics(1),functions(1),interaction(1), </v>
      </c>
      <c r="G185" s="27" t="str">
        <f t="shared" si="9"/>
        <v xml:space="preserve">business model(1),web(1), </v>
      </c>
      <c r="H185" s="27" t="str">
        <f t="shared" si="10"/>
        <v xml:space="preserve">web(1),aesthetics(1),interaction(1), </v>
      </c>
      <c r="I185" s="27" t="str">
        <f t="shared" si="11"/>
        <v xml:space="preserve">business model(1),marketing(1),aesthetics(1), </v>
      </c>
      <c r="J185" s="27" t="str">
        <f t="shared" si="12"/>
        <v xml:space="preserve">team building(2), </v>
      </c>
      <c r="K185" s="27" t="str">
        <f t="shared" si="13"/>
        <v xml:space="preserve"> </v>
      </c>
      <c r="L185" s="27" t="str">
        <f t="shared" si="14"/>
        <v xml:space="preserve"> </v>
      </c>
      <c r="M185" s="27" t="str">
        <f t="shared" si="15"/>
        <v xml:space="preserve">law(2),finance(2),marketing(2), </v>
      </c>
      <c r="N185" s="27" t="str">
        <f t="shared" si="16"/>
        <v xml:space="preserve"> </v>
      </c>
      <c r="O185" s="27" t="str">
        <f t="shared" si="17"/>
        <v xml:space="preserve"> </v>
      </c>
      <c r="P185" s="27" t="str">
        <f t="shared" si="18"/>
        <v xml:space="preserve"> </v>
      </c>
      <c r="Q185" s="27" t="str">
        <f t="shared" si="19"/>
        <v xml:space="preserve"> </v>
      </c>
      <c r="R185" s="27" t="str">
        <f t="shared" si="20"/>
        <v xml:space="preserve"> </v>
      </c>
      <c r="S185" s="27" t="str">
        <f t="shared" si="21"/>
        <v xml:space="preserve"> </v>
      </c>
      <c r="T185" s="27" t="str">
        <f t="shared" si="22"/>
        <v xml:space="preserve"> </v>
      </c>
      <c r="U185" s="27" t="str">
        <f t="shared" si="23"/>
        <v xml:space="preserve"> </v>
      </c>
      <c r="V185" s="27" t="str">
        <f t="shared" si="24"/>
        <v xml:space="preserve"> </v>
      </c>
      <c r="W185" s="27" t="str">
        <f t="shared" si="25"/>
        <v xml:space="preserve"> </v>
      </c>
      <c r="X185" s="27" t="str">
        <f t="shared" si="26"/>
        <v xml:space="preserve"> </v>
      </c>
      <c r="Y185" s="27" t="str">
        <f t="shared" si="27"/>
        <v xml:space="preserve"> </v>
      </c>
      <c r="Z185" s="27" t="str">
        <f t="shared" si="28"/>
        <v xml:space="preserve"> </v>
      </c>
      <c r="AA185" s="27" t="str">
        <f t="shared" si="29"/>
        <v xml:space="preserve"> </v>
      </c>
      <c r="AB185" s="27" t="str">
        <f t="shared" si="30"/>
        <v xml:space="preserve"> </v>
      </c>
      <c r="AC185" s="27" t="str">
        <f t="shared" si="31"/>
        <v xml:space="preserve"> </v>
      </c>
      <c r="AD185" s="27" t="str">
        <f t="shared" si="32"/>
        <v xml:space="preserve"> </v>
      </c>
      <c r="AE185" s="27" t="str">
        <f t="shared" si="33"/>
        <v xml:space="preserve"> </v>
      </c>
      <c r="AF185" s="27" t="str">
        <f t="shared" si="34"/>
        <v xml:space="preserve"> </v>
      </c>
      <c r="AG185" s="27" t="str">
        <f t="shared" si="35"/>
        <v xml:space="preserve"> </v>
      </c>
    </row>
    <row r="186" spans="1:33" ht="15.75" customHeight="1">
      <c r="A186" s="9">
        <f t="shared" ref="A186:C186" si="99">A71</f>
        <v>0</v>
      </c>
      <c r="B186" s="9">
        <f t="shared" si="99"/>
        <v>0</v>
      </c>
      <c r="C186" s="9" t="str">
        <f t="shared" si="99"/>
        <v>finance</v>
      </c>
      <c r="D186" s="27" t="str">
        <f t="shared" ref="D186:D227" si="100">IF(D71="",D187,$C186&amp;"("&amp;D71&amp;"),"&amp;D187)</f>
        <v xml:space="preserve">web(1), </v>
      </c>
      <c r="E186" s="27" t="str">
        <f t="shared" ref="E186:E227" si="101">IF(E71="",E187,$C186&amp;"("&amp;E71&amp;"),"&amp;E187)</f>
        <v xml:space="preserve"> </v>
      </c>
      <c r="F186" s="27" t="str">
        <f t="shared" ref="F186:F227" si="102">IF(F71="",F187,$C186&amp;"("&amp;F71&amp;"),"&amp;F187)</f>
        <v xml:space="preserve">web(1),aesthetics(1),functions(1),interaction(1), </v>
      </c>
      <c r="G186" s="27" t="str">
        <f t="shared" ref="G186:G227" si="103">IF(G71="",G187,$C186&amp;"("&amp;G71&amp;"),"&amp;G187)</f>
        <v xml:space="preserve">business model(1),web(1), </v>
      </c>
      <c r="H186" s="27" t="str">
        <f t="shared" ref="H186:H227" si="104">IF(H71="",H187,$C186&amp;"("&amp;H71&amp;"),"&amp;H187)</f>
        <v xml:space="preserve">web(1),aesthetics(1),interaction(1), </v>
      </c>
      <c r="I186" s="27" t="str">
        <f t="shared" ref="I186:I227" si="105">IF(I71="",I187,$C186&amp;"("&amp;I71&amp;"),"&amp;I187)</f>
        <v xml:space="preserve">business model(1),marketing(1),aesthetics(1), </v>
      </c>
      <c r="J186" s="27" t="str">
        <f t="shared" ref="J186:J227" si="106">IF(J71="",J187,$C186&amp;"("&amp;J71&amp;"),"&amp;J187)</f>
        <v xml:space="preserve">team building(2), </v>
      </c>
      <c r="K186" s="27" t="str">
        <f t="shared" ref="K186:K227" si="107">IF(K71="",K187,$C186&amp;"("&amp;K71&amp;"),"&amp;K187)</f>
        <v xml:space="preserve"> </v>
      </c>
      <c r="L186" s="27" t="str">
        <f t="shared" ref="L186:L227" si="108">IF(L71="",L187,$C186&amp;"("&amp;L71&amp;"),"&amp;L187)</f>
        <v xml:space="preserve"> </v>
      </c>
      <c r="M186" s="27" t="str">
        <f t="shared" ref="M186:M227" si="109">IF(M71="",M187,$C186&amp;"("&amp;M71&amp;"),"&amp;M187)</f>
        <v xml:space="preserve">finance(2),marketing(2), </v>
      </c>
      <c r="N186" s="27" t="str">
        <f t="shared" ref="N186:N227" si="110">IF(N71="",N187,$C186&amp;"("&amp;N71&amp;"),"&amp;N187)</f>
        <v xml:space="preserve"> </v>
      </c>
      <c r="O186" s="27" t="str">
        <f t="shared" ref="O186:O227" si="111">IF(O71="",O187,$C186&amp;"("&amp;O71&amp;"),"&amp;O187)</f>
        <v xml:space="preserve"> </v>
      </c>
      <c r="P186" s="27" t="str">
        <f t="shared" ref="P186:P227" si="112">IF(P71="",P187,$C186&amp;"("&amp;P71&amp;"),"&amp;P187)</f>
        <v xml:space="preserve"> </v>
      </c>
      <c r="Q186" s="27" t="str">
        <f t="shared" ref="Q186:Q227" si="113">IF(Q71="",Q187,$C186&amp;"("&amp;Q71&amp;"),"&amp;Q187)</f>
        <v xml:space="preserve"> </v>
      </c>
      <c r="R186" s="27" t="str">
        <f t="shared" ref="R186:R227" si="114">IF(R71="",R187,$C186&amp;"("&amp;R71&amp;"),"&amp;R187)</f>
        <v xml:space="preserve"> </v>
      </c>
      <c r="S186" s="27" t="str">
        <f t="shared" ref="S186:S227" si="115">IF(S71="",S187,$C186&amp;"("&amp;S71&amp;"),"&amp;S187)</f>
        <v xml:space="preserve"> </v>
      </c>
      <c r="T186" s="27" t="str">
        <f t="shared" ref="T186:T227" si="116">IF(T71="",T187,$C186&amp;"("&amp;T71&amp;"),"&amp;T187)</f>
        <v xml:space="preserve"> </v>
      </c>
      <c r="U186" s="27" t="str">
        <f t="shared" ref="U186:U227" si="117">IF(U71="",U187,$C186&amp;"("&amp;U71&amp;"),"&amp;U187)</f>
        <v xml:space="preserve"> </v>
      </c>
      <c r="V186" s="27" t="str">
        <f t="shared" ref="V186:V227" si="118">IF(V71="",V187,$C186&amp;"("&amp;V71&amp;"),"&amp;V187)</f>
        <v xml:space="preserve"> </v>
      </c>
      <c r="W186" s="27" t="str">
        <f t="shared" ref="W186:W227" si="119">IF(W71="",W187,$C186&amp;"("&amp;W71&amp;"),"&amp;W187)</f>
        <v xml:space="preserve"> </v>
      </c>
      <c r="X186" s="27" t="str">
        <f t="shared" ref="X186:X227" si="120">IF(X71="",X187,$C186&amp;"("&amp;X71&amp;"),"&amp;X187)</f>
        <v xml:space="preserve"> </v>
      </c>
      <c r="Y186" s="27" t="str">
        <f t="shared" ref="Y186:Y227" si="121">IF(Y71="",Y187,$C186&amp;"("&amp;Y71&amp;"),"&amp;Y187)</f>
        <v xml:space="preserve"> </v>
      </c>
      <c r="Z186" s="27" t="str">
        <f t="shared" ref="Z186:Z227" si="122">IF(Z71="",Z187,$C186&amp;"("&amp;Z71&amp;"),"&amp;Z187)</f>
        <v xml:space="preserve"> </v>
      </c>
      <c r="AA186" s="27" t="str">
        <f t="shared" ref="AA186:AA227" si="123">IF(AA71="",AA187,$C186&amp;"("&amp;AA71&amp;"),"&amp;AA187)</f>
        <v xml:space="preserve"> </v>
      </c>
      <c r="AB186" s="27" t="str">
        <f t="shared" ref="AB186:AB227" si="124">IF(AB71="",AB187,$C186&amp;"("&amp;AB71&amp;"),"&amp;AB187)</f>
        <v xml:space="preserve"> </v>
      </c>
      <c r="AC186" s="27" t="str">
        <f t="shared" ref="AC186:AC227" si="125">IF(AC71="",AC187,$C186&amp;"("&amp;AC71&amp;"),"&amp;AC187)</f>
        <v xml:space="preserve"> </v>
      </c>
      <c r="AD186" s="27" t="str">
        <f t="shared" ref="AD186:AD227" si="126">IF(AD71="",AD187,$C186&amp;"("&amp;AD71&amp;"),"&amp;AD187)</f>
        <v xml:space="preserve"> </v>
      </c>
      <c r="AE186" s="27" t="str">
        <f t="shared" ref="AE186:AE227" si="127">IF(AE71="",AE187,$C186&amp;"("&amp;AE71&amp;"),"&amp;AE187)</f>
        <v xml:space="preserve"> </v>
      </c>
      <c r="AF186" s="27" t="str">
        <f t="shared" ref="AF186:AF227" si="128">IF(AF71="",AF187,$C186&amp;"("&amp;AF71&amp;"),"&amp;AF187)</f>
        <v xml:space="preserve"> </v>
      </c>
      <c r="AG186" s="27" t="str">
        <f t="shared" ref="AG186:AG227" si="129">IF(AG71="",AG187,$C186&amp;"("&amp;AG71&amp;"),"&amp;AG187)</f>
        <v xml:space="preserve"> </v>
      </c>
    </row>
    <row r="187" spans="1:33" ht="15.75" customHeight="1">
      <c r="A187" s="9">
        <f t="shared" ref="A187:C187" si="130">A72</f>
        <v>0</v>
      </c>
      <c r="B187" s="9">
        <f t="shared" si="130"/>
        <v>0</v>
      </c>
      <c r="C187" s="9" t="str">
        <f t="shared" si="130"/>
        <v>business model</v>
      </c>
      <c r="D187" s="27" t="str">
        <f t="shared" si="100"/>
        <v xml:space="preserve">web(1), </v>
      </c>
      <c r="E187" s="27" t="str">
        <f t="shared" si="101"/>
        <v xml:space="preserve"> </v>
      </c>
      <c r="F187" s="27" t="str">
        <f t="shared" si="102"/>
        <v xml:space="preserve">web(1),aesthetics(1),functions(1),interaction(1), </v>
      </c>
      <c r="G187" s="27" t="str">
        <f t="shared" si="103"/>
        <v xml:space="preserve">business model(1),web(1), </v>
      </c>
      <c r="H187" s="27" t="str">
        <f t="shared" si="104"/>
        <v xml:space="preserve">web(1),aesthetics(1),interaction(1), </v>
      </c>
      <c r="I187" s="27" t="str">
        <f t="shared" si="105"/>
        <v xml:space="preserve">business model(1),marketing(1),aesthetics(1), </v>
      </c>
      <c r="J187" s="27" t="str">
        <f t="shared" si="106"/>
        <v xml:space="preserve">team building(2), </v>
      </c>
      <c r="K187" s="27" t="str">
        <f t="shared" si="107"/>
        <v xml:space="preserve"> </v>
      </c>
      <c r="L187" s="27" t="str">
        <f t="shared" si="108"/>
        <v xml:space="preserve"> </v>
      </c>
      <c r="M187" s="27" t="str">
        <f t="shared" si="109"/>
        <v xml:space="preserve">marketing(2), </v>
      </c>
      <c r="N187" s="27" t="str">
        <f t="shared" si="110"/>
        <v xml:space="preserve"> </v>
      </c>
      <c r="O187" s="27" t="str">
        <f t="shared" si="111"/>
        <v xml:space="preserve"> </v>
      </c>
      <c r="P187" s="27" t="str">
        <f t="shared" si="112"/>
        <v xml:space="preserve"> </v>
      </c>
      <c r="Q187" s="27" t="str">
        <f t="shared" si="113"/>
        <v xml:space="preserve"> </v>
      </c>
      <c r="R187" s="27" t="str">
        <f t="shared" si="114"/>
        <v xml:space="preserve"> </v>
      </c>
      <c r="S187" s="27" t="str">
        <f t="shared" si="115"/>
        <v xml:space="preserve"> </v>
      </c>
      <c r="T187" s="27" t="str">
        <f t="shared" si="116"/>
        <v xml:space="preserve"> </v>
      </c>
      <c r="U187" s="27" t="str">
        <f t="shared" si="117"/>
        <v xml:space="preserve"> </v>
      </c>
      <c r="V187" s="27" t="str">
        <f t="shared" si="118"/>
        <v xml:space="preserve"> </v>
      </c>
      <c r="W187" s="27" t="str">
        <f t="shared" si="119"/>
        <v xml:space="preserve"> </v>
      </c>
      <c r="X187" s="27" t="str">
        <f t="shared" si="120"/>
        <v xml:space="preserve"> </v>
      </c>
      <c r="Y187" s="27" t="str">
        <f t="shared" si="121"/>
        <v xml:space="preserve"> </v>
      </c>
      <c r="Z187" s="27" t="str">
        <f t="shared" si="122"/>
        <v xml:space="preserve"> </v>
      </c>
      <c r="AA187" s="27" t="str">
        <f t="shared" si="123"/>
        <v xml:space="preserve"> </v>
      </c>
      <c r="AB187" s="27" t="str">
        <f t="shared" si="124"/>
        <v xml:space="preserve"> </v>
      </c>
      <c r="AC187" s="27" t="str">
        <f t="shared" si="125"/>
        <v xml:space="preserve"> </v>
      </c>
      <c r="AD187" s="27" t="str">
        <f t="shared" si="126"/>
        <v xml:space="preserve"> </v>
      </c>
      <c r="AE187" s="27" t="str">
        <f t="shared" si="127"/>
        <v xml:space="preserve"> </v>
      </c>
      <c r="AF187" s="27" t="str">
        <f t="shared" si="128"/>
        <v xml:space="preserve"> </v>
      </c>
      <c r="AG187" s="27" t="str">
        <f t="shared" si="129"/>
        <v xml:space="preserve"> </v>
      </c>
    </row>
    <row r="188" spans="1:33" ht="15.75" customHeight="1">
      <c r="A188" s="9">
        <f t="shared" ref="A188:C188" si="131">A73</f>
        <v>0</v>
      </c>
      <c r="B188" s="9">
        <f t="shared" si="131"/>
        <v>0</v>
      </c>
      <c r="C188" s="9" t="str">
        <f t="shared" si="131"/>
        <v>marketing</v>
      </c>
      <c r="D188" s="27" t="str">
        <f t="shared" si="100"/>
        <v xml:space="preserve">web(1), </v>
      </c>
      <c r="E188" s="27" t="str">
        <f t="shared" si="101"/>
        <v xml:space="preserve"> </v>
      </c>
      <c r="F188" s="27" t="str">
        <f t="shared" si="102"/>
        <v xml:space="preserve">web(1),aesthetics(1),functions(1),interaction(1), </v>
      </c>
      <c r="G188" s="27" t="str">
        <f t="shared" si="103"/>
        <v xml:space="preserve">web(1), </v>
      </c>
      <c r="H188" s="27" t="str">
        <f t="shared" si="104"/>
        <v xml:space="preserve">web(1),aesthetics(1),interaction(1), </v>
      </c>
      <c r="I188" s="27" t="str">
        <f t="shared" si="105"/>
        <v xml:space="preserve">marketing(1),aesthetics(1), </v>
      </c>
      <c r="J188" s="27" t="str">
        <f t="shared" si="106"/>
        <v xml:space="preserve">team building(2), </v>
      </c>
      <c r="K188" s="27" t="str">
        <f t="shared" si="107"/>
        <v xml:space="preserve"> </v>
      </c>
      <c r="L188" s="27" t="str">
        <f t="shared" si="108"/>
        <v xml:space="preserve"> </v>
      </c>
      <c r="M188" s="27" t="str">
        <f t="shared" si="109"/>
        <v xml:space="preserve">marketing(2), </v>
      </c>
      <c r="N188" s="27" t="str">
        <f t="shared" si="110"/>
        <v xml:space="preserve"> </v>
      </c>
      <c r="O188" s="27" t="str">
        <f t="shared" si="111"/>
        <v xml:space="preserve"> </v>
      </c>
      <c r="P188" s="27" t="str">
        <f t="shared" si="112"/>
        <v xml:space="preserve"> </v>
      </c>
      <c r="Q188" s="27" t="str">
        <f t="shared" si="113"/>
        <v xml:space="preserve"> </v>
      </c>
      <c r="R188" s="27" t="str">
        <f t="shared" si="114"/>
        <v xml:space="preserve"> </v>
      </c>
      <c r="S188" s="27" t="str">
        <f t="shared" si="115"/>
        <v xml:space="preserve"> </v>
      </c>
      <c r="T188" s="27" t="str">
        <f t="shared" si="116"/>
        <v xml:space="preserve"> </v>
      </c>
      <c r="U188" s="27" t="str">
        <f t="shared" si="117"/>
        <v xml:space="preserve"> </v>
      </c>
      <c r="V188" s="27" t="str">
        <f t="shared" si="118"/>
        <v xml:space="preserve"> </v>
      </c>
      <c r="W188" s="27" t="str">
        <f t="shared" si="119"/>
        <v xml:space="preserve"> </v>
      </c>
      <c r="X188" s="27" t="str">
        <f t="shared" si="120"/>
        <v xml:space="preserve"> </v>
      </c>
      <c r="Y188" s="27" t="str">
        <f t="shared" si="121"/>
        <v xml:space="preserve"> </v>
      </c>
      <c r="Z188" s="27" t="str">
        <f t="shared" si="122"/>
        <v xml:space="preserve"> </v>
      </c>
      <c r="AA188" s="27" t="str">
        <f t="shared" si="123"/>
        <v xml:space="preserve"> </v>
      </c>
      <c r="AB188" s="27" t="str">
        <f t="shared" si="124"/>
        <v xml:space="preserve"> </v>
      </c>
      <c r="AC188" s="27" t="str">
        <f t="shared" si="125"/>
        <v xml:space="preserve"> </v>
      </c>
      <c r="AD188" s="27" t="str">
        <f t="shared" si="126"/>
        <v xml:space="preserve"> </v>
      </c>
      <c r="AE188" s="27" t="str">
        <f t="shared" si="127"/>
        <v xml:space="preserve"> </v>
      </c>
      <c r="AF188" s="27" t="str">
        <f t="shared" si="128"/>
        <v xml:space="preserve"> </v>
      </c>
      <c r="AG188" s="27" t="str">
        <f t="shared" si="129"/>
        <v xml:space="preserve"> </v>
      </c>
    </row>
    <row r="189" spans="1:33" ht="15.75" customHeight="1">
      <c r="A189" s="9">
        <f t="shared" ref="A189:C189" si="132">A74</f>
        <v>0</v>
      </c>
      <c r="B189" s="9">
        <f t="shared" si="132"/>
        <v>0</v>
      </c>
      <c r="C189" s="9" t="str">
        <f t="shared" si="132"/>
        <v>team building</v>
      </c>
      <c r="D189" s="27" t="str">
        <f t="shared" si="100"/>
        <v xml:space="preserve">web(1), </v>
      </c>
      <c r="E189" s="27" t="str">
        <f t="shared" si="101"/>
        <v xml:space="preserve"> </v>
      </c>
      <c r="F189" s="27" t="str">
        <f t="shared" si="102"/>
        <v xml:space="preserve">web(1),aesthetics(1),functions(1),interaction(1), </v>
      </c>
      <c r="G189" s="27" t="str">
        <f t="shared" si="103"/>
        <v xml:space="preserve">web(1), </v>
      </c>
      <c r="H189" s="27" t="str">
        <f t="shared" si="104"/>
        <v xml:space="preserve">web(1),aesthetics(1),interaction(1), </v>
      </c>
      <c r="I189" s="27" t="str">
        <f t="shared" si="105"/>
        <v xml:space="preserve">aesthetics(1), </v>
      </c>
      <c r="J189" s="27" t="str">
        <f t="shared" si="106"/>
        <v xml:space="preserve">team building(2), </v>
      </c>
      <c r="K189" s="27" t="str">
        <f t="shared" si="107"/>
        <v xml:space="preserve"> </v>
      </c>
      <c r="L189" s="27" t="str">
        <f t="shared" si="108"/>
        <v xml:space="preserve"> </v>
      </c>
      <c r="M189" s="27" t="str">
        <f t="shared" si="109"/>
        <v xml:space="preserve"> </v>
      </c>
      <c r="N189" s="27" t="str">
        <f t="shared" si="110"/>
        <v xml:space="preserve"> </v>
      </c>
      <c r="O189" s="27" t="str">
        <f t="shared" si="111"/>
        <v xml:space="preserve"> </v>
      </c>
      <c r="P189" s="27" t="str">
        <f t="shared" si="112"/>
        <v xml:space="preserve"> </v>
      </c>
      <c r="Q189" s="27" t="str">
        <f t="shared" si="113"/>
        <v xml:space="preserve"> </v>
      </c>
      <c r="R189" s="27" t="str">
        <f t="shared" si="114"/>
        <v xml:space="preserve"> </v>
      </c>
      <c r="S189" s="27" t="str">
        <f t="shared" si="115"/>
        <v xml:space="preserve"> </v>
      </c>
      <c r="T189" s="27" t="str">
        <f t="shared" si="116"/>
        <v xml:space="preserve"> </v>
      </c>
      <c r="U189" s="27" t="str">
        <f t="shared" si="117"/>
        <v xml:space="preserve"> </v>
      </c>
      <c r="V189" s="27" t="str">
        <f t="shared" si="118"/>
        <v xml:space="preserve"> </v>
      </c>
      <c r="W189" s="27" t="str">
        <f t="shared" si="119"/>
        <v xml:space="preserve"> </v>
      </c>
      <c r="X189" s="27" t="str">
        <f t="shared" si="120"/>
        <v xml:space="preserve"> </v>
      </c>
      <c r="Y189" s="27" t="str">
        <f t="shared" si="121"/>
        <v xml:space="preserve"> </v>
      </c>
      <c r="Z189" s="27" t="str">
        <f t="shared" si="122"/>
        <v xml:space="preserve"> </v>
      </c>
      <c r="AA189" s="27" t="str">
        <f t="shared" si="123"/>
        <v xml:space="preserve"> </v>
      </c>
      <c r="AB189" s="27" t="str">
        <f t="shared" si="124"/>
        <v xml:space="preserve"> </v>
      </c>
      <c r="AC189" s="27" t="str">
        <f t="shared" si="125"/>
        <v xml:space="preserve"> </v>
      </c>
      <c r="AD189" s="27" t="str">
        <f t="shared" si="126"/>
        <v xml:space="preserve"> </v>
      </c>
      <c r="AE189" s="27" t="str">
        <f t="shared" si="127"/>
        <v xml:space="preserve"> </v>
      </c>
      <c r="AF189" s="27" t="str">
        <f t="shared" si="128"/>
        <v xml:space="preserve"> </v>
      </c>
      <c r="AG189" s="27" t="str">
        <f t="shared" si="129"/>
        <v xml:space="preserve"> </v>
      </c>
    </row>
    <row r="190" spans="1:33" ht="15.75" customHeight="1">
      <c r="A190" s="9">
        <f t="shared" ref="A190:C190" si="133">A75</f>
        <v>0</v>
      </c>
      <c r="B190" s="9">
        <f t="shared" si="133"/>
        <v>0</v>
      </c>
      <c r="C190" s="9" t="str">
        <f t="shared" si="133"/>
        <v>project management</v>
      </c>
      <c r="D190" s="27" t="str">
        <f t="shared" si="100"/>
        <v xml:space="preserve">web(1), </v>
      </c>
      <c r="E190" s="27" t="str">
        <f t="shared" si="101"/>
        <v xml:space="preserve"> </v>
      </c>
      <c r="F190" s="27" t="str">
        <f t="shared" si="102"/>
        <v xml:space="preserve">web(1),aesthetics(1),functions(1),interaction(1), </v>
      </c>
      <c r="G190" s="27" t="str">
        <f t="shared" si="103"/>
        <v xml:space="preserve">web(1), </v>
      </c>
      <c r="H190" s="27" t="str">
        <f t="shared" si="104"/>
        <v xml:space="preserve">web(1),aesthetics(1),interaction(1), </v>
      </c>
      <c r="I190" s="27" t="str">
        <f t="shared" si="105"/>
        <v xml:space="preserve">aesthetics(1), </v>
      </c>
      <c r="J190" s="27" t="str">
        <f t="shared" si="106"/>
        <v xml:space="preserve"> </v>
      </c>
      <c r="K190" s="27" t="str">
        <f t="shared" si="107"/>
        <v xml:space="preserve"> </v>
      </c>
      <c r="L190" s="27" t="str">
        <f t="shared" si="108"/>
        <v xml:space="preserve"> </v>
      </c>
      <c r="M190" s="27" t="str">
        <f t="shared" si="109"/>
        <v xml:space="preserve"> </v>
      </c>
      <c r="N190" s="27" t="str">
        <f t="shared" si="110"/>
        <v xml:space="preserve"> </v>
      </c>
      <c r="O190" s="27" t="str">
        <f t="shared" si="111"/>
        <v xml:space="preserve"> </v>
      </c>
      <c r="P190" s="27" t="str">
        <f t="shared" si="112"/>
        <v xml:space="preserve"> </v>
      </c>
      <c r="Q190" s="27" t="str">
        <f t="shared" si="113"/>
        <v xml:space="preserve"> </v>
      </c>
      <c r="R190" s="27" t="str">
        <f t="shared" si="114"/>
        <v xml:space="preserve"> </v>
      </c>
      <c r="S190" s="27" t="str">
        <f t="shared" si="115"/>
        <v xml:space="preserve"> </v>
      </c>
      <c r="T190" s="27" t="str">
        <f t="shared" si="116"/>
        <v xml:space="preserve"> </v>
      </c>
      <c r="U190" s="27" t="str">
        <f t="shared" si="117"/>
        <v xml:space="preserve"> </v>
      </c>
      <c r="V190" s="27" t="str">
        <f t="shared" si="118"/>
        <v xml:space="preserve"> </v>
      </c>
      <c r="W190" s="27" t="str">
        <f t="shared" si="119"/>
        <v xml:space="preserve"> </v>
      </c>
      <c r="X190" s="27" t="str">
        <f t="shared" si="120"/>
        <v xml:space="preserve"> </v>
      </c>
      <c r="Y190" s="27" t="str">
        <f t="shared" si="121"/>
        <v xml:space="preserve"> </v>
      </c>
      <c r="Z190" s="27" t="str">
        <f t="shared" si="122"/>
        <v xml:space="preserve"> </v>
      </c>
      <c r="AA190" s="27" t="str">
        <f t="shared" si="123"/>
        <v xml:space="preserve"> </v>
      </c>
      <c r="AB190" s="27" t="str">
        <f t="shared" si="124"/>
        <v xml:space="preserve"> </v>
      </c>
      <c r="AC190" s="27" t="str">
        <f t="shared" si="125"/>
        <v xml:space="preserve"> </v>
      </c>
      <c r="AD190" s="27" t="str">
        <f t="shared" si="126"/>
        <v xml:space="preserve"> </v>
      </c>
      <c r="AE190" s="27" t="str">
        <f t="shared" si="127"/>
        <v xml:space="preserve"> </v>
      </c>
      <c r="AF190" s="27" t="str">
        <f t="shared" si="128"/>
        <v xml:space="preserve"> </v>
      </c>
      <c r="AG190" s="27" t="str">
        <f t="shared" si="129"/>
        <v xml:space="preserve"> </v>
      </c>
    </row>
    <row r="191" spans="1:33" ht="15.75" customHeight="1">
      <c r="A191" s="9">
        <f t="shared" ref="A191:C191" si="134">A76</f>
        <v>0</v>
      </c>
      <c r="B191" s="9">
        <f t="shared" si="134"/>
        <v>0</v>
      </c>
      <c r="C191" s="9" t="str">
        <f t="shared" si="134"/>
        <v>social media</v>
      </c>
      <c r="D191" s="27" t="str">
        <f t="shared" si="100"/>
        <v xml:space="preserve">web(1), </v>
      </c>
      <c r="E191" s="27" t="str">
        <f t="shared" si="101"/>
        <v xml:space="preserve"> </v>
      </c>
      <c r="F191" s="27" t="str">
        <f t="shared" si="102"/>
        <v xml:space="preserve">web(1),aesthetics(1),functions(1),interaction(1), </v>
      </c>
      <c r="G191" s="27" t="str">
        <f t="shared" si="103"/>
        <v xml:space="preserve">web(1), </v>
      </c>
      <c r="H191" s="27" t="str">
        <f t="shared" si="104"/>
        <v xml:space="preserve">web(1),aesthetics(1),interaction(1), </v>
      </c>
      <c r="I191" s="27" t="str">
        <f t="shared" si="105"/>
        <v xml:space="preserve">aesthetics(1), </v>
      </c>
      <c r="J191" s="27" t="str">
        <f t="shared" si="106"/>
        <v xml:space="preserve"> </v>
      </c>
      <c r="K191" s="27" t="str">
        <f t="shared" si="107"/>
        <v xml:space="preserve"> </v>
      </c>
      <c r="L191" s="27" t="str">
        <f t="shared" si="108"/>
        <v xml:space="preserve"> </v>
      </c>
      <c r="M191" s="27" t="str">
        <f t="shared" si="109"/>
        <v xml:space="preserve"> </v>
      </c>
      <c r="N191" s="27" t="str">
        <f t="shared" si="110"/>
        <v xml:space="preserve"> </v>
      </c>
      <c r="O191" s="27" t="str">
        <f t="shared" si="111"/>
        <v xml:space="preserve"> </v>
      </c>
      <c r="P191" s="27" t="str">
        <f t="shared" si="112"/>
        <v xml:space="preserve"> </v>
      </c>
      <c r="Q191" s="27" t="str">
        <f t="shared" si="113"/>
        <v xml:space="preserve"> </v>
      </c>
      <c r="R191" s="27" t="str">
        <f t="shared" si="114"/>
        <v xml:space="preserve"> </v>
      </c>
      <c r="S191" s="27" t="str">
        <f t="shared" si="115"/>
        <v xml:space="preserve"> </v>
      </c>
      <c r="T191" s="27" t="str">
        <f t="shared" si="116"/>
        <v xml:space="preserve"> </v>
      </c>
      <c r="U191" s="27" t="str">
        <f t="shared" si="117"/>
        <v xml:space="preserve"> </v>
      </c>
      <c r="V191" s="27" t="str">
        <f t="shared" si="118"/>
        <v xml:space="preserve"> </v>
      </c>
      <c r="W191" s="27" t="str">
        <f t="shared" si="119"/>
        <v xml:space="preserve"> </v>
      </c>
      <c r="X191" s="27" t="str">
        <f t="shared" si="120"/>
        <v xml:space="preserve"> </v>
      </c>
      <c r="Y191" s="27" t="str">
        <f t="shared" si="121"/>
        <v xml:space="preserve"> </v>
      </c>
      <c r="Z191" s="27" t="str">
        <f t="shared" si="122"/>
        <v xml:space="preserve"> </v>
      </c>
      <c r="AA191" s="27" t="str">
        <f t="shared" si="123"/>
        <v xml:space="preserve"> </v>
      </c>
      <c r="AB191" s="27" t="str">
        <f t="shared" si="124"/>
        <v xml:space="preserve"> </v>
      </c>
      <c r="AC191" s="27" t="str">
        <f t="shared" si="125"/>
        <v xml:space="preserve"> </v>
      </c>
      <c r="AD191" s="27" t="str">
        <f t="shared" si="126"/>
        <v xml:space="preserve"> </v>
      </c>
      <c r="AE191" s="27" t="str">
        <f t="shared" si="127"/>
        <v xml:space="preserve"> </v>
      </c>
      <c r="AF191" s="27" t="str">
        <f t="shared" si="128"/>
        <v xml:space="preserve"> </v>
      </c>
      <c r="AG191" s="27" t="str">
        <f t="shared" si="129"/>
        <v xml:space="preserve"> </v>
      </c>
    </row>
    <row r="192" spans="1:33" ht="15.75" customHeight="1">
      <c r="A192" s="9">
        <f t="shared" ref="A192:C192" si="135">A77</f>
        <v>0</v>
      </c>
      <c r="B192" s="9">
        <f t="shared" si="135"/>
        <v>0</v>
      </c>
      <c r="C192" s="9" t="str">
        <f t="shared" si="135"/>
        <v>negotiation</v>
      </c>
      <c r="D192" s="27" t="str">
        <f t="shared" si="100"/>
        <v xml:space="preserve">web(1), </v>
      </c>
      <c r="E192" s="27" t="str">
        <f t="shared" si="101"/>
        <v xml:space="preserve"> </v>
      </c>
      <c r="F192" s="27" t="str">
        <f t="shared" si="102"/>
        <v xml:space="preserve">web(1),aesthetics(1),functions(1),interaction(1), </v>
      </c>
      <c r="G192" s="27" t="str">
        <f t="shared" si="103"/>
        <v xml:space="preserve">web(1), </v>
      </c>
      <c r="H192" s="27" t="str">
        <f t="shared" si="104"/>
        <v xml:space="preserve">web(1),aesthetics(1),interaction(1), </v>
      </c>
      <c r="I192" s="27" t="str">
        <f t="shared" si="105"/>
        <v xml:space="preserve">aesthetics(1), </v>
      </c>
      <c r="J192" s="27" t="str">
        <f t="shared" si="106"/>
        <v xml:space="preserve"> </v>
      </c>
      <c r="K192" s="27" t="str">
        <f t="shared" si="107"/>
        <v xml:space="preserve"> </v>
      </c>
      <c r="L192" s="27" t="str">
        <f t="shared" si="108"/>
        <v xml:space="preserve"> </v>
      </c>
      <c r="M192" s="27" t="str">
        <f t="shared" si="109"/>
        <v xml:space="preserve"> </v>
      </c>
      <c r="N192" s="27" t="str">
        <f t="shared" si="110"/>
        <v xml:space="preserve"> </v>
      </c>
      <c r="O192" s="27" t="str">
        <f t="shared" si="111"/>
        <v xml:space="preserve"> </v>
      </c>
      <c r="P192" s="27" t="str">
        <f t="shared" si="112"/>
        <v xml:space="preserve"> </v>
      </c>
      <c r="Q192" s="27" t="str">
        <f t="shared" si="113"/>
        <v xml:space="preserve"> </v>
      </c>
      <c r="R192" s="27" t="str">
        <f t="shared" si="114"/>
        <v xml:space="preserve"> </v>
      </c>
      <c r="S192" s="27" t="str">
        <f t="shared" si="115"/>
        <v xml:space="preserve"> </v>
      </c>
      <c r="T192" s="27" t="str">
        <f t="shared" si="116"/>
        <v xml:space="preserve"> </v>
      </c>
      <c r="U192" s="27" t="str">
        <f t="shared" si="117"/>
        <v xml:space="preserve"> </v>
      </c>
      <c r="V192" s="27" t="str">
        <f t="shared" si="118"/>
        <v xml:space="preserve"> </v>
      </c>
      <c r="W192" s="27" t="str">
        <f t="shared" si="119"/>
        <v xml:space="preserve"> </v>
      </c>
      <c r="X192" s="27" t="str">
        <f t="shared" si="120"/>
        <v xml:space="preserve"> </v>
      </c>
      <c r="Y192" s="27" t="str">
        <f t="shared" si="121"/>
        <v xml:space="preserve"> </v>
      </c>
      <c r="Z192" s="27" t="str">
        <f t="shared" si="122"/>
        <v xml:space="preserve"> </v>
      </c>
      <c r="AA192" s="27" t="str">
        <f t="shared" si="123"/>
        <v xml:space="preserve"> </v>
      </c>
      <c r="AB192" s="27" t="str">
        <f t="shared" si="124"/>
        <v xml:space="preserve"> </v>
      </c>
      <c r="AC192" s="27" t="str">
        <f t="shared" si="125"/>
        <v xml:space="preserve"> </v>
      </c>
      <c r="AD192" s="27" t="str">
        <f t="shared" si="126"/>
        <v xml:space="preserve"> </v>
      </c>
      <c r="AE192" s="27" t="str">
        <f t="shared" si="127"/>
        <v xml:space="preserve"> </v>
      </c>
      <c r="AF192" s="27" t="str">
        <f t="shared" si="128"/>
        <v xml:space="preserve"> </v>
      </c>
      <c r="AG192" s="27" t="str">
        <f t="shared" si="129"/>
        <v xml:space="preserve"> </v>
      </c>
    </row>
    <row r="193" spans="1:33" ht="15.75" customHeight="1">
      <c r="A193" s="9">
        <f t="shared" ref="A193:C193" si="136">A78</f>
        <v>0</v>
      </c>
      <c r="B193" s="9" t="str">
        <f t="shared" si="136"/>
        <v>software</v>
      </c>
      <c r="C193" s="9" t="str">
        <f t="shared" si="136"/>
        <v>web</v>
      </c>
      <c r="D193" s="27" t="str">
        <f t="shared" si="100"/>
        <v xml:space="preserve">web(1), </v>
      </c>
      <c r="E193" s="27" t="str">
        <f t="shared" si="101"/>
        <v xml:space="preserve"> </v>
      </c>
      <c r="F193" s="27" t="str">
        <f t="shared" si="102"/>
        <v xml:space="preserve">web(1),aesthetics(1),functions(1),interaction(1), </v>
      </c>
      <c r="G193" s="27" t="str">
        <f t="shared" si="103"/>
        <v xml:space="preserve">web(1), </v>
      </c>
      <c r="H193" s="27" t="str">
        <f t="shared" si="104"/>
        <v xml:space="preserve">web(1),aesthetics(1),interaction(1), </v>
      </c>
      <c r="I193" s="27" t="str">
        <f t="shared" si="105"/>
        <v xml:space="preserve">aesthetics(1), </v>
      </c>
      <c r="J193" s="27" t="str">
        <f t="shared" si="106"/>
        <v xml:space="preserve"> </v>
      </c>
      <c r="K193" s="27" t="str">
        <f t="shared" si="107"/>
        <v xml:space="preserve"> </v>
      </c>
      <c r="L193" s="27" t="str">
        <f t="shared" si="108"/>
        <v xml:space="preserve"> </v>
      </c>
      <c r="M193" s="27" t="str">
        <f t="shared" si="109"/>
        <v xml:space="preserve"> </v>
      </c>
      <c r="N193" s="27" t="str">
        <f t="shared" si="110"/>
        <v xml:space="preserve"> </v>
      </c>
      <c r="O193" s="27" t="str">
        <f t="shared" si="111"/>
        <v xml:space="preserve"> </v>
      </c>
      <c r="P193" s="27" t="str">
        <f t="shared" si="112"/>
        <v xml:space="preserve"> </v>
      </c>
      <c r="Q193" s="27" t="str">
        <f t="shared" si="113"/>
        <v xml:space="preserve"> </v>
      </c>
      <c r="R193" s="27" t="str">
        <f t="shared" si="114"/>
        <v xml:space="preserve"> </v>
      </c>
      <c r="S193" s="27" t="str">
        <f t="shared" si="115"/>
        <v xml:space="preserve"> </v>
      </c>
      <c r="T193" s="27" t="str">
        <f t="shared" si="116"/>
        <v xml:space="preserve"> </v>
      </c>
      <c r="U193" s="27" t="str">
        <f t="shared" si="117"/>
        <v xml:space="preserve"> </v>
      </c>
      <c r="V193" s="27" t="str">
        <f t="shared" si="118"/>
        <v xml:space="preserve"> </v>
      </c>
      <c r="W193" s="27" t="str">
        <f t="shared" si="119"/>
        <v xml:space="preserve"> </v>
      </c>
      <c r="X193" s="27" t="str">
        <f t="shared" si="120"/>
        <v xml:space="preserve"> </v>
      </c>
      <c r="Y193" s="27" t="str">
        <f t="shared" si="121"/>
        <v xml:space="preserve"> </v>
      </c>
      <c r="Z193" s="27" t="str">
        <f t="shared" si="122"/>
        <v xml:space="preserve"> </v>
      </c>
      <c r="AA193" s="27" t="str">
        <f t="shared" si="123"/>
        <v xml:space="preserve"> </v>
      </c>
      <c r="AB193" s="27" t="str">
        <f t="shared" si="124"/>
        <v xml:space="preserve"> </v>
      </c>
      <c r="AC193" s="27" t="str">
        <f t="shared" si="125"/>
        <v xml:space="preserve"> </v>
      </c>
      <c r="AD193" s="27" t="str">
        <f t="shared" si="126"/>
        <v xml:space="preserve"> </v>
      </c>
      <c r="AE193" s="27" t="str">
        <f t="shared" si="127"/>
        <v xml:space="preserve"> </v>
      </c>
      <c r="AF193" s="27" t="str">
        <f t="shared" si="128"/>
        <v xml:space="preserve"> </v>
      </c>
      <c r="AG193" s="27" t="str">
        <f t="shared" si="129"/>
        <v xml:space="preserve"> </v>
      </c>
    </row>
    <row r="194" spans="1:33" ht="15.75" customHeight="1">
      <c r="A194" s="9">
        <f t="shared" ref="A194:C194" si="137">A79</f>
        <v>0</v>
      </c>
      <c r="B194" s="9">
        <f t="shared" si="137"/>
        <v>0</v>
      </c>
      <c r="C194" s="9" t="str">
        <f t="shared" si="137"/>
        <v>infrastructrue</v>
      </c>
      <c r="D194" s="27" t="str">
        <f t="shared" si="100"/>
        <v xml:space="preserve"> </v>
      </c>
      <c r="E194" s="27" t="str">
        <f t="shared" si="101"/>
        <v xml:space="preserve"> </v>
      </c>
      <c r="F194" s="27" t="str">
        <f t="shared" si="102"/>
        <v xml:space="preserve">aesthetics(1),functions(1),interaction(1), </v>
      </c>
      <c r="G194" s="27" t="str">
        <f t="shared" si="103"/>
        <v xml:space="preserve"> </v>
      </c>
      <c r="H194" s="27" t="str">
        <f t="shared" si="104"/>
        <v xml:space="preserve">aesthetics(1),interaction(1), </v>
      </c>
      <c r="I194" s="27" t="str">
        <f t="shared" si="105"/>
        <v xml:space="preserve">aesthetics(1), </v>
      </c>
      <c r="J194" s="27" t="str">
        <f t="shared" si="106"/>
        <v xml:space="preserve"> </v>
      </c>
      <c r="K194" s="27" t="str">
        <f t="shared" si="107"/>
        <v xml:space="preserve"> </v>
      </c>
      <c r="L194" s="27" t="str">
        <f t="shared" si="108"/>
        <v xml:space="preserve"> </v>
      </c>
      <c r="M194" s="27" t="str">
        <f t="shared" si="109"/>
        <v xml:space="preserve"> </v>
      </c>
      <c r="N194" s="27" t="str">
        <f t="shared" si="110"/>
        <v xml:space="preserve"> </v>
      </c>
      <c r="O194" s="27" t="str">
        <f t="shared" si="111"/>
        <v xml:space="preserve"> </v>
      </c>
      <c r="P194" s="27" t="str">
        <f t="shared" si="112"/>
        <v xml:space="preserve"> </v>
      </c>
      <c r="Q194" s="27" t="str">
        <f t="shared" si="113"/>
        <v xml:space="preserve"> </v>
      </c>
      <c r="R194" s="27" t="str">
        <f t="shared" si="114"/>
        <v xml:space="preserve"> </v>
      </c>
      <c r="S194" s="27" t="str">
        <f t="shared" si="115"/>
        <v xml:space="preserve"> </v>
      </c>
      <c r="T194" s="27" t="str">
        <f t="shared" si="116"/>
        <v xml:space="preserve"> </v>
      </c>
      <c r="U194" s="27" t="str">
        <f t="shared" si="117"/>
        <v xml:space="preserve"> </v>
      </c>
      <c r="V194" s="27" t="str">
        <f t="shared" si="118"/>
        <v xml:space="preserve"> </v>
      </c>
      <c r="W194" s="27" t="str">
        <f t="shared" si="119"/>
        <v xml:space="preserve"> </v>
      </c>
      <c r="X194" s="27" t="str">
        <f t="shared" si="120"/>
        <v xml:space="preserve"> </v>
      </c>
      <c r="Y194" s="27" t="str">
        <f t="shared" si="121"/>
        <v xml:space="preserve"> </v>
      </c>
      <c r="Z194" s="27" t="str">
        <f t="shared" si="122"/>
        <v xml:space="preserve"> </v>
      </c>
      <c r="AA194" s="27" t="str">
        <f t="shared" si="123"/>
        <v xml:space="preserve"> </v>
      </c>
      <c r="AB194" s="27" t="str">
        <f t="shared" si="124"/>
        <v xml:space="preserve"> </v>
      </c>
      <c r="AC194" s="27" t="str">
        <f t="shared" si="125"/>
        <v xml:space="preserve"> </v>
      </c>
      <c r="AD194" s="27" t="str">
        <f t="shared" si="126"/>
        <v xml:space="preserve"> </v>
      </c>
      <c r="AE194" s="27" t="str">
        <f t="shared" si="127"/>
        <v xml:space="preserve"> </v>
      </c>
      <c r="AF194" s="27" t="str">
        <f t="shared" si="128"/>
        <v xml:space="preserve"> </v>
      </c>
      <c r="AG194" s="27" t="str">
        <f t="shared" si="129"/>
        <v xml:space="preserve"> </v>
      </c>
    </row>
    <row r="195" spans="1:33" ht="15.75" customHeight="1">
      <c r="A195" s="9">
        <f t="shared" ref="A195:C195" si="138">A80</f>
        <v>0</v>
      </c>
      <c r="B195" s="9">
        <f t="shared" si="138"/>
        <v>0</v>
      </c>
      <c r="C195" s="9" t="str">
        <f t="shared" si="138"/>
        <v>database</v>
      </c>
      <c r="D195" s="27" t="str">
        <f t="shared" si="100"/>
        <v xml:space="preserve"> </v>
      </c>
      <c r="E195" s="27" t="str">
        <f t="shared" si="101"/>
        <v xml:space="preserve"> </v>
      </c>
      <c r="F195" s="27" t="str">
        <f t="shared" si="102"/>
        <v xml:space="preserve">aesthetics(1),functions(1),interaction(1), </v>
      </c>
      <c r="G195" s="27" t="str">
        <f t="shared" si="103"/>
        <v xml:space="preserve"> </v>
      </c>
      <c r="H195" s="27" t="str">
        <f t="shared" si="104"/>
        <v xml:space="preserve">aesthetics(1),interaction(1), </v>
      </c>
      <c r="I195" s="27" t="str">
        <f t="shared" si="105"/>
        <v xml:space="preserve">aesthetics(1), </v>
      </c>
      <c r="J195" s="27" t="str">
        <f t="shared" si="106"/>
        <v xml:space="preserve"> </v>
      </c>
      <c r="K195" s="27" t="str">
        <f t="shared" si="107"/>
        <v xml:space="preserve"> </v>
      </c>
      <c r="L195" s="27" t="str">
        <f t="shared" si="108"/>
        <v xml:space="preserve"> </v>
      </c>
      <c r="M195" s="27" t="str">
        <f t="shared" si="109"/>
        <v xml:space="preserve"> </v>
      </c>
      <c r="N195" s="27" t="str">
        <f t="shared" si="110"/>
        <v xml:space="preserve"> </v>
      </c>
      <c r="O195" s="27" t="str">
        <f t="shared" si="111"/>
        <v xml:space="preserve"> </v>
      </c>
      <c r="P195" s="27" t="str">
        <f t="shared" si="112"/>
        <v xml:space="preserve"> </v>
      </c>
      <c r="Q195" s="27" t="str">
        <f t="shared" si="113"/>
        <v xml:space="preserve"> </v>
      </c>
      <c r="R195" s="27" t="str">
        <f t="shared" si="114"/>
        <v xml:space="preserve"> </v>
      </c>
      <c r="S195" s="27" t="str">
        <f t="shared" si="115"/>
        <v xml:space="preserve"> </v>
      </c>
      <c r="T195" s="27" t="str">
        <f t="shared" si="116"/>
        <v xml:space="preserve"> </v>
      </c>
      <c r="U195" s="27" t="str">
        <f t="shared" si="117"/>
        <v xml:space="preserve"> </v>
      </c>
      <c r="V195" s="27" t="str">
        <f t="shared" si="118"/>
        <v xml:space="preserve"> </v>
      </c>
      <c r="W195" s="27" t="str">
        <f t="shared" si="119"/>
        <v xml:space="preserve"> </v>
      </c>
      <c r="X195" s="27" t="str">
        <f t="shared" si="120"/>
        <v xml:space="preserve"> </v>
      </c>
      <c r="Y195" s="27" t="str">
        <f t="shared" si="121"/>
        <v xml:space="preserve"> </v>
      </c>
      <c r="Z195" s="27" t="str">
        <f t="shared" si="122"/>
        <v xml:space="preserve"> </v>
      </c>
      <c r="AA195" s="27" t="str">
        <f t="shared" si="123"/>
        <v xml:space="preserve"> </v>
      </c>
      <c r="AB195" s="27" t="str">
        <f t="shared" si="124"/>
        <v xml:space="preserve"> </v>
      </c>
      <c r="AC195" s="27" t="str">
        <f t="shared" si="125"/>
        <v xml:space="preserve"> </v>
      </c>
      <c r="AD195" s="27" t="str">
        <f t="shared" si="126"/>
        <v xml:space="preserve"> </v>
      </c>
      <c r="AE195" s="27" t="str">
        <f t="shared" si="127"/>
        <v xml:space="preserve"> </v>
      </c>
      <c r="AF195" s="27" t="str">
        <f t="shared" si="128"/>
        <v xml:space="preserve"> </v>
      </c>
      <c r="AG195" s="27" t="str">
        <f t="shared" si="129"/>
        <v xml:space="preserve"> </v>
      </c>
    </row>
    <row r="196" spans="1:33" ht="15.75" customHeight="1">
      <c r="A196" s="9">
        <f t="shared" ref="A196:C196" si="139">A81</f>
        <v>0</v>
      </c>
      <c r="B196" s="9">
        <f t="shared" si="139"/>
        <v>0</v>
      </c>
      <c r="C196" s="9" t="str">
        <f t="shared" si="139"/>
        <v>mobile apps</v>
      </c>
      <c r="D196" s="27" t="str">
        <f t="shared" si="100"/>
        <v xml:space="preserve"> </v>
      </c>
      <c r="E196" s="27" t="str">
        <f t="shared" si="101"/>
        <v xml:space="preserve"> </v>
      </c>
      <c r="F196" s="27" t="str">
        <f t="shared" si="102"/>
        <v xml:space="preserve">aesthetics(1),functions(1),interaction(1), </v>
      </c>
      <c r="G196" s="27" t="str">
        <f t="shared" si="103"/>
        <v xml:space="preserve"> </v>
      </c>
      <c r="H196" s="27" t="str">
        <f t="shared" si="104"/>
        <v xml:space="preserve">aesthetics(1),interaction(1), </v>
      </c>
      <c r="I196" s="27" t="str">
        <f t="shared" si="105"/>
        <v xml:space="preserve">aesthetics(1), </v>
      </c>
      <c r="J196" s="27" t="str">
        <f t="shared" si="106"/>
        <v xml:space="preserve"> </v>
      </c>
      <c r="K196" s="27" t="str">
        <f t="shared" si="107"/>
        <v xml:space="preserve"> </v>
      </c>
      <c r="L196" s="27" t="str">
        <f t="shared" si="108"/>
        <v xml:space="preserve"> </v>
      </c>
      <c r="M196" s="27" t="str">
        <f t="shared" si="109"/>
        <v xml:space="preserve"> </v>
      </c>
      <c r="N196" s="27" t="str">
        <f t="shared" si="110"/>
        <v xml:space="preserve"> </v>
      </c>
      <c r="O196" s="27" t="str">
        <f t="shared" si="111"/>
        <v xml:space="preserve"> </v>
      </c>
      <c r="P196" s="27" t="str">
        <f t="shared" si="112"/>
        <v xml:space="preserve"> </v>
      </c>
      <c r="Q196" s="27" t="str">
        <f t="shared" si="113"/>
        <v xml:space="preserve"> </v>
      </c>
      <c r="R196" s="27" t="str">
        <f t="shared" si="114"/>
        <v xml:space="preserve"> </v>
      </c>
      <c r="S196" s="27" t="str">
        <f t="shared" si="115"/>
        <v xml:space="preserve"> </v>
      </c>
      <c r="T196" s="27" t="str">
        <f t="shared" si="116"/>
        <v xml:space="preserve"> </v>
      </c>
      <c r="U196" s="27" t="str">
        <f t="shared" si="117"/>
        <v xml:space="preserve"> </v>
      </c>
      <c r="V196" s="27" t="str">
        <f t="shared" si="118"/>
        <v xml:space="preserve"> </v>
      </c>
      <c r="W196" s="27" t="str">
        <f t="shared" si="119"/>
        <v xml:space="preserve"> </v>
      </c>
      <c r="X196" s="27" t="str">
        <f t="shared" si="120"/>
        <v xml:space="preserve"> </v>
      </c>
      <c r="Y196" s="27" t="str">
        <f t="shared" si="121"/>
        <v xml:space="preserve"> </v>
      </c>
      <c r="Z196" s="27" t="str">
        <f t="shared" si="122"/>
        <v xml:space="preserve"> </v>
      </c>
      <c r="AA196" s="27" t="str">
        <f t="shared" si="123"/>
        <v xml:space="preserve"> </v>
      </c>
      <c r="AB196" s="27" t="str">
        <f t="shared" si="124"/>
        <v xml:space="preserve"> </v>
      </c>
      <c r="AC196" s="27" t="str">
        <f t="shared" si="125"/>
        <v xml:space="preserve"> </v>
      </c>
      <c r="AD196" s="27" t="str">
        <f t="shared" si="126"/>
        <v xml:space="preserve"> </v>
      </c>
      <c r="AE196" s="27" t="str">
        <f t="shared" si="127"/>
        <v xml:space="preserve"> </v>
      </c>
      <c r="AF196" s="27" t="str">
        <f t="shared" si="128"/>
        <v xml:space="preserve"> </v>
      </c>
      <c r="AG196" s="27" t="str">
        <f t="shared" si="129"/>
        <v xml:space="preserve"> </v>
      </c>
    </row>
    <row r="197" spans="1:33" ht="15.75" customHeight="1">
      <c r="A197" s="9">
        <f t="shared" ref="A197:C197" si="140">A82</f>
        <v>0</v>
      </c>
      <c r="B197" s="9">
        <f t="shared" si="140"/>
        <v>0</v>
      </c>
      <c r="C197" s="9" t="str">
        <f t="shared" si="140"/>
        <v>sensors</v>
      </c>
      <c r="D197" s="27" t="str">
        <f t="shared" si="100"/>
        <v xml:space="preserve"> </v>
      </c>
      <c r="E197" s="27" t="str">
        <f t="shared" si="101"/>
        <v xml:space="preserve"> </v>
      </c>
      <c r="F197" s="27" t="str">
        <f t="shared" si="102"/>
        <v xml:space="preserve">aesthetics(1),functions(1),interaction(1), </v>
      </c>
      <c r="G197" s="27" t="str">
        <f t="shared" si="103"/>
        <v xml:space="preserve"> </v>
      </c>
      <c r="H197" s="27" t="str">
        <f t="shared" si="104"/>
        <v xml:space="preserve">aesthetics(1),interaction(1), </v>
      </c>
      <c r="I197" s="27" t="str">
        <f t="shared" si="105"/>
        <v xml:space="preserve">aesthetics(1), </v>
      </c>
      <c r="J197" s="27" t="str">
        <f t="shared" si="106"/>
        <v xml:space="preserve"> </v>
      </c>
      <c r="K197" s="27" t="str">
        <f t="shared" si="107"/>
        <v xml:space="preserve"> </v>
      </c>
      <c r="L197" s="27" t="str">
        <f t="shared" si="108"/>
        <v xml:space="preserve"> </v>
      </c>
      <c r="M197" s="27" t="str">
        <f t="shared" si="109"/>
        <v xml:space="preserve"> </v>
      </c>
      <c r="N197" s="27" t="str">
        <f t="shared" si="110"/>
        <v xml:space="preserve"> </v>
      </c>
      <c r="O197" s="27" t="str">
        <f t="shared" si="111"/>
        <v xml:space="preserve"> </v>
      </c>
      <c r="P197" s="27" t="str">
        <f t="shared" si="112"/>
        <v xml:space="preserve"> </v>
      </c>
      <c r="Q197" s="27" t="str">
        <f t="shared" si="113"/>
        <v xml:space="preserve"> </v>
      </c>
      <c r="R197" s="27" t="str">
        <f t="shared" si="114"/>
        <v xml:space="preserve"> </v>
      </c>
      <c r="S197" s="27" t="str">
        <f t="shared" si="115"/>
        <v xml:space="preserve"> </v>
      </c>
      <c r="T197" s="27" t="str">
        <f t="shared" si="116"/>
        <v xml:space="preserve"> </v>
      </c>
      <c r="U197" s="27" t="str">
        <f t="shared" si="117"/>
        <v xml:space="preserve"> </v>
      </c>
      <c r="V197" s="27" t="str">
        <f t="shared" si="118"/>
        <v xml:space="preserve"> </v>
      </c>
      <c r="W197" s="27" t="str">
        <f t="shared" si="119"/>
        <v xml:space="preserve"> </v>
      </c>
      <c r="X197" s="27" t="str">
        <f t="shared" si="120"/>
        <v xml:space="preserve"> </v>
      </c>
      <c r="Y197" s="27" t="str">
        <f t="shared" si="121"/>
        <v xml:space="preserve"> </v>
      </c>
      <c r="Z197" s="27" t="str">
        <f t="shared" si="122"/>
        <v xml:space="preserve"> </v>
      </c>
      <c r="AA197" s="27" t="str">
        <f t="shared" si="123"/>
        <v xml:space="preserve"> </v>
      </c>
      <c r="AB197" s="27" t="str">
        <f t="shared" si="124"/>
        <v xml:space="preserve"> </v>
      </c>
      <c r="AC197" s="27" t="str">
        <f t="shared" si="125"/>
        <v xml:space="preserve"> </v>
      </c>
      <c r="AD197" s="27" t="str">
        <f t="shared" si="126"/>
        <v xml:space="preserve"> </v>
      </c>
      <c r="AE197" s="27" t="str">
        <f t="shared" si="127"/>
        <v xml:space="preserve"> </v>
      </c>
      <c r="AF197" s="27" t="str">
        <f t="shared" si="128"/>
        <v xml:space="preserve"> </v>
      </c>
      <c r="AG197" s="27" t="str">
        <f t="shared" si="129"/>
        <v xml:space="preserve"> </v>
      </c>
    </row>
    <row r="198" spans="1:33" ht="15.75" customHeight="1">
      <c r="A198" s="9">
        <f t="shared" ref="A198:C198" si="141">A83</f>
        <v>0</v>
      </c>
      <c r="B198" s="9">
        <f t="shared" si="141"/>
        <v>0</v>
      </c>
      <c r="C198" s="9" t="str">
        <f t="shared" si="141"/>
        <v>security</v>
      </c>
      <c r="D198" s="27" t="str">
        <f t="shared" si="100"/>
        <v xml:space="preserve"> </v>
      </c>
      <c r="E198" s="27" t="str">
        <f t="shared" si="101"/>
        <v xml:space="preserve"> </v>
      </c>
      <c r="F198" s="27" t="str">
        <f t="shared" si="102"/>
        <v xml:space="preserve">aesthetics(1),functions(1),interaction(1), </v>
      </c>
      <c r="G198" s="27" t="str">
        <f t="shared" si="103"/>
        <v xml:space="preserve"> </v>
      </c>
      <c r="H198" s="27" t="str">
        <f t="shared" si="104"/>
        <v xml:space="preserve">aesthetics(1),interaction(1), </v>
      </c>
      <c r="I198" s="27" t="str">
        <f t="shared" si="105"/>
        <v xml:space="preserve">aesthetics(1), </v>
      </c>
      <c r="J198" s="27" t="str">
        <f t="shared" si="106"/>
        <v xml:space="preserve"> </v>
      </c>
      <c r="K198" s="27" t="str">
        <f t="shared" si="107"/>
        <v xml:space="preserve"> </v>
      </c>
      <c r="L198" s="27" t="str">
        <f t="shared" si="108"/>
        <v xml:space="preserve"> </v>
      </c>
      <c r="M198" s="27" t="str">
        <f t="shared" si="109"/>
        <v xml:space="preserve"> </v>
      </c>
      <c r="N198" s="27" t="str">
        <f t="shared" si="110"/>
        <v xml:space="preserve"> </v>
      </c>
      <c r="O198" s="27" t="str">
        <f t="shared" si="111"/>
        <v xml:space="preserve"> </v>
      </c>
      <c r="P198" s="27" t="str">
        <f t="shared" si="112"/>
        <v xml:space="preserve"> </v>
      </c>
      <c r="Q198" s="27" t="str">
        <f t="shared" si="113"/>
        <v xml:space="preserve"> </v>
      </c>
      <c r="R198" s="27" t="str">
        <f t="shared" si="114"/>
        <v xml:space="preserve"> </v>
      </c>
      <c r="S198" s="27" t="str">
        <f t="shared" si="115"/>
        <v xml:space="preserve"> </v>
      </c>
      <c r="T198" s="27" t="str">
        <f t="shared" si="116"/>
        <v xml:space="preserve"> </v>
      </c>
      <c r="U198" s="27" t="str">
        <f t="shared" si="117"/>
        <v xml:space="preserve"> </v>
      </c>
      <c r="V198" s="27" t="str">
        <f t="shared" si="118"/>
        <v xml:space="preserve"> </v>
      </c>
      <c r="W198" s="27" t="str">
        <f t="shared" si="119"/>
        <v xml:space="preserve"> </v>
      </c>
      <c r="X198" s="27" t="str">
        <f t="shared" si="120"/>
        <v xml:space="preserve"> </v>
      </c>
      <c r="Y198" s="27" t="str">
        <f t="shared" si="121"/>
        <v xml:space="preserve"> </v>
      </c>
      <c r="Z198" s="27" t="str">
        <f t="shared" si="122"/>
        <v xml:space="preserve"> </v>
      </c>
      <c r="AA198" s="27" t="str">
        <f t="shared" si="123"/>
        <v xml:space="preserve"> </v>
      </c>
      <c r="AB198" s="27" t="str">
        <f t="shared" si="124"/>
        <v xml:space="preserve"> </v>
      </c>
      <c r="AC198" s="27" t="str">
        <f t="shared" si="125"/>
        <v xml:space="preserve"> </v>
      </c>
      <c r="AD198" s="27" t="str">
        <f t="shared" si="126"/>
        <v xml:space="preserve"> </v>
      </c>
      <c r="AE198" s="27" t="str">
        <f t="shared" si="127"/>
        <v xml:space="preserve"> </v>
      </c>
      <c r="AF198" s="27" t="str">
        <f t="shared" si="128"/>
        <v xml:space="preserve"> </v>
      </c>
      <c r="AG198" s="27" t="str">
        <f t="shared" si="129"/>
        <v xml:space="preserve"> </v>
      </c>
    </row>
    <row r="199" spans="1:33" ht="15.75" customHeight="1">
      <c r="A199" s="9">
        <f t="shared" ref="A199:C199" si="142">A84</f>
        <v>0</v>
      </c>
      <c r="B199" s="9">
        <f t="shared" si="142"/>
        <v>0</v>
      </c>
      <c r="C199" s="9" t="str">
        <f t="shared" si="142"/>
        <v>AI</v>
      </c>
      <c r="D199" s="27" t="str">
        <f t="shared" si="100"/>
        <v xml:space="preserve"> </v>
      </c>
      <c r="E199" s="27" t="str">
        <f t="shared" si="101"/>
        <v xml:space="preserve"> </v>
      </c>
      <c r="F199" s="27" t="str">
        <f t="shared" si="102"/>
        <v xml:space="preserve">aesthetics(1),functions(1),interaction(1), </v>
      </c>
      <c r="G199" s="27" t="str">
        <f t="shared" si="103"/>
        <v xml:space="preserve"> </v>
      </c>
      <c r="H199" s="27" t="str">
        <f t="shared" si="104"/>
        <v xml:space="preserve">aesthetics(1),interaction(1), </v>
      </c>
      <c r="I199" s="27" t="str">
        <f t="shared" si="105"/>
        <v xml:space="preserve">aesthetics(1), </v>
      </c>
      <c r="J199" s="27" t="str">
        <f t="shared" si="106"/>
        <v xml:space="preserve"> </v>
      </c>
      <c r="K199" s="27" t="str">
        <f t="shared" si="107"/>
        <v xml:space="preserve"> </v>
      </c>
      <c r="L199" s="27" t="str">
        <f t="shared" si="108"/>
        <v xml:space="preserve"> </v>
      </c>
      <c r="M199" s="27" t="str">
        <f t="shared" si="109"/>
        <v xml:space="preserve"> </v>
      </c>
      <c r="N199" s="27" t="str">
        <f t="shared" si="110"/>
        <v xml:space="preserve"> </v>
      </c>
      <c r="O199" s="27" t="str">
        <f t="shared" si="111"/>
        <v xml:space="preserve"> </v>
      </c>
      <c r="P199" s="27" t="str">
        <f t="shared" si="112"/>
        <v xml:space="preserve"> </v>
      </c>
      <c r="Q199" s="27" t="str">
        <f t="shared" si="113"/>
        <v xml:space="preserve"> </v>
      </c>
      <c r="R199" s="27" t="str">
        <f t="shared" si="114"/>
        <v xml:space="preserve"> </v>
      </c>
      <c r="S199" s="27" t="str">
        <f t="shared" si="115"/>
        <v xml:space="preserve"> </v>
      </c>
      <c r="T199" s="27" t="str">
        <f t="shared" si="116"/>
        <v xml:space="preserve"> </v>
      </c>
      <c r="U199" s="27" t="str">
        <f t="shared" si="117"/>
        <v xml:space="preserve"> </v>
      </c>
      <c r="V199" s="27" t="str">
        <f t="shared" si="118"/>
        <v xml:space="preserve"> </v>
      </c>
      <c r="W199" s="27" t="str">
        <f t="shared" si="119"/>
        <v xml:space="preserve"> </v>
      </c>
      <c r="X199" s="27" t="str">
        <f t="shared" si="120"/>
        <v xml:space="preserve"> </v>
      </c>
      <c r="Y199" s="27" t="str">
        <f t="shared" si="121"/>
        <v xml:space="preserve"> </v>
      </c>
      <c r="Z199" s="27" t="str">
        <f t="shared" si="122"/>
        <v xml:space="preserve"> </v>
      </c>
      <c r="AA199" s="27" t="str">
        <f t="shared" si="123"/>
        <v xml:space="preserve"> </v>
      </c>
      <c r="AB199" s="27" t="str">
        <f t="shared" si="124"/>
        <v xml:space="preserve"> </v>
      </c>
      <c r="AC199" s="27" t="str">
        <f t="shared" si="125"/>
        <v xml:space="preserve"> </v>
      </c>
      <c r="AD199" s="27" t="str">
        <f t="shared" si="126"/>
        <v xml:space="preserve"> </v>
      </c>
      <c r="AE199" s="27" t="str">
        <f t="shared" si="127"/>
        <v xml:space="preserve"> </v>
      </c>
      <c r="AF199" s="27" t="str">
        <f t="shared" si="128"/>
        <v xml:space="preserve"> </v>
      </c>
      <c r="AG199" s="27" t="str">
        <f t="shared" si="129"/>
        <v xml:space="preserve"> </v>
      </c>
    </row>
    <row r="200" spans="1:33" ht="15.75" customHeight="1">
      <c r="A200" s="9">
        <f t="shared" ref="A200:C200" si="143">A85</f>
        <v>0</v>
      </c>
      <c r="B200" s="9">
        <f t="shared" si="143"/>
        <v>0</v>
      </c>
      <c r="C200" s="9" t="str">
        <f t="shared" si="143"/>
        <v>mobile comm</v>
      </c>
      <c r="D200" s="27" t="str">
        <f t="shared" si="100"/>
        <v xml:space="preserve"> </v>
      </c>
      <c r="E200" s="27" t="str">
        <f t="shared" si="101"/>
        <v xml:space="preserve"> </v>
      </c>
      <c r="F200" s="27" t="str">
        <f t="shared" si="102"/>
        <v xml:space="preserve">aesthetics(1),functions(1),interaction(1), </v>
      </c>
      <c r="G200" s="27" t="str">
        <f t="shared" si="103"/>
        <v xml:space="preserve"> </v>
      </c>
      <c r="H200" s="27" t="str">
        <f t="shared" si="104"/>
        <v xml:space="preserve">aesthetics(1),interaction(1), </v>
      </c>
      <c r="I200" s="27" t="str">
        <f t="shared" si="105"/>
        <v xml:space="preserve">aesthetics(1), </v>
      </c>
      <c r="J200" s="27" t="str">
        <f t="shared" si="106"/>
        <v xml:space="preserve"> </v>
      </c>
      <c r="K200" s="27" t="str">
        <f t="shared" si="107"/>
        <v xml:space="preserve"> </v>
      </c>
      <c r="L200" s="27" t="str">
        <f t="shared" si="108"/>
        <v xml:space="preserve"> </v>
      </c>
      <c r="M200" s="27" t="str">
        <f t="shared" si="109"/>
        <v xml:space="preserve"> </v>
      </c>
      <c r="N200" s="27" t="str">
        <f t="shared" si="110"/>
        <v xml:space="preserve"> </v>
      </c>
      <c r="O200" s="27" t="str">
        <f t="shared" si="111"/>
        <v xml:space="preserve"> </v>
      </c>
      <c r="P200" s="27" t="str">
        <f t="shared" si="112"/>
        <v xml:space="preserve"> </v>
      </c>
      <c r="Q200" s="27" t="str">
        <f t="shared" si="113"/>
        <v xml:space="preserve"> </v>
      </c>
      <c r="R200" s="27" t="str">
        <f t="shared" si="114"/>
        <v xml:space="preserve"> </v>
      </c>
      <c r="S200" s="27" t="str">
        <f t="shared" si="115"/>
        <v xml:space="preserve"> </v>
      </c>
      <c r="T200" s="27" t="str">
        <f t="shared" si="116"/>
        <v xml:space="preserve"> </v>
      </c>
      <c r="U200" s="27" t="str">
        <f t="shared" si="117"/>
        <v xml:space="preserve"> </v>
      </c>
      <c r="V200" s="27" t="str">
        <f t="shared" si="118"/>
        <v xml:space="preserve"> </v>
      </c>
      <c r="W200" s="27" t="str">
        <f t="shared" si="119"/>
        <v xml:space="preserve"> </v>
      </c>
      <c r="X200" s="27" t="str">
        <f t="shared" si="120"/>
        <v xml:space="preserve"> </v>
      </c>
      <c r="Y200" s="27" t="str">
        <f t="shared" si="121"/>
        <v xml:space="preserve"> </v>
      </c>
      <c r="Z200" s="27" t="str">
        <f t="shared" si="122"/>
        <v xml:space="preserve"> </v>
      </c>
      <c r="AA200" s="27" t="str">
        <f t="shared" si="123"/>
        <v xml:space="preserve"> </v>
      </c>
      <c r="AB200" s="27" t="str">
        <f t="shared" si="124"/>
        <v xml:space="preserve"> </v>
      </c>
      <c r="AC200" s="27" t="str">
        <f t="shared" si="125"/>
        <v xml:space="preserve"> </v>
      </c>
      <c r="AD200" s="27" t="str">
        <f t="shared" si="126"/>
        <v xml:space="preserve"> </v>
      </c>
      <c r="AE200" s="27" t="str">
        <f t="shared" si="127"/>
        <v xml:space="preserve"> </v>
      </c>
      <c r="AF200" s="27" t="str">
        <f t="shared" si="128"/>
        <v xml:space="preserve"> </v>
      </c>
      <c r="AG200" s="27" t="str">
        <f t="shared" si="129"/>
        <v xml:space="preserve"> </v>
      </c>
    </row>
    <row r="201" spans="1:33" ht="15.75" customHeight="1">
      <c r="A201" s="9">
        <f t="shared" ref="A201:C201" si="144">A86</f>
        <v>0</v>
      </c>
      <c r="B201" s="9">
        <f t="shared" si="144"/>
        <v>0</v>
      </c>
      <c r="C201" s="9" t="str">
        <f t="shared" si="144"/>
        <v>VR&amp;AR</v>
      </c>
      <c r="D201" s="27" t="str">
        <f t="shared" si="100"/>
        <v xml:space="preserve"> </v>
      </c>
      <c r="E201" s="27" t="str">
        <f t="shared" si="101"/>
        <v xml:space="preserve"> </v>
      </c>
      <c r="F201" s="27" t="str">
        <f t="shared" si="102"/>
        <v xml:space="preserve">aesthetics(1),functions(1),interaction(1), </v>
      </c>
      <c r="G201" s="27" t="str">
        <f t="shared" si="103"/>
        <v xml:space="preserve"> </v>
      </c>
      <c r="H201" s="27" t="str">
        <f t="shared" si="104"/>
        <v xml:space="preserve">aesthetics(1),interaction(1), </v>
      </c>
      <c r="I201" s="27" t="str">
        <f t="shared" si="105"/>
        <v xml:space="preserve">aesthetics(1), </v>
      </c>
      <c r="J201" s="27" t="str">
        <f t="shared" si="106"/>
        <v xml:space="preserve"> </v>
      </c>
      <c r="K201" s="27" t="str">
        <f t="shared" si="107"/>
        <v xml:space="preserve"> </v>
      </c>
      <c r="L201" s="27" t="str">
        <f t="shared" si="108"/>
        <v xml:space="preserve"> </v>
      </c>
      <c r="M201" s="27" t="str">
        <f t="shared" si="109"/>
        <v xml:space="preserve"> </v>
      </c>
      <c r="N201" s="27" t="str">
        <f t="shared" si="110"/>
        <v xml:space="preserve"> </v>
      </c>
      <c r="O201" s="27" t="str">
        <f t="shared" si="111"/>
        <v xml:space="preserve"> </v>
      </c>
      <c r="P201" s="27" t="str">
        <f t="shared" si="112"/>
        <v xml:space="preserve"> </v>
      </c>
      <c r="Q201" s="27" t="str">
        <f t="shared" si="113"/>
        <v xml:space="preserve"> </v>
      </c>
      <c r="R201" s="27" t="str">
        <f t="shared" si="114"/>
        <v xml:space="preserve"> </v>
      </c>
      <c r="S201" s="27" t="str">
        <f t="shared" si="115"/>
        <v xml:space="preserve"> </v>
      </c>
      <c r="T201" s="27" t="str">
        <f t="shared" si="116"/>
        <v xml:space="preserve"> </v>
      </c>
      <c r="U201" s="27" t="str">
        <f t="shared" si="117"/>
        <v xml:space="preserve"> </v>
      </c>
      <c r="V201" s="27" t="str">
        <f t="shared" si="118"/>
        <v xml:space="preserve"> </v>
      </c>
      <c r="W201" s="27" t="str">
        <f t="shared" si="119"/>
        <v xml:space="preserve"> </v>
      </c>
      <c r="X201" s="27" t="str">
        <f t="shared" si="120"/>
        <v xml:space="preserve"> </v>
      </c>
      <c r="Y201" s="27" t="str">
        <f t="shared" si="121"/>
        <v xml:space="preserve"> </v>
      </c>
      <c r="Z201" s="27" t="str">
        <f t="shared" si="122"/>
        <v xml:space="preserve"> </v>
      </c>
      <c r="AA201" s="27" t="str">
        <f t="shared" si="123"/>
        <v xml:space="preserve"> </v>
      </c>
      <c r="AB201" s="27" t="str">
        <f t="shared" si="124"/>
        <v xml:space="preserve"> </v>
      </c>
      <c r="AC201" s="27" t="str">
        <f t="shared" si="125"/>
        <v xml:space="preserve"> </v>
      </c>
      <c r="AD201" s="27" t="str">
        <f t="shared" si="126"/>
        <v xml:space="preserve"> </v>
      </c>
      <c r="AE201" s="27" t="str">
        <f t="shared" si="127"/>
        <v xml:space="preserve"> </v>
      </c>
      <c r="AF201" s="27" t="str">
        <f t="shared" si="128"/>
        <v xml:space="preserve"> </v>
      </c>
      <c r="AG201" s="27" t="str">
        <f t="shared" si="129"/>
        <v xml:space="preserve"> </v>
      </c>
    </row>
    <row r="202" spans="1:33" ht="15.75" customHeight="1">
      <c r="A202" s="9">
        <f t="shared" ref="A202:C202" si="145">A87</f>
        <v>0</v>
      </c>
      <c r="B202" s="9" t="str">
        <f t="shared" si="145"/>
        <v>fab</v>
      </c>
      <c r="C202" s="9" t="str">
        <f t="shared" si="145"/>
        <v>wood processing</v>
      </c>
      <c r="D202" s="27" t="str">
        <f t="shared" si="100"/>
        <v xml:space="preserve"> </v>
      </c>
      <c r="E202" s="27" t="str">
        <f t="shared" si="101"/>
        <v xml:space="preserve"> </v>
      </c>
      <c r="F202" s="27" t="str">
        <f t="shared" si="102"/>
        <v xml:space="preserve">aesthetics(1),functions(1),interaction(1), </v>
      </c>
      <c r="G202" s="27" t="str">
        <f t="shared" si="103"/>
        <v xml:space="preserve"> </v>
      </c>
      <c r="H202" s="27" t="str">
        <f t="shared" si="104"/>
        <v xml:space="preserve">aesthetics(1),interaction(1), </v>
      </c>
      <c r="I202" s="27" t="str">
        <f t="shared" si="105"/>
        <v xml:space="preserve">aesthetics(1), </v>
      </c>
      <c r="J202" s="27" t="str">
        <f t="shared" si="106"/>
        <v xml:space="preserve"> </v>
      </c>
      <c r="K202" s="27" t="str">
        <f t="shared" si="107"/>
        <v xml:space="preserve"> </v>
      </c>
      <c r="L202" s="27" t="str">
        <f t="shared" si="108"/>
        <v xml:space="preserve"> </v>
      </c>
      <c r="M202" s="27" t="str">
        <f t="shared" si="109"/>
        <v xml:space="preserve"> </v>
      </c>
      <c r="N202" s="27" t="str">
        <f t="shared" si="110"/>
        <v xml:space="preserve"> </v>
      </c>
      <c r="O202" s="27" t="str">
        <f t="shared" si="111"/>
        <v xml:space="preserve"> </v>
      </c>
      <c r="P202" s="27" t="str">
        <f t="shared" si="112"/>
        <v xml:space="preserve"> </v>
      </c>
      <c r="Q202" s="27" t="str">
        <f t="shared" si="113"/>
        <v xml:space="preserve"> </v>
      </c>
      <c r="R202" s="27" t="str">
        <f t="shared" si="114"/>
        <v xml:space="preserve"> </v>
      </c>
      <c r="S202" s="27" t="str">
        <f t="shared" si="115"/>
        <v xml:space="preserve"> </v>
      </c>
      <c r="T202" s="27" t="str">
        <f t="shared" si="116"/>
        <v xml:space="preserve"> </v>
      </c>
      <c r="U202" s="27" t="str">
        <f t="shared" si="117"/>
        <v xml:space="preserve"> </v>
      </c>
      <c r="V202" s="27" t="str">
        <f t="shared" si="118"/>
        <v xml:space="preserve"> </v>
      </c>
      <c r="W202" s="27" t="str">
        <f t="shared" si="119"/>
        <v xml:space="preserve"> </v>
      </c>
      <c r="X202" s="27" t="str">
        <f t="shared" si="120"/>
        <v xml:space="preserve"> </v>
      </c>
      <c r="Y202" s="27" t="str">
        <f t="shared" si="121"/>
        <v xml:space="preserve"> </v>
      </c>
      <c r="Z202" s="27" t="str">
        <f t="shared" si="122"/>
        <v xml:space="preserve"> </v>
      </c>
      <c r="AA202" s="27" t="str">
        <f t="shared" si="123"/>
        <v xml:space="preserve"> </v>
      </c>
      <c r="AB202" s="27" t="str">
        <f t="shared" si="124"/>
        <v xml:space="preserve"> </v>
      </c>
      <c r="AC202" s="27" t="str">
        <f t="shared" si="125"/>
        <v xml:space="preserve"> </v>
      </c>
      <c r="AD202" s="27" t="str">
        <f t="shared" si="126"/>
        <v xml:space="preserve"> </v>
      </c>
      <c r="AE202" s="27" t="str">
        <f t="shared" si="127"/>
        <v xml:space="preserve"> </v>
      </c>
      <c r="AF202" s="27" t="str">
        <f t="shared" si="128"/>
        <v xml:space="preserve"> </v>
      </c>
      <c r="AG202" s="27" t="str">
        <f t="shared" si="129"/>
        <v xml:space="preserve"> </v>
      </c>
    </row>
    <row r="203" spans="1:33" ht="15.75" customHeight="1">
      <c r="A203" s="9">
        <f t="shared" ref="A203:C203" si="146">A88</f>
        <v>0</v>
      </c>
      <c r="B203" s="9">
        <f t="shared" si="146"/>
        <v>0</v>
      </c>
      <c r="C203" s="9" t="str">
        <f t="shared" si="146"/>
        <v>metal processing</v>
      </c>
      <c r="D203" s="27" t="str">
        <f t="shared" si="100"/>
        <v xml:space="preserve"> </v>
      </c>
      <c r="E203" s="27" t="str">
        <f t="shared" si="101"/>
        <v xml:space="preserve"> </v>
      </c>
      <c r="F203" s="27" t="str">
        <f t="shared" si="102"/>
        <v xml:space="preserve">aesthetics(1),functions(1),interaction(1), </v>
      </c>
      <c r="G203" s="27" t="str">
        <f t="shared" si="103"/>
        <v xml:space="preserve"> </v>
      </c>
      <c r="H203" s="27" t="str">
        <f t="shared" si="104"/>
        <v xml:space="preserve">aesthetics(1),interaction(1), </v>
      </c>
      <c r="I203" s="27" t="str">
        <f t="shared" si="105"/>
        <v xml:space="preserve">aesthetics(1), </v>
      </c>
      <c r="J203" s="27" t="str">
        <f t="shared" si="106"/>
        <v xml:space="preserve"> </v>
      </c>
      <c r="K203" s="27" t="str">
        <f t="shared" si="107"/>
        <v xml:space="preserve"> </v>
      </c>
      <c r="L203" s="27" t="str">
        <f t="shared" si="108"/>
        <v xml:space="preserve"> </v>
      </c>
      <c r="M203" s="27" t="str">
        <f t="shared" si="109"/>
        <v xml:space="preserve"> </v>
      </c>
      <c r="N203" s="27" t="str">
        <f t="shared" si="110"/>
        <v xml:space="preserve"> </v>
      </c>
      <c r="O203" s="27" t="str">
        <f t="shared" si="111"/>
        <v xml:space="preserve"> </v>
      </c>
      <c r="P203" s="27" t="str">
        <f t="shared" si="112"/>
        <v xml:space="preserve"> </v>
      </c>
      <c r="Q203" s="27" t="str">
        <f t="shared" si="113"/>
        <v xml:space="preserve"> </v>
      </c>
      <c r="R203" s="27" t="str">
        <f t="shared" si="114"/>
        <v xml:space="preserve"> </v>
      </c>
      <c r="S203" s="27" t="str">
        <f t="shared" si="115"/>
        <v xml:space="preserve"> </v>
      </c>
      <c r="T203" s="27" t="str">
        <f t="shared" si="116"/>
        <v xml:space="preserve"> </v>
      </c>
      <c r="U203" s="27" t="str">
        <f t="shared" si="117"/>
        <v xml:space="preserve"> </v>
      </c>
      <c r="V203" s="27" t="str">
        <f t="shared" si="118"/>
        <v xml:space="preserve"> </v>
      </c>
      <c r="W203" s="27" t="str">
        <f t="shared" si="119"/>
        <v xml:space="preserve"> </v>
      </c>
      <c r="X203" s="27" t="str">
        <f t="shared" si="120"/>
        <v xml:space="preserve"> </v>
      </c>
      <c r="Y203" s="27" t="str">
        <f t="shared" si="121"/>
        <v xml:space="preserve"> </v>
      </c>
      <c r="Z203" s="27" t="str">
        <f t="shared" si="122"/>
        <v xml:space="preserve"> </v>
      </c>
      <c r="AA203" s="27" t="str">
        <f t="shared" si="123"/>
        <v xml:space="preserve"> </v>
      </c>
      <c r="AB203" s="27" t="str">
        <f t="shared" si="124"/>
        <v xml:space="preserve"> </v>
      </c>
      <c r="AC203" s="27" t="str">
        <f t="shared" si="125"/>
        <v xml:space="preserve"> </v>
      </c>
      <c r="AD203" s="27" t="str">
        <f t="shared" si="126"/>
        <v xml:space="preserve"> </v>
      </c>
      <c r="AE203" s="27" t="str">
        <f t="shared" si="127"/>
        <v xml:space="preserve"> </v>
      </c>
      <c r="AF203" s="27" t="str">
        <f t="shared" si="128"/>
        <v xml:space="preserve"> </v>
      </c>
      <c r="AG203" s="27" t="str">
        <f t="shared" si="129"/>
        <v xml:space="preserve"> </v>
      </c>
    </row>
    <row r="204" spans="1:33" ht="15.75" customHeight="1">
      <c r="A204" s="9">
        <f t="shared" ref="A204:C204" si="147">A89</f>
        <v>0</v>
      </c>
      <c r="B204" s="9">
        <f t="shared" si="147"/>
        <v>0</v>
      </c>
      <c r="C204" s="9" t="str">
        <f t="shared" si="147"/>
        <v>plastic processing</v>
      </c>
      <c r="D204" s="27" t="str">
        <f t="shared" si="100"/>
        <v xml:space="preserve"> </v>
      </c>
      <c r="E204" s="27" t="str">
        <f t="shared" si="101"/>
        <v xml:space="preserve"> </v>
      </c>
      <c r="F204" s="27" t="str">
        <f t="shared" si="102"/>
        <v xml:space="preserve">aesthetics(1),functions(1),interaction(1), </v>
      </c>
      <c r="G204" s="27" t="str">
        <f t="shared" si="103"/>
        <v xml:space="preserve"> </v>
      </c>
      <c r="H204" s="27" t="str">
        <f t="shared" si="104"/>
        <v xml:space="preserve">aesthetics(1),interaction(1), </v>
      </c>
      <c r="I204" s="27" t="str">
        <f t="shared" si="105"/>
        <v xml:space="preserve">aesthetics(1), </v>
      </c>
      <c r="J204" s="27" t="str">
        <f t="shared" si="106"/>
        <v xml:space="preserve"> </v>
      </c>
      <c r="K204" s="27" t="str">
        <f t="shared" si="107"/>
        <v xml:space="preserve"> </v>
      </c>
      <c r="L204" s="27" t="str">
        <f t="shared" si="108"/>
        <v xml:space="preserve"> </v>
      </c>
      <c r="M204" s="27" t="str">
        <f t="shared" si="109"/>
        <v xml:space="preserve"> </v>
      </c>
      <c r="N204" s="27" t="str">
        <f t="shared" si="110"/>
        <v xml:space="preserve"> </v>
      </c>
      <c r="O204" s="27" t="str">
        <f t="shared" si="111"/>
        <v xml:space="preserve"> </v>
      </c>
      <c r="P204" s="27" t="str">
        <f t="shared" si="112"/>
        <v xml:space="preserve"> </v>
      </c>
      <c r="Q204" s="27" t="str">
        <f t="shared" si="113"/>
        <v xml:space="preserve"> </v>
      </c>
      <c r="R204" s="27" t="str">
        <f t="shared" si="114"/>
        <v xml:space="preserve"> </v>
      </c>
      <c r="S204" s="27" t="str">
        <f t="shared" si="115"/>
        <v xml:space="preserve"> </v>
      </c>
      <c r="T204" s="27" t="str">
        <f t="shared" si="116"/>
        <v xml:space="preserve"> </v>
      </c>
      <c r="U204" s="27" t="str">
        <f t="shared" si="117"/>
        <v xml:space="preserve"> </v>
      </c>
      <c r="V204" s="27" t="str">
        <f t="shared" si="118"/>
        <v xml:space="preserve"> </v>
      </c>
      <c r="W204" s="27" t="str">
        <f t="shared" si="119"/>
        <v xml:space="preserve"> </v>
      </c>
      <c r="X204" s="27" t="str">
        <f t="shared" si="120"/>
        <v xml:space="preserve"> </v>
      </c>
      <c r="Y204" s="27" t="str">
        <f t="shared" si="121"/>
        <v xml:space="preserve"> </v>
      </c>
      <c r="Z204" s="27" t="str">
        <f t="shared" si="122"/>
        <v xml:space="preserve"> </v>
      </c>
      <c r="AA204" s="27" t="str">
        <f t="shared" si="123"/>
        <v xml:space="preserve"> </v>
      </c>
      <c r="AB204" s="27" t="str">
        <f t="shared" si="124"/>
        <v xml:space="preserve"> </v>
      </c>
      <c r="AC204" s="27" t="str">
        <f t="shared" si="125"/>
        <v xml:space="preserve"> </v>
      </c>
      <c r="AD204" s="27" t="str">
        <f t="shared" si="126"/>
        <v xml:space="preserve"> </v>
      </c>
      <c r="AE204" s="27" t="str">
        <f t="shared" si="127"/>
        <v xml:space="preserve"> </v>
      </c>
      <c r="AF204" s="27" t="str">
        <f t="shared" si="128"/>
        <v xml:space="preserve"> </v>
      </c>
      <c r="AG204" s="27" t="str">
        <f t="shared" si="129"/>
        <v xml:space="preserve"> </v>
      </c>
    </row>
    <row r="205" spans="1:33" ht="15.75" customHeight="1">
      <c r="A205" s="9">
        <f t="shared" ref="A205:C205" si="148">A90</f>
        <v>0</v>
      </c>
      <c r="B205" s="9">
        <f t="shared" si="148"/>
        <v>0</v>
      </c>
      <c r="C205" s="9" t="str">
        <f t="shared" si="148"/>
        <v>electronics</v>
      </c>
      <c r="D205" s="27" t="str">
        <f t="shared" si="100"/>
        <v xml:space="preserve"> </v>
      </c>
      <c r="E205" s="27" t="str">
        <f t="shared" si="101"/>
        <v xml:space="preserve"> </v>
      </c>
      <c r="F205" s="27" t="str">
        <f t="shared" si="102"/>
        <v xml:space="preserve">aesthetics(1),functions(1),interaction(1), </v>
      </c>
      <c r="G205" s="27" t="str">
        <f t="shared" si="103"/>
        <v xml:space="preserve"> </v>
      </c>
      <c r="H205" s="27" t="str">
        <f t="shared" si="104"/>
        <v xml:space="preserve">aesthetics(1),interaction(1), </v>
      </c>
      <c r="I205" s="27" t="str">
        <f t="shared" si="105"/>
        <v xml:space="preserve">aesthetics(1), </v>
      </c>
      <c r="J205" s="27" t="str">
        <f t="shared" si="106"/>
        <v xml:space="preserve"> </v>
      </c>
      <c r="K205" s="27" t="str">
        <f t="shared" si="107"/>
        <v xml:space="preserve"> </v>
      </c>
      <c r="L205" s="27" t="str">
        <f t="shared" si="108"/>
        <v xml:space="preserve"> </v>
      </c>
      <c r="M205" s="27" t="str">
        <f t="shared" si="109"/>
        <v xml:space="preserve"> </v>
      </c>
      <c r="N205" s="27" t="str">
        <f t="shared" si="110"/>
        <v xml:space="preserve"> </v>
      </c>
      <c r="O205" s="27" t="str">
        <f t="shared" si="111"/>
        <v xml:space="preserve"> </v>
      </c>
      <c r="P205" s="27" t="str">
        <f t="shared" si="112"/>
        <v xml:space="preserve"> </v>
      </c>
      <c r="Q205" s="27" t="str">
        <f t="shared" si="113"/>
        <v xml:space="preserve"> </v>
      </c>
      <c r="R205" s="27" t="str">
        <f t="shared" si="114"/>
        <v xml:space="preserve"> </v>
      </c>
      <c r="S205" s="27" t="str">
        <f t="shared" si="115"/>
        <v xml:space="preserve"> </v>
      </c>
      <c r="T205" s="27" t="str">
        <f t="shared" si="116"/>
        <v xml:space="preserve"> </v>
      </c>
      <c r="U205" s="27" t="str">
        <f t="shared" si="117"/>
        <v xml:space="preserve"> </v>
      </c>
      <c r="V205" s="27" t="str">
        <f t="shared" si="118"/>
        <v xml:space="preserve"> </v>
      </c>
      <c r="W205" s="27" t="str">
        <f t="shared" si="119"/>
        <v xml:space="preserve"> </v>
      </c>
      <c r="X205" s="27" t="str">
        <f t="shared" si="120"/>
        <v xml:space="preserve"> </v>
      </c>
      <c r="Y205" s="27" t="str">
        <f t="shared" si="121"/>
        <v xml:space="preserve"> </v>
      </c>
      <c r="Z205" s="27" t="str">
        <f t="shared" si="122"/>
        <v xml:space="preserve"> </v>
      </c>
      <c r="AA205" s="27" t="str">
        <f t="shared" si="123"/>
        <v xml:space="preserve"> </v>
      </c>
      <c r="AB205" s="27" t="str">
        <f t="shared" si="124"/>
        <v xml:space="preserve"> </v>
      </c>
      <c r="AC205" s="27" t="str">
        <f t="shared" si="125"/>
        <v xml:space="preserve"> </v>
      </c>
      <c r="AD205" s="27" t="str">
        <f t="shared" si="126"/>
        <v xml:space="preserve"> </v>
      </c>
      <c r="AE205" s="27" t="str">
        <f t="shared" si="127"/>
        <v xml:space="preserve"> </v>
      </c>
      <c r="AF205" s="27" t="str">
        <f t="shared" si="128"/>
        <v xml:space="preserve"> </v>
      </c>
      <c r="AG205" s="27" t="str">
        <f t="shared" si="129"/>
        <v xml:space="preserve"> </v>
      </c>
    </row>
    <row r="206" spans="1:33" ht="15.75" customHeight="1">
      <c r="A206" s="9">
        <f t="shared" ref="A206:C206" si="149">A91</f>
        <v>0</v>
      </c>
      <c r="B206" s="9">
        <f t="shared" si="149"/>
        <v>0</v>
      </c>
      <c r="C206" s="9" t="str">
        <f t="shared" si="149"/>
        <v>fabric</v>
      </c>
      <c r="D206" s="27" t="str">
        <f t="shared" si="100"/>
        <v xml:space="preserve"> </v>
      </c>
      <c r="E206" s="27" t="str">
        <f t="shared" si="101"/>
        <v xml:space="preserve"> </v>
      </c>
      <c r="F206" s="27" t="str">
        <f t="shared" si="102"/>
        <v xml:space="preserve">aesthetics(1),functions(1),interaction(1), </v>
      </c>
      <c r="G206" s="27" t="str">
        <f t="shared" si="103"/>
        <v xml:space="preserve"> </v>
      </c>
      <c r="H206" s="27" t="str">
        <f t="shared" si="104"/>
        <v xml:space="preserve">aesthetics(1),interaction(1), </v>
      </c>
      <c r="I206" s="27" t="str">
        <f t="shared" si="105"/>
        <v xml:space="preserve">aesthetics(1), </v>
      </c>
      <c r="J206" s="27" t="str">
        <f t="shared" si="106"/>
        <v xml:space="preserve"> </v>
      </c>
      <c r="K206" s="27" t="str">
        <f t="shared" si="107"/>
        <v xml:space="preserve"> </v>
      </c>
      <c r="L206" s="27" t="str">
        <f t="shared" si="108"/>
        <v xml:space="preserve"> </v>
      </c>
      <c r="M206" s="27" t="str">
        <f t="shared" si="109"/>
        <v xml:space="preserve"> </v>
      </c>
      <c r="N206" s="27" t="str">
        <f t="shared" si="110"/>
        <v xml:space="preserve"> </v>
      </c>
      <c r="O206" s="27" t="str">
        <f t="shared" si="111"/>
        <v xml:space="preserve"> </v>
      </c>
      <c r="P206" s="27" t="str">
        <f t="shared" si="112"/>
        <v xml:space="preserve"> </v>
      </c>
      <c r="Q206" s="27" t="str">
        <f t="shared" si="113"/>
        <v xml:space="preserve"> </v>
      </c>
      <c r="R206" s="27" t="str">
        <f t="shared" si="114"/>
        <v xml:space="preserve"> </v>
      </c>
      <c r="S206" s="27" t="str">
        <f t="shared" si="115"/>
        <v xml:space="preserve"> </v>
      </c>
      <c r="T206" s="27" t="str">
        <f t="shared" si="116"/>
        <v xml:space="preserve"> </v>
      </c>
      <c r="U206" s="27" t="str">
        <f t="shared" si="117"/>
        <v xml:space="preserve"> </v>
      </c>
      <c r="V206" s="27" t="str">
        <f t="shared" si="118"/>
        <v xml:space="preserve"> </v>
      </c>
      <c r="W206" s="27" t="str">
        <f t="shared" si="119"/>
        <v xml:space="preserve"> </v>
      </c>
      <c r="X206" s="27" t="str">
        <f t="shared" si="120"/>
        <v xml:space="preserve"> </v>
      </c>
      <c r="Y206" s="27" t="str">
        <f t="shared" si="121"/>
        <v xml:space="preserve"> </v>
      </c>
      <c r="Z206" s="27" t="str">
        <f t="shared" si="122"/>
        <v xml:space="preserve"> </v>
      </c>
      <c r="AA206" s="27" t="str">
        <f t="shared" si="123"/>
        <v xml:space="preserve"> </v>
      </c>
      <c r="AB206" s="27" t="str">
        <f t="shared" si="124"/>
        <v xml:space="preserve"> </v>
      </c>
      <c r="AC206" s="27" t="str">
        <f t="shared" si="125"/>
        <v xml:space="preserve"> </v>
      </c>
      <c r="AD206" s="27" t="str">
        <f t="shared" si="126"/>
        <v xml:space="preserve"> </v>
      </c>
      <c r="AE206" s="27" t="str">
        <f t="shared" si="127"/>
        <v xml:space="preserve"> </v>
      </c>
      <c r="AF206" s="27" t="str">
        <f t="shared" si="128"/>
        <v xml:space="preserve"> </v>
      </c>
      <c r="AG206" s="27" t="str">
        <f t="shared" si="129"/>
        <v xml:space="preserve"> </v>
      </c>
    </row>
    <row r="207" spans="1:33" ht="15.75" customHeight="1">
      <c r="A207" s="9">
        <f t="shared" ref="A207:C207" si="150">A92</f>
        <v>0</v>
      </c>
      <c r="B207" s="9" t="str">
        <f t="shared" si="150"/>
        <v>design</v>
      </c>
      <c r="C207" s="9" t="str">
        <f t="shared" si="150"/>
        <v>aesthetics</v>
      </c>
      <c r="D207" s="27" t="str">
        <f t="shared" si="100"/>
        <v xml:space="preserve"> </v>
      </c>
      <c r="E207" s="27" t="str">
        <f t="shared" si="101"/>
        <v xml:space="preserve"> </v>
      </c>
      <c r="F207" s="27" t="str">
        <f t="shared" si="102"/>
        <v xml:space="preserve">aesthetics(1),functions(1),interaction(1), </v>
      </c>
      <c r="G207" s="27" t="str">
        <f t="shared" si="103"/>
        <v xml:space="preserve"> </v>
      </c>
      <c r="H207" s="27" t="str">
        <f t="shared" si="104"/>
        <v xml:space="preserve">aesthetics(1),interaction(1), </v>
      </c>
      <c r="I207" s="27" t="str">
        <f t="shared" si="105"/>
        <v xml:space="preserve">aesthetics(1), </v>
      </c>
      <c r="J207" s="27" t="str">
        <f t="shared" si="106"/>
        <v xml:space="preserve"> </v>
      </c>
      <c r="K207" s="27" t="str">
        <f t="shared" si="107"/>
        <v xml:space="preserve"> </v>
      </c>
      <c r="L207" s="27" t="str">
        <f t="shared" si="108"/>
        <v xml:space="preserve"> </v>
      </c>
      <c r="M207" s="27" t="str">
        <f t="shared" si="109"/>
        <v xml:space="preserve"> </v>
      </c>
      <c r="N207" s="27" t="str">
        <f t="shared" si="110"/>
        <v xml:space="preserve"> </v>
      </c>
      <c r="O207" s="27" t="str">
        <f t="shared" si="111"/>
        <v xml:space="preserve"> </v>
      </c>
      <c r="P207" s="27" t="str">
        <f t="shared" si="112"/>
        <v xml:space="preserve"> </v>
      </c>
      <c r="Q207" s="27" t="str">
        <f t="shared" si="113"/>
        <v xml:space="preserve"> </v>
      </c>
      <c r="R207" s="27" t="str">
        <f t="shared" si="114"/>
        <v xml:space="preserve"> </v>
      </c>
      <c r="S207" s="27" t="str">
        <f t="shared" si="115"/>
        <v xml:space="preserve"> </v>
      </c>
      <c r="T207" s="27" t="str">
        <f t="shared" si="116"/>
        <v xml:space="preserve"> </v>
      </c>
      <c r="U207" s="27" t="str">
        <f t="shared" si="117"/>
        <v xml:space="preserve"> </v>
      </c>
      <c r="V207" s="27" t="str">
        <f t="shared" si="118"/>
        <v xml:space="preserve"> </v>
      </c>
      <c r="W207" s="27" t="str">
        <f t="shared" si="119"/>
        <v xml:space="preserve"> </v>
      </c>
      <c r="X207" s="27" t="str">
        <f t="shared" si="120"/>
        <v xml:space="preserve"> </v>
      </c>
      <c r="Y207" s="27" t="str">
        <f t="shared" si="121"/>
        <v xml:space="preserve"> </v>
      </c>
      <c r="Z207" s="27" t="str">
        <f t="shared" si="122"/>
        <v xml:space="preserve"> </v>
      </c>
      <c r="AA207" s="27" t="str">
        <f t="shared" si="123"/>
        <v xml:space="preserve"> </v>
      </c>
      <c r="AB207" s="27" t="str">
        <f t="shared" si="124"/>
        <v xml:space="preserve"> </v>
      </c>
      <c r="AC207" s="27" t="str">
        <f t="shared" si="125"/>
        <v xml:space="preserve"> </v>
      </c>
      <c r="AD207" s="27" t="str">
        <f t="shared" si="126"/>
        <v xml:space="preserve"> </v>
      </c>
      <c r="AE207" s="27" t="str">
        <f t="shared" si="127"/>
        <v xml:space="preserve"> </v>
      </c>
      <c r="AF207" s="27" t="str">
        <f t="shared" si="128"/>
        <v xml:space="preserve"> </v>
      </c>
      <c r="AG207" s="27" t="str">
        <f t="shared" si="129"/>
        <v xml:space="preserve"> </v>
      </c>
    </row>
    <row r="208" spans="1:33" ht="15.75" customHeight="1">
      <c r="A208" s="9">
        <f t="shared" ref="A208:C208" si="151">A93</f>
        <v>0</v>
      </c>
      <c r="B208" s="9">
        <f t="shared" si="151"/>
        <v>0</v>
      </c>
      <c r="C208" s="9" t="str">
        <f t="shared" si="151"/>
        <v>functions</v>
      </c>
      <c r="D208" s="27" t="str">
        <f t="shared" si="100"/>
        <v xml:space="preserve"> </v>
      </c>
      <c r="E208" s="27" t="str">
        <f t="shared" si="101"/>
        <v xml:space="preserve"> </v>
      </c>
      <c r="F208" s="27" t="str">
        <f t="shared" si="102"/>
        <v xml:space="preserve">functions(1),interaction(1), </v>
      </c>
      <c r="G208" s="27" t="str">
        <f t="shared" si="103"/>
        <v xml:space="preserve"> </v>
      </c>
      <c r="H208" s="27" t="str">
        <f t="shared" si="104"/>
        <v xml:space="preserve">interaction(1), </v>
      </c>
      <c r="I208" s="27" t="str">
        <f t="shared" si="105"/>
        <v xml:space="preserve"> </v>
      </c>
      <c r="J208" s="27" t="str">
        <f t="shared" si="106"/>
        <v xml:space="preserve"> </v>
      </c>
      <c r="K208" s="27" t="str">
        <f t="shared" si="107"/>
        <v xml:space="preserve"> </v>
      </c>
      <c r="L208" s="27" t="str">
        <f t="shared" si="108"/>
        <v xml:space="preserve"> </v>
      </c>
      <c r="M208" s="27" t="str">
        <f t="shared" si="109"/>
        <v xml:space="preserve"> </v>
      </c>
      <c r="N208" s="27" t="str">
        <f t="shared" si="110"/>
        <v xml:space="preserve"> </v>
      </c>
      <c r="O208" s="27" t="str">
        <f t="shared" si="111"/>
        <v xml:space="preserve"> </v>
      </c>
      <c r="P208" s="27" t="str">
        <f t="shared" si="112"/>
        <v xml:space="preserve"> </v>
      </c>
      <c r="Q208" s="27" t="str">
        <f t="shared" si="113"/>
        <v xml:space="preserve"> </v>
      </c>
      <c r="R208" s="27" t="str">
        <f t="shared" si="114"/>
        <v xml:space="preserve"> </v>
      </c>
      <c r="S208" s="27" t="str">
        <f t="shared" si="115"/>
        <v xml:space="preserve"> </v>
      </c>
      <c r="T208" s="27" t="str">
        <f t="shared" si="116"/>
        <v xml:space="preserve"> </v>
      </c>
      <c r="U208" s="27" t="str">
        <f t="shared" si="117"/>
        <v xml:space="preserve"> </v>
      </c>
      <c r="V208" s="27" t="str">
        <f t="shared" si="118"/>
        <v xml:space="preserve"> </v>
      </c>
      <c r="W208" s="27" t="str">
        <f t="shared" si="119"/>
        <v xml:space="preserve"> </v>
      </c>
      <c r="X208" s="27" t="str">
        <f t="shared" si="120"/>
        <v xml:space="preserve"> </v>
      </c>
      <c r="Y208" s="27" t="str">
        <f t="shared" si="121"/>
        <v xml:space="preserve"> </v>
      </c>
      <c r="Z208" s="27" t="str">
        <f t="shared" si="122"/>
        <v xml:space="preserve"> </v>
      </c>
      <c r="AA208" s="27" t="str">
        <f t="shared" si="123"/>
        <v xml:space="preserve"> </v>
      </c>
      <c r="AB208" s="27" t="str">
        <f t="shared" si="124"/>
        <v xml:space="preserve"> </v>
      </c>
      <c r="AC208" s="27" t="str">
        <f t="shared" si="125"/>
        <v xml:space="preserve"> </v>
      </c>
      <c r="AD208" s="27" t="str">
        <f t="shared" si="126"/>
        <v xml:space="preserve"> </v>
      </c>
      <c r="AE208" s="27" t="str">
        <f t="shared" si="127"/>
        <v xml:space="preserve"> </v>
      </c>
      <c r="AF208" s="27" t="str">
        <f t="shared" si="128"/>
        <v xml:space="preserve"> </v>
      </c>
      <c r="AG208" s="27" t="str">
        <f t="shared" si="129"/>
        <v xml:space="preserve"> </v>
      </c>
    </row>
    <row r="209" spans="1:33" ht="15.75" customHeight="1">
      <c r="A209" s="9">
        <f t="shared" ref="A209:C209" si="152">A94</f>
        <v>0</v>
      </c>
      <c r="B209" s="9">
        <f t="shared" si="152"/>
        <v>0</v>
      </c>
      <c r="C209" s="9" t="str">
        <f t="shared" si="152"/>
        <v>safety</v>
      </c>
      <c r="D209" s="27" t="str">
        <f t="shared" si="100"/>
        <v xml:space="preserve"> </v>
      </c>
      <c r="E209" s="27" t="str">
        <f t="shared" si="101"/>
        <v xml:space="preserve"> </v>
      </c>
      <c r="F209" s="27" t="str">
        <f t="shared" si="102"/>
        <v xml:space="preserve">interaction(1), </v>
      </c>
      <c r="G209" s="27" t="str">
        <f t="shared" si="103"/>
        <v xml:space="preserve"> </v>
      </c>
      <c r="H209" s="27" t="str">
        <f t="shared" si="104"/>
        <v xml:space="preserve">interaction(1), </v>
      </c>
      <c r="I209" s="27" t="str">
        <f t="shared" si="105"/>
        <v xml:space="preserve"> </v>
      </c>
      <c r="J209" s="27" t="str">
        <f t="shared" si="106"/>
        <v xml:space="preserve"> </v>
      </c>
      <c r="K209" s="27" t="str">
        <f t="shared" si="107"/>
        <v xml:space="preserve"> </v>
      </c>
      <c r="L209" s="27" t="str">
        <f t="shared" si="108"/>
        <v xml:space="preserve"> </v>
      </c>
      <c r="M209" s="27" t="str">
        <f t="shared" si="109"/>
        <v xml:space="preserve"> </v>
      </c>
      <c r="N209" s="27" t="str">
        <f t="shared" si="110"/>
        <v xml:space="preserve"> </v>
      </c>
      <c r="O209" s="27" t="str">
        <f t="shared" si="111"/>
        <v xml:space="preserve"> </v>
      </c>
      <c r="P209" s="27" t="str">
        <f t="shared" si="112"/>
        <v xml:space="preserve"> </v>
      </c>
      <c r="Q209" s="27" t="str">
        <f t="shared" si="113"/>
        <v xml:space="preserve"> </v>
      </c>
      <c r="R209" s="27" t="str">
        <f t="shared" si="114"/>
        <v xml:space="preserve"> </v>
      </c>
      <c r="S209" s="27" t="str">
        <f t="shared" si="115"/>
        <v xml:space="preserve"> </v>
      </c>
      <c r="T209" s="27" t="str">
        <f t="shared" si="116"/>
        <v xml:space="preserve"> </v>
      </c>
      <c r="U209" s="27" t="str">
        <f t="shared" si="117"/>
        <v xml:space="preserve"> </v>
      </c>
      <c r="V209" s="27" t="str">
        <f t="shared" si="118"/>
        <v xml:space="preserve"> </v>
      </c>
      <c r="W209" s="27" t="str">
        <f t="shared" si="119"/>
        <v xml:space="preserve"> </v>
      </c>
      <c r="X209" s="27" t="str">
        <f t="shared" si="120"/>
        <v xml:space="preserve"> </v>
      </c>
      <c r="Y209" s="27" t="str">
        <f t="shared" si="121"/>
        <v xml:space="preserve"> </v>
      </c>
      <c r="Z209" s="27" t="str">
        <f t="shared" si="122"/>
        <v xml:space="preserve"> </v>
      </c>
      <c r="AA209" s="27" t="str">
        <f t="shared" si="123"/>
        <v xml:space="preserve"> </v>
      </c>
      <c r="AB209" s="27" t="str">
        <f t="shared" si="124"/>
        <v xml:space="preserve"> </v>
      </c>
      <c r="AC209" s="27" t="str">
        <f t="shared" si="125"/>
        <v xml:space="preserve"> </v>
      </c>
      <c r="AD209" s="27" t="str">
        <f t="shared" si="126"/>
        <v xml:space="preserve"> </v>
      </c>
      <c r="AE209" s="27" t="str">
        <f t="shared" si="127"/>
        <v xml:space="preserve"> </v>
      </c>
      <c r="AF209" s="27" t="str">
        <f t="shared" si="128"/>
        <v xml:space="preserve"> </v>
      </c>
      <c r="AG209" s="27" t="str">
        <f t="shared" si="129"/>
        <v xml:space="preserve"> </v>
      </c>
    </row>
    <row r="210" spans="1:33" ht="15.75" customHeight="1">
      <c r="A210" s="9">
        <f t="shared" ref="A210:C210" si="153">A95</f>
        <v>0</v>
      </c>
      <c r="B210" s="9">
        <f t="shared" si="153"/>
        <v>0</v>
      </c>
      <c r="C210" s="9" t="str">
        <f t="shared" si="153"/>
        <v>interaction</v>
      </c>
      <c r="D210" s="27" t="str">
        <f t="shared" si="100"/>
        <v xml:space="preserve"> </v>
      </c>
      <c r="E210" s="27" t="str">
        <f t="shared" si="101"/>
        <v xml:space="preserve"> </v>
      </c>
      <c r="F210" s="27" t="str">
        <f t="shared" si="102"/>
        <v xml:space="preserve">interaction(1), </v>
      </c>
      <c r="G210" s="27" t="str">
        <f t="shared" si="103"/>
        <v xml:space="preserve"> </v>
      </c>
      <c r="H210" s="27" t="str">
        <f t="shared" si="104"/>
        <v xml:space="preserve">interaction(1), </v>
      </c>
      <c r="I210" s="27" t="str">
        <f t="shared" si="105"/>
        <v xml:space="preserve"> </v>
      </c>
      <c r="J210" s="27" t="str">
        <f t="shared" si="106"/>
        <v xml:space="preserve"> </v>
      </c>
      <c r="K210" s="27" t="str">
        <f t="shared" si="107"/>
        <v xml:space="preserve"> </v>
      </c>
      <c r="L210" s="27" t="str">
        <f t="shared" si="108"/>
        <v xml:space="preserve"> </v>
      </c>
      <c r="M210" s="27" t="str">
        <f t="shared" si="109"/>
        <v xml:space="preserve"> </v>
      </c>
      <c r="N210" s="27" t="str">
        <f t="shared" si="110"/>
        <v xml:space="preserve"> </v>
      </c>
      <c r="O210" s="27" t="str">
        <f t="shared" si="111"/>
        <v xml:space="preserve"> </v>
      </c>
      <c r="P210" s="27" t="str">
        <f t="shared" si="112"/>
        <v xml:space="preserve"> </v>
      </c>
      <c r="Q210" s="27" t="str">
        <f t="shared" si="113"/>
        <v xml:space="preserve"> </v>
      </c>
      <c r="R210" s="27" t="str">
        <f t="shared" si="114"/>
        <v xml:space="preserve"> </v>
      </c>
      <c r="S210" s="27" t="str">
        <f t="shared" si="115"/>
        <v xml:space="preserve"> </v>
      </c>
      <c r="T210" s="27" t="str">
        <f t="shared" si="116"/>
        <v xml:space="preserve"> </v>
      </c>
      <c r="U210" s="27" t="str">
        <f t="shared" si="117"/>
        <v xml:space="preserve"> </v>
      </c>
      <c r="V210" s="27" t="str">
        <f t="shared" si="118"/>
        <v xml:space="preserve"> </v>
      </c>
      <c r="W210" s="27" t="str">
        <f t="shared" si="119"/>
        <v xml:space="preserve"> </v>
      </c>
      <c r="X210" s="27" t="str">
        <f t="shared" si="120"/>
        <v xml:space="preserve"> </v>
      </c>
      <c r="Y210" s="27" t="str">
        <f t="shared" si="121"/>
        <v xml:space="preserve"> </v>
      </c>
      <c r="Z210" s="27" t="str">
        <f t="shared" si="122"/>
        <v xml:space="preserve"> </v>
      </c>
      <c r="AA210" s="27" t="str">
        <f t="shared" si="123"/>
        <v xml:space="preserve"> </v>
      </c>
      <c r="AB210" s="27" t="str">
        <f t="shared" si="124"/>
        <v xml:space="preserve"> </v>
      </c>
      <c r="AC210" s="27" t="str">
        <f t="shared" si="125"/>
        <v xml:space="preserve"> </v>
      </c>
      <c r="AD210" s="27" t="str">
        <f t="shared" si="126"/>
        <v xml:space="preserve"> </v>
      </c>
      <c r="AE210" s="27" t="str">
        <f t="shared" si="127"/>
        <v xml:space="preserve"> </v>
      </c>
      <c r="AF210" s="27" t="str">
        <f t="shared" si="128"/>
        <v xml:space="preserve"> </v>
      </c>
      <c r="AG210" s="27" t="str">
        <f t="shared" si="129"/>
        <v xml:space="preserve"> </v>
      </c>
    </row>
    <row r="211" spans="1:33" ht="15.75" customHeight="1">
      <c r="A211" s="9">
        <f t="shared" ref="A211:C211" si="154">A96</f>
        <v>0</v>
      </c>
      <c r="B211" s="9" t="str">
        <f t="shared" si="154"/>
        <v>achievements:soc</v>
      </c>
      <c r="C211" s="9" t="str">
        <f t="shared" si="154"/>
        <v>social project</v>
      </c>
      <c r="D211" s="27" t="str">
        <f t="shared" si="100"/>
        <v xml:space="preserve"> </v>
      </c>
      <c r="E211" s="27" t="str">
        <f t="shared" si="101"/>
        <v xml:space="preserve"> </v>
      </c>
      <c r="F211" s="27" t="str">
        <f t="shared" si="102"/>
        <v xml:space="preserve"> </v>
      </c>
      <c r="G211" s="27" t="str">
        <f t="shared" si="103"/>
        <v xml:space="preserve"> </v>
      </c>
      <c r="H211" s="27" t="str">
        <f t="shared" si="104"/>
        <v xml:space="preserve"> </v>
      </c>
      <c r="I211" s="27" t="str">
        <f t="shared" si="105"/>
        <v xml:space="preserve"> </v>
      </c>
      <c r="J211" s="27" t="str">
        <f t="shared" si="106"/>
        <v xml:space="preserve"> </v>
      </c>
      <c r="K211" s="27" t="str">
        <f t="shared" si="107"/>
        <v xml:space="preserve"> </v>
      </c>
      <c r="L211" s="27" t="str">
        <f t="shared" si="108"/>
        <v xml:space="preserve"> </v>
      </c>
      <c r="M211" s="27" t="str">
        <f t="shared" si="109"/>
        <v xml:space="preserve"> </v>
      </c>
      <c r="N211" s="27" t="str">
        <f t="shared" si="110"/>
        <v xml:space="preserve"> </v>
      </c>
      <c r="O211" s="27" t="str">
        <f t="shared" si="111"/>
        <v xml:space="preserve"> </v>
      </c>
      <c r="P211" s="27" t="str">
        <f t="shared" si="112"/>
        <v xml:space="preserve"> </v>
      </c>
      <c r="Q211" s="27" t="str">
        <f t="shared" si="113"/>
        <v xml:space="preserve"> </v>
      </c>
      <c r="R211" s="27" t="str">
        <f t="shared" si="114"/>
        <v xml:space="preserve"> </v>
      </c>
      <c r="S211" s="27" t="str">
        <f t="shared" si="115"/>
        <v xml:space="preserve"> </v>
      </c>
      <c r="T211" s="27" t="str">
        <f t="shared" si="116"/>
        <v xml:space="preserve"> </v>
      </c>
      <c r="U211" s="27" t="str">
        <f t="shared" si="117"/>
        <v xml:space="preserve"> </v>
      </c>
      <c r="V211" s="27" t="str">
        <f t="shared" si="118"/>
        <v xml:space="preserve"> </v>
      </c>
      <c r="W211" s="27" t="str">
        <f t="shared" si="119"/>
        <v xml:space="preserve"> </v>
      </c>
      <c r="X211" s="27" t="str">
        <f t="shared" si="120"/>
        <v xml:space="preserve"> </v>
      </c>
      <c r="Y211" s="27" t="str">
        <f t="shared" si="121"/>
        <v xml:space="preserve"> </v>
      </c>
      <c r="Z211" s="27" t="str">
        <f t="shared" si="122"/>
        <v xml:space="preserve"> </v>
      </c>
      <c r="AA211" s="27" t="str">
        <f t="shared" si="123"/>
        <v xml:space="preserve"> </v>
      </c>
      <c r="AB211" s="27" t="str">
        <f t="shared" si="124"/>
        <v xml:space="preserve"> </v>
      </c>
      <c r="AC211" s="27" t="str">
        <f t="shared" si="125"/>
        <v xml:space="preserve"> </v>
      </c>
      <c r="AD211" s="27" t="str">
        <f t="shared" si="126"/>
        <v xml:space="preserve"> </v>
      </c>
      <c r="AE211" s="27" t="str">
        <f t="shared" si="127"/>
        <v xml:space="preserve"> </v>
      </c>
      <c r="AF211" s="27" t="str">
        <f t="shared" si="128"/>
        <v xml:space="preserve"> </v>
      </c>
      <c r="AG211" s="27" t="str">
        <f t="shared" si="129"/>
        <v xml:space="preserve"> </v>
      </c>
    </row>
    <row r="212" spans="1:33" ht="15.75" customHeight="1">
      <c r="A212" s="9">
        <f t="shared" ref="A212:C212" si="155">A97</f>
        <v>0</v>
      </c>
      <c r="B212" s="9">
        <f t="shared" si="155"/>
        <v>0</v>
      </c>
      <c r="C212" s="9" t="str">
        <f t="shared" si="155"/>
        <v>social innovation</v>
      </c>
      <c r="D212" s="27" t="str">
        <f t="shared" si="100"/>
        <v xml:space="preserve"> </v>
      </c>
      <c r="E212" s="27" t="str">
        <f t="shared" si="101"/>
        <v xml:space="preserve"> </v>
      </c>
      <c r="F212" s="27" t="str">
        <f t="shared" si="102"/>
        <v xml:space="preserve"> </v>
      </c>
      <c r="G212" s="27" t="str">
        <f t="shared" si="103"/>
        <v xml:space="preserve"> </v>
      </c>
      <c r="H212" s="27" t="str">
        <f t="shared" si="104"/>
        <v xml:space="preserve"> </v>
      </c>
      <c r="I212" s="27" t="str">
        <f t="shared" si="105"/>
        <v xml:space="preserve"> </v>
      </c>
      <c r="J212" s="27" t="str">
        <f t="shared" si="106"/>
        <v xml:space="preserve"> </v>
      </c>
      <c r="K212" s="27" t="str">
        <f t="shared" si="107"/>
        <v xml:space="preserve"> </v>
      </c>
      <c r="L212" s="27" t="str">
        <f t="shared" si="108"/>
        <v xml:space="preserve"> </v>
      </c>
      <c r="M212" s="27" t="str">
        <f t="shared" si="109"/>
        <v xml:space="preserve"> </v>
      </c>
      <c r="N212" s="27" t="str">
        <f t="shared" si="110"/>
        <v xml:space="preserve"> </v>
      </c>
      <c r="O212" s="27" t="str">
        <f t="shared" si="111"/>
        <v xml:space="preserve"> </v>
      </c>
      <c r="P212" s="27" t="str">
        <f t="shared" si="112"/>
        <v xml:space="preserve"> </v>
      </c>
      <c r="Q212" s="27" t="str">
        <f t="shared" si="113"/>
        <v xml:space="preserve"> </v>
      </c>
      <c r="R212" s="27" t="str">
        <f t="shared" si="114"/>
        <v xml:space="preserve"> </v>
      </c>
      <c r="S212" s="27" t="str">
        <f t="shared" si="115"/>
        <v xml:space="preserve"> </v>
      </c>
      <c r="T212" s="27" t="str">
        <f t="shared" si="116"/>
        <v xml:space="preserve"> </v>
      </c>
      <c r="U212" s="27" t="str">
        <f t="shared" si="117"/>
        <v xml:space="preserve"> </v>
      </c>
      <c r="V212" s="27" t="str">
        <f t="shared" si="118"/>
        <v xml:space="preserve"> </v>
      </c>
      <c r="W212" s="27" t="str">
        <f t="shared" si="119"/>
        <v xml:space="preserve"> </v>
      </c>
      <c r="X212" s="27" t="str">
        <f t="shared" si="120"/>
        <v xml:space="preserve"> </v>
      </c>
      <c r="Y212" s="27" t="str">
        <f t="shared" si="121"/>
        <v xml:space="preserve"> </v>
      </c>
      <c r="Z212" s="27" t="str">
        <f t="shared" si="122"/>
        <v xml:space="preserve"> </v>
      </c>
      <c r="AA212" s="27" t="str">
        <f t="shared" si="123"/>
        <v xml:space="preserve"> </v>
      </c>
      <c r="AB212" s="27" t="str">
        <f t="shared" si="124"/>
        <v xml:space="preserve"> </v>
      </c>
      <c r="AC212" s="27" t="str">
        <f t="shared" si="125"/>
        <v xml:space="preserve"> </v>
      </c>
      <c r="AD212" s="27" t="str">
        <f t="shared" si="126"/>
        <v xml:space="preserve"> </v>
      </c>
      <c r="AE212" s="27" t="str">
        <f t="shared" si="127"/>
        <v xml:space="preserve"> </v>
      </c>
      <c r="AF212" s="27" t="str">
        <f t="shared" si="128"/>
        <v xml:space="preserve"> </v>
      </c>
      <c r="AG212" s="27" t="str">
        <f t="shared" si="129"/>
        <v xml:space="preserve"> </v>
      </c>
    </row>
    <row r="213" spans="1:33" ht="15.75" customHeight="1">
      <c r="A213" s="9">
        <f t="shared" ref="A213:C213" si="156">A98</f>
        <v>0</v>
      </c>
      <c r="B213" s="9">
        <f t="shared" si="156"/>
        <v>0</v>
      </c>
      <c r="C213" s="9" t="str">
        <f t="shared" si="156"/>
        <v>non-profit biz</v>
      </c>
      <c r="D213" s="27" t="str">
        <f t="shared" si="100"/>
        <v xml:space="preserve"> </v>
      </c>
      <c r="E213" s="27" t="str">
        <f t="shared" si="101"/>
        <v xml:space="preserve"> </v>
      </c>
      <c r="F213" s="27" t="str">
        <f t="shared" si="102"/>
        <v xml:space="preserve"> </v>
      </c>
      <c r="G213" s="27" t="str">
        <f t="shared" si="103"/>
        <v xml:space="preserve"> </v>
      </c>
      <c r="H213" s="27" t="str">
        <f t="shared" si="104"/>
        <v xml:space="preserve"> </v>
      </c>
      <c r="I213" s="27" t="str">
        <f t="shared" si="105"/>
        <v xml:space="preserve"> </v>
      </c>
      <c r="J213" s="27" t="str">
        <f t="shared" si="106"/>
        <v xml:space="preserve"> </v>
      </c>
      <c r="K213" s="27" t="str">
        <f t="shared" si="107"/>
        <v xml:space="preserve"> </v>
      </c>
      <c r="L213" s="27" t="str">
        <f t="shared" si="108"/>
        <v xml:space="preserve"> </v>
      </c>
      <c r="M213" s="27" t="str">
        <f t="shared" si="109"/>
        <v xml:space="preserve"> </v>
      </c>
      <c r="N213" s="27" t="str">
        <f t="shared" si="110"/>
        <v xml:space="preserve"> </v>
      </c>
      <c r="O213" s="27" t="str">
        <f t="shared" si="111"/>
        <v xml:space="preserve"> </v>
      </c>
      <c r="P213" s="27" t="str">
        <f t="shared" si="112"/>
        <v xml:space="preserve"> </v>
      </c>
      <c r="Q213" s="27" t="str">
        <f t="shared" si="113"/>
        <v xml:space="preserve"> </v>
      </c>
      <c r="R213" s="27" t="str">
        <f t="shared" si="114"/>
        <v xml:space="preserve"> </v>
      </c>
      <c r="S213" s="27" t="str">
        <f t="shared" si="115"/>
        <v xml:space="preserve"> </v>
      </c>
      <c r="T213" s="27" t="str">
        <f t="shared" si="116"/>
        <v xml:space="preserve"> </v>
      </c>
      <c r="U213" s="27" t="str">
        <f t="shared" si="117"/>
        <v xml:space="preserve"> </v>
      </c>
      <c r="V213" s="27" t="str">
        <f t="shared" si="118"/>
        <v xml:space="preserve"> </v>
      </c>
      <c r="W213" s="27" t="str">
        <f t="shared" si="119"/>
        <v xml:space="preserve"> </v>
      </c>
      <c r="X213" s="27" t="str">
        <f t="shared" si="120"/>
        <v xml:space="preserve"> </v>
      </c>
      <c r="Y213" s="27" t="str">
        <f t="shared" si="121"/>
        <v xml:space="preserve"> </v>
      </c>
      <c r="Z213" s="27" t="str">
        <f t="shared" si="122"/>
        <v xml:space="preserve"> </v>
      </c>
      <c r="AA213" s="27" t="str">
        <f t="shared" si="123"/>
        <v xml:space="preserve"> </v>
      </c>
      <c r="AB213" s="27" t="str">
        <f t="shared" si="124"/>
        <v xml:space="preserve"> </v>
      </c>
      <c r="AC213" s="27" t="str">
        <f t="shared" si="125"/>
        <v xml:space="preserve"> </v>
      </c>
      <c r="AD213" s="27" t="str">
        <f t="shared" si="126"/>
        <v xml:space="preserve"> </v>
      </c>
      <c r="AE213" s="27" t="str">
        <f t="shared" si="127"/>
        <v xml:space="preserve"> </v>
      </c>
      <c r="AF213" s="27" t="str">
        <f t="shared" si="128"/>
        <v xml:space="preserve"> </v>
      </c>
      <c r="AG213" s="27" t="str">
        <f t="shared" si="129"/>
        <v xml:space="preserve"> </v>
      </c>
    </row>
    <row r="214" spans="1:33" ht="15.75" customHeight="1">
      <c r="A214" s="9">
        <f t="shared" ref="A214:C214" si="157">A99</f>
        <v>0</v>
      </c>
      <c r="B214" s="9" t="str">
        <f t="shared" si="157"/>
        <v>commercial</v>
      </c>
      <c r="C214" s="9" t="str">
        <f t="shared" si="157"/>
        <v>biz project</v>
      </c>
      <c r="D214" s="27" t="str">
        <f t="shared" si="100"/>
        <v xml:space="preserve"> </v>
      </c>
      <c r="E214" s="27" t="str">
        <f t="shared" si="101"/>
        <v xml:space="preserve"> </v>
      </c>
      <c r="F214" s="27" t="str">
        <f t="shared" si="102"/>
        <v xml:space="preserve"> </v>
      </c>
      <c r="G214" s="27" t="str">
        <f t="shared" si="103"/>
        <v xml:space="preserve"> </v>
      </c>
      <c r="H214" s="27" t="str">
        <f t="shared" si="104"/>
        <v xml:space="preserve"> </v>
      </c>
      <c r="I214" s="27" t="str">
        <f t="shared" si="105"/>
        <v xml:space="preserve"> </v>
      </c>
      <c r="J214" s="27" t="str">
        <f t="shared" si="106"/>
        <v xml:space="preserve"> </v>
      </c>
      <c r="K214" s="27" t="str">
        <f t="shared" si="107"/>
        <v xml:space="preserve"> </v>
      </c>
      <c r="L214" s="27" t="str">
        <f t="shared" si="108"/>
        <v xml:space="preserve"> </v>
      </c>
      <c r="M214" s="27" t="str">
        <f t="shared" si="109"/>
        <v xml:space="preserve"> </v>
      </c>
      <c r="N214" s="27" t="str">
        <f t="shared" si="110"/>
        <v xml:space="preserve"> </v>
      </c>
      <c r="O214" s="27" t="str">
        <f t="shared" si="111"/>
        <v xml:space="preserve"> </v>
      </c>
      <c r="P214" s="27" t="str">
        <f t="shared" si="112"/>
        <v xml:space="preserve"> </v>
      </c>
      <c r="Q214" s="27" t="str">
        <f t="shared" si="113"/>
        <v xml:space="preserve"> </v>
      </c>
      <c r="R214" s="27" t="str">
        <f t="shared" si="114"/>
        <v xml:space="preserve"> </v>
      </c>
      <c r="S214" s="27" t="str">
        <f t="shared" si="115"/>
        <v xml:space="preserve"> </v>
      </c>
      <c r="T214" s="27" t="str">
        <f t="shared" si="116"/>
        <v xml:space="preserve"> </v>
      </c>
      <c r="U214" s="27" t="str">
        <f t="shared" si="117"/>
        <v xml:space="preserve"> </v>
      </c>
      <c r="V214" s="27" t="str">
        <f t="shared" si="118"/>
        <v xml:space="preserve"> </v>
      </c>
      <c r="W214" s="27" t="str">
        <f t="shared" si="119"/>
        <v xml:space="preserve"> </v>
      </c>
      <c r="X214" s="27" t="str">
        <f t="shared" si="120"/>
        <v xml:space="preserve"> </v>
      </c>
      <c r="Y214" s="27" t="str">
        <f t="shared" si="121"/>
        <v xml:space="preserve"> </v>
      </c>
      <c r="Z214" s="27" t="str">
        <f t="shared" si="122"/>
        <v xml:space="preserve"> </v>
      </c>
      <c r="AA214" s="27" t="str">
        <f t="shared" si="123"/>
        <v xml:space="preserve"> </v>
      </c>
      <c r="AB214" s="27" t="str">
        <f t="shared" si="124"/>
        <v xml:space="preserve"> </v>
      </c>
      <c r="AC214" s="27" t="str">
        <f t="shared" si="125"/>
        <v xml:space="preserve"> </v>
      </c>
      <c r="AD214" s="27" t="str">
        <f t="shared" si="126"/>
        <v xml:space="preserve"> </v>
      </c>
      <c r="AE214" s="27" t="str">
        <f t="shared" si="127"/>
        <v xml:space="preserve"> </v>
      </c>
      <c r="AF214" s="27" t="str">
        <f t="shared" si="128"/>
        <v xml:space="preserve"> </v>
      </c>
      <c r="AG214" s="27" t="str">
        <f t="shared" si="129"/>
        <v xml:space="preserve"> </v>
      </c>
    </row>
    <row r="215" spans="1:33" ht="15.75" customHeight="1">
      <c r="A215" s="9">
        <f t="shared" ref="A215:C215" si="158">A100</f>
        <v>0</v>
      </c>
      <c r="B215" s="9">
        <f t="shared" si="158"/>
        <v>0</v>
      </c>
      <c r="C215" s="9" t="str">
        <f t="shared" si="158"/>
        <v>biz enhancement</v>
      </c>
      <c r="D215" s="27" t="str">
        <f t="shared" si="100"/>
        <v xml:space="preserve"> </v>
      </c>
      <c r="E215" s="27" t="str">
        <f t="shared" si="101"/>
        <v xml:space="preserve"> </v>
      </c>
      <c r="F215" s="27" t="str">
        <f t="shared" si="102"/>
        <v xml:space="preserve"> </v>
      </c>
      <c r="G215" s="27" t="str">
        <f t="shared" si="103"/>
        <v xml:space="preserve"> </v>
      </c>
      <c r="H215" s="27" t="str">
        <f t="shared" si="104"/>
        <v xml:space="preserve"> </v>
      </c>
      <c r="I215" s="27" t="str">
        <f t="shared" si="105"/>
        <v xml:space="preserve"> </v>
      </c>
      <c r="J215" s="27" t="str">
        <f t="shared" si="106"/>
        <v xml:space="preserve"> </v>
      </c>
      <c r="K215" s="27" t="str">
        <f t="shared" si="107"/>
        <v xml:space="preserve"> </v>
      </c>
      <c r="L215" s="27" t="str">
        <f t="shared" si="108"/>
        <v xml:space="preserve"> </v>
      </c>
      <c r="M215" s="27" t="str">
        <f t="shared" si="109"/>
        <v xml:space="preserve"> </v>
      </c>
      <c r="N215" s="27" t="str">
        <f t="shared" si="110"/>
        <v xml:space="preserve"> </v>
      </c>
      <c r="O215" s="27" t="str">
        <f t="shared" si="111"/>
        <v xml:space="preserve"> </v>
      </c>
      <c r="P215" s="27" t="str">
        <f t="shared" si="112"/>
        <v xml:space="preserve"> </v>
      </c>
      <c r="Q215" s="27" t="str">
        <f t="shared" si="113"/>
        <v xml:space="preserve"> </v>
      </c>
      <c r="R215" s="27" t="str">
        <f t="shared" si="114"/>
        <v xml:space="preserve"> </v>
      </c>
      <c r="S215" s="27" t="str">
        <f t="shared" si="115"/>
        <v xml:space="preserve"> </v>
      </c>
      <c r="T215" s="27" t="str">
        <f t="shared" si="116"/>
        <v xml:space="preserve"> </v>
      </c>
      <c r="U215" s="27" t="str">
        <f t="shared" si="117"/>
        <v xml:space="preserve"> </v>
      </c>
      <c r="V215" s="27" t="str">
        <f t="shared" si="118"/>
        <v xml:space="preserve"> </v>
      </c>
      <c r="W215" s="27" t="str">
        <f t="shared" si="119"/>
        <v xml:space="preserve"> </v>
      </c>
      <c r="X215" s="27" t="str">
        <f t="shared" si="120"/>
        <v xml:space="preserve"> </v>
      </c>
      <c r="Y215" s="27" t="str">
        <f t="shared" si="121"/>
        <v xml:space="preserve"> </v>
      </c>
      <c r="Z215" s="27" t="str">
        <f t="shared" si="122"/>
        <v xml:space="preserve"> </v>
      </c>
      <c r="AA215" s="27" t="str">
        <f t="shared" si="123"/>
        <v xml:space="preserve"> </v>
      </c>
      <c r="AB215" s="27" t="str">
        <f t="shared" si="124"/>
        <v xml:space="preserve"> </v>
      </c>
      <c r="AC215" s="27" t="str">
        <f t="shared" si="125"/>
        <v xml:space="preserve"> </v>
      </c>
      <c r="AD215" s="27" t="str">
        <f t="shared" si="126"/>
        <v xml:space="preserve"> </v>
      </c>
      <c r="AE215" s="27" t="str">
        <f t="shared" si="127"/>
        <v xml:space="preserve"> </v>
      </c>
      <c r="AF215" s="27" t="str">
        <f t="shared" si="128"/>
        <v xml:space="preserve"> </v>
      </c>
      <c r="AG215" s="27" t="str">
        <f t="shared" si="129"/>
        <v xml:space="preserve"> </v>
      </c>
    </row>
    <row r="216" spans="1:33" ht="15.75" customHeight="1">
      <c r="A216" s="9">
        <f t="shared" ref="A216:C216" si="159">A101</f>
        <v>0</v>
      </c>
      <c r="B216" s="9">
        <f t="shared" si="159"/>
        <v>0</v>
      </c>
      <c r="C216" s="9" t="str">
        <f t="shared" si="159"/>
        <v>job creation</v>
      </c>
      <c r="D216" s="27" t="str">
        <f t="shared" si="100"/>
        <v xml:space="preserve"> </v>
      </c>
      <c r="E216" s="27" t="str">
        <f t="shared" si="101"/>
        <v xml:space="preserve"> </v>
      </c>
      <c r="F216" s="27" t="str">
        <f t="shared" si="102"/>
        <v xml:space="preserve"> </v>
      </c>
      <c r="G216" s="27" t="str">
        <f t="shared" si="103"/>
        <v xml:space="preserve"> </v>
      </c>
      <c r="H216" s="27" t="str">
        <f t="shared" si="104"/>
        <v xml:space="preserve"> </v>
      </c>
      <c r="I216" s="27" t="str">
        <f t="shared" si="105"/>
        <v xml:space="preserve"> </v>
      </c>
      <c r="J216" s="27" t="str">
        <f t="shared" si="106"/>
        <v xml:space="preserve"> </v>
      </c>
      <c r="K216" s="27" t="str">
        <f t="shared" si="107"/>
        <v xml:space="preserve"> </v>
      </c>
      <c r="L216" s="27" t="str">
        <f t="shared" si="108"/>
        <v xml:space="preserve"> </v>
      </c>
      <c r="M216" s="27" t="str">
        <f t="shared" si="109"/>
        <v xml:space="preserve"> </v>
      </c>
      <c r="N216" s="27" t="str">
        <f t="shared" si="110"/>
        <v xml:space="preserve"> </v>
      </c>
      <c r="O216" s="27" t="str">
        <f t="shared" si="111"/>
        <v xml:space="preserve"> </v>
      </c>
      <c r="P216" s="27" t="str">
        <f t="shared" si="112"/>
        <v xml:space="preserve"> </v>
      </c>
      <c r="Q216" s="27" t="str">
        <f t="shared" si="113"/>
        <v xml:space="preserve"> </v>
      </c>
      <c r="R216" s="27" t="str">
        <f t="shared" si="114"/>
        <v xml:space="preserve"> </v>
      </c>
      <c r="S216" s="27" t="str">
        <f t="shared" si="115"/>
        <v xml:space="preserve"> </v>
      </c>
      <c r="T216" s="27" t="str">
        <f t="shared" si="116"/>
        <v xml:space="preserve"> </v>
      </c>
      <c r="U216" s="27" t="str">
        <f t="shared" si="117"/>
        <v xml:space="preserve"> </v>
      </c>
      <c r="V216" s="27" t="str">
        <f t="shared" si="118"/>
        <v xml:space="preserve"> </v>
      </c>
      <c r="W216" s="27" t="str">
        <f t="shared" si="119"/>
        <v xml:space="preserve"> </v>
      </c>
      <c r="X216" s="27" t="str">
        <f t="shared" si="120"/>
        <v xml:space="preserve"> </v>
      </c>
      <c r="Y216" s="27" t="str">
        <f t="shared" si="121"/>
        <v xml:space="preserve"> </v>
      </c>
      <c r="Z216" s="27" t="str">
        <f t="shared" si="122"/>
        <v xml:space="preserve"> </v>
      </c>
      <c r="AA216" s="27" t="str">
        <f t="shared" si="123"/>
        <v xml:space="preserve"> </v>
      </c>
      <c r="AB216" s="27" t="str">
        <f t="shared" si="124"/>
        <v xml:space="preserve"> </v>
      </c>
      <c r="AC216" s="27" t="str">
        <f t="shared" si="125"/>
        <v xml:space="preserve"> </v>
      </c>
      <c r="AD216" s="27" t="str">
        <f t="shared" si="126"/>
        <v xml:space="preserve"> </v>
      </c>
      <c r="AE216" s="27" t="str">
        <f t="shared" si="127"/>
        <v xml:space="preserve"> </v>
      </c>
      <c r="AF216" s="27" t="str">
        <f t="shared" si="128"/>
        <v xml:space="preserve"> </v>
      </c>
      <c r="AG216" s="27" t="str">
        <f t="shared" si="129"/>
        <v xml:space="preserve"> </v>
      </c>
    </row>
    <row r="217" spans="1:33" ht="15.75" customHeight="1">
      <c r="A217" s="9">
        <f t="shared" ref="A217:C217" si="160">A102</f>
        <v>0</v>
      </c>
      <c r="B217" s="9">
        <f t="shared" si="160"/>
        <v>0</v>
      </c>
      <c r="C217" s="9" t="str">
        <f t="shared" si="160"/>
        <v>business</v>
      </c>
      <c r="D217" s="27" t="str">
        <f t="shared" si="100"/>
        <v xml:space="preserve"> </v>
      </c>
      <c r="E217" s="27" t="str">
        <f t="shared" si="101"/>
        <v xml:space="preserve"> </v>
      </c>
      <c r="F217" s="27" t="str">
        <f t="shared" si="102"/>
        <v xml:space="preserve"> </v>
      </c>
      <c r="G217" s="27" t="str">
        <f t="shared" si="103"/>
        <v xml:space="preserve"> </v>
      </c>
      <c r="H217" s="27" t="str">
        <f t="shared" si="104"/>
        <v xml:space="preserve"> </v>
      </c>
      <c r="I217" s="27" t="str">
        <f t="shared" si="105"/>
        <v xml:space="preserve"> </v>
      </c>
      <c r="J217" s="27" t="str">
        <f t="shared" si="106"/>
        <v xml:space="preserve"> </v>
      </c>
      <c r="K217" s="27" t="str">
        <f t="shared" si="107"/>
        <v xml:space="preserve"> </v>
      </c>
      <c r="L217" s="27" t="str">
        <f t="shared" si="108"/>
        <v xml:space="preserve"> </v>
      </c>
      <c r="M217" s="27" t="str">
        <f t="shared" si="109"/>
        <v xml:space="preserve"> </v>
      </c>
      <c r="N217" s="27" t="str">
        <f t="shared" si="110"/>
        <v xml:space="preserve"> </v>
      </c>
      <c r="O217" s="27" t="str">
        <f t="shared" si="111"/>
        <v xml:space="preserve"> </v>
      </c>
      <c r="P217" s="27" t="str">
        <f t="shared" si="112"/>
        <v xml:space="preserve"> </v>
      </c>
      <c r="Q217" s="27" t="str">
        <f t="shared" si="113"/>
        <v xml:space="preserve"> </v>
      </c>
      <c r="R217" s="27" t="str">
        <f t="shared" si="114"/>
        <v xml:space="preserve"> </v>
      </c>
      <c r="S217" s="27" t="str">
        <f t="shared" si="115"/>
        <v xml:space="preserve"> </v>
      </c>
      <c r="T217" s="27" t="str">
        <f t="shared" si="116"/>
        <v xml:space="preserve"> </v>
      </c>
      <c r="U217" s="27" t="str">
        <f t="shared" si="117"/>
        <v xml:space="preserve"> </v>
      </c>
      <c r="V217" s="27" t="str">
        <f t="shared" si="118"/>
        <v xml:space="preserve"> </v>
      </c>
      <c r="W217" s="27" t="str">
        <f t="shared" si="119"/>
        <v xml:space="preserve"> </v>
      </c>
      <c r="X217" s="27" t="str">
        <f t="shared" si="120"/>
        <v xml:space="preserve"> </v>
      </c>
      <c r="Y217" s="27" t="str">
        <f t="shared" si="121"/>
        <v xml:space="preserve"> </v>
      </c>
      <c r="Z217" s="27" t="str">
        <f t="shared" si="122"/>
        <v xml:space="preserve"> </v>
      </c>
      <c r="AA217" s="27" t="str">
        <f t="shared" si="123"/>
        <v xml:space="preserve"> </v>
      </c>
      <c r="AB217" s="27" t="str">
        <f t="shared" si="124"/>
        <v xml:space="preserve"> </v>
      </c>
      <c r="AC217" s="27" t="str">
        <f t="shared" si="125"/>
        <v xml:space="preserve"> </v>
      </c>
      <c r="AD217" s="27" t="str">
        <f t="shared" si="126"/>
        <v xml:space="preserve"> </v>
      </c>
      <c r="AE217" s="27" t="str">
        <f t="shared" si="127"/>
        <v xml:space="preserve"> </v>
      </c>
      <c r="AF217" s="27" t="str">
        <f t="shared" si="128"/>
        <v xml:space="preserve"> </v>
      </c>
      <c r="AG217" s="27" t="str">
        <f t="shared" si="129"/>
        <v xml:space="preserve"> </v>
      </c>
    </row>
    <row r="218" spans="1:33" ht="15.75" customHeight="1">
      <c r="A218" s="9">
        <f t="shared" ref="A218:C218" si="161">A103</f>
        <v>0</v>
      </c>
      <c r="B218" s="9" t="str">
        <f t="shared" si="161"/>
        <v>start-up</v>
      </c>
      <c r="C218" s="9" t="str">
        <f t="shared" si="161"/>
        <v>start-up</v>
      </c>
      <c r="D218" s="27" t="str">
        <f t="shared" si="100"/>
        <v xml:space="preserve"> </v>
      </c>
      <c r="E218" s="27" t="str">
        <f t="shared" si="101"/>
        <v xml:space="preserve"> </v>
      </c>
      <c r="F218" s="27" t="str">
        <f t="shared" si="102"/>
        <v xml:space="preserve"> </v>
      </c>
      <c r="G218" s="27" t="str">
        <f t="shared" si="103"/>
        <v xml:space="preserve"> </v>
      </c>
      <c r="H218" s="27" t="str">
        <f t="shared" si="104"/>
        <v xml:space="preserve"> </v>
      </c>
      <c r="I218" s="27" t="str">
        <f t="shared" si="105"/>
        <v xml:space="preserve"> </v>
      </c>
      <c r="J218" s="27" t="str">
        <f t="shared" si="106"/>
        <v xml:space="preserve"> </v>
      </c>
      <c r="K218" s="27" t="str">
        <f t="shared" si="107"/>
        <v xml:space="preserve"> </v>
      </c>
      <c r="L218" s="27" t="str">
        <f t="shared" si="108"/>
        <v xml:space="preserve"> </v>
      </c>
      <c r="M218" s="27" t="str">
        <f t="shared" si="109"/>
        <v xml:space="preserve"> </v>
      </c>
      <c r="N218" s="27" t="str">
        <f t="shared" si="110"/>
        <v xml:space="preserve"> </v>
      </c>
      <c r="O218" s="27" t="str">
        <f t="shared" si="111"/>
        <v xml:space="preserve"> </v>
      </c>
      <c r="P218" s="27" t="str">
        <f t="shared" si="112"/>
        <v xml:space="preserve"> </v>
      </c>
      <c r="Q218" s="27" t="str">
        <f t="shared" si="113"/>
        <v xml:space="preserve"> </v>
      </c>
      <c r="R218" s="27" t="str">
        <f t="shared" si="114"/>
        <v xml:space="preserve"> </v>
      </c>
      <c r="S218" s="27" t="str">
        <f t="shared" si="115"/>
        <v xml:space="preserve"> </v>
      </c>
      <c r="T218" s="27" t="str">
        <f t="shared" si="116"/>
        <v xml:space="preserve"> </v>
      </c>
      <c r="U218" s="27" t="str">
        <f t="shared" si="117"/>
        <v xml:space="preserve"> </v>
      </c>
      <c r="V218" s="27" t="str">
        <f t="shared" si="118"/>
        <v xml:space="preserve"> </v>
      </c>
      <c r="W218" s="27" t="str">
        <f t="shared" si="119"/>
        <v xml:space="preserve"> </v>
      </c>
      <c r="X218" s="27" t="str">
        <f t="shared" si="120"/>
        <v xml:space="preserve"> </v>
      </c>
      <c r="Y218" s="27" t="str">
        <f t="shared" si="121"/>
        <v xml:space="preserve"> </v>
      </c>
      <c r="Z218" s="27" t="str">
        <f t="shared" si="122"/>
        <v xml:space="preserve"> </v>
      </c>
      <c r="AA218" s="27" t="str">
        <f t="shared" si="123"/>
        <v xml:space="preserve"> </v>
      </c>
      <c r="AB218" s="27" t="str">
        <f t="shared" si="124"/>
        <v xml:space="preserve"> </v>
      </c>
      <c r="AC218" s="27" t="str">
        <f t="shared" si="125"/>
        <v xml:space="preserve"> </v>
      </c>
      <c r="AD218" s="27" t="str">
        <f t="shared" si="126"/>
        <v xml:space="preserve"> </v>
      </c>
      <c r="AE218" s="27" t="str">
        <f t="shared" si="127"/>
        <v xml:space="preserve"> </v>
      </c>
      <c r="AF218" s="27" t="str">
        <f t="shared" si="128"/>
        <v xml:space="preserve"> </v>
      </c>
      <c r="AG218" s="27" t="str">
        <f t="shared" si="129"/>
        <v xml:space="preserve"> </v>
      </c>
    </row>
    <row r="219" spans="1:33" ht="15.75" customHeight="1">
      <c r="A219" s="9">
        <f t="shared" ref="A219:C219" si="162">A104</f>
        <v>0</v>
      </c>
      <c r="B219" s="9">
        <f t="shared" si="162"/>
        <v>0</v>
      </c>
      <c r="C219" s="9" t="str">
        <f t="shared" si="162"/>
        <v>start-up with mvp</v>
      </c>
      <c r="D219" s="27" t="str">
        <f t="shared" si="100"/>
        <v xml:space="preserve"> </v>
      </c>
      <c r="E219" s="27" t="str">
        <f t="shared" si="101"/>
        <v xml:space="preserve"> </v>
      </c>
      <c r="F219" s="27" t="str">
        <f t="shared" si="102"/>
        <v xml:space="preserve"> </v>
      </c>
      <c r="G219" s="27" t="str">
        <f t="shared" si="103"/>
        <v xml:space="preserve"> </v>
      </c>
      <c r="H219" s="27" t="str">
        <f t="shared" si="104"/>
        <v xml:space="preserve"> </v>
      </c>
      <c r="I219" s="27" t="str">
        <f t="shared" si="105"/>
        <v xml:space="preserve"> </v>
      </c>
      <c r="J219" s="27" t="str">
        <f t="shared" si="106"/>
        <v xml:space="preserve"> </v>
      </c>
      <c r="K219" s="27" t="str">
        <f t="shared" si="107"/>
        <v xml:space="preserve"> </v>
      </c>
      <c r="L219" s="27" t="str">
        <f t="shared" si="108"/>
        <v xml:space="preserve"> </v>
      </c>
      <c r="M219" s="27" t="str">
        <f t="shared" si="109"/>
        <v xml:space="preserve"> </v>
      </c>
      <c r="N219" s="27" t="str">
        <f t="shared" si="110"/>
        <v xml:space="preserve"> </v>
      </c>
      <c r="O219" s="27" t="str">
        <f t="shared" si="111"/>
        <v xml:space="preserve"> </v>
      </c>
      <c r="P219" s="27" t="str">
        <f t="shared" si="112"/>
        <v xml:space="preserve"> </v>
      </c>
      <c r="Q219" s="27" t="str">
        <f t="shared" si="113"/>
        <v xml:space="preserve"> </v>
      </c>
      <c r="R219" s="27" t="str">
        <f t="shared" si="114"/>
        <v xml:space="preserve"> </v>
      </c>
      <c r="S219" s="27" t="str">
        <f t="shared" si="115"/>
        <v xml:space="preserve"> </v>
      </c>
      <c r="T219" s="27" t="str">
        <f t="shared" si="116"/>
        <v xml:space="preserve"> </v>
      </c>
      <c r="U219" s="27" t="str">
        <f t="shared" si="117"/>
        <v xml:space="preserve"> </v>
      </c>
      <c r="V219" s="27" t="str">
        <f t="shared" si="118"/>
        <v xml:space="preserve"> </v>
      </c>
      <c r="W219" s="27" t="str">
        <f t="shared" si="119"/>
        <v xml:space="preserve"> </v>
      </c>
      <c r="X219" s="27" t="str">
        <f t="shared" si="120"/>
        <v xml:space="preserve"> </v>
      </c>
      <c r="Y219" s="27" t="str">
        <f t="shared" si="121"/>
        <v xml:space="preserve"> </v>
      </c>
      <c r="Z219" s="27" t="str">
        <f t="shared" si="122"/>
        <v xml:space="preserve"> </v>
      </c>
      <c r="AA219" s="27" t="str">
        <f t="shared" si="123"/>
        <v xml:space="preserve"> </v>
      </c>
      <c r="AB219" s="27" t="str">
        <f t="shared" si="124"/>
        <v xml:space="preserve"> </v>
      </c>
      <c r="AC219" s="27" t="str">
        <f t="shared" si="125"/>
        <v xml:space="preserve"> </v>
      </c>
      <c r="AD219" s="27" t="str">
        <f t="shared" si="126"/>
        <v xml:space="preserve"> </v>
      </c>
      <c r="AE219" s="27" t="str">
        <f t="shared" si="127"/>
        <v xml:space="preserve"> </v>
      </c>
      <c r="AF219" s="27" t="str">
        <f t="shared" si="128"/>
        <v xml:space="preserve"> </v>
      </c>
      <c r="AG219" s="27" t="str">
        <f t="shared" si="129"/>
        <v xml:space="preserve"> </v>
      </c>
    </row>
    <row r="220" spans="1:33" ht="15.75" customHeight="1">
      <c r="A220" s="9">
        <f t="shared" ref="A220:C220" si="163">A105</f>
        <v>0</v>
      </c>
      <c r="B220" s="9">
        <f t="shared" si="163"/>
        <v>0</v>
      </c>
      <c r="C220" s="9" t="str">
        <f t="shared" si="163"/>
        <v>start-up with customers</v>
      </c>
      <c r="D220" s="27" t="str">
        <f t="shared" si="100"/>
        <v xml:space="preserve"> </v>
      </c>
      <c r="E220" s="27" t="str">
        <f t="shared" si="101"/>
        <v xml:space="preserve"> </v>
      </c>
      <c r="F220" s="27" t="str">
        <f t="shared" si="102"/>
        <v xml:space="preserve"> </v>
      </c>
      <c r="G220" s="27" t="str">
        <f t="shared" si="103"/>
        <v xml:space="preserve"> </v>
      </c>
      <c r="H220" s="27" t="str">
        <f t="shared" si="104"/>
        <v xml:space="preserve"> </v>
      </c>
      <c r="I220" s="27" t="str">
        <f t="shared" si="105"/>
        <v xml:space="preserve"> </v>
      </c>
      <c r="J220" s="27" t="str">
        <f t="shared" si="106"/>
        <v xml:space="preserve"> </v>
      </c>
      <c r="K220" s="27" t="str">
        <f t="shared" si="107"/>
        <v xml:space="preserve"> </v>
      </c>
      <c r="L220" s="27" t="str">
        <f t="shared" si="108"/>
        <v xml:space="preserve"> </v>
      </c>
      <c r="M220" s="27" t="str">
        <f t="shared" si="109"/>
        <v xml:space="preserve"> </v>
      </c>
      <c r="N220" s="27" t="str">
        <f t="shared" si="110"/>
        <v xml:space="preserve"> </v>
      </c>
      <c r="O220" s="27" t="str">
        <f t="shared" si="111"/>
        <v xml:space="preserve"> </v>
      </c>
      <c r="P220" s="27" t="str">
        <f t="shared" si="112"/>
        <v xml:space="preserve"> </v>
      </c>
      <c r="Q220" s="27" t="str">
        <f t="shared" si="113"/>
        <v xml:space="preserve"> </v>
      </c>
      <c r="R220" s="27" t="str">
        <f t="shared" si="114"/>
        <v xml:space="preserve"> </v>
      </c>
      <c r="S220" s="27" t="str">
        <f t="shared" si="115"/>
        <v xml:space="preserve"> </v>
      </c>
      <c r="T220" s="27" t="str">
        <f t="shared" si="116"/>
        <v xml:space="preserve"> </v>
      </c>
      <c r="U220" s="27" t="str">
        <f t="shared" si="117"/>
        <v xml:space="preserve"> </v>
      </c>
      <c r="V220" s="27" t="str">
        <f t="shared" si="118"/>
        <v xml:space="preserve"> </v>
      </c>
      <c r="W220" s="27" t="str">
        <f t="shared" si="119"/>
        <v xml:space="preserve"> </v>
      </c>
      <c r="X220" s="27" t="str">
        <f t="shared" si="120"/>
        <v xml:space="preserve"> </v>
      </c>
      <c r="Y220" s="27" t="str">
        <f t="shared" si="121"/>
        <v xml:space="preserve"> </v>
      </c>
      <c r="Z220" s="27" t="str">
        <f t="shared" si="122"/>
        <v xml:space="preserve"> </v>
      </c>
      <c r="AA220" s="27" t="str">
        <f t="shared" si="123"/>
        <v xml:space="preserve"> </v>
      </c>
      <c r="AB220" s="27" t="str">
        <f t="shared" si="124"/>
        <v xml:space="preserve"> </v>
      </c>
      <c r="AC220" s="27" t="str">
        <f t="shared" si="125"/>
        <v xml:space="preserve"> </v>
      </c>
      <c r="AD220" s="27" t="str">
        <f t="shared" si="126"/>
        <v xml:space="preserve"> </v>
      </c>
      <c r="AE220" s="27" t="str">
        <f t="shared" si="127"/>
        <v xml:space="preserve"> </v>
      </c>
      <c r="AF220" s="27" t="str">
        <f t="shared" si="128"/>
        <v xml:space="preserve"> </v>
      </c>
      <c r="AG220" s="27" t="str">
        <f t="shared" si="129"/>
        <v xml:space="preserve"> </v>
      </c>
    </row>
    <row r="221" spans="1:33" ht="15.75" customHeight="1">
      <c r="A221" s="9">
        <f t="shared" ref="A221:C221" si="164">A106</f>
        <v>0</v>
      </c>
      <c r="B221" s="9" t="str">
        <f t="shared" si="164"/>
        <v>education&amp; learning</v>
      </c>
      <c r="C221" s="9" t="str">
        <f t="shared" si="164"/>
        <v>for basic literacy</v>
      </c>
      <c r="D221" s="27" t="str">
        <f t="shared" si="100"/>
        <v xml:space="preserve"> </v>
      </c>
      <c r="E221" s="27" t="str">
        <f t="shared" si="101"/>
        <v xml:space="preserve"> </v>
      </c>
      <c r="F221" s="27" t="str">
        <f t="shared" si="102"/>
        <v xml:space="preserve"> </v>
      </c>
      <c r="G221" s="27" t="str">
        <f t="shared" si="103"/>
        <v xml:space="preserve"> </v>
      </c>
      <c r="H221" s="27" t="str">
        <f t="shared" si="104"/>
        <v xml:space="preserve"> </v>
      </c>
      <c r="I221" s="27" t="str">
        <f t="shared" si="105"/>
        <v xml:space="preserve"> </v>
      </c>
      <c r="J221" s="27" t="str">
        <f t="shared" si="106"/>
        <v xml:space="preserve"> </v>
      </c>
      <c r="K221" s="27" t="str">
        <f t="shared" si="107"/>
        <v xml:space="preserve"> </v>
      </c>
      <c r="L221" s="27" t="str">
        <f t="shared" si="108"/>
        <v xml:space="preserve"> </v>
      </c>
      <c r="M221" s="27" t="str">
        <f t="shared" si="109"/>
        <v xml:space="preserve"> </v>
      </c>
      <c r="N221" s="27" t="str">
        <f t="shared" si="110"/>
        <v xml:space="preserve"> </v>
      </c>
      <c r="O221" s="27" t="str">
        <f t="shared" si="111"/>
        <v xml:space="preserve"> </v>
      </c>
      <c r="P221" s="27" t="str">
        <f t="shared" si="112"/>
        <v xml:space="preserve"> </v>
      </c>
      <c r="Q221" s="27" t="str">
        <f t="shared" si="113"/>
        <v xml:space="preserve"> </v>
      </c>
      <c r="R221" s="27" t="str">
        <f t="shared" si="114"/>
        <v xml:space="preserve"> </v>
      </c>
      <c r="S221" s="27" t="str">
        <f t="shared" si="115"/>
        <v xml:space="preserve"> </v>
      </c>
      <c r="T221" s="27" t="str">
        <f t="shared" si="116"/>
        <v xml:space="preserve"> </v>
      </c>
      <c r="U221" s="27" t="str">
        <f t="shared" si="117"/>
        <v xml:space="preserve"> </v>
      </c>
      <c r="V221" s="27" t="str">
        <f t="shared" si="118"/>
        <v xml:space="preserve"> </v>
      </c>
      <c r="W221" s="27" t="str">
        <f t="shared" si="119"/>
        <v xml:space="preserve"> </v>
      </c>
      <c r="X221" s="27" t="str">
        <f t="shared" si="120"/>
        <v xml:space="preserve"> </v>
      </c>
      <c r="Y221" s="27" t="str">
        <f t="shared" si="121"/>
        <v xml:space="preserve"> </v>
      </c>
      <c r="Z221" s="27" t="str">
        <f t="shared" si="122"/>
        <v xml:space="preserve"> </v>
      </c>
      <c r="AA221" s="27" t="str">
        <f t="shared" si="123"/>
        <v xml:space="preserve"> </v>
      </c>
      <c r="AB221" s="27" t="str">
        <f t="shared" si="124"/>
        <v xml:space="preserve"> </v>
      </c>
      <c r="AC221" s="27" t="str">
        <f t="shared" si="125"/>
        <v xml:space="preserve"> </v>
      </c>
      <c r="AD221" s="27" t="str">
        <f t="shared" si="126"/>
        <v xml:space="preserve"> </v>
      </c>
      <c r="AE221" s="27" t="str">
        <f t="shared" si="127"/>
        <v xml:space="preserve"> </v>
      </c>
      <c r="AF221" s="27" t="str">
        <f t="shared" si="128"/>
        <v xml:space="preserve"> </v>
      </c>
      <c r="AG221" s="27" t="str">
        <f t="shared" si="129"/>
        <v xml:space="preserve"> </v>
      </c>
    </row>
    <row r="222" spans="1:33" ht="15.75" customHeight="1">
      <c r="A222" s="9">
        <f t="shared" ref="A222:C222" si="165">A107</f>
        <v>0</v>
      </c>
      <c r="B222" s="9">
        <f t="shared" si="165"/>
        <v>0</v>
      </c>
      <c r="C222" s="9" t="str">
        <f t="shared" si="165"/>
        <v>for the elites</v>
      </c>
      <c r="D222" s="27" t="str">
        <f t="shared" si="100"/>
        <v xml:space="preserve"> </v>
      </c>
      <c r="E222" s="27" t="str">
        <f t="shared" si="101"/>
        <v xml:space="preserve"> </v>
      </c>
      <c r="F222" s="27" t="str">
        <f t="shared" si="102"/>
        <v xml:space="preserve"> </v>
      </c>
      <c r="G222" s="27" t="str">
        <f t="shared" si="103"/>
        <v xml:space="preserve"> </v>
      </c>
      <c r="H222" s="27" t="str">
        <f t="shared" si="104"/>
        <v xml:space="preserve"> </v>
      </c>
      <c r="I222" s="27" t="str">
        <f t="shared" si="105"/>
        <v xml:space="preserve"> </v>
      </c>
      <c r="J222" s="27" t="str">
        <f t="shared" si="106"/>
        <v xml:space="preserve"> </v>
      </c>
      <c r="K222" s="27" t="str">
        <f t="shared" si="107"/>
        <v xml:space="preserve"> </v>
      </c>
      <c r="L222" s="27" t="str">
        <f t="shared" si="108"/>
        <v xml:space="preserve"> </v>
      </c>
      <c r="M222" s="27" t="str">
        <f t="shared" si="109"/>
        <v xml:space="preserve"> </v>
      </c>
      <c r="N222" s="27" t="str">
        <f t="shared" si="110"/>
        <v xml:space="preserve"> </v>
      </c>
      <c r="O222" s="27" t="str">
        <f t="shared" si="111"/>
        <v xml:space="preserve"> </v>
      </c>
      <c r="P222" s="27" t="str">
        <f t="shared" si="112"/>
        <v xml:space="preserve"> </v>
      </c>
      <c r="Q222" s="27" t="str">
        <f t="shared" si="113"/>
        <v xml:space="preserve"> </v>
      </c>
      <c r="R222" s="27" t="str">
        <f t="shared" si="114"/>
        <v xml:space="preserve"> </v>
      </c>
      <c r="S222" s="27" t="str">
        <f t="shared" si="115"/>
        <v xml:space="preserve"> </v>
      </c>
      <c r="T222" s="27" t="str">
        <f t="shared" si="116"/>
        <v xml:space="preserve"> </v>
      </c>
      <c r="U222" s="27" t="str">
        <f t="shared" si="117"/>
        <v xml:space="preserve"> </v>
      </c>
      <c r="V222" s="27" t="str">
        <f t="shared" si="118"/>
        <v xml:space="preserve"> </v>
      </c>
      <c r="W222" s="27" t="str">
        <f t="shared" si="119"/>
        <v xml:space="preserve"> </v>
      </c>
      <c r="X222" s="27" t="str">
        <f t="shared" si="120"/>
        <v xml:space="preserve"> </v>
      </c>
      <c r="Y222" s="27" t="str">
        <f t="shared" si="121"/>
        <v xml:space="preserve"> </v>
      </c>
      <c r="Z222" s="27" t="str">
        <f t="shared" si="122"/>
        <v xml:space="preserve"> </v>
      </c>
      <c r="AA222" s="27" t="str">
        <f t="shared" si="123"/>
        <v xml:space="preserve"> </v>
      </c>
      <c r="AB222" s="27" t="str">
        <f t="shared" si="124"/>
        <v xml:space="preserve"> </v>
      </c>
      <c r="AC222" s="27" t="str">
        <f t="shared" si="125"/>
        <v xml:space="preserve"> </v>
      </c>
      <c r="AD222" s="27" t="str">
        <f t="shared" si="126"/>
        <v xml:space="preserve"> </v>
      </c>
      <c r="AE222" s="27" t="str">
        <f t="shared" si="127"/>
        <v xml:space="preserve"> </v>
      </c>
      <c r="AF222" s="27" t="str">
        <f t="shared" si="128"/>
        <v xml:space="preserve"> </v>
      </c>
      <c r="AG222" s="27" t="str">
        <f t="shared" si="129"/>
        <v xml:space="preserve"> </v>
      </c>
    </row>
    <row r="223" spans="1:33" ht="15.75" customHeight="1">
      <c r="A223" s="9">
        <f t="shared" ref="A223:C223" si="166">A108</f>
        <v>0</v>
      </c>
      <c r="B223" s="9">
        <f t="shared" si="166"/>
        <v>0</v>
      </c>
      <c r="C223" s="9" t="str">
        <f t="shared" si="166"/>
        <v>for entrepreneurs</v>
      </c>
      <c r="D223" s="27" t="str">
        <f t="shared" si="100"/>
        <v xml:space="preserve"> </v>
      </c>
      <c r="E223" s="27" t="str">
        <f t="shared" si="101"/>
        <v xml:space="preserve"> </v>
      </c>
      <c r="F223" s="27" t="str">
        <f t="shared" si="102"/>
        <v xml:space="preserve"> </v>
      </c>
      <c r="G223" s="27" t="str">
        <f t="shared" si="103"/>
        <v xml:space="preserve"> </v>
      </c>
      <c r="H223" s="27" t="str">
        <f t="shared" si="104"/>
        <v xml:space="preserve"> </v>
      </c>
      <c r="I223" s="27" t="str">
        <f t="shared" si="105"/>
        <v xml:space="preserve"> </v>
      </c>
      <c r="J223" s="27" t="str">
        <f t="shared" si="106"/>
        <v xml:space="preserve"> </v>
      </c>
      <c r="K223" s="27" t="str">
        <f t="shared" si="107"/>
        <v xml:space="preserve"> </v>
      </c>
      <c r="L223" s="27" t="str">
        <f t="shared" si="108"/>
        <v xml:space="preserve"> </v>
      </c>
      <c r="M223" s="27" t="str">
        <f t="shared" si="109"/>
        <v xml:space="preserve"> </v>
      </c>
      <c r="N223" s="27" t="str">
        <f t="shared" si="110"/>
        <v xml:space="preserve"> </v>
      </c>
      <c r="O223" s="27" t="str">
        <f t="shared" si="111"/>
        <v xml:space="preserve"> </v>
      </c>
      <c r="P223" s="27" t="str">
        <f t="shared" si="112"/>
        <v xml:space="preserve"> </v>
      </c>
      <c r="Q223" s="27" t="str">
        <f t="shared" si="113"/>
        <v xml:space="preserve"> </v>
      </c>
      <c r="R223" s="27" t="str">
        <f t="shared" si="114"/>
        <v xml:space="preserve"> </v>
      </c>
      <c r="S223" s="27" t="str">
        <f t="shared" si="115"/>
        <v xml:space="preserve"> </v>
      </c>
      <c r="T223" s="27" t="str">
        <f t="shared" si="116"/>
        <v xml:space="preserve"> </v>
      </c>
      <c r="U223" s="27" t="str">
        <f t="shared" si="117"/>
        <v xml:space="preserve"> </v>
      </c>
      <c r="V223" s="27" t="str">
        <f t="shared" si="118"/>
        <v xml:space="preserve"> </v>
      </c>
      <c r="W223" s="27" t="str">
        <f t="shared" si="119"/>
        <v xml:space="preserve"> </v>
      </c>
      <c r="X223" s="27" t="str">
        <f t="shared" si="120"/>
        <v xml:space="preserve"> </v>
      </c>
      <c r="Y223" s="27" t="str">
        <f t="shared" si="121"/>
        <v xml:space="preserve"> </v>
      </c>
      <c r="Z223" s="27" t="str">
        <f t="shared" si="122"/>
        <v xml:space="preserve"> </v>
      </c>
      <c r="AA223" s="27" t="str">
        <f t="shared" si="123"/>
        <v xml:space="preserve"> </v>
      </c>
      <c r="AB223" s="27" t="str">
        <f t="shared" si="124"/>
        <v xml:space="preserve"> </v>
      </c>
      <c r="AC223" s="27" t="str">
        <f t="shared" si="125"/>
        <v xml:space="preserve"> </v>
      </c>
      <c r="AD223" s="27" t="str">
        <f t="shared" si="126"/>
        <v xml:space="preserve"> </v>
      </c>
      <c r="AE223" s="27" t="str">
        <f t="shared" si="127"/>
        <v xml:space="preserve"> </v>
      </c>
      <c r="AF223" s="27" t="str">
        <f t="shared" si="128"/>
        <v xml:space="preserve"> </v>
      </c>
      <c r="AG223" s="27" t="str">
        <f t="shared" si="129"/>
        <v xml:space="preserve"> </v>
      </c>
    </row>
    <row r="224" spans="1:33" ht="15.75" customHeight="1">
      <c r="A224" s="9">
        <f t="shared" ref="A224:C224" si="167">A109</f>
        <v>0</v>
      </c>
      <c r="B224" s="9">
        <f t="shared" si="167"/>
        <v>0</v>
      </c>
      <c r="C224" s="9">
        <f t="shared" si="167"/>
        <v>0</v>
      </c>
      <c r="D224" s="27" t="str">
        <f t="shared" si="100"/>
        <v xml:space="preserve"> </v>
      </c>
      <c r="E224" s="27" t="str">
        <f t="shared" si="101"/>
        <v xml:space="preserve"> </v>
      </c>
      <c r="F224" s="27" t="str">
        <f t="shared" si="102"/>
        <v xml:space="preserve"> </v>
      </c>
      <c r="G224" s="27" t="str">
        <f t="shared" si="103"/>
        <v xml:space="preserve"> </v>
      </c>
      <c r="H224" s="27" t="str">
        <f t="shared" si="104"/>
        <v xml:space="preserve"> </v>
      </c>
      <c r="I224" s="27" t="str">
        <f t="shared" si="105"/>
        <v xml:space="preserve"> </v>
      </c>
      <c r="J224" s="27" t="str">
        <f t="shared" si="106"/>
        <v xml:space="preserve"> </v>
      </c>
      <c r="K224" s="27" t="str">
        <f t="shared" si="107"/>
        <v xml:space="preserve"> </v>
      </c>
      <c r="L224" s="27" t="str">
        <f t="shared" si="108"/>
        <v xml:space="preserve"> </v>
      </c>
      <c r="M224" s="27" t="str">
        <f t="shared" si="109"/>
        <v xml:space="preserve"> </v>
      </c>
      <c r="N224" s="27" t="str">
        <f t="shared" si="110"/>
        <v xml:space="preserve"> </v>
      </c>
      <c r="O224" s="27" t="str">
        <f t="shared" si="111"/>
        <v xml:space="preserve"> </v>
      </c>
      <c r="P224" s="27" t="str">
        <f t="shared" si="112"/>
        <v xml:space="preserve"> </v>
      </c>
      <c r="Q224" s="27" t="str">
        <f t="shared" si="113"/>
        <v xml:space="preserve"> </v>
      </c>
      <c r="R224" s="27" t="str">
        <f t="shared" si="114"/>
        <v xml:space="preserve"> </v>
      </c>
      <c r="S224" s="27" t="str">
        <f t="shared" si="115"/>
        <v xml:space="preserve"> </v>
      </c>
      <c r="T224" s="27" t="str">
        <f t="shared" si="116"/>
        <v xml:space="preserve"> </v>
      </c>
      <c r="U224" s="27" t="str">
        <f t="shared" si="117"/>
        <v xml:space="preserve"> </v>
      </c>
      <c r="V224" s="27" t="str">
        <f t="shared" si="118"/>
        <v xml:space="preserve"> </v>
      </c>
      <c r="W224" s="27" t="str">
        <f t="shared" si="119"/>
        <v xml:space="preserve"> </v>
      </c>
      <c r="X224" s="27" t="str">
        <f t="shared" si="120"/>
        <v xml:space="preserve"> </v>
      </c>
      <c r="Y224" s="27" t="str">
        <f t="shared" si="121"/>
        <v xml:space="preserve"> </v>
      </c>
      <c r="Z224" s="27" t="str">
        <f t="shared" si="122"/>
        <v xml:space="preserve"> </v>
      </c>
      <c r="AA224" s="27" t="str">
        <f t="shared" si="123"/>
        <v xml:space="preserve"> </v>
      </c>
      <c r="AB224" s="27" t="str">
        <f t="shared" si="124"/>
        <v xml:space="preserve"> </v>
      </c>
      <c r="AC224" s="27" t="str">
        <f t="shared" si="125"/>
        <v xml:space="preserve"> </v>
      </c>
      <c r="AD224" s="27" t="str">
        <f t="shared" si="126"/>
        <v xml:space="preserve"> </v>
      </c>
      <c r="AE224" s="27" t="str">
        <f t="shared" si="127"/>
        <v xml:space="preserve"> </v>
      </c>
      <c r="AF224" s="27" t="str">
        <f t="shared" si="128"/>
        <v xml:space="preserve"> </v>
      </c>
      <c r="AG224" s="27" t="str">
        <f t="shared" si="129"/>
        <v xml:space="preserve"> </v>
      </c>
    </row>
    <row r="225" spans="1:33" ht="15.75" customHeight="1">
      <c r="A225" s="9">
        <f t="shared" ref="A225:C225" si="168">A110</f>
        <v>0</v>
      </c>
      <c r="B225" s="9">
        <f t="shared" si="168"/>
        <v>0</v>
      </c>
      <c r="C225" s="9">
        <f t="shared" si="168"/>
        <v>0</v>
      </c>
      <c r="D225" s="27" t="str">
        <f t="shared" si="100"/>
        <v xml:space="preserve"> </v>
      </c>
      <c r="E225" s="27" t="str">
        <f t="shared" si="101"/>
        <v xml:space="preserve"> </v>
      </c>
      <c r="F225" s="27" t="str">
        <f t="shared" si="102"/>
        <v xml:space="preserve"> </v>
      </c>
      <c r="G225" s="27" t="str">
        <f t="shared" si="103"/>
        <v xml:space="preserve"> </v>
      </c>
      <c r="H225" s="27" t="str">
        <f t="shared" si="104"/>
        <v xml:space="preserve"> </v>
      </c>
      <c r="I225" s="27" t="str">
        <f t="shared" si="105"/>
        <v xml:space="preserve"> </v>
      </c>
      <c r="J225" s="27" t="str">
        <f t="shared" si="106"/>
        <v xml:space="preserve"> </v>
      </c>
      <c r="K225" s="27" t="str">
        <f t="shared" si="107"/>
        <v xml:space="preserve"> </v>
      </c>
      <c r="L225" s="27" t="str">
        <f t="shared" si="108"/>
        <v xml:space="preserve"> </v>
      </c>
      <c r="M225" s="27" t="str">
        <f t="shared" si="109"/>
        <v xml:space="preserve"> </v>
      </c>
      <c r="N225" s="27" t="str">
        <f t="shared" si="110"/>
        <v xml:space="preserve"> </v>
      </c>
      <c r="O225" s="27" t="str">
        <f t="shared" si="111"/>
        <v xml:space="preserve"> </v>
      </c>
      <c r="P225" s="27" t="str">
        <f t="shared" si="112"/>
        <v xml:space="preserve"> </v>
      </c>
      <c r="Q225" s="27" t="str">
        <f t="shared" si="113"/>
        <v xml:space="preserve"> </v>
      </c>
      <c r="R225" s="27" t="str">
        <f t="shared" si="114"/>
        <v xml:space="preserve"> </v>
      </c>
      <c r="S225" s="27" t="str">
        <f t="shared" si="115"/>
        <v xml:space="preserve"> </v>
      </c>
      <c r="T225" s="27" t="str">
        <f t="shared" si="116"/>
        <v xml:space="preserve"> </v>
      </c>
      <c r="U225" s="27" t="str">
        <f t="shared" si="117"/>
        <v xml:space="preserve"> </v>
      </c>
      <c r="V225" s="27" t="str">
        <f t="shared" si="118"/>
        <v xml:space="preserve"> </v>
      </c>
      <c r="W225" s="27" t="str">
        <f t="shared" si="119"/>
        <v xml:space="preserve"> </v>
      </c>
      <c r="X225" s="27" t="str">
        <f t="shared" si="120"/>
        <v xml:space="preserve"> </v>
      </c>
      <c r="Y225" s="27" t="str">
        <f t="shared" si="121"/>
        <v xml:space="preserve"> </v>
      </c>
      <c r="Z225" s="27" t="str">
        <f t="shared" si="122"/>
        <v xml:space="preserve"> </v>
      </c>
      <c r="AA225" s="27" t="str">
        <f t="shared" si="123"/>
        <v xml:space="preserve"> </v>
      </c>
      <c r="AB225" s="27" t="str">
        <f t="shared" si="124"/>
        <v xml:space="preserve"> </v>
      </c>
      <c r="AC225" s="27" t="str">
        <f t="shared" si="125"/>
        <v xml:space="preserve"> </v>
      </c>
      <c r="AD225" s="27" t="str">
        <f t="shared" si="126"/>
        <v xml:space="preserve"> </v>
      </c>
      <c r="AE225" s="27" t="str">
        <f t="shared" si="127"/>
        <v xml:space="preserve"> </v>
      </c>
      <c r="AF225" s="27" t="str">
        <f t="shared" si="128"/>
        <v xml:space="preserve"> </v>
      </c>
      <c r="AG225" s="27" t="str">
        <f t="shared" si="129"/>
        <v xml:space="preserve"> </v>
      </c>
    </row>
    <row r="226" spans="1:33" ht="15.75" customHeight="1">
      <c r="A226" s="9">
        <f t="shared" ref="A226:C226" si="169">A111</f>
        <v>0</v>
      </c>
      <c r="B226" s="9">
        <f t="shared" si="169"/>
        <v>0</v>
      </c>
      <c r="C226" s="9">
        <f t="shared" si="169"/>
        <v>0</v>
      </c>
      <c r="D226" s="27" t="str">
        <f t="shared" si="100"/>
        <v xml:space="preserve"> </v>
      </c>
      <c r="E226" s="27" t="str">
        <f t="shared" si="101"/>
        <v xml:space="preserve"> </v>
      </c>
      <c r="F226" s="27" t="str">
        <f t="shared" si="102"/>
        <v xml:space="preserve"> </v>
      </c>
      <c r="G226" s="27" t="str">
        <f t="shared" si="103"/>
        <v xml:space="preserve"> </v>
      </c>
      <c r="H226" s="27" t="str">
        <f t="shared" si="104"/>
        <v xml:space="preserve"> </v>
      </c>
      <c r="I226" s="27" t="str">
        <f t="shared" si="105"/>
        <v xml:space="preserve"> </v>
      </c>
      <c r="J226" s="27" t="str">
        <f t="shared" si="106"/>
        <v xml:space="preserve"> </v>
      </c>
      <c r="K226" s="27" t="str">
        <f t="shared" si="107"/>
        <v xml:space="preserve"> </v>
      </c>
      <c r="L226" s="27" t="str">
        <f t="shared" si="108"/>
        <v xml:space="preserve"> </v>
      </c>
      <c r="M226" s="27" t="str">
        <f t="shared" si="109"/>
        <v xml:space="preserve"> </v>
      </c>
      <c r="N226" s="27" t="str">
        <f t="shared" si="110"/>
        <v xml:space="preserve"> </v>
      </c>
      <c r="O226" s="27" t="str">
        <f t="shared" si="111"/>
        <v xml:space="preserve"> </v>
      </c>
      <c r="P226" s="27" t="str">
        <f t="shared" si="112"/>
        <v xml:space="preserve"> </v>
      </c>
      <c r="Q226" s="27" t="str">
        <f t="shared" si="113"/>
        <v xml:space="preserve"> </v>
      </c>
      <c r="R226" s="27" t="str">
        <f t="shared" si="114"/>
        <v xml:space="preserve"> </v>
      </c>
      <c r="S226" s="27" t="str">
        <f t="shared" si="115"/>
        <v xml:space="preserve"> </v>
      </c>
      <c r="T226" s="27" t="str">
        <f t="shared" si="116"/>
        <v xml:space="preserve"> </v>
      </c>
      <c r="U226" s="27" t="str">
        <f t="shared" si="117"/>
        <v xml:space="preserve"> </v>
      </c>
      <c r="V226" s="27" t="str">
        <f t="shared" si="118"/>
        <v xml:space="preserve"> </v>
      </c>
      <c r="W226" s="27" t="str">
        <f t="shared" si="119"/>
        <v xml:space="preserve"> </v>
      </c>
      <c r="X226" s="27" t="str">
        <f t="shared" si="120"/>
        <v xml:space="preserve"> </v>
      </c>
      <c r="Y226" s="27" t="str">
        <f t="shared" si="121"/>
        <v xml:space="preserve"> </v>
      </c>
      <c r="Z226" s="27" t="str">
        <f t="shared" si="122"/>
        <v xml:space="preserve"> </v>
      </c>
      <c r="AA226" s="27" t="str">
        <f t="shared" si="123"/>
        <v xml:space="preserve"> </v>
      </c>
      <c r="AB226" s="27" t="str">
        <f t="shared" si="124"/>
        <v xml:space="preserve"> </v>
      </c>
      <c r="AC226" s="27" t="str">
        <f t="shared" si="125"/>
        <v xml:space="preserve"> </v>
      </c>
      <c r="AD226" s="27" t="str">
        <f t="shared" si="126"/>
        <v xml:space="preserve"> </v>
      </c>
      <c r="AE226" s="27" t="str">
        <f t="shared" si="127"/>
        <v xml:space="preserve"> </v>
      </c>
      <c r="AF226" s="27" t="str">
        <f t="shared" si="128"/>
        <v xml:space="preserve"> </v>
      </c>
      <c r="AG226" s="27" t="str">
        <f t="shared" si="129"/>
        <v xml:space="preserve"> </v>
      </c>
    </row>
    <row r="227" spans="1:33" ht="15.75" customHeight="1">
      <c r="A227" s="9">
        <f t="shared" ref="A227:C227" si="170">A112</f>
        <v>0</v>
      </c>
      <c r="B227" s="9">
        <f t="shared" si="170"/>
        <v>0</v>
      </c>
      <c r="C227" s="9">
        <f t="shared" si="170"/>
        <v>0</v>
      </c>
      <c r="D227" s="27" t="str">
        <f t="shared" si="100"/>
        <v xml:space="preserve"> </v>
      </c>
      <c r="E227" s="27" t="str">
        <f t="shared" si="101"/>
        <v xml:space="preserve"> </v>
      </c>
      <c r="F227" s="27" t="str">
        <f t="shared" si="102"/>
        <v xml:space="preserve"> </v>
      </c>
      <c r="G227" s="27" t="str">
        <f t="shared" si="103"/>
        <v xml:space="preserve"> </v>
      </c>
      <c r="H227" s="27" t="str">
        <f t="shared" si="104"/>
        <v xml:space="preserve"> </v>
      </c>
      <c r="I227" s="27" t="str">
        <f t="shared" si="105"/>
        <v xml:space="preserve"> </v>
      </c>
      <c r="J227" s="27" t="str">
        <f t="shared" si="106"/>
        <v xml:space="preserve"> </v>
      </c>
      <c r="K227" s="27" t="str">
        <f t="shared" si="107"/>
        <v xml:space="preserve"> </v>
      </c>
      <c r="L227" s="27" t="str">
        <f t="shared" si="108"/>
        <v xml:space="preserve"> </v>
      </c>
      <c r="M227" s="27" t="str">
        <f t="shared" si="109"/>
        <v xml:space="preserve"> </v>
      </c>
      <c r="N227" s="27" t="str">
        <f t="shared" si="110"/>
        <v xml:space="preserve"> </v>
      </c>
      <c r="O227" s="27" t="str">
        <f t="shared" si="111"/>
        <v xml:space="preserve"> </v>
      </c>
      <c r="P227" s="27" t="str">
        <f t="shared" si="112"/>
        <v xml:space="preserve"> </v>
      </c>
      <c r="Q227" s="27" t="str">
        <f t="shared" si="113"/>
        <v xml:space="preserve"> </v>
      </c>
      <c r="R227" s="27" t="str">
        <f t="shared" si="114"/>
        <v xml:space="preserve"> </v>
      </c>
      <c r="S227" s="27" t="str">
        <f t="shared" si="115"/>
        <v xml:space="preserve"> </v>
      </c>
      <c r="T227" s="27" t="str">
        <f t="shared" si="116"/>
        <v xml:space="preserve"> </v>
      </c>
      <c r="U227" s="27" t="str">
        <f t="shared" si="117"/>
        <v xml:space="preserve"> </v>
      </c>
      <c r="V227" s="27" t="str">
        <f t="shared" si="118"/>
        <v xml:space="preserve"> </v>
      </c>
      <c r="W227" s="27" t="str">
        <f t="shared" si="119"/>
        <v xml:space="preserve"> </v>
      </c>
      <c r="X227" s="27" t="str">
        <f t="shared" si="120"/>
        <v xml:space="preserve"> </v>
      </c>
      <c r="Y227" s="27" t="str">
        <f t="shared" si="121"/>
        <v xml:space="preserve"> </v>
      </c>
      <c r="Z227" s="27" t="str">
        <f t="shared" si="122"/>
        <v xml:space="preserve"> </v>
      </c>
      <c r="AA227" s="27" t="str">
        <f t="shared" si="123"/>
        <v xml:space="preserve"> </v>
      </c>
      <c r="AB227" s="27" t="str">
        <f t="shared" si="124"/>
        <v xml:space="preserve"> </v>
      </c>
      <c r="AC227" s="27" t="str">
        <f t="shared" si="125"/>
        <v xml:space="preserve"> </v>
      </c>
      <c r="AD227" s="27" t="str">
        <f t="shared" si="126"/>
        <v xml:space="preserve"> </v>
      </c>
      <c r="AE227" s="27" t="str">
        <f t="shared" si="127"/>
        <v xml:space="preserve"> </v>
      </c>
      <c r="AF227" s="27" t="str">
        <f t="shared" si="128"/>
        <v xml:space="preserve"> </v>
      </c>
      <c r="AG227" s="27" t="str">
        <f t="shared" si="129"/>
        <v xml:space="preserve"> </v>
      </c>
    </row>
    <row r="228" spans="1:33" s="29" customFormat="1" ht="15.75" customHeight="1">
      <c r="C228" s="29" t="s">
        <v>7</v>
      </c>
      <c r="D228" s="29" t="s">
        <v>7</v>
      </c>
      <c r="E228" s="29" t="s">
        <v>7</v>
      </c>
      <c r="F228" s="29" t="s">
        <v>7</v>
      </c>
      <c r="G228" s="29" t="s">
        <v>7</v>
      </c>
      <c r="H228" s="29" t="s">
        <v>7</v>
      </c>
      <c r="I228" s="29" t="s">
        <v>7</v>
      </c>
      <c r="J228" s="29" t="s">
        <v>7</v>
      </c>
      <c r="K228" s="29" t="s">
        <v>7</v>
      </c>
      <c r="L228" s="29" t="s">
        <v>7</v>
      </c>
      <c r="M228" s="29" t="s">
        <v>7</v>
      </c>
      <c r="N228" s="29" t="s">
        <v>7</v>
      </c>
      <c r="O228" s="29" t="s">
        <v>7</v>
      </c>
      <c r="P228" s="29" t="s">
        <v>7</v>
      </c>
      <c r="Q228" s="29" t="s">
        <v>7</v>
      </c>
      <c r="R228" s="29" t="s">
        <v>7</v>
      </c>
      <c r="S228" s="29" t="s">
        <v>7</v>
      </c>
      <c r="T228" s="29" t="s">
        <v>7</v>
      </c>
      <c r="U228" s="29" t="s">
        <v>7</v>
      </c>
      <c r="V228" s="29" t="s">
        <v>7</v>
      </c>
      <c r="W228" s="29" t="s">
        <v>7</v>
      </c>
      <c r="X228" s="29" t="s">
        <v>7</v>
      </c>
      <c r="Y228" s="29" t="s">
        <v>7</v>
      </c>
      <c r="Z228" s="29" t="s">
        <v>7</v>
      </c>
      <c r="AA228" s="29" t="s">
        <v>7</v>
      </c>
      <c r="AB228" s="29" t="s">
        <v>7</v>
      </c>
      <c r="AC228" s="29" t="s">
        <v>7</v>
      </c>
      <c r="AD228" s="29" t="s">
        <v>7</v>
      </c>
      <c r="AE228" s="29" t="s">
        <v>7</v>
      </c>
      <c r="AF228" s="29" t="s">
        <v>7</v>
      </c>
      <c r="AG228" s="29" t="s">
        <v>7</v>
      </c>
    </row>
  </sheetData>
  <phoneticPr fontId="1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card</vt:lpstr>
      <vt:lpstr>data</vt:lpstr>
      <vt:lpstr>ChallengeCard</vt:lpstr>
      <vt:lpstr>card!Print_Area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竹村真人</dc:creator>
  <cp:lastModifiedBy>take</cp:lastModifiedBy>
  <cp:lastPrinted>2019-09-08T09:16:00Z</cp:lastPrinted>
  <dcterms:created xsi:type="dcterms:W3CDTF">2019-09-06T06:58:57Z</dcterms:created>
  <dcterms:modified xsi:type="dcterms:W3CDTF">2019-09-08T09:16:56Z</dcterms:modified>
</cp:coreProperties>
</file>